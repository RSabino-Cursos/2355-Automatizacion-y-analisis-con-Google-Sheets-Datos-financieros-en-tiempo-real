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os Ventas" sheetId="1" r:id="rId5"/>
    <sheet state="hidden" name="Productos" sheetId="2" r:id="rId6"/>
    <sheet state="hidden" name="Vendedores" sheetId="3" r:id="rId7"/>
    <sheet state="hidden" name="Datos Ventas CSV" sheetId="4" r:id="rId8"/>
    <sheet state="visible" name="Datos Ventas Dashboard" sheetId="5" r:id="rId9"/>
    <sheet state="visible" name="Dinámica Cantidades por Categor" sheetId="6" r:id="rId10"/>
    <sheet state="hidden" name="Dinámica Ventas por Categoría" sheetId="7" r:id="rId11"/>
    <sheet state="hidden" name="Dinámica Ventas por Vendedor" sheetId="8" r:id="rId12"/>
    <sheet state="visible" name="Dashboard Vendas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<sst xmlns="http://schemas.openxmlformats.org/spreadsheetml/2006/main" count="17" uniqueCount="17">
  <si>
    <t>Productos</t>
  </si>
  <si>
    <t>Vendedor</t>
  </si>
  <si>
    <t>Cantidad</t>
  </si>
  <si>
    <t>Real Brasileño</t>
  </si>
  <si>
    <t>Peso Mexicano</t>
  </si>
  <si>
    <t>Sol Peruano</t>
  </si>
  <si>
    <t>Nombre</t>
  </si>
  <si>
    <t>Ciudad</t>
  </si>
  <si>
    <t>Región</t>
  </si>
  <si>
    <t>SUM de Cantidad</t>
  </si>
  <si>
    <t>SUM de Real Brasileño</t>
  </si>
  <si>
    <t>Columnas</t>
  </si>
  <si>
    <t>Filas</t>
  </si>
  <si>
    <t>Valores</t>
  </si>
  <si>
    <t>Ventas por Vendedor</t>
  </si>
  <si>
    <t>Ventas por Categoría ($)</t>
  </si>
  <si>
    <t>Cantidades Vendidas por Categoría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</si>
</sst>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rgb="FFFFFF00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2" fontId="3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/>
    </xf>
    <xf borderId="1" fillId="0" fontId="1" numFmtId="0" xfId="0" applyBorder="1" applyFont="1"/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Cantidad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'Dinámica Cantidades por Categor'!$B$1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'Dinámica Cantidades por Categor'!$A$2:$A$4</c:f>
            </c:strRef>
          </c:cat>
          <c:val>
            <c:numRef>
              <c:f>'Dinámica Cantidades por Categor'!$B$2:$B$4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Real Brasileño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'Dinámica Ventas por Categoría'!$B$1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'Dinámica Ventas por Categoría'!$A$2:$A$4</c:f>
            </c:strRef>
          </c:cat>
          <c:val>
            <c:numRef>
              <c:f>'Dinámica Ventas por Categoría'!$B$2:$B$4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'Dinámica Ventas por Vendedor'!$B$1</c:f>
            </c:strRef>
          </c:tx>
          <c:cat>
            <c:strRef>
              <c:f>'Dinámica Ventas por Vendedor'!$A$2:$A$3</c:f>
            </c:strRef>
          </c:cat>
          <c:val>
            <c:numRef>
              <c:f>'Dinámica Ventas por Vendedor'!$B$2:$B$3</c:f>
              <c:numCache/>
            </c:numRef>
          </c:val>
        </c:ser>
        <c:axId val="1871013005"/>
        <c:axId val="548778840"/>
      </c:barChart>
      <c:catAx>
        <c:axId val="18710130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778840"/>
      </c:catAx>
      <c:valAx>
        <c:axId val="548778840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8710130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'Dinámica Ventas por Categoría'!$B$1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'Dinámica Ventas por Categoría'!$A$2:$A$4</c:f>
            </c:strRef>
          </c:cat>
          <c:val>
            <c:numRef>
              <c:f>'Dinámica Ventas por Categoría'!$B$2:$B$4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'Dinámica Cantidades por Categor'!$B$1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'Dinámica Cantidades por Categor'!$A$2:$A$4</c:f>
            </c:strRef>
          </c:cat>
          <c:val>
            <c:numRef>
              <c:f>'Dinámica Cantidades por Categor'!$B$2:$B$4</c:f>
              <c:numCache/>
            </c:numRef>
          </c:val>
        </c:ser>
        <c:axId val="681720992"/>
        <c:axId val="1419967438"/>
      </c:bar3DChart>
      <c:catAx>
        <c:axId val="68172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967438"/>
      </c:catAx>
      <c:valAx>
        <c:axId val="1419967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720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2</xdr:row>
      <xdr:rowOff>76200</xdr:rowOff>
    </xdr:from>
    <xdr:ext cx="5467350" cy="44958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228600</xdr:colOff>
      <xdr:row>2</xdr:row>
      <xdr:rowOff>76200</xdr:rowOff>
    </xdr:from>
    <xdr:ext cx="5467350" cy="20764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228600</xdr:colOff>
      <xdr:row>23</xdr:row>
      <xdr:rowOff>95250</xdr:rowOff>
    </xdr:from>
    <xdr:ext cx="5467350" cy="20764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708" sheet="Datos Ventas Dashboard"/>
  </cacheSource>
  <cacheFields>
    <cacheField name="Productos" numFmtId="0">
      <sharedItems>
        <s v="PR001"/>
        <s v="PR058"/>
        <s v="PR020"/>
        <s v="PR035"/>
        <s v="PR016"/>
        <s v="PR051"/>
        <s v="PR042"/>
        <s v="PR050"/>
        <s v="PR059"/>
        <s v="PR019"/>
        <s v="PR055"/>
        <s v="PR052"/>
        <s v="PR014"/>
        <s v="PR045"/>
        <s v="PR053"/>
        <s v="PR054"/>
        <s v="PR047"/>
        <s v="PR003"/>
        <s v="PR049"/>
        <s v="PR006"/>
        <s v="PR002"/>
        <s v="PR038"/>
        <s v="PR027"/>
        <s v="PR028"/>
        <s v="PR018"/>
        <s v="PR057"/>
        <s v="PR004"/>
        <s v="PR032"/>
        <s v="PR033"/>
        <s v="PR008"/>
        <s v="PR013"/>
        <s v="PR011"/>
        <s v="PR043"/>
        <s v="PR037"/>
        <s v="PR023"/>
        <s v="PR039"/>
        <s v="PR060"/>
        <s v="PR009"/>
        <s v="PR022"/>
        <s v="PR040"/>
        <s v="PR021"/>
        <s v="PR036"/>
        <s v="PR031"/>
        <s v="PR010"/>
        <s v="PR012"/>
        <s v="PR026"/>
        <s v="PR024"/>
        <s v="PR034"/>
        <s v="PR046"/>
        <s v="PR041"/>
        <s v="PR029"/>
        <s v="PR017"/>
        <s v="PR005"/>
        <s v="PR015"/>
        <s v="PR007"/>
        <s v="PR044"/>
        <s v="PR056"/>
        <s v="PR048"/>
        <s v="PR025"/>
        <s v="PR030"/>
      </sharedItems>
    </cacheField>
    <cacheField name="Vendedor" numFmtId="0">
      <sharedItems>
        <s v="VD026"/>
        <s v="VD037"/>
        <s v="VD034"/>
        <s v="VD021"/>
        <s v="VD027"/>
        <s v="VD048"/>
        <s v="VD025"/>
        <s v="VD036"/>
        <s v="VD049"/>
        <s v="VD015"/>
        <s v="VD012"/>
        <s v="VD043"/>
        <s v="VD020"/>
        <s v="VD019"/>
        <s v="VD041"/>
        <s v="VD013"/>
        <s v="VD028"/>
        <s v="VD047"/>
        <s v="VD017"/>
        <s v="VD040"/>
        <s v="VD033"/>
        <s v="VD014"/>
        <s v="VD029"/>
        <s v="VD010"/>
        <s v="VD024"/>
        <s v="VD016"/>
        <s v="VD035"/>
        <s v="VD011"/>
        <s v="VD018"/>
        <s v="VD044"/>
        <s v="VD046"/>
        <s v="VD023"/>
        <s v="VD039"/>
        <s v="VD038"/>
        <s v="VD045"/>
        <s v="VD042"/>
        <s v="VD032"/>
        <s v="VD031"/>
        <s v="VD022"/>
        <s v="VD030"/>
      </sharedItems>
    </cacheField>
    <cacheField name="Cantidad" numFmtId="0">
      <sharedItems containsSemiMixedTypes="0" containsString="0" containsNumber="1" containsInteger="1">
        <n v="27.0"/>
        <n v="14.0"/>
        <n v="20.0"/>
        <n v="24.0"/>
        <n v="10.0"/>
        <n v="18.0"/>
        <n v="12.0"/>
        <n v="15.0"/>
        <n v="16.0"/>
        <n v="9.0"/>
        <n v="8.0"/>
        <n v="21.0"/>
        <n v="30.0"/>
        <n v="28.0"/>
        <n v="6.0"/>
        <n v="3.0"/>
        <n v="2.0"/>
        <n v="7.0"/>
        <n v="5.0"/>
        <n v="4.0"/>
        <n v="1.0"/>
      </sharedItems>
    </cacheField>
    <cacheField name="Real Brasileño" numFmtId="164">
      <sharedItems containsSemiMixedTypes="0" containsString="0" containsNumber="1">
        <n v="1957.23"/>
        <n v="2872.8"/>
        <n v="7137.62"/>
        <n v="2478.77"/>
        <n v="303.03"/>
        <n v="704.72"/>
        <n v="1778.76"/>
        <n v="511.27"/>
        <n v="901.51"/>
        <n v="5783.4"/>
        <n v="845.81"/>
        <n v="1844.75"/>
        <n v="950.1"/>
        <n v="511.97"/>
        <n v="420.15"/>
        <n v="890.01"/>
        <n v="1157.1"/>
        <n v="538.92"/>
        <n v="8907.03"/>
        <n v="4174.56"/>
        <n v="4826.84"/>
        <n v="629.59"/>
        <n v="4536.0"/>
        <n v="473.76"/>
        <n v="2763.94"/>
        <n v="1480.39"/>
        <n v="1249.67"/>
        <n v="1996.34"/>
        <n v="1972.02"/>
        <n v="3996.0"/>
        <n v="2419.2"/>
        <n v="2207.31"/>
        <n v="4718.11"/>
        <n v="378.35"/>
        <n v="2149.73"/>
        <n v="906.19"/>
        <n v="2610.0"/>
        <n v="560.2"/>
        <n v="3888.0"/>
        <n v="6600.0"/>
        <n v="1260.44"/>
        <n v="5597.76"/>
        <n v="7485.12"/>
        <n v="2049.72"/>
        <n v="1238.9"/>
        <n v="1013.04"/>
        <n v="1139.54"/>
        <n v="1435.5"/>
        <n v="5040.0"/>
        <n v="6657.78"/>
        <n v="658.68"/>
        <n v="7894.34"/>
        <n v="717.17"/>
        <n v="2663.04"/>
        <n v="1252.8"/>
        <n v="1560.72"/>
        <n v="1591.23"/>
        <n v="361.9"/>
        <n v="5424.0"/>
        <n v="7242.59"/>
        <n v="1368.8"/>
        <n v="1624.0"/>
        <n v="1721.55"/>
        <n v="2689.75"/>
        <n v="915.94"/>
        <n v="1301.52"/>
        <n v="3298.68"/>
        <n v="1127.74"/>
        <n v="221.09"/>
        <n v="1197.6"/>
        <n v="6122.55"/>
        <n v="1078.8"/>
        <n v="704.03"/>
        <n v="577.02"/>
        <n v="983.1"/>
        <n v="1725.5"/>
        <n v="1334.0"/>
        <n v="877.8"/>
        <n v="6035.78"/>
        <n v="1328.67"/>
        <n v="8810.61"/>
        <n v="5082.97"/>
        <n v="1050.66"/>
        <n v="1502.06"/>
        <n v="2373.36"/>
        <n v="598.73"/>
        <n v="1675.8"/>
        <n v="2620.7"/>
        <n v="3649.0"/>
        <n v="1166.08"/>
        <n v="941.05"/>
        <n v="541.04"/>
        <n v="388.22"/>
        <n v="1584.36"/>
        <n v="3628.8"/>
        <n v="1980.0"/>
        <n v="790.02"/>
        <n v="2953.67"/>
        <n v="862.82"/>
        <n v="746.93"/>
        <n v="1077.6"/>
        <n v="8350.59"/>
        <n v="8846.46"/>
        <n v="4032.0"/>
        <n v="810.38"/>
        <n v="1236.52"/>
        <n v="3240.0"/>
        <n v="974.4"/>
        <n v="6997.2"/>
        <n v="2185.01"/>
        <n v="6793.2"/>
        <n v="912.25"/>
        <n v="2041.92"/>
        <n v="1136.43"/>
        <n v="6976.8"/>
        <n v="1059.88"/>
        <n v="7122.84"/>
        <n v="3598.56"/>
        <n v="592.02"/>
        <n v="2070.0"/>
        <n v="523.72"/>
        <n v="1357.78"/>
        <n v="4081.22"/>
        <n v="5567.06"/>
        <n v="2325.6"/>
        <n v="1423.8"/>
        <n v="1345.6"/>
        <n v="2557.8"/>
        <n v="2997.0"/>
        <n v="3186.0"/>
        <n v="7929.55"/>
        <n v="4561.25"/>
        <n v="306.0"/>
        <n v="423.86"/>
        <n v="2670.03"/>
        <n v="4823.74"/>
        <n v="681.03"/>
        <n v="692.42"/>
        <n v="646.56"/>
        <n v="1147.7"/>
        <n v="1924.16"/>
        <n v="3020.64"/>
        <n v="5938.02"/>
        <n v="670.66"/>
        <n v="766.9"/>
        <n v="3589.97"/>
        <n v="2815.67"/>
        <n v="901.32"/>
        <n v="1421.77"/>
        <n v="7209.02"/>
        <n v="1811.7"/>
        <n v="1183.2"/>
        <n v="918.0"/>
        <n v="2187.9"/>
        <n v="3610.8"/>
        <n v="651.42"/>
        <n v="954.74"/>
        <n v="1428.0"/>
        <n v="872.1"/>
        <n v="708.29"/>
        <n v="4128.82"/>
        <n v="766.08"/>
        <n v="1012.66"/>
        <n v="3065.7"/>
        <n v="706.23"/>
        <n v="759.99"/>
        <n v="2923.2"/>
        <n v="6725.68"/>
        <n v="8844.85"/>
        <n v="1077.84"/>
        <n v="2453.46"/>
        <n v="4678.2"/>
        <n v="2430.9"/>
        <n v="7897.5"/>
        <n v="1340.64"/>
        <n v="1135.05"/>
        <n v="9157.94"/>
        <n v="395.01"/>
        <n v="1030.43"/>
        <n v="1014.97"/>
        <n v="2153.25"/>
        <n v="613.55"/>
        <n v="4141.2"/>
        <n v="2527.2"/>
        <n v="1247.84"/>
        <n v="1485.15"/>
        <n v="1314.31"/>
        <n v="1639.78"/>
        <n v="3772.56"/>
        <n v="7371.0"/>
        <n v="4093.36"/>
        <n v="1152.69"/>
        <n v="5566.08"/>
        <n v="9392.76"/>
        <n v="1397.05"/>
        <n v="753.48"/>
        <n v="6185.62"/>
        <n v="3105.0"/>
        <n v="4102.63"/>
        <n v="197.64"/>
        <n v="4870.32"/>
        <n v="676.64"/>
        <n v="491.9"/>
        <n v="245.35"/>
        <n v="472.42"/>
        <n v="213.96"/>
        <n v="315.55"/>
        <n v="380.83"/>
        <n v="462.84"/>
        <n v="2393.32"/>
        <n v="417.6"/>
        <n v="712.22"/>
        <n v="1486.8"/>
        <n v="2689.97"/>
        <n v="1415.25"/>
        <n v="1254.74"/>
        <n v="166.17"/>
        <n v="122.98"/>
        <n v="153.78"/>
        <n v="9241.48"/>
        <n v="608.72"/>
        <n v="593.34"/>
        <n v="513.3"/>
        <n v="1398.6"/>
        <n v="57.5"/>
        <n v="1247.0"/>
        <n v="1577.65"/>
        <n v="114.77"/>
        <n v="1056.0"/>
        <n v="515.87"/>
        <n v="2417.14"/>
        <n v="1024.86"/>
        <n v="2712.0"/>
        <n v="2349.0"/>
        <n v="491.55"/>
        <n v="113.45"/>
        <n v="5192.8"/>
        <n v="2736.66"/>
        <n v="1730.93"/>
        <n v="318.4"/>
        <n v="1800.0"/>
        <n v="4664.8"/>
        <n v="2427.6"/>
        <n v="1696.24"/>
        <n v="1033.68"/>
        <n v="3617.81"/>
        <n v="2289.28"/>
        <n v="313.21"/>
        <n v="8925.0"/>
        <n v="2481.54"/>
        <n v="470.86"/>
        <n v="4161.6"/>
        <n v="345.45"/>
        <n v="237.08"/>
        <n v="543.91"/>
        <n v="167.99"/>
        <n v="132.92"/>
        <n v="1357.2"/>
        <n v="915.6"/>
        <n v="3331.9"/>
        <n v="719.2"/>
        <n v="2388.78"/>
        <n v="1295.57"/>
        <n v="2697.0"/>
        <n v="310.96"/>
        <n v="269.7"/>
        <n v="818.69"/>
        <n v="818.55"/>
        <n v="1386.0"/>
        <n v="1484.7"/>
        <n v="3240.97"/>
        <n v="499.0"/>
        <n v="1747.66"/>
        <n v="538.8"/>
        <n v="1890.0"/>
        <n v="103.67"/>
        <n v="149.35"/>
        <n v="770.4"/>
        <n v="5668.11"/>
        <n v="320.12"/>
        <n v="96.19"/>
        <n v="241.59"/>
        <n v="403.31"/>
        <n v="3817.8"/>
        <n v="438.0"/>
        <n v="383.88"/>
        <n v="1026.48"/>
        <n v="1774.19"/>
        <n v="1121.95"/>
        <n v="609.0"/>
        <n v="5462.1"/>
        <n v="105.79"/>
        <n v="1133.16"/>
        <n v="430.99"/>
        <n v="134.7"/>
        <n v="2728.95"/>
        <n v="1543.5"/>
        <n v="815.37"/>
        <n v="768.5"/>
        <n v="1141.94"/>
        <n v="3785.99"/>
        <n v="4180.36"/>
        <n v="1595.0"/>
        <n v="4865.33"/>
        <n v="7027.18"/>
        <n v="95.19"/>
        <n v="72.49"/>
        <n v="377.06"/>
        <n v="109.8"/>
        <n v="1187.2"/>
        <n v="227.59"/>
        <n v="122.09"/>
        <n v="805.87"/>
        <n v="549.78"/>
        <n v="443.7"/>
        <n v="1999.2"/>
        <n v="4210.38"/>
        <n v="171.08"/>
        <n v="430.33"/>
        <n v="138.57"/>
        <n v="614.59"/>
        <n v="1630.64"/>
        <n v="2199.12"/>
        <n v="2357.85"/>
        <n v="3780.0"/>
        <n v="3778.74"/>
        <n v="753.08"/>
        <n v="1561.66"/>
        <n v="272.4"/>
        <n v="1057.88"/>
        <n v="135.15"/>
        <n v="1100.3"/>
        <n v="698.18"/>
        <n v="1869.13"/>
        <n v="33.89"/>
        <n v="1574.99"/>
        <n v="197.4"/>
        <n v="732.77"/>
        <n v="419.12"/>
        <n v="706.86"/>
        <n v="704.06"/>
        <n v="5457.9"/>
        <n v="1409.4"/>
        <n v="1817.39"/>
        <n v="4990.34"/>
        <n v="913.19"/>
        <n v="1101.6"/>
        <n v="1333.5"/>
        <n v="185.8"/>
        <n v="237.97"/>
        <n v="143.44"/>
        <n v="161.62"/>
        <n v="2548.67"/>
        <n v="34.87"/>
        <n v="293.32"/>
        <n v="205.3"/>
        <n v="671.16"/>
        <n v="634.62"/>
        <n v="314.37"/>
        <n v="375.2"/>
        <n v="849.92"/>
        <n v="700.94"/>
        <n v="62.79"/>
        <n v="6364.8"/>
        <n v="71.72"/>
        <n v="1783.98"/>
        <n v="2227.96"/>
        <n v="585.8"/>
        <n v="1124.2"/>
        <n v="312.44"/>
        <n v="221.85"/>
        <n v="3893.3"/>
        <n v="101.71"/>
        <n v="292.0"/>
        <n v="145.6"/>
        <n v="523.95"/>
        <n v="2858.9"/>
        <n v="913.5"/>
        <n v="498.78"/>
        <n v="215.99"/>
        <n v="2549.62"/>
        <n v="601.52"/>
        <n v="594.0"/>
        <n v="1730.4"/>
        <n v="1769.66"/>
        <n v="1060.0"/>
        <n v="406.64"/>
        <n v="903.29"/>
        <n v="42.93"/>
        <n v="4942.35"/>
        <n v="539.78"/>
        <n v="2337.3"/>
        <n v="263.6"/>
        <n v="328.78"/>
        <n v="299.4"/>
        <n v="1861.16"/>
        <n v="5832.0"/>
        <n v="553.18"/>
        <n v="1914.3"/>
        <n v="1089.59"/>
        <n v="2702.96"/>
        <n v="1108.98"/>
        <n v="1464.5"/>
        <n v="850.41"/>
        <n v="2713.46"/>
        <n v="834.28"/>
        <n v="307.29"/>
        <n v="4080.0"/>
        <n v="3088.97"/>
        <n v="634.41"/>
        <n v="2227.05"/>
        <n v="502.05"/>
        <n v="228.38"/>
        <n v="347.93"/>
        <n v="341.88"/>
        <n v="233.75"/>
        <n v="361.59"/>
        <n v="88.48"/>
        <n v="1078.0"/>
        <n v="604.8"/>
        <n v="2074.95"/>
        <n v="1817.69"/>
        <n v="2817.83"/>
        <n v="537.92"/>
        <n v="2504.74"/>
        <n v="217.46"/>
        <n v="478.44"/>
        <n v="1575.9"/>
        <n v="317.36"/>
        <n v="1226.65"/>
        <n v="7950.0"/>
        <n v="870.26"/>
        <n v="89.9"/>
        <n v="988.8"/>
        <n v="2777.91"/>
        <n v="749.7"/>
        <n v="1445.4"/>
        <n v="308.38"/>
        <n v="7020.0"/>
        <n v="381.6"/>
        <n v="868.56"/>
        <n v="987.0"/>
        <n v="302.02"/>
        <n v="3175.2"/>
        <n v="197.34"/>
        <n v="76.13"/>
        <n v="98.7"/>
        <n v="489.41"/>
        <n v="554.49"/>
        <n v="68.43"/>
        <n v="3270.0"/>
        <n v="5009.47"/>
        <n v="4038.38"/>
        <n v="146.45"/>
        <n v="2832.91"/>
        <n v="388.14"/>
        <n v="1312.5"/>
        <n v="1090.8"/>
        <n v="658.0"/>
        <n v="2676.97"/>
        <n v="845.88"/>
        <n v="1979.6"/>
        <n v="4160.0"/>
        <n v="269.46"/>
        <n v="305.81"/>
        <n v="310.91"/>
        <n v="3672.0"/>
        <n v="442.0"/>
        <n v="1343.58"/>
        <n v="962.68"/>
        <n v="969.6"/>
        <n v="1853.38"/>
        <n v="289.52"/>
        <n v="274.45"/>
        <n v="822.4"/>
        <n v="352.46"/>
        <n v="155.15"/>
        <n v="341.54"/>
        <n v="792.0"/>
        <n v="600.18"/>
        <n v="2916.0"/>
        <n v="479.85"/>
        <n v="223.13"/>
        <n v="2753.08"/>
        <n v="455.87"/>
        <n v="33.56"/>
        <n v="1263.96"/>
        <n v="53.35"/>
        <n v="59.84"/>
        <n v="1960.0"/>
        <n v="213.57"/>
        <n v="356.29"/>
        <n v="50.65"/>
        <n v="1526.4"/>
        <n v="169.64"/>
        <n v="568.55"/>
        <n v="65.18"/>
        <n v="4324.76"/>
        <n v="577.8"/>
        <n v="99.43"/>
        <n v="2079.2"/>
        <n v="5300.0"/>
        <n v="1537.0"/>
        <n v="586.79"/>
        <n v="809.1"/>
        <n v="571.2"/>
        <n v="841.46"/>
        <n v="3120.0"/>
        <n v="1030.2"/>
        <n v="430.92"/>
        <n v="935.88"/>
        <n v="29.9"/>
        <n v="2912.0"/>
        <n v="2183.16"/>
        <n v="725.38"/>
        <n v="633.65"/>
        <n v="1539.09"/>
        <n v="2343.2"/>
        <n v="265.1"/>
        <n v="240.22"/>
        <n v="2179.13"/>
        <n v="2671.2"/>
        <n v="2224.74"/>
        <n v="1089.56"/>
        <n v="757.05"/>
        <n v="2528.8"/>
        <n v="1874.25"/>
        <n v="1286.25"/>
        <n v="3850.72"/>
        <n v="293.27"/>
        <n v="2160.0"/>
        <n v="311.38"/>
        <n v="277.79"/>
        <n v="147.9"/>
        <n v="370.39"/>
        <n v="112.92"/>
        <n v="2162.28"/>
        <n v="4813.07"/>
        <n v="164.39"/>
        <n v="215.46"/>
        <n v="2320.0"/>
        <n v="1338.49"/>
        <n v="1236.0"/>
        <n v="6057.98"/>
        <n v="203.83"/>
        <n v="320.36"/>
        <n v="560.98"/>
        <n v="3743.93"/>
        <n v="1587.6"/>
        <n v="109.78"/>
        <n v="275.09"/>
        <n v="335.16"/>
        <n v="96.98"/>
        <n v="4773.6"/>
        <n v="5241.5"/>
        <n v="503.99"/>
        <n v="747.97"/>
        <n v="630.0"/>
        <n v="467.28"/>
        <n v="140.81"/>
        <n v="3243.55"/>
        <n v="67.77"/>
        <n v="1209.6"/>
        <n v="537.74"/>
        <n v="573.78"/>
        <n v="248.98"/>
        <n v="657.24"/>
        <n v="679.64"/>
        <n v="305.9"/>
        <n v="6029.92"/>
        <n v="3402.0"/>
        <n v="581.26"/>
        <n v="2806.92"/>
        <n v="702.24"/>
        <n v="1666.75"/>
        <n v="733.58"/>
        <n v="617.79"/>
        <n v="749.05"/>
        <n v="308.0"/>
        <n v="535.39"/>
        <n v="603.2"/>
        <n v="221.7"/>
        <n v="1287.75"/>
        <n v="804.02"/>
        <n v="492.84"/>
        <n v="2452.8"/>
        <n v="606.0"/>
        <n v="319.0"/>
        <n v="460.09"/>
        <n v="345.98"/>
        <n v="164.5"/>
        <n v="367.65"/>
        <n v="459.9"/>
        <n v="1351.48"/>
        <n v="474.15"/>
        <n v="92.6"/>
        <n v="1820.0"/>
        <n v="398.5"/>
        <n v="193.23"/>
        <n v="93.8"/>
        <n v="624.88"/>
        <n v="5822.34"/>
        <n v="6145.88"/>
        <n v="1817.4"/>
        <n v="609.53"/>
        <n v="304.98"/>
        <n v="189.0"/>
        <n v="770.0"/>
        <n v="331.97"/>
        <n v="2447.43"/>
        <n v="2723.91"/>
        <n v="259.48"/>
        <n v="523.75"/>
        <n v="539.4"/>
        <n v="140.0"/>
        <n v="948.3"/>
        <n v="213.19"/>
        <n v="378.0"/>
        <n v="927.0"/>
        <n v="153.3"/>
        <n v="336.09"/>
        <n v="536.93"/>
        <n v="2121.6"/>
        <n v="164.67"/>
        <n v="909.0"/>
        <n v="604.79"/>
        <n v="94.14"/>
        <n v="761.29"/>
        <n v="886.41"/>
        <n v="1540.0"/>
        <n v="908.84"/>
        <n v="307.23"/>
        <n v="1166.4"/>
        <n v="1020.31"/>
        <n v="275.49"/>
        <n v="1977.8"/>
        <n v="387.88"/>
        <n v="963.0"/>
        <n v="121.99"/>
        <n v="943.95"/>
        <n v="116.39"/>
        <n v="358.61"/>
        <n v="427.03"/>
        <n v="942.9"/>
        <n v="3641.4"/>
        <n v="499.8"/>
        <n v="772.5"/>
        <n v="432.6"/>
        <n v="107.58"/>
        <n v="591.4"/>
        <n v="464.31"/>
        <n v="623.97"/>
        <n v="1926.44"/>
        <n v="692.23"/>
        <n v="1684.15"/>
        <n v="2060.4"/>
        <n v="917.42"/>
        <n v="452.38"/>
        <n v="2429.03"/>
        <n v="928.56"/>
        <n v="45.8"/>
        <n v="526.4"/>
        <n v="1826.37"/>
        <n v="313.09"/>
        <n v="161.2"/>
        <n v="3124.4"/>
        <n v="211.22"/>
        <n v="1483.2"/>
        <n v="329.0"/>
        <n v="301.6"/>
        <n v="608.87"/>
        <n v="452.95"/>
        <n v="1499.4"/>
        <n v="754.49"/>
        <n v="363.6"/>
        <n v="667.06"/>
        <n v="970.06"/>
        <n v="1240.77"/>
        <n v="1334.12"/>
        <n v="988.9"/>
        <n v="267.75"/>
        <n v="211.47"/>
        <n v="925.15"/>
        <n v="2458.35"/>
        <n v="837.17"/>
        <n v="391.61"/>
        <n v="620.39"/>
        <n v="1275.56"/>
        <n v="1235.59"/>
        <n v="309.54"/>
        <n v="244.12"/>
        <n v="135.55"/>
        <n v="296.1"/>
        <n v="353.91"/>
        <n v="288.58"/>
        <n v="415.17"/>
        <n v="3744.0"/>
        <n v="1335.6"/>
        <n v="66.46"/>
        <n v="351.12"/>
        <n v="2650.98"/>
        <n v="987.18"/>
        <n v="150.8"/>
        <n v="1495.94"/>
        <n v="1205.98"/>
        <n v="1112.37"/>
        <n v="586.53"/>
        <n v="2100.0"/>
        <n v="242.4"/>
        <n v="380.33"/>
        <n v="410.59"/>
        <n v="638.1"/>
        <n v="6239.74"/>
        <n v="278.99"/>
        <n v="2527.93"/>
        <n v="4366.32"/>
        <n v="709.13"/>
        <n v="366.79"/>
        <n v="588.0"/>
        <n v="2223.6"/>
        <n v="1592.59"/>
        <n v="1784.29"/>
        <n v="143.22"/>
        <n v="402.99"/>
        <n v="304.44"/>
        <n v="2409.27"/>
        <n v="63.39"/>
        <n v="1070.32"/>
        <n v="1589.47"/>
        <n v="849.87"/>
        <n v="190.8"/>
        <n v="571.78"/>
        <n v="34.55"/>
        <n v="2474.01"/>
        <n v="769.54"/>
        <n v="726.39"/>
        <n v="1322.86"/>
        <n v="2183.38"/>
        <n v="1429.45"/>
        <n v="620.6"/>
        <n v="887.4"/>
        <n v="525.0"/>
        <n v="825.28"/>
        <n v="533.63"/>
        <n v="1379.7"/>
        <n v="1260.06"/>
        <n v="3043.95"/>
        <n v="635.59"/>
        <n v="381.18"/>
        <n v="1604.36"/>
        <n v="574.65"/>
        <n v="720.0"/>
        <n v="610.27"/>
        <n v="769.78"/>
        <n v="587.16"/>
        <n v="1049.58"/>
        <n v="439.35"/>
        <n v="176.23"/>
        <n v="402.94"/>
        <n v="205.59"/>
        <n v="558.6"/>
        <n v="1050.0"/>
        <n v="187.66"/>
        <n v="106.71"/>
        <n v="2623.95"/>
        <n v="2646.0"/>
        <n v="1060.39"/>
        <n v="172.37"/>
        <n v="910.54"/>
        <n v="2287.12"/>
        <n v="87.78"/>
        <n v="99.8"/>
        <n v="587.43"/>
        <n v="2937.6"/>
        <n v="157.19"/>
        <n v="2694.23"/>
        <n v="356.49"/>
        <n v="213.52"/>
        <n v="232.73"/>
        <n v="529.79"/>
        <n v="1122.77"/>
        <n v="821.94"/>
        <n v="302.39"/>
        <n v="2182.8"/>
        <n v="423.08"/>
        <n v="2289.6"/>
        <n v="1203.04"/>
        <n v="3212.08"/>
        <n v="1418.0"/>
        <n v="71.06"/>
        <n v="727.2"/>
        <n v="271.1"/>
        <n v="437.27"/>
        <n v="3617.95"/>
        <n v="391.96"/>
        <n v="5778.0"/>
        <n v="2726.53"/>
        <n v="465.45"/>
        <n v="2456.06"/>
        <n v="469.15"/>
        <n v="311.9"/>
        <n v="559.37"/>
        <n v="1913.34"/>
        <n v="318.05"/>
        <n v="652.69"/>
        <n v="411.18"/>
        <n v="597.19"/>
        <n v="246.58"/>
        <n v="677.74"/>
        <n v="307.4"/>
        <n v="244.71"/>
        <n v="223.34"/>
        <n v="705.59"/>
        <n v="2342.39"/>
        <n v="2575.0"/>
        <n v="1926.0"/>
        <n v="1479.0"/>
        <n v="310.3"/>
        <n v="2548.0"/>
        <n v="741.79"/>
        <n v="1067.26"/>
        <n v="1843.76"/>
        <n v="545.7"/>
        <n v="639.58"/>
        <n v="2399.2"/>
        <n v="479.71"/>
        <n v="561.6"/>
        <n v="330.16"/>
        <n v="732.25"/>
        <n v="373.38"/>
        <n v="2211.94"/>
        <n v="3143.8"/>
        <n v="1375.0"/>
        <n v="1449.5"/>
        <n v="5452.18"/>
        <n v="96.61"/>
        <n v="635.79"/>
        <n v="652.5"/>
        <n v="100.8"/>
        <n v="2212.7"/>
        <n v="3030.0"/>
        <n v="3434.4"/>
        <n v="59.29"/>
        <n v="2336.0"/>
        <n v="85.85"/>
        <n v="348.74"/>
        <n v="2246.4"/>
        <n v="263.2"/>
        <n v="1107.77"/>
        <n v="4099.19"/>
        <n v="697.48"/>
        <n v="711.98"/>
        <n v="492.45"/>
        <n v="550.99"/>
        <n v="186.99"/>
        <n v="561.38"/>
        <n v="132.09"/>
        <n v="6297.9"/>
        <n v="783.93"/>
        <n v="2110.47"/>
        <n v="846.16"/>
        <n v="559.73"/>
        <n v="529.2"/>
        <n v="2570.4"/>
        <n v="776.74"/>
        <n v="183.4"/>
        <n v="2639.12"/>
        <n v="1438.4"/>
        <n v="1346.7"/>
        <n v="2180.65"/>
        <n v="934.96"/>
        <n v="1100.33"/>
        <n v="195.09"/>
        <n v="263.12"/>
        <n v="1374.45"/>
        <n v="1550.97"/>
        <n v="930.58"/>
        <n v="144.76"/>
        <n v="148.62"/>
        <n v="947.97"/>
        <n v="2339.1"/>
        <n v="49.9"/>
        <n v="1027.94"/>
        <n v="2225.26"/>
        <n v="887.18"/>
        <n v="1160.0"/>
        <n v="1544.38"/>
        <n v="2673.93"/>
        <n v="1910.27"/>
        <n v="893.34"/>
        <n v="2307.2"/>
        <n v="915.96"/>
        <n v="1059.58"/>
        <n v="142.9"/>
        <n v="1211.6"/>
        <n v="6000.0"/>
        <n v="220.19"/>
        <n v="202.61"/>
        <n v="1274.76"/>
        <n v="326.35"/>
        <n v="146.0"/>
        <n v="577.32"/>
        <n v="901.0"/>
        <n v="398.86"/>
        <n v="342.16"/>
        <n v="262.5"/>
        <n v="576.8"/>
        <n v="435.0"/>
        <n v="325.91"/>
        <n v="2780.93"/>
        <n v="30.2"/>
        <n v="296.67"/>
        <n v="217.56"/>
        <n v="775.66"/>
        <n v="1025.15"/>
        <n v="770.44"/>
        <n v="278.32"/>
        <n v="230.3"/>
        <n v="6597.8"/>
        <n v="1999.14"/>
        <n v="3150.0"/>
        <n v="1325.0"/>
        <n v="431.14"/>
        <n v="805.98"/>
        <n v="566.58"/>
        <n v="1715.29"/>
        <n v="5740.02"/>
        <n v="390.21"/>
        <n v="787.95"/>
        <n v="349.3"/>
        <n v="335.58"/>
        <n v="3757.1"/>
        <n v="2474.5"/>
        <n v="4860.0"/>
        <n v="535.5"/>
        <n v="1361.96"/>
        <n v="1747.2"/>
        <n v="1443.29"/>
        <n v="1545.86"/>
        <n v="171.29"/>
        <n v="4618.68"/>
        <n v="713.8"/>
        <n v="933.01"/>
        <n v="672.6"/>
        <n v="1962.0"/>
        <n v="51.8"/>
        <n v="580.0"/>
        <n v="133.12"/>
        <n v="61.59"/>
        <n v="935.0"/>
        <n v="198.81"/>
        <n v="66.56"/>
        <n v="916.98"/>
        <n v="194.18"/>
        <n v="338.87"/>
        <n v="616.0"/>
        <n v="1923.86"/>
        <n v="1364.48"/>
        <n v="2519.16"/>
        <n v="192.39"/>
        <n v="5855.98"/>
        <n v="530.2"/>
        <n v="1069.57"/>
        <n v="102.65"/>
        <n v="1221.79"/>
        <n v="617.92"/>
        <n v="152.57"/>
        <n v="99.63"/>
        <n v="689.47"/>
        <n v="765.5"/>
        <n v="1194.8"/>
        <n v="1070.79"/>
        <n v="190.11"/>
        <n v="3998.4"/>
        <n v="528.94"/>
        <n v="77.58"/>
        <n v="2870.01"/>
        <n v="764.69"/>
        <n v="1926.1"/>
        <n v="319.79"/>
        <n v="3101.93"/>
        <n v="718.2"/>
        <n v="90.8"/>
        <n v="1872.5"/>
        <n v="5561.86"/>
        <n v="3722.32"/>
        <n v="1091.58"/>
        <n v="624.0"/>
        <n v="1188.93"/>
        <n v="3139.2"/>
        <n v="466.14"/>
        <n v="1684.8"/>
        <n v="1028.5"/>
        <n v="153.7"/>
        <n v="187.26"/>
        <n v="1297.8"/>
        <n v="5146.02"/>
        <n v="142.13"/>
        <n v="5278.24"/>
        <n v="385.0"/>
        <n v="316.87"/>
        <n v="65.8"/>
        <n v="755.48"/>
        <n v="556.2"/>
        <n v="249.9"/>
        <n v="550.19"/>
        <n v="3531.6"/>
        <n v="3271.32"/>
        <n v="5613.84"/>
        <n v="55.45"/>
        <n v="373.98"/>
        <n v="378.95"/>
        <n v="830.34"/>
        <n v="614.8"/>
        <n v="4283.15"/>
        <n v="2429.44"/>
        <n v="72.0"/>
        <n v="185.54"/>
        <n v="296.33"/>
        <n v="2125.76"/>
        <n v="1300.5"/>
        <n v="111.89"/>
        <n v="99.76"/>
        <n v="659.78"/>
        <n v="2620.8"/>
        <n v="51.4"/>
        <n v="271.95"/>
        <n v="1177.5"/>
        <n v="4731.17"/>
        <n v="95.68"/>
        <n v="1118.4"/>
        <n v="439.12"/>
        <n v="559.2"/>
        <n v="604.04"/>
        <n v="282.8"/>
        <n v="504.8"/>
        <n v="1907.36"/>
        <n v="1097.8"/>
        <n v="2479.45"/>
        <n v="103.6"/>
        <n v="1905.88"/>
        <n v="165.98"/>
        <n v="1171.2"/>
        <n v="740.78"/>
        <n v="581.3"/>
        <n v="755.92"/>
        <n v="599.8"/>
        <n v="508.98"/>
        <n v="1559.8"/>
        <n v="568.51"/>
        <n v="684.6"/>
        <n v="761.47"/>
        <n v="5339.47"/>
        <n v="244.5"/>
        <n v="467.5"/>
        <n v="322.39"/>
        <n v="89.25"/>
        <n v="556.19"/>
        <n v="5913.96"/>
        <n v="373.57"/>
        <n v="290.0"/>
        <n v="2159.14"/>
        <n v="1050.6"/>
        <n v="3014.96"/>
        <n v="754.0"/>
        <n v="335.99"/>
        <n v="1879.2"/>
        <n v="3058.98"/>
        <n v="195.98"/>
        <n v="1318.05"/>
        <n v="591.6"/>
        <n v="257.7"/>
        <n v="1515.0"/>
        <n v="142.8"/>
        <n v="1555.2"/>
        <n v="1310.83"/>
        <n v="138.18"/>
        <n v="341.43"/>
        <n v="644.78"/>
        <n v="5942.9"/>
        <n v="408.97"/>
        <n v="212.7"/>
        <n v="380.63"/>
        <n v="293.97"/>
        <n v="2733.12"/>
        <n v="610.89"/>
        <n v="1060.2"/>
        <n v="732.56"/>
        <n v="2001.23"/>
        <n v="254.49"/>
        <n v="4498.2"/>
        <n v="1785.0"/>
        <n v="85.39"/>
        <n v="513.6"/>
        <n v="139.5"/>
        <n v="592.92"/>
        <n v="3513.59"/>
        <n v="1752.0"/>
        <n v="186.46"/>
        <n v="5710.37"/>
        <n v="3924.0"/>
        <n v="1652.96"/>
        <n v="323.35"/>
        <n v="2908.8"/>
        <n v="1390.47"/>
        <n v="6540.0"/>
        <n v="185.3"/>
        <n v="626.18"/>
        <n v="419.16"/>
        <n v="2478.6"/>
        <n v="1396.35"/>
        <n v="315.36"/>
        <n v="689.15"/>
        <n v="726.96"/>
        <n v="416.93"/>
        <n v="182.99"/>
        <n v="54.39"/>
        <n v="166.28"/>
        <n v="1295.95"/>
        <n v="1214.72"/>
        <n v="2423.19"/>
        <n v="67.12"/>
        <n v="2311.2"/>
        <n v="127.2"/>
        <n v="284.21"/>
        <n v="188.37"/>
        <n v="307.97"/>
        <n v="1019.2"/>
        <n v="825.44"/>
        <n v="888.41"/>
        <n v="1373.4"/>
        <n v="5094.54"/>
        <n v="74.2"/>
        <n v="2363.85"/>
        <n v="570.38"/>
        <n v="259.0"/>
        <n v="307.94"/>
        <n v="935.96"/>
        <n v="1809.6"/>
        <n v="259.9"/>
        <n v="540.59"/>
        <n v="343.6"/>
        <n v="5830.06"/>
        <n v="454.0"/>
        <n v="1173.58"/>
        <n v="952.09"/>
        <n v="188.79"/>
        <n v="173.96"/>
        <n v="566.61"/>
        <n v="1605.0"/>
        <n v="1037.32"/>
        <n v="437.75"/>
        <n v="571.6"/>
        <n v="1440.0"/>
        <n v="85.0"/>
        <n v="954.0"/>
        <n v="296.06"/>
        <n v="3638.54"/>
        <n v="449.5"/>
        <n v="2119.15"/>
        <n v="608.79"/>
        <n v="628.74"/>
        <n v="2183.27"/>
        <n v="5670.29"/>
        <n v="970.92"/>
        <n v="480.0"/>
        <n v="1249.5"/>
        <n v="6300.32"/>
        <n v="135.75"/>
        <n v="377.58"/>
        <n v="931.1"/>
        <n v="4240.6"/>
        <n v="1175.89"/>
        <n v="592.12"/>
        <n v="515.1"/>
        <n v="961.07"/>
        <n v="1514.39"/>
        <n v="503.98"/>
        <n v="518.34"/>
        <n v="898.2"/>
        <n v="311.52"/>
        <n v="1181.69"/>
        <n v="257.55"/>
        <n v="520.0"/>
        <n v="585.6"/>
        <n v="626.4"/>
        <n v="280.89"/>
        <n v="717.22"/>
        <n v="279.86"/>
        <n v="181.8"/>
        <n v="651.17"/>
        <n v="859.0"/>
        <n v="775.07"/>
        <n v="1299.5"/>
        <n v="1296.36"/>
        <n v="1937.68"/>
        <n v="270.59"/>
        <n v="373.97"/>
        <n v="184.63"/>
        <n v="4139.77"/>
        <n v="2080.0"/>
        <n v="1969.48"/>
        <n v="5290.49"/>
        <n v="852.82"/>
        <n v="514.25"/>
        <n v="2835.0"/>
        <n v="2245.54"/>
        <n v="822.35"/>
        <n v="244.76"/>
        <n v="410.97"/>
        <n v="1116.5"/>
        <n v="203.49"/>
        <n v="354.5"/>
        <n v="386.41"/>
        <n v="1683.0"/>
        <n v="566.37"/>
        <n v="290.47"/>
        <n v="960.0"/>
        <n v="3118.96"/>
        <n v="2172.1"/>
        <n v="124.49"/>
        <n v="3149.99"/>
        <n v="5088.72"/>
        <n v="268.46"/>
        <n v="707.0"/>
        <n v="576.45"/>
        <n v="260.95"/>
        <n v="129.28"/>
        <n v="544.78"/>
        <n v="329.34"/>
        <n v="3674.99"/>
        <n v="158.51"/>
        <n v="407.18"/>
        <n v="69.75"/>
        <n v="381.48"/>
        <n v="122.4"/>
        <n v="3533.59"/>
        <n v="6060.0"/>
        <n v="1584.0"/>
        <n v="3564.0"/>
        <n v="1699.75"/>
        <n v="605.8"/>
        <n v="282.56"/>
        <n v="1818.0"/>
        <n v="1963.5"/>
        <n v="1365.63"/>
        <n v="1264.4"/>
        <n v="269.1"/>
        <n v="403.19"/>
        <n v="924.0"/>
        <n v="143.51"/>
        <n v="1808.98"/>
        <n v="693.77"/>
        <n v="1035.3"/>
        <n v="3058.78"/>
        <n v="2406.54"/>
        <n v="475.94"/>
        <n v="164.7"/>
        <n v="91.6"/>
        <n v="1285.2"/>
        <n v="3159.91"/>
        <n v="2340.9"/>
        <n v="2097.2"/>
        <n v="961.93"/>
        <n v="70.41"/>
        <n v="925.97"/>
        <n v="998.4"/>
        <n v="1492.99"/>
        <n v="636.0"/>
        <n v="934.13"/>
        <n v="4912.11"/>
        <n v="3181.18"/>
        <n v="5182.27"/>
        <n v="3036.8"/>
        <n v="887.09"/>
        <n v="1533.0"/>
        <n v="1717.2"/>
        <n v="1323.0"/>
        <n v="399.35"/>
        <n v="2871.0"/>
        <n v="714.5"/>
        <n v="180.39"/>
        <n v="355.32"/>
        <n v="1518.4"/>
        <n v="2808.0"/>
        <n v="1623.51"/>
        <n v="1512.0"/>
        <n v="526.68"/>
        <n v="285.25"/>
        <n v="140.25"/>
        <n v="418.49"/>
        <n v="4238.3"/>
        <n v="1511.57"/>
        <n v="1735.18"/>
        <n v="4194.4"/>
        <n v="1819.27"/>
        <n v="179.52"/>
        <n v="554.26"/>
        <n v="3677.1"/>
        <n v="1590.59"/>
        <n v="866.75"/>
        <n v="391.99"/>
        <n v="1377.47"/>
        <n v="899.0"/>
        <n v="1835.05"/>
        <n v="131.6"/>
        <n v="171.8"/>
        <n v="286.89"/>
        <n v="2754.94"/>
        <n v="215.16"/>
        <n v="1442.0"/>
        <n v="276.36"/>
        <n v="362.6"/>
        <n v="217.14"/>
        <n v="3598.8"/>
        <n v="483.63"/>
        <n v="304.4"/>
        <n v="5561.24"/>
        <n v="1564.77"/>
        <n v="98.78"/>
        <n v="577.16"/>
        <n v="480.54"/>
        <n v="1403.46"/>
        <n v="258.55"/>
        <n v="811.76"/>
        <n v="279.68"/>
        <n v="5301.96"/>
        <n v="474.42"/>
        <n v="430.98"/>
        <n v="4574.24"/>
        <n v="1833.96"/>
        <n v="1764.0"/>
        <n v="3430.0"/>
        <n v="170.94"/>
        <n v="42.29"/>
        <n v="1516.13"/>
        <n v="806.62"/>
        <n v="1212.0"/>
        <n v="987.78"/>
        <n v="1038.8"/>
        <n v="814.37"/>
        <n v="810.89"/>
        <n v="414.96"/>
        <n v="670.32"/>
        <n v="1423.44"/>
        <n v="1060.8"/>
        <n v="979.91"/>
        <n v="981.75"/>
        <n v="292.9"/>
        <n v="666.32"/>
        <n v="486.2"/>
        <n v="120.78"/>
        <n v="373.75"/>
        <n v="795.29"/>
        <n v="1055.6"/>
        <n v="399.67"/>
        <n v="438.9"/>
        <n v="262.65"/>
        <n v="640.55"/>
        <n v="869.82"/>
        <n v="631.98"/>
        <n v="522.73"/>
        <n v="447.98"/>
        <n v="274.79"/>
        <n v="293.4"/>
        <n v="1123.57"/>
        <n v="791.66"/>
        <n v="391.19"/>
        <n v="1176.0"/>
        <n v="763.2"/>
        <n v="279.3"/>
        <n v="4958.89"/>
        <n v="6261.84"/>
        <n v="705.13"/>
        <n v="1680.0"/>
        <n v="388.96"/>
        <n v="548.4"/>
        <n v="285.88"/>
        <n v="5717.8"/>
        <n v="345.87"/>
        <n v="183.19"/>
        <n v="6102.26"/>
        <n v="54.89"/>
        <n v="187.0"/>
        <n v="84.59"/>
        <n v="305.39"/>
        <n v="4383.29"/>
        <n v="485.03"/>
        <n v="5047.0"/>
        <n v="167.58"/>
        <n v="1470.61"/>
        <n v="712.98"/>
        <n v="3118.8"/>
        <n v="2520.0"/>
        <n v="504.7"/>
        <n v="363.27"/>
        <n v="131.56"/>
        <n v="544.79"/>
        <n v="725.0"/>
        <n v="945.0"/>
        <n v="2080.62"/>
        <n v="1907.5"/>
        <n v="657.8"/>
        <n v="1414.0"/>
        <n v="443.59"/>
        <n v="152.25"/>
        <n v="50.4"/>
        <n v="197.78"/>
        <n v="587.95"/>
        <n v="198.22"/>
        <n v="1101.98"/>
        <n v="938.0"/>
        <n v="533.93"/>
        <n v="1524.7"/>
        <n v="230.55"/>
        <n v="163.17"/>
        <n v="622.75"/>
        <n v="1310.4"/>
        <n v="6357.88"/>
        <n v="391.09"/>
        <n v="881.92"/>
        <n v="154.0"/>
        <n v="748.0"/>
        <n v="1815.98"/>
        <n v="2141.58"/>
        <n v="139.71"/>
        <n v="350.47"/>
        <n v="952.94"/>
        <n v="190.59"/>
      </sharedItems>
    </cacheField>
    <cacheField name="Peso Mexicano" numFmtId="164">
      <sharedItems containsSemiMixedTypes="0" containsString="0" containsNumber="1">
        <n v="6648.7103099999995"/>
        <n v="9758.9016"/>
        <n v="24246.49514"/>
        <n v="8420.38169"/>
        <n v="1029.3929099999998"/>
        <n v="2393.93384"/>
        <n v="6042.447719999999"/>
        <n v="1736.7841899999999"/>
        <n v="3062.4294699999996"/>
        <n v="19646.209799999997"/>
        <n v="2873.2165699999996"/>
        <n v="6266.61575"/>
        <n v="3227.4897"/>
        <n v="1739.16209"/>
        <n v="1427.2495499999998"/>
        <n v="3023.36397"/>
        <n v="3930.6686999999993"/>
        <n v="1830.7112399999999"/>
        <n v="30257.18091"/>
        <n v="14180.98032"/>
        <n v="16396.77548"/>
        <n v="2138.71723"/>
        <n v="15408.792"/>
        <n v="1609.3627199999999"/>
        <n v="9389.10418"/>
        <n v="5028.88483"/>
        <n v="4245.12899"/>
        <n v="6781.56698"/>
        <n v="6698.95194"/>
        <n v="13574.411999999998"/>
        <n v="8218.022399999998"/>
        <n v="7498.232069999999"/>
        <n v="16027.419669999997"/>
        <n v="1285.25495"/>
        <n v="7302.63281"/>
        <n v="3078.32743"/>
        <n v="8866.17"/>
        <n v="1902.9994000000002"/>
        <n v="13207.536"/>
        <n v="22420.199999999997"/>
        <n v="4281.71468"/>
        <n v="19015.59072"/>
        <n v="25426.95264"/>
        <n v="6962.898839999999"/>
        <n v="4208.5433"/>
        <n v="3441.29688"/>
        <n v="3871.01738"/>
        <n v="4876.3935"/>
        <n v="17120.879999999997"/>
        <n v="22616.478659999997"/>
        <n v="2237.5359599999997"/>
        <n v="26817.072979999997"/>
        <n v="2436.2264899999996"/>
        <n v="9046.34688"/>
        <n v="4255.7616"/>
        <n v="5301.76584"/>
        <n v="5405.40831"/>
        <n v="1229.3743"/>
        <n v="18425.327999999998"/>
        <n v="24603.07823"/>
        <n v="4649.8135999999995"/>
        <n v="5516.728"/>
        <n v="5848.10535"/>
        <n v="9137.08075"/>
        <n v="3111.44818"/>
        <n v="4421.26344"/>
        <n v="11205.61596"/>
        <n v="3830.9327799999996"/>
        <n v="751.04273"/>
        <n v="4068.2471999999993"/>
        <n v="20798.302349999998"/>
        <n v="3664.6836"/>
        <n v="2391.5899099999997"/>
        <n v="1960.1369399999999"/>
        <n v="3339.5906999999997"/>
        <n v="5861.523499999999"/>
        <n v="4531.598"/>
        <n v="2981.8866"/>
        <n v="20503.54466"/>
        <n v="4513.4919899999995"/>
        <n v="29929.64217"/>
        <n v="17266.84909"/>
        <n v="3569.09202"/>
        <n v="5102.49782"/>
        <n v="8062.30392"/>
        <n v="2033.88581"/>
        <n v="5692.692599999999"/>
        <n v="8902.517899999999"/>
        <n v="12395.652999999998"/>
        <n v="3961.1737599999997"/>
        <n v="3196.7468499999995"/>
        <n v="1837.9128799999999"/>
        <n v="1318.78334"/>
        <n v="5382.070919999999"/>
        <n v="12327.0336"/>
        <n v="6726.0599999999995"/>
        <n v="2683.6979399999996"/>
        <n v="10033.61699"/>
        <n v="2930.99954"/>
        <n v="2537.3212099999996"/>
        <n v="3660.6071999999995"/>
        <n v="28366.95423"/>
        <n v="30051.424619999994"/>
        <n v="13696.704"/>
        <n v="2752.86086"/>
        <n v="4200.458439999999"/>
        <n v="11006.279999999999"/>
        <n v="3310.0368"/>
        <n v="23769.4884"/>
        <n v="7422.47897"/>
        <n v="23076.500399999997"/>
        <n v="3098.9132499999996"/>
        <n v="6936.402239999999"/>
        <n v="3860.45271"/>
        <n v="23700.189599999998"/>
        <n v="3600.4123600000003"/>
        <n v="24196.28748"/>
        <n v="12224.308319999998"/>
        <n v="2011.0919399999998"/>
        <n v="7031.79"/>
        <n v="1779.07684"/>
        <n v="4612.378659999999"/>
        <n v="13863.90434"/>
        <n v="18911.30282"/>
        <n v="7900.0632"/>
        <n v="4836.6485999999995"/>
        <n v="4571.003199999999"/>
        <n v="8688.8466"/>
        <n v="10180.809"/>
        <n v="10822.841999999999"/>
        <n v="26936.68135"/>
        <n v="15494.56625"/>
        <n v="1039.482"/>
        <n v="1439.85242"/>
        <n v="9070.091910000001"/>
        <n v="16386.244779999997"/>
        <n v="2313.45891"/>
        <n v="2352.1507399999996"/>
        <n v="2196.3643199999997"/>
        <n v="3898.7369"/>
        <n v="6536.37152"/>
        <n v="10261.11408"/>
        <n v="20171.45394"/>
        <n v="2278.23202"/>
        <n v="2605.1593"/>
        <n v="12195.128089999998"/>
        <n v="9564.83099"/>
        <n v="3061.78404"/>
        <n v="4829.752689999999"/>
        <n v="24489.04094"/>
        <n v="6154.3449"/>
        <n v="4019.3304"/>
        <n v="3118.446"/>
        <n v="7432.2963"/>
        <n v="12265.8876"/>
        <n v="2212.8737399999995"/>
        <n v="3243.25178"/>
        <n v="4850.915999999999"/>
        <n v="2962.5236999999997"/>
        <n v="2406.0611299999996"/>
        <n v="14025.601539999998"/>
        <n v="2602.37376"/>
        <n v="3440.00602"/>
        <n v="10414.182899999998"/>
        <n v="2399.06331"/>
        <n v="2581.68603"/>
        <n v="9930.1104"/>
        <n v="22847.13496"/>
        <n v="30045.955449999998"/>
        <n v="3661.4224799999997"/>
        <n v="8334.40362"/>
        <n v="15891.845399999998"/>
        <n v="8257.7673"/>
        <n v="26827.8075"/>
        <n v="4554.15408"/>
        <n v="3855.7648499999996"/>
        <n v="31109.52218"/>
        <n v="1341.8489699999998"/>
        <n v="3500.37071"/>
        <n v="3447.85309"/>
        <n v="7314.590249999999"/>
        <n v="2084.2293499999996"/>
        <n v="14067.656399999998"/>
        <n v="8584.898399999998"/>
        <n v="4238.912479999999"/>
        <n v="5045.05455"/>
        <n v="4464.711069999999"/>
        <n v="5570.332659999999"/>
        <n v="12815.38632"/>
        <n v="25039.287"/>
        <n v="13905.14392"/>
        <n v="3915.68793"/>
        <n v="18907.973759999997"/>
        <n v="31907.205719999998"/>
        <n v="4745.77885"/>
        <n v="2559.57156"/>
        <n v="21012.55114"/>
        <n v="10547.685"/>
        <n v="13936.634109999999"/>
        <n v="671.38308"/>
        <n v="16544.477039999998"/>
        <n v="2298.5460799999996"/>
        <n v="1670.9842999999998"/>
        <n v="833.45395"/>
        <n v="1604.81074"/>
        <n v="726.8221199999999"/>
        <n v="1071.92335"/>
        <n v="1293.67951"/>
        <n v="1572.2674799999998"/>
        <n v="8130.10804"/>
        <n v="1418.5872"/>
        <n v="2419.41134"/>
        <n v="5050.6596"/>
        <n v="9137.828089999999"/>
        <n v="4807.604249999999"/>
        <n v="4262.35178"/>
        <n v="564.4794899999999"/>
        <n v="417.76306"/>
        <n v="522.39066"/>
        <n v="31393.307559999997"/>
        <n v="2067.82184"/>
        <n v="2015.57598"/>
        <n v="1743.6800999999998"/>
        <n v="4751.044199999999"/>
        <n v="195.3275"/>
        <n v="4236.059"/>
        <n v="5359.27705"/>
        <n v="389.87368999999995"/>
        <n v="3587.232"/>
        <n v="1752.41039"/>
        <n v="8211.02458"/>
        <n v="3481.4494199999995"/>
        <n v="9212.663999999999"/>
        <n v="7979.553"/>
        <n v="1669.7953499999999"/>
        <n v="385.38964999999996"/>
        <n v="17639.9416"/>
        <n v="9296.434019999999"/>
        <n v="5879.96921"/>
        <n v="1081.6047999999998"/>
        <n v="6114.599999999999"/>
        <n v="15846.3256"/>
        <n v="8246.5572"/>
        <n v="5762.12728"/>
        <n v="3511.41096"/>
        <n v="12289.700569999999"/>
        <n v="7776.68416"/>
        <n v="1063.97437"/>
        <n v="30318.225"/>
        <n v="8429.791379999999"/>
        <n v="1599.51142"/>
        <n v="14136.9552"/>
        <n v="1173.49365"/>
        <n v="805.36076"/>
        <n v="1847.6622699999998"/>
        <n v="570.66203"/>
        <n v="451.52923999999996"/>
        <n v="4610.4084"/>
        <n v="3110.2932"/>
        <n v="11318.4643"/>
        <n v="2443.1224"/>
        <n v="8114.68566"/>
        <n v="4401.051289999999"/>
        <n v="9161.708999999999"/>
        <n v="1056.3311199999998"/>
        <n v="916.1709"/>
        <n v="2781.08993"/>
        <n v="2780.61435"/>
        <n v="4708.241999999999"/>
        <n v="5043.5259"/>
        <n v="11009.575089999998"/>
        <n v="1695.1029999999998"/>
        <n v="5936.80102"/>
        <n v="1830.3035999999997"/>
        <n v="6420.33"/>
        <n v="352.16699"/>
        <n v="507.34194999999994"/>
        <n v="2617.0487999999996"/>
        <n v="19254.569669999997"/>
        <n v="1087.4476399999999"/>
        <n v="326.75743"/>
        <n v="820.6812299999999"/>
        <n v="1370.04407"/>
        <n v="12969.0666"/>
        <n v="1487.886"/>
        <n v="1304.04036"/>
        <n v="3486.9525599999997"/>
        <n v="6026.92343"/>
        <n v="3811.26415"/>
        <n v="2068.7729999999997"/>
        <n v="18554.7537"/>
        <n v="359.36863"/>
        <n v="3849.34452"/>
        <n v="1464.07303"/>
        <n v="457.57589999999993"/>
        <n v="9270.243149999998"/>
        <n v="5243.269499999999"/>
        <n v="2769.81189"/>
        <n v="2610.5944999999997"/>
        <n v="3879.17018"/>
        <n v="12861.008029999999"/>
        <n v="14200.682919999997"/>
        <n v="5418.214999999999"/>
        <n v="16527.526009999998"/>
        <n v="23871.33046"/>
        <n v="323.36042999999995"/>
        <n v="246.24852999999996"/>
        <n v="1280.8728199999998"/>
        <n v="372.9906"/>
        <n v="4032.9184"/>
        <n v="773.1232299999999"/>
        <n v="414.73973"/>
        <n v="2737.5403899999997"/>
        <n v="1867.6026599999998"/>
        <n v="1507.2488999999998"/>
        <n v="6791.2824"/>
        <n v="14302.66086"/>
        <n v="581.15876"/>
        <n v="1461.8310099999999"/>
        <n v="470.72228999999993"/>
        <n v="2087.76223"/>
        <n v="5539.28408"/>
        <n v="7470.410639999999"/>
        <n v="8009.6164499999995"/>
        <n v="12840.66"/>
        <n v="12836.37978"/>
        <n v="2558.21276"/>
        <n v="5304.95902"/>
        <n v="925.3427999999999"/>
        <n v="3593.61836"/>
        <n v="459.10455"/>
        <n v="3737.7191"/>
        <n v="2371.71746"/>
        <n v="6349.43461"/>
        <n v="115.12433"/>
        <n v="5350.24103"/>
        <n v="670.5678"/>
        <n v="2489.21969"/>
        <n v="1423.75064"/>
        <n v="2401.20342"/>
        <n v="2391.6918199999996"/>
        <n v="18540.486299999997"/>
        <n v="4787.7318000000005"/>
        <n v="6173.67383"/>
        <n v="16952.184979999998"/>
        <n v="3102.10643"/>
        <n v="3742.1351999999993"/>
        <n v="4529.8994999999995"/>
        <n v="631.1626"/>
        <n v="808.3840899999999"/>
        <n v="487.26568"/>
        <n v="549.02314"/>
        <n v="8657.83199"/>
        <n v="118.45338999999998"/>
        <n v="996.4080399999999"/>
        <n v="697.4041"/>
        <n v="2279.93052"/>
        <n v="2155.8041399999997"/>
        <n v="1067.91489"/>
        <n v="1274.5544"/>
        <n v="2887.1782399999997"/>
        <n v="2381.09318"/>
        <n v="213.29763"/>
        <n v="21621.225599999998"/>
        <n v="243.63284"/>
        <n v="6060.18006"/>
        <n v="7568.38012"/>
        <n v="1989.9625999999998"/>
        <n v="3818.9074"/>
        <n v="1061.3586799999998"/>
        <n v="753.6244499999999"/>
        <n v="13225.5401"/>
        <n v="345.50886999999994"/>
        <n v="991.924"/>
        <n v="494.60319999999996"/>
        <n v="1779.85815"/>
        <n v="9711.6833"/>
        <n v="3103.1594999999998"/>
        <n v="1694.3556599999997"/>
        <n v="733.71803"/>
        <n v="8661.05914"/>
        <n v="2043.3634399999999"/>
        <n v="2017.818"/>
        <n v="5878.1688"/>
        <n v="6011.53502"/>
        <n v="3600.8199999999997"/>
        <n v="1381.3560799999998"/>
        <n v="3068.4761299999996"/>
        <n v="145.83320999999998"/>
        <n v="16789.16295"/>
        <n v="1833.6326599999998"/>
        <n v="7939.8081"/>
        <n v="895.4492"/>
        <n v="1116.86566"/>
        <n v="1017.0617999999998"/>
        <n v="6322.36052"/>
        <n v="19811.304"/>
        <n v="1879.1524599999998"/>
        <n v="6502.8771"/>
        <n v="3701.3372299999996"/>
        <n v="9181.955119999999"/>
        <n v="3767.20506"/>
        <n v="4974.9065"/>
        <n v="2888.8427699999997"/>
        <n v="9217.62362"/>
        <n v="2834.0491599999996"/>
        <n v="1043.86413"/>
        <n v="13859.759999999998"/>
        <n v="10493.23109"/>
        <n v="2155.09077"/>
        <n v="7565.28885"/>
        <n v="1705.4638499999999"/>
        <n v="775.8068599999999"/>
        <n v="1181.91821"/>
        <n v="1161.36636"/>
        <n v="794.0487499999999"/>
        <n v="1228.3212299999998"/>
        <n v="300.56656"/>
        <n v="3661.966"/>
        <n v="2054.5055999999995"/>
        <n v="7048.605149999999"/>
        <n v="6174.69293"/>
        <n v="9572.16851"/>
        <n v="1827.3142399999997"/>
        <n v="8508.601779999999"/>
        <n v="738.71162"/>
        <n v="1625.2606799999999"/>
        <n v="5353.3323"/>
        <n v="1078.07192"/>
        <n v="4166.93005"/>
        <n v="27006.149999999998"/>
        <n v="2956.2732199999996"/>
        <n v="305.3903"/>
        <n v="3358.9536"/>
        <n v="9436.560269999998"/>
        <n v="2546.7309"/>
        <n v="4910.0238"/>
        <n v="1047.56686"/>
        <n v="23846.94"/>
        <n v="1296.2952"/>
        <n v="2950.4983199999997"/>
        <n v="3352.839"/>
        <n v="1025.96194"/>
        <n v="10786.1544"/>
        <n v="670.36398"/>
        <n v="258.61361"/>
        <n v="335.2839"/>
        <n v="1662.52577"/>
        <n v="1883.60253"/>
        <n v="232.45671000000002"/>
        <n v="11108.189999999999"/>
        <n v="17017.16959"/>
        <n v="13718.37686"/>
        <n v="497.49064999999996"/>
        <n v="9623.395269999999"/>
        <n v="1318.5115799999999"/>
        <n v="4458.5625"/>
        <n v="3705.4475999999995"/>
        <n v="2235.2259999999997"/>
        <n v="9093.667089999999"/>
        <n v="2873.4543599999997"/>
        <n v="6724.7011999999995"/>
        <n v="14131.519999999999"/>
        <n v="915.3556199999999"/>
        <n v="1038.83657"/>
        <n v="1056.16127"/>
        <n v="12473.784"/>
        <n v="1501.474"/>
        <n v="4564.141259999999"/>
        <n v="3270.22396"/>
        <n v="3293.7311999999997"/>
        <n v="6295.93186"/>
        <n v="983.4994399999999"/>
        <n v="932.3066499999999"/>
        <n v="2793.6928"/>
        <n v="1197.3066199999998"/>
        <n v="527.04455"/>
        <n v="1160.21138"/>
        <n v="2690.424"/>
        <n v="2038.8114599999997"/>
        <n v="9905.652"/>
        <n v="1630.05045"/>
        <n v="757.9726099999999"/>
        <n v="9352.212759999999"/>
        <n v="1548.5903899999998"/>
        <n v="114.00332"/>
        <n v="4293.67212"/>
        <n v="181.22995"/>
        <n v="203.27648"/>
        <n v="6658.12"/>
        <n v="725.4972899999999"/>
        <n v="1210.31713"/>
        <n v="172.05804999999998"/>
        <n v="5185.1808"/>
        <n v="576.26708"/>
        <n v="1931.3643499999998"/>
        <n v="221.41646"/>
        <n v="14691.20972"/>
        <n v="1962.7865999999997"/>
        <n v="337.76371"/>
        <n v="7063.042399999999"/>
        <n v="18004.1"/>
        <n v="5221.188999999999"/>
        <n v="1993.3256299999998"/>
        <n v="2748.5126999999998"/>
        <n v="1940.3664"/>
        <n v="2858.43962"/>
        <n v="10598.64"/>
        <n v="3499.5894"/>
        <n v="1463.8352399999999"/>
        <n v="3179.1843599999997"/>
        <n v="101.57029999999999"/>
        <n v="9892.064"/>
        <n v="7416.194519999999"/>
        <n v="2464.11586"/>
        <n v="2152.5090499999997"/>
        <n v="5228.288729999999"/>
        <n v="7959.850399999999"/>
        <n v="900.5447"/>
        <n v="816.02734"/>
        <n v="7402.50461"/>
        <n v="9074.0664"/>
        <n v="7557.441779999999"/>
        <n v="3701.23532"/>
        <n v="2571.6988499999998"/>
        <n v="8590.3336"/>
        <n v="6366.827249999999"/>
        <n v="4369.39125"/>
        <n v="13080.89584"/>
        <n v="996.2381899999999"/>
        <n v="7337.5199999999995"/>
        <n v="1057.75786"/>
        <n v="943.65263"/>
        <n v="502.4163"/>
        <n v="1258.21483"/>
        <n v="383.58923999999996"/>
        <n v="7345.26516"/>
        <n v="16349.998789999998"/>
        <n v="558.43283"/>
        <n v="731.9176199999999"/>
        <n v="7881.04"/>
        <n v="4546.85053"/>
        <n v="4198.692"/>
        <n v="20578.958059999997"/>
        <n v="692.41051"/>
        <n v="1088.26292"/>
        <n v="1905.64906"/>
        <n v="12718.13021"/>
        <n v="5393.0772"/>
        <n v="372.92266"/>
        <n v="934.4807299999999"/>
        <n v="1138.53852"/>
        <n v="329.44106"/>
        <n v="16215.9192"/>
        <n v="17805.3755"/>
        <n v="1712.05403"/>
        <n v="2540.85409"/>
        <n v="2140.1099999999997"/>
        <n v="1587.3501599999997"/>
        <n v="478.33157"/>
        <n v="11018.33935"/>
        <n v="230.21468999999996"/>
        <n v="4109.011199999999"/>
        <n v="1826.7027799999998"/>
        <n v="1949.1306599999998"/>
        <n v="845.7850599999999"/>
        <n v="2232.64428"/>
        <n v="2308.73708"/>
        <n v="1039.1422999999998"/>
        <n v="20483.63824"/>
        <n v="11556.594"/>
        <n v="1974.5402199999999"/>
        <n v="9535.10724"/>
        <n v="2385.5092799999998"/>
        <n v="5661.94975"/>
        <n v="2491.97126"/>
        <n v="2098.6326299999996"/>
        <n v="2544.52285"/>
        <n v="1046.2759999999998"/>
        <n v="1818.7198299999998"/>
        <n v="2049.0704"/>
        <n v="753.1148999999999"/>
        <n v="4374.48675"/>
        <n v="2731.2559399999996"/>
        <n v="1674.1774799999998"/>
        <n v="8332.1616"/>
        <n v="2058.582"/>
        <n v="1083.643"/>
        <n v="1562.92573"/>
        <n v="1175.29406"/>
        <n v="558.8064999999999"/>
        <n v="1248.9070499999998"/>
        <n v="1562.2803"/>
        <n v="4590.977559999999"/>
        <n v="1610.6875499999999"/>
        <n v="314.56219999999996"/>
        <n v="6182.54"/>
        <n v="1353.7044999999998"/>
        <n v="656.4023099999999"/>
        <n v="318.6386"/>
        <n v="2122.7173599999996"/>
        <n v="19778.48898"/>
        <n v="20877.55436"/>
        <n v="6173.7078"/>
        <n v="2070.57341"/>
        <n v="1036.01706"/>
        <n v="642.033"/>
        <n v="2615.69"/>
        <n v="1127.70209"/>
        <n v="8313.919709999998"/>
        <n v="9253.12227"/>
        <n v="881.45356"/>
        <n v="1779.1787499999998"/>
        <n v="1832.3418"/>
        <n v="475.58"/>
        <n v="3221.3750999999997"/>
        <n v="724.20643"/>
        <n v="1284.066"/>
        <n v="3149.019"/>
        <n v="520.7601"/>
        <n v="1141.6977299999999"/>
        <n v="1823.9512099999997"/>
        <n v="7207.075199999999"/>
        <n v="559.3839899999999"/>
        <n v="3087.8729999999996"/>
        <n v="2054.4716299999995"/>
        <n v="319.79357999999996"/>
        <n v="2586.1021299999998"/>
        <n v="3011.1347699999997"/>
        <n v="5231.38"/>
        <n v="3087.32948"/>
        <n v="1043.66031"/>
        <n v="3962.2608"/>
        <n v="3465.9930699999995"/>
        <n v="935.83953"/>
        <n v="6718.5866"/>
        <n v="1317.62836"/>
        <n v="3271.3109999999997"/>
        <n v="414.40002999999996"/>
        <n v="3206.59815"/>
        <n v="395.37683"/>
        <n v="1218.19817"/>
        <n v="1450.6209099999999"/>
        <n v="3203.0312999999996"/>
        <n v="12369.835799999999"/>
        <n v="1697.8206"/>
        <n v="2624.1825"/>
        <n v="1469.5422"/>
        <n v="365.44926"/>
        <n v="2008.9857999999997"/>
        <n v="1577.26107"/>
        <n v="2119.6260899999997"/>
        <n v="6544.11668"/>
        <n v="2351.50531"/>
        <n v="5721.0575499999995"/>
        <n v="6999.1788"/>
        <n v="3116.47574"/>
        <n v="1536.7348599999998"/>
        <n v="8251.41491"/>
        <n v="3154.3183199999994"/>
        <n v="155.58259999999999"/>
        <n v="1788.1807999999999"/>
        <n v="6204.178889999999"/>
        <n v="1063.5667299999998"/>
        <n v="547.5963999999999"/>
        <n v="10613.5868"/>
        <n v="717.51434"/>
        <n v="5038.4304"/>
        <n v="1117.6129999999998"/>
        <n v="1024.5352"/>
        <n v="2068.33139"/>
        <n v="1538.67115"/>
        <n v="5093.4618"/>
        <n v="2563.0025299999998"/>
        <n v="1235.1492"/>
        <n v="2266.0028199999997"/>
        <n v="3295.2938199999994"/>
        <n v="4214.895689999999"/>
        <n v="4532.005639999999"/>
        <n v="3359.2933"/>
        <n v="909.54675"/>
        <n v="718.3635899999999"/>
        <n v="3142.7345499999997"/>
        <n v="8351.014949999999"/>
        <n v="2843.86649"/>
        <n v="1330.29917"/>
        <n v="2107.46483"/>
        <n v="4333.077319999999"/>
        <n v="4197.29923"/>
        <n v="1051.50738"/>
        <n v="829.27564"/>
        <n v="460.46335"/>
        <n v="1005.8517"/>
        <n v="1202.23227"/>
        <n v="980.3062599999998"/>
        <n v="1410.33249"/>
        <n v="12718.367999999999"/>
        <n v="4537.0332"/>
        <n v="225.76461999999998"/>
        <n v="1192.7546399999999"/>
        <n v="9005.37906"/>
        <n v="3353.4504599999996"/>
        <n v="512.2676"/>
        <n v="5081.70818"/>
        <n v="4096.71406"/>
        <n v="3778.7208899999996"/>
        <n v="1992.4424099999999"/>
        <n v="7133.7"/>
        <n v="823.4327999999999"/>
        <n v="1291.98101"/>
        <n v="1394.7742299999998"/>
        <n v="2167.6257"/>
        <n v="21196.39678"/>
        <n v="947.72903"/>
        <n v="8587.378209999999"/>
        <n v="14832.389039999998"/>
        <n v="2408.91461"/>
        <n v="1245.98563"/>
        <n v="1997.436"/>
        <n v="7553.569199999999"/>
        <n v="5410.028229999999"/>
        <n v="6061.23313"/>
        <n v="486.51833999999997"/>
        <n v="1368.95703"/>
        <n v="1034.18268"/>
        <n v="8184.29019"/>
        <n v="215.33583"/>
        <n v="3635.8770399999994"/>
        <n v="5399.42959"/>
        <n v="2887.00839"/>
        <n v="648.1476"/>
        <n v="1942.3366599999997"/>
        <n v="117.36634999999998"/>
        <n v="8404.21197"/>
        <n v="2614.12738"/>
        <n v="2467.5468299999998"/>
        <n v="4493.7554199999995"/>
        <n v="7416.94186"/>
        <n v="4855.84165"/>
        <n v="2108.1782"/>
        <n v="3014.4977999999996"/>
        <n v="1783.425"/>
        <n v="2803.4761599999997"/>
        <n v="1812.74111"/>
        <n v="4686.8409"/>
        <n v="4280.42382"/>
        <n v="10340.298149999999"/>
        <n v="2159.09923"/>
        <n v="1294.86846"/>
        <n v="5450.01092"/>
        <n v="1952.08605"/>
        <n v="2445.8399999999997"/>
        <n v="2073.0871899999997"/>
        <n v="2614.9426599999997"/>
        <n v="1994.5825199999997"/>
        <n v="3565.4232599999996"/>
        <n v="1492.4719499999999"/>
        <n v="598.6533099999999"/>
        <n v="1368.7871799999998"/>
        <n v="698.38923"/>
        <n v="1897.5642"/>
        <n v="3566.85"/>
        <n v="637.48102"/>
        <n v="362.49386999999996"/>
        <n v="8913.558149999999"/>
        <n v="8988.462"/>
        <n v="3602.14483"/>
        <n v="585.54089"/>
        <n v="3093.1043799999998"/>
        <n v="7769.346639999999"/>
        <n v="298.18865999999997"/>
        <n v="339.02059999999994"/>
        <n v="1995.4997099999998"/>
        <n v="9979.027199999999"/>
        <n v="533.97443"/>
        <n v="9152.29931"/>
        <n v="1210.99653"/>
        <n v="725.32744"/>
        <n v="790.58381"/>
        <n v="1799.6966299999997"/>
        <n v="3814.04969"/>
        <n v="2792.13018"/>
        <n v="1027.2188299999998"/>
        <n v="7414.9716"/>
        <n v="1437.20276"/>
        <n v="7777.771199999999"/>
        <n v="4086.7268799999997"/>
        <n v="10911.435759999998"/>
        <n v="4816.946"/>
        <n v="241.39082"/>
        <n v="2470.2984"/>
        <n v="920.9267"/>
        <n v="1485.40619"/>
        <n v="12290.17615"/>
        <n v="1331.4881199999998"/>
        <n v="19627.865999999998"/>
        <n v="9262.02241"/>
        <n v="1581.1336499999998"/>
        <n v="8343.23582"/>
        <n v="1593.7025499999997"/>
        <n v="1059.5242999999998"/>
        <n v="1900.17989"/>
        <n v="6499.61598"/>
        <n v="1080.4158499999999"/>
        <n v="2217.18793"/>
        <n v="1396.77846"/>
        <n v="2028.65443"/>
        <n v="837.63226"/>
        <n v="2302.28278"/>
        <n v="1044.2377999999999"/>
        <n v="831.27987"/>
        <n v="758.68598"/>
        <n v="2396.8892299999998"/>
        <n v="7957.098829999999"/>
        <n v="8747.275"/>
        <n v="6542.621999999999"/>
        <n v="5024.163"/>
        <n v="1054.0891"/>
        <n v="8655.555999999999"/>
        <n v="2519.8606299999997"/>
        <n v="3625.48222"/>
        <n v="6263.2527199999995"/>
        <n v="1853.7429"/>
        <n v="2172.65326"/>
        <n v="8150.082399999999"/>
        <n v="1629.57487"/>
        <n v="1907.7552"/>
        <n v="1121.55352"/>
        <n v="2487.45325"/>
        <n v="1268.37186"/>
        <n v="7513.96018"/>
        <n v="10679.4886"/>
        <n v="4670.875"/>
        <n v="4923.9515"/>
        <n v="18521.05546"/>
        <n v="328.18417"/>
        <n v="2159.77863"/>
        <n v="2216.5425"/>
        <n v="342.4176"/>
        <n v="7516.541899999999"/>
        <n v="10292.91"/>
        <n v="11666.656799999999"/>
        <n v="201.40812999999997"/>
        <n v="7935.392"/>
        <n v="291.63244999999995"/>
        <n v="1184.66978"/>
        <n v="7631.0208"/>
        <n v="894.0903999999999"/>
        <n v="3763.09469"/>
        <n v="13924.948429999999"/>
        <n v="2369.33956"/>
        <n v="2418.59606"/>
        <n v="1672.8526499999998"/>
        <n v="1871.71303"/>
        <n v="635.20503"/>
        <n v="1907.00786"/>
        <n v="448.70973"/>
        <n v="21393.966299999996"/>
        <n v="2663.0102099999995"/>
        <n v="7169.266589999999"/>
        <n v="2874.40552"/>
        <n v="1901.40281"/>
        <n v="1797.6924000000001"/>
        <n v="8731.648799999999"/>
        <n v="2638.58578"/>
        <n v="623.0097999999999"/>
        <n v="8965.090639999999"/>
        <n v="4886.2448"/>
        <n v="4574.7399"/>
        <n v="7407.66805"/>
        <n v="3176.05912"/>
        <n v="3737.8210099999997"/>
        <n v="662.72073"/>
        <n v="893.81864"/>
        <n v="4669.00665"/>
        <n v="5268.64509"/>
        <n v="3161.18026"/>
        <n v="491.74971999999997"/>
        <n v="504.86214"/>
        <n v="3220.25409"/>
        <n v="7945.922699999999"/>
        <n v="169.51029999999997"/>
        <n v="3491.91218"/>
        <n v="7559.20822"/>
        <n v="3013.7504599999997"/>
        <n v="3940.52"/>
        <n v="5246.25886"/>
        <n v="9083.340209999998"/>
        <n v="6489.18719"/>
        <n v="3034.67598"/>
        <n v="7837.558399999999"/>
        <n v="3111.51612"/>
        <n v="3599.3932599999994"/>
        <n v="485.43129999999996"/>
        <n v="4115.8052"/>
        <n v="20382.0"/>
        <n v="747.98543"/>
        <n v="688.26617"/>
        <n v="4330.3597199999995"/>
        <n v="1108.61095"/>
        <n v="495.962"/>
        <n v="1961.15604"/>
        <n v="3060.6969999999997"/>
        <n v="1354.92742"/>
        <n v="1162.31752"/>
        <n v="891.7125"/>
        <n v="1959.3895999999997"/>
        <n v="1477.695"/>
        <n v="1107.11627"/>
        <n v="9446.81921"/>
        <n v="102.5894"/>
        <n v="1007.78799"/>
        <n v="739.0513199999999"/>
        <n v="2634.91702"/>
        <n v="3482.43455"/>
        <n v="2617.18468"/>
        <n v="945.4530399999999"/>
        <n v="782.3291"/>
        <n v="22412.726599999998"/>
        <n v="6791.07858"/>
        <n v="10700.55"/>
        <n v="4501.025"/>
        <n v="1464.5825799999998"/>
        <n v="2737.91406"/>
        <n v="1924.67226"/>
        <n v="5826.84013"/>
        <n v="19498.84794"/>
        <n v="1325.5433699999999"/>
        <n v="2676.66615"/>
        <n v="1186.5720999999999"/>
        <n v="1139.96526"/>
        <n v="12762.868699999999"/>
        <n v="8405.8765"/>
        <n v="16509.42"/>
        <n v="1819.0935"/>
        <n v="4626.57812"/>
        <n v="5935.2384"/>
        <n v="4902.856129999999"/>
        <n v="5251.286419999999"/>
        <n v="581.87213"/>
        <n v="15689.65596"/>
        <n v="2424.7785999999996"/>
        <n v="3169.43497"/>
        <n v="2284.8222"/>
        <n v="6664.914"/>
        <n v="175.9646"/>
        <n v="1970.26"/>
        <n v="452.20864"/>
        <n v="209.22123"/>
        <n v="3176.1949999999997"/>
        <n v="675.35757"/>
        <n v="226.10432"/>
        <n v="3114.98106"/>
        <n v="659.62946"/>
        <n v="1151.14139"/>
        <n v="2092.5519999999997"/>
        <n v="6535.352419999999"/>
        <n v="4635.138559999999"/>
        <n v="8557.586519999999"/>
        <n v="653.54883"/>
        <n v="19892.764059999998"/>
        <n v="1801.0894"/>
        <n v="3633.3292899999997"/>
        <n v="348.70205"/>
        <n v="4150.42063"/>
        <n v="2099.07424"/>
        <n v="518.2802899999999"/>
        <n v="338.44311"/>
        <n v="2342.12959"/>
        <n v="2600.4035"/>
        <n v="4058.7355999999995"/>
        <n v="3637.4736299999995"/>
        <n v="645.80367"/>
        <n v="13582.5648"/>
        <n v="1796.80918"/>
        <n v="263.53925999999996"/>
        <n v="9749.42397"/>
        <n v="2597.65193"/>
        <n v="6542.961699999999"/>
        <n v="1086.32663"/>
        <n v="10537.25621"/>
        <n v="2439.7254"/>
        <n v="308.44759999999997"/>
        <n v="6360.8825"/>
        <n v="18893.63842"/>
        <n v="12644.72104"/>
        <n v="3708.0972599999996"/>
        <n v="2119.728"/>
        <n v="4038.7952099999998"/>
        <n v="10663.862399999998"/>
        <n v="1583.4775799999998"/>
        <n v="5723.2656"/>
        <n v="3493.8145"/>
        <n v="522.1188999999999"/>
        <n v="636.12222"/>
        <n v="4408.6266"/>
        <n v="17481.02994"/>
        <n v="482.81560999999994"/>
        <n v="17930.181279999997"/>
        <n v="1307.845"/>
        <n v="1076.4073899999999"/>
        <n v="223.52259999999998"/>
        <n v="2566.3655599999997"/>
        <n v="1889.4114"/>
        <n v="848.9103"/>
        <n v="1868.9954300000002"/>
        <n v="11996.8452"/>
        <n v="11112.67404"/>
        <n v="19070.21448"/>
        <n v="188.36365"/>
        <n v="1270.41006"/>
        <n v="1287.29315"/>
        <n v="2820.66498"/>
        <n v="2088.4755999999998"/>
        <n v="14549.860549999998"/>
        <n v="8252.80768"/>
        <n v="244.58399999999997"/>
        <n v="630.27938"/>
        <n v="1006.6330099999999"/>
        <n v="7221.20672"/>
        <n v="4417.7985"/>
        <n v="380.09033"/>
        <n v="338.88472"/>
        <n v="2241.2726599999996"/>
        <n v="8902.8576"/>
        <n v="174.6058"/>
        <n v="923.8141499999999"/>
        <n v="3999.9674999999997"/>
        <n v="16071.78449"/>
        <n v="325.02496"/>
        <n v="3799.2048"/>
        <n v="1491.69064"/>
        <n v="1899.6024"/>
        <n v="2051.92388"/>
        <n v="960.6716"/>
        <n v="1714.8056"/>
        <n v="6479.301919999999"/>
        <n v="3729.2265999999995"/>
        <n v="8422.691649999999"/>
        <n v="351.9292"/>
        <n v="6474.27436"/>
        <n v="563.8340599999999"/>
        <n v="3978.5663999999997"/>
        <n v="2516.42966"/>
        <n v="1974.6760999999997"/>
        <n v="2567.8602399999995"/>
        <n v="2037.5205999999998"/>
        <n v="1729.00506"/>
        <n v="5298.6406"/>
        <n v="1931.2284699999998"/>
        <n v="2325.5861999999997"/>
        <n v="2586.71359"/>
        <n v="18138.17959"/>
        <n v="830.5664999999999"/>
        <n v="1588.0974999999999"/>
        <n v="1095.1588299999999"/>
        <n v="303.18224999999995"/>
        <n v="1889.37743"/>
        <n v="20089.72212"/>
        <n v="1269.01729"/>
        <n v="985.13"/>
        <n v="7334.598579999999"/>
        <n v="3568.8881999999994"/>
        <n v="10241.81912"/>
        <n v="2561.3379999999997"/>
        <n v="1141.3580299999999"/>
        <n v="6383.6424"/>
        <n v="10391.35506"/>
        <n v="665.7440599999999"/>
        <n v="4477.415849999999"/>
        <n v="2009.6652"/>
        <n v="875.4069"/>
        <n v="5146.455"/>
        <n v="485.0916"/>
        <n v="5283.0144"/>
        <n v="4452.889509999999"/>
        <n v="469.39745999999997"/>
        <n v="1159.83771"/>
        <n v="2190.3176599999997"/>
        <n v="20188.0313"/>
        <n v="1389.27109"/>
        <n v="722.5418999999999"/>
        <n v="1293.00011"/>
        <n v="998.61609"/>
        <n v="9284.40864"/>
        <n v="2075.1933299999996"/>
        <n v="3601.4994"/>
        <n v="2488.5063199999995"/>
        <n v="6798.178309999999"/>
        <n v="864.50253"/>
        <n v="15280.3854"/>
        <n v="6063.6449999999995"/>
        <n v="290.06982999999997"/>
        <n v="1744.6992"/>
        <n v="473.88149999999996"/>
        <n v="2014.1492399999997"/>
        <n v="11935.66523"/>
        <n v="5951.544"/>
        <n v="633.40462"/>
        <n v="19398.12689"/>
        <n v="13329.828"/>
        <n v="5615.10512"/>
        <n v="1098.41995"/>
        <n v="9881.1936"/>
        <n v="4723.42659"/>
        <n v="22216.379999999997"/>
        <n v="629.4641"/>
        <n v="2127.1334599999996"/>
        <n v="1423.88652"/>
        <n v="8419.804199999999"/>
        <n v="4743.400949999999"/>
        <n v="1071.27792"/>
        <n v="2341.0425499999997"/>
        <n v="2469.48312"/>
        <n v="1416.3112099999998"/>
        <n v="621.61703"/>
        <n v="184.76282999999998"/>
        <n v="564.85316"/>
        <n v="4402.3421499999995"/>
        <n v="4126.40384"/>
        <n v="8231.57643"/>
        <n v="228.00664"/>
        <n v="7851.146399999999"/>
        <n v="432.09839999999997"/>
        <n v="965.4613699999999"/>
        <n v="639.89289"/>
        <n v="1046.17409"/>
        <n v="3462.2224"/>
        <n v="2804.01968"/>
        <n v="3017.9287699999995"/>
        <n v="4665.4398"/>
        <n v="17306.15238"/>
        <n v="252.0574"/>
        <n v="8029.998449999999"/>
        <n v="1937.5808599999998"/>
        <n v="879.823"/>
        <n v="1046.07218"/>
        <n v="3179.45612"/>
        <n v="6147.2112"/>
        <n v="882.8802999999999"/>
        <n v="1836.38423"/>
        <n v="1167.2092"/>
        <n v="19804.71382"/>
        <n v="1542.2379999999998"/>
        <n v="3986.6512599999996"/>
        <n v="3234.24973"/>
        <n v="641.31963"/>
        <n v="590.94212"/>
        <n v="1924.77417"/>
        <n v="5452.1849999999995"/>
        <n v="3523.7760399999997"/>
        <n v="1487.03675"/>
        <n v="1941.7251999999999"/>
        <n v="4891.679999999999"/>
        <n v="288.745"/>
        <n v="3240.738"/>
        <n v="1005.7158199999999"/>
        <n v="12360.120379999998"/>
        <n v="1526.9515"/>
        <n v="7198.75255"/>
        <n v="2068.0596299999997"/>
        <n v="2135.82978"/>
        <n v="7416.568189999999"/>
        <n v="19261.97513"/>
        <n v="3298.2152399999995"/>
        <n v="1630.56"/>
        <n v="4244.5515"/>
        <n v="21402.187039999997"/>
        <n v="461.14275"/>
        <n v="1282.63926"/>
        <n v="3162.9467"/>
        <n v="14405.3182"/>
        <n v="3994.49833"/>
        <n v="2011.4316399999998"/>
        <n v="1749.7947"/>
        <n v="3264.75479"/>
        <n v="5144.3828300000005"/>
        <n v="1712.02006"/>
        <n v="1760.80098"/>
        <n v="3051.1854"/>
        <n v="1058.23344"/>
        <n v="4014.20093"/>
        <n v="874.89735"/>
        <n v="1766.4399999999998"/>
        <n v="1989.2831999999999"/>
        <n v="2127.8808"/>
        <n v="954.1833299999998"/>
        <n v="2436.39634"/>
        <n v="950.68442"/>
        <n v="617.5746"/>
        <n v="2212.02449"/>
        <n v="2918.0229999999997"/>
        <n v="2632.91279"/>
        <n v="4414.4015"/>
        <n v="4403.734919999999"/>
        <n v="6582.29896"/>
        <n v="919.1942299999998"/>
        <n v="1270.37609"/>
        <n v="627.1881099999999"/>
        <n v="14062.798690000001"/>
        <n v="7065.759999999999"/>
        <n v="6690.32356"/>
        <n v="17971.79453"/>
        <n v="2897.02954"/>
        <n v="1746.90725"/>
        <n v="9630.494999999999"/>
        <n v="7628.09938"/>
        <n v="2793.52295"/>
        <n v="831.44972"/>
        <n v="1396.06509"/>
        <n v="3792.7504999999996"/>
        <n v="691.25553"/>
        <n v="1204.2365"/>
        <n v="1312.6347700000001"/>
        <n v="5717.151"/>
        <n v="1923.9588899999999"/>
        <n v="986.72659"/>
        <n v="3261.12"/>
        <n v="10595.107119999999"/>
        <n v="7378.623699999999"/>
        <n v="422.89252999999997"/>
        <n v="10700.516029999999"/>
        <n v="17286.38184"/>
        <n v="911.9586199999999"/>
        <n v="2401.6789999999996"/>
        <n v="1958.20065"/>
        <n v="886.44715"/>
        <n v="439.16416"/>
        <n v="1850.61766"/>
        <n v="1118.7679799999999"/>
        <n v="12483.941029999998"/>
        <n v="538.4584699999999"/>
        <n v="1383.19046"/>
        <n v="236.94074999999998"/>
        <n v="1295.88756"/>
        <n v="415.7928"/>
        <n v="12003.60523"/>
        <n v="20585.82"/>
        <n v="5380.848"/>
        <n v="12106.908"/>
        <n v="5774.050749999999"/>
        <n v="2057.9026"/>
        <n v="959.85632"/>
        <n v="6175.745999999999"/>
        <n v="6670.009499999999"/>
        <n v="4639.04511"/>
        <n v="4295.1668"/>
        <n v="914.1327"/>
        <n v="1369.63643"/>
        <n v="3138.828"/>
        <n v="487.50346999999994"/>
        <n v="6145.10506"/>
        <n v="2356.7366899999997"/>
        <n v="3516.9140999999995"/>
        <n v="10390.67566"/>
        <n v="8175.016379999999"/>
        <n v="1616.7681799999998"/>
        <n v="559.4858999999999"/>
        <n v="311.16519999999997"/>
        <n v="4365.8243999999995"/>
        <n v="10734.214269999999"/>
        <n v="7952.0373"/>
        <n v="7124.188399999999"/>
        <n v="3267.6762099999996"/>
        <n v="239.18276999999998"/>
        <n v="3145.52009"/>
        <n v="3391.5647999999997"/>
        <n v="5071.68703"/>
        <n v="2160.4919999999997"/>
        <n v="3173.2396099999996"/>
        <n v="16686.43767"/>
        <n v="10806.468459999998"/>
        <n v="17604.17119"/>
        <n v="10316.0096"/>
        <n v="3013.4447299999997"/>
        <n v="5207.601"/>
        <n v="5833.328399999999"/>
        <n v="4494.231"/>
        <n v="1356.59195"/>
        <n v="9752.787"/>
        <n v="2427.1565"/>
        <n v="612.7848299999999"/>
        <n v="1207.0220399999998"/>
        <n v="5158.0048"/>
        <n v="9538.776"/>
        <n v="5515.06347"/>
        <n v="5136.264"/>
        <n v="1789.1319599999997"/>
        <n v="968.99425"/>
        <n v="476.42924999999997"/>
        <n v="1421.61053"/>
        <n v="14397.5051"/>
        <n v="5134.80329"/>
        <n v="5894.40646"/>
        <n v="14248.376799999998"/>
        <n v="6180.060189999999"/>
        <n v="609.82944"/>
        <n v="1882.8212199999998"/>
        <n v="12491.108699999999"/>
        <n v="5403.234229999999"/>
        <n v="2944.34975"/>
        <n v="1331.5900299999998"/>
        <n v="4679.26559"/>
        <n v="3053.903"/>
        <n v="6233.664849999999"/>
        <n v="447.04519999999997"/>
        <n v="583.6046"/>
        <n v="974.5653299999999"/>
        <n v="9358.53118"/>
        <n v="730.89852"/>
        <n v="4898.474"/>
        <n v="938.7949199999999"/>
        <n v="1231.7522"/>
        <n v="737.6245799999999"/>
        <n v="12225.123599999999"/>
        <n v="1642.8911099999998"/>
        <n v="1034.0467999999998"/>
        <n v="18891.53228"/>
        <n v="5315.52369"/>
        <n v="335.55566"/>
        <n v="1960.6125199999997"/>
        <n v="1632.39438"/>
        <n v="4767.55362"/>
        <n v="878.29435"/>
        <n v="2757.54872"/>
        <n v="950.07296"/>
        <n v="18010.75812"/>
        <n v="1611.60474"/>
        <n v="1464.03906"/>
        <n v="15538.693279999998"/>
        <n v="6229.96212"/>
        <n v="5992.308"/>
        <n v="11651.71"/>
        <n v="580.68318"/>
        <n v="143.65912999999998"/>
        <n v="5150.29361"/>
        <n v="2740.08814"/>
        <n v="4117.164"/>
        <n v="3355.4886599999995"/>
        <n v="3528.8035999999997"/>
        <n v="2766.41489"/>
        <n v="2754.5933299999997"/>
        <n v="1409.6191199999998"/>
        <n v="2277.07704"/>
        <n v="4835.42568"/>
        <n v="3603.5375999999997"/>
        <n v="3328.75427"/>
        <n v="3335.0047499999996"/>
        <n v="994.9812999999999"/>
        <n v="2263.48904"/>
        <n v="1651.6213999999998"/>
        <n v="410.28965999999997"/>
        <n v="1269.6287499999999"/>
        <n v="2701.60013"/>
        <n v="3585.8731999999995"/>
        <n v="1357.6789899999999"/>
        <n v="1490.9433"/>
        <n v="892.2220499999999"/>
        <n v="2175.9483499999997"/>
        <n v="2954.77854"/>
        <n v="2146.83606"/>
        <n v="1775.71381"/>
        <n v="1521.7880599999999"/>
        <n v="933.46163"/>
        <n v="996.6797999999999"/>
        <n v="3816.76729"/>
        <n v="2689.2690199999997"/>
        <n v="1328.87243"/>
        <n v="3994.872"/>
        <n v="2592.5904"/>
        <n v="948.7821"/>
        <n v="16845.34933"/>
        <n v="21271.47048"/>
        <n v="2395.3266099999996"/>
        <n v="5706.96"/>
        <n v="1321.29712"/>
        <n v="1862.9147999999998"/>
        <n v="971.1343599999999"/>
        <n v="19423.3666"/>
        <n v="1174.92039"/>
        <n v="622.29643"/>
        <n v="20729.37722"/>
        <n v="186.46133"/>
        <n v="635.2389999999999"/>
        <n v="287.35223"/>
        <n v="1037.4098299999998"/>
        <n v="14890.036129999999"/>
        <n v="1647.6469099999997"/>
        <n v="17144.659"/>
        <n v="569.26926"/>
        <n v="4995.66217"/>
        <n v="2421.99306"/>
        <n v="10594.5636"/>
        <n v="8560.439999999999"/>
        <n v="1714.4659"/>
        <n v="1234.0281899999998"/>
        <n v="446.90932"/>
        <n v="1850.6516299999998"/>
        <n v="2462.825"/>
        <n v="3210.165"/>
        <n v="7067.866139999999"/>
        <n v="6479.777499999999"/>
        <n v="2234.5465999999997"/>
        <n v="4803.357999999999"/>
        <n v="1506.8752299999999"/>
        <n v="517.1932499999999"/>
        <n v="171.2088"/>
        <n v="671.85866"/>
        <n v="1997.26615"/>
        <n v="673.35334"/>
        <n v="3743.42606"/>
        <n v="3186.386"/>
        <n v="1813.7602099999997"/>
        <n v="5179.4059"/>
        <n v="783.17835"/>
        <n v="554.2884899999999"/>
        <n v="2115.48175"/>
        <n v="4451.4288"/>
        <n v="21597.71836"/>
        <n v="1328.53273"/>
        <n v="2995.8822399999995"/>
        <n v="523.1379999999999"/>
        <n v="2540.9559999999997"/>
        <n v="6168.884059999999"/>
        <n v="7274.947259999999"/>
        <n v="474.59487"/>
        <n v="1190.54659"/>
        <n v="3237.13718"/>
        <n v="647.43423"/>
      </sharedItems>
    </cacheField>
    <cacheField name="Sol Peruano" numFmtId="164">
      <sharedItems containsSemiMixedTypes="0" containsString="0" containsNumber="1">
        <n v="1283.1599879999999"/>
        <n v="1883.40768"/>
        <n v="4679.423672"/>
        <n v="1625.081612"/>
        <n v="198.66646799999998"/>
        <n v="462.014432"/>
        <n v="1166.1550559999998"/>
        <n v="335.188612"/>
        <n v="591.029956"/>
        <n v="3791.5970399999997"/>
        <n v="554.5130359999999"/>
        <n v="1209.4180999999999"/>
        <n v="622.8855599999999"/>
        <n v="335.647532"/>
        <n v="275.45034"/>
        <n v="583.490556"/>
        <n v="758.59476"/>
        <n v="353.3159519999999"/>
        <n v="5839.448868"/>
        <n v="2736.841536"/>
        <n v="3164.476304"/>
        <n v="412.759204"/>
        <n v="2973.8016"/>
        <n v="310.59705599999995"/>
        <n v="1812.0390639999998"/>
        <n v="970.543684"/>
        <n v="819.283652"/>
        <n v="1308.8005039999998"/>
        <n v="1292.856312"/>
        <n v="2619.7776"/>
        <n v="1586.0275199999999"/>
        <n v="1447.112436"/>
        <n v="3093.1929159999995"/>
        <n v="248.04626"/>
        <n v="1409.3629879999999"/>
        <n v="594.098164"/>
        <n v="1711.116"/>
        <n v="367.26712000000003"/>
        <n v="2548.9728"/>
        <n v="4326.96"/>
        <n v="826.344464"/>
        <n v="3669.891456"/>
        <n v="4907.244672"/>
        <n v="1343.7964319999999"/>
        <n v="812.22284"/>
        <n v="664.1490239999999"/>
        <n v="747.082424"/>
        <n v="941.1138"/>
        <n v="3304.2239999999997"/>
        <n v="4364.840568"/>
        <n v="431.8306079999999"/>
        <n v="5175.529304"/>
        <n v="470.17665199999993"/>
        <n v="1745.8890239999998"/>
        <n v="821.3356799999999"/>
        <n v="1023.208032"/>
        <n v="1043.210388"/>
        <n v="237.26163999999997"/>
        <n v="3555.9743999999996"/>
        <n v="4748.242004"/>
        <n v="897.38528"/>
        <n v="1064.6943999999999"/>
        <n v="1128.64818"/>
        <n v="1763.4000999999998"/>
        <n v="600.490264"/>
        <n v="853.2765119999999"/>
        <n v="2162.614608"/>
        <n v="739.3463439999999"/>
        <n v="144.94660399999998"/>
        <n v="785.1465599999999"/>
        <n v="4013.94378"/>
        <n v="707.2612799999999"/>
        <n v="461.56206799999995"/>
        <n v="378.294312"/>
        <n v="644.52036"/>
        <n v="1131.2377999999999"/>
        <n v="874.5704"/>
        <n v="575.4856799999999"/>
        <n v="3957.0573679999998"/>
        <n v="871.076052"/>
        <n v="5776.235916"/>
        <n v="3332.395132"/>
        <n v="688.812696"/>
        <n v="984.7505359999999"/>
        <n v="1555.974816"/>
        <n v="392.527388"/>
        <n v="1098.65448"/>
        <n v="1718.1309199999998"/>
        <n v="2392.2844"/>
        <n v="764.4820479999998"/>
        <n v="616.95238"/>
        <n v="354.70582399999995"/>
        <n v="254.517032"/>
        <n v="1038.7064159999998"/>
        <n v="2379.04128"/>
        <n v="1298.088"/>
        <n v="517.937112"/>
        <n v="1936.426052"/>
        <n v="565.664792"/>
        <n v="489.6873079999999"/>
        <n v="706.4745599999999"/>
        <n v="5474.646804"/>
        <n v="5799.739175999999"/>
        <n v="2643.3792"/>
        <n v="531.285128"/>
        <n v="810.662512"/>
        <n v="2124.144"/>
        <n v="638.8166399999999"/>
        <n v="4587.36432"/>
        <n v="1432.4925560000001"/>
        <n v="4453.62192"/>
        <n v="598.0711"/>
        <n v="1338.682752"/>
        <n v="745.043508"/>
        <n v="4573.99008"/>
        <n v="694.857328"/>
        <n v="4669.733904"/>
        <n v="2359.2159359999996"/>
        <n v="388.12831199999994"/>
        <n v="1357.0919999999999"/>
        <n v="343.350832"/>
        <n v="890.1605679999999"/>
        <n v="2675.6478319999997"/>
        <n v="3649.764536"/>
        <n v="1524.6633599999998"/>
        <n v="933.44328"/>
        <n v="882.1753599999998"/>
        <n v="1676.8936800000001"/>
        <n v="1964.8331999999998"/>
        <n v="2088.7416"/>
        <n v="5198.61298"/>
        <n v="2990.3554999999997"/>
        <n v="200.6136"/>
        <n v="277.882616"/>
        <n v="1750.4716680000001"/>
        <n v="3162.4439439999996"/>
        <n v="446.48326799999995"/>
        <n v="453.95055199999996"/>
        <n v="423.8847359999999"/>
        <n v="752.4321199999999"/>
        <n v="1261.479296"/>
        <n v="1980.3315839999998"/>
        <n v="3892.965912"/>
        <n v="439.684696"/>
        <n v="502.77964"/>
        <n v="2353.584332"/>
        <n v="1845.953252"/>
        <n v="590.905392"/>
        <n v="932.112412"/>
        <n v="4726.233512"/>
        <n v="1187.75052"/>
        <n v="775.70592"/>
        <n v="601.8408"/>
        <n v="1434.38724"/>
        <n v="2367.24048"/>
        <n v="427.0709519999999"/>
        <n v="625.927544"/>
        <n v="936.1967999999999"/>
        <n v="571.74876"/>
        <n v="464.3549239999999"/>
        <n v="2706.8543919999997"/>
        <n v="502.242048"/>
        <n v="663.8998959999999"/>
        <n v="2009.8729199999998"/>
        <n v="463.004388"/>
        <n v="498.249444"/>
        <n v="1916.4499199999998"/>
        <n v="4409.355808"/>
        <n v="5798.68366"/>
        <n v="706.6319039999998"/>
        <n v="1608.488376"/>
        <n v="3067.0279199999995"/>
        <n v="1593.69804"/>
        <n v="5177.601"/>
        <n v="878.923584"/>
        <n v="744.1387799999999"/>
        <n v="6003.945464"/>
        <n v="258.968556"/>
        <n v="675.549908"/>
        <n v="665.414332"/>
        <n v="1411.6707"/>
        <n v="402.24337999999995"/>
        <n v="2714.97072"/>
        <n v="1656.8323199999998"/>
        <n v="818.0839039999998"/>
        <n v="973.66434"/>
        <n v="861.6616359999999"/>
        <n v="1075.0397679999999"/>
        <n v="2473.290336"/>
        <n v="4832.4276"/>
        <n v="2683.606816"/>
        <n v="755.703564"/>
        <n v="3649.1220479999997"/>
        <n v="6157.893456"/>
        <n v="915.9059799999999"/>
        <n v="493.98148799999996"/>
        <n v="4055.2924719999996"/>
        <n v="2035.638"/>
        <n v="2689.684228"/>
        <n v="129.57278399999998"/>
        <n v="3192.9817919999996"/>
        <n v="443.60518399999995"/>
        <n v="322.48963999999995"/>
        <n v="160.85145999999997"/>
        <n v="309.718552"/>
        <n v="140.272176"/>
        <n v="206.87458"/>
        <n v="249.67214799999996"/>
        <n v="303.43790399999995"/>
        <n v="1569.060592"/>
        <n v="273.77855999999997"/>
        <n v="466.931432"/>
        <n v="974.7460799999999"/>
        <n v="1763.5443319999997"/>
        <n v="927.8379"/>
        <n v="822.607544"/>
        <n v="108.94105199999998"/>
        <n v="80.625688"/>
        <n v="100.818168"/>
        <n v="6058.714287999999"/>
        <n v="399.07683199999997"/>
        <n v="388.993704"/>
        <n v="336.51947999999993"/>
        <n v="916.9221599999998"/>
        <n v="37.696999999999996"/>
        <n v="817.5332"/>
        <n v="1034.30734"/>
        <n v="75.243212"/>
        <n v="692.3136"/>
        <n v="338.204372"/>
        <n v="1584.6769839999997"/>
        <n v="671.8982159999999"/>
        <n v="1777.9871999999998"/>
        <n v="1540.0043999999998"/>
        <n v="322.26018"/>
        <n v="74.37782"/>
        <n v="3404.39968"/>
        <n v="1794.1542959999997"/>
        <n v="1134.797708"/>
        <n v="208.74303999999998"/>
        <n v="1180.08"/>
        <n v="3058.24288"/>
        <n v="1591.5345599999998"/>
        <n v="1112.054944"/>
        <n v="677.680608"/>
        <n v="2371.8362359999996"/>
        <n v="1500.851968"/>
        <n v="205.34047599999997"/>
        <n v="5851.23"/>
        <n v="1626.897624"/>
        <n v="308.695816"/>
        <n v="2728.34496"/>
        <n v="226.47701999999998"/>
        <n v="155.429648"/>
        <n v="356.58739599999996"/>
        <n v="110.134244"/>
        <n v="87.14235199999999"/>
        <n v="889.78032"/>
        <n v="600.2673599999999"/>
        <n v="2184.39364"/>
        <n v="471.50752"/>
        <n v="1566.084168"/>
        <n v="849.375692"/>
        <n v="1768.1532"/>
        <n v="203.86537599999997"/>
        <n v="176.81531999999999"/>
        <n v="536.733164"/>
        <n v="536.6413799999999"/>
        <n v="908.6615999999999"/>
        <n v="973.36932"/>
        <n v="2124.779932"/>
        <n v="327.14439999999996"/>
        <n v="1145.7658959999999"/>
        <n v="353.23727999999994"/>
        <n v="1239.0839999999998"/>
        <n v="67.96605199999999"/>
        <n v="97.91385999999999"/>
        <n v="505.07424"/>
        <n v="3716.0129159999997"/>
        <n v="209.87067199999998"/>
        <n v="63.062163999999996"/>
        <n v="158.386404"/>
        <n v="264.410036"/>
        <n v="2502.94968"/>
        <n v="287.15279999999996"/>
        <n v="251.67172799999997"/>
        <n v="672.960288"/>
        <n v="1163.158964"/>
        <n v="735.55042"/>
        <n v="399.2604"/>
        <n v="3580.95276"/>
        <n v="69.355924"/>
        <n v="742.8996960000001"/>
        <n v="282.55704399999996"/>
        <n v="88.30931999999999"/>
        <n v="1789.0996199999997"/>
        <n v="1011.9186"/>
        <n v="534.556572"/>
        <n v="503.8286"/>
        <n v="748.655864"/>
        <n v="2482.0950439999997"/>
        <n v="2740.6440159999997"/>
        <n v="1045.682"/>
        <n v="3189.7103479999996"/>
        <n v="4607.019208"/>
        <n v="62.406563999999996"/>
        <n v="47.524443999999995"/>
        <n v="247.200536"/>
        <n v="71.98487999999999"/>
        <n v="778.32832"/>
        <n v="149.208004"/>
        <n v="80.042204"/>
        <n v="528.328372"/>
        <n v="360.43576799999994"/>
        <n v="290.88971999999995"/>
        <n v="1310.67552"/>
        <n v="2760.325128"/>
        <n v="112.160048"/>
        <n v="282.124348"/>
        <n v="90.84649199999998"/>
        <n v="402.925204"/>
        <n v="1069.047584"/>
        <n v="1441.7430719999998"/>
        <n v="1545.8064599999998"/>
        <n v="2478.1679999999997"/>
        <n v="2477.341944"/>
        <n v="493.719248"/>
        <n v="1023.824296"/>
        <n v="178.58543999999998"/>
        <n v="693.5461280000001"/>
        <n v="88.60434"/>
        <n v="721.35668"/>
        <n v="457.72680799999995"/>
        <n v="1225.401628"/>
        <n v="22.218284"/>
        <n v="1032.563444"/>
        <n v="129.41544"/>
        <n v="480.40401199999997"/>
        <n v="274.77507199999997"/>
        <n v="463.417416"/>
        <n v="461.5817359999999"/>
        <n v="3578.1992399999995"/>
        <n v="924.00264"/>
        <n v="1191.480884"/>
        <n v="3271.6669039999997"/>
        <n v="598.687364"/>
        <n v="722.2089599999999"/>
        <n v="874.2425999999999"/>
        <n v="121.81048"/>
        <n v="156.01313199999998"/>
        <n v="94.03926399999999"/>
        <n v="105.958072"/>
        <n v="1670.908052"/>
        <n v="22.860771999999997"/>
        <n v="192.300592"/>
        <n v="134.59468"/>
        <n v="440.01249599999994"/>
        <n v="416.056872"/>
        <n v="206.10097199999998"/>
        <n v="245.98111999999998"/>
        <n v="557.207552"/>
        <n v="459.536264"/>
        <n v="41.165124"/>
        <n v="4172.76288"/>
        <n v="47.019631999999994"/>
        <n v="1169.577288"/>
        <n v="1460.650576"/>
        <n v="384.05047999999994"/>
        <n v="737.02552"/>
        <n v="204.83566399999998"/>
        <n v="145.44485999999998"/>
        <n v="2552.44748"/>
        <n v="66.68107599999999"/>
        <n v="191.43519999999998"/>
        <n v="95.45535999999998"/>
        <n v="343.50162"/>
        <n v="1874.29484"/>
        <n v="598.8906"/>
        <n v="327.000168"/>
        <n v="141.603044"/>
        <n v="1671.5308719999998"/>
        <n v="394.35651199999995"/>
        <n v="389.4264"/>
        <n v="1134.45024"/>
        <n v="1160.189096"/>
        <n v="694.9359999999999"/>
        <n v="266.59318399999995"/>
        <n v="592.196924"/>
        <n v="28.144907999999997"/>
        <n v="3240.20466"/>
        <n v="353.87976799999996"/>
        <n v="1532.3338800000001"/>
        <n v="172.81616"/>
        <n v="215.54816799999998"/>
        <n v="196.28663999999998"/>
        <n v="1220.176496"/>
        <n v="3823.4592"/>
        <n v="362.66480799999994"/>
        <n v="1255.01508"/>
        <n v="714.3352039999999"/>
        <n v="1772.0605759999999"/>
        <n v="727.047288"/>
        <n v="960.1261999999999"/>
        <n v="557.5287959999999"/>
        <n v="1778.944376"/>
        <n v="546.9539679999999"/>
        <n v="201.459324"/>
        <n v="2674.848"/>
        <n v="2025.1287319999997"/>
        <n v="415.91919599999994"/>
        <n v="1460.0539800000001"/>
        <n v="329.14398"/>
        <n v="149.72592799999998"/>
        <n v="228.10290799999999"/>
        <n v="224.13652799999997"/>
        <n v="153.2465"/>
        <n v="237.05840399999997"/>
        <n v="58.007488"/>
        <n v="706.7367999999999"/>
        <n v="396.50687999999997"/>
        <n v="1360.33722"/>
        <n v="1191.677564"/>
        <n v="1847.369348"/>
        <n v="352.66035199999993"/>
        <n v="1642.1075439999997"/>
        <n v="142.566776"/>
        <n v="313.665264"/>
        <n v="1033.16004"/>
        <n v="208.061216"/>
        <n v="804.19174"/>
        <n v="5212.0199999999995"/>
        <n v="570.542456"/>
        <n v="58.93844"/>
        <n v="648.2572799999999"/>
        <n v="1821.1977959999997"/>
        <n v="491.50332"/>
        <n v="947.60424"/>
        <n v="202.173928"/>
        <n v="4602.312"/>
        <n v="250.17696"/>
        <n v="569.4279359999999"/>
        <n v="647.0772"/>
        <n v="198.00431199999997"/>
        <n v="2081.6611199999998"/>
        <n v="129.376104"/>
        <n v="49.910827999999995"/>
        <n v="64.70772"/>
        <n v="320.857196"/>
        <n v="363.523644"/>
        <n v="44.862708000000005"/>
        <n v="2143.812"/>
        <n v="3284.208532"/>
        <n v="2647.561928"/>
        <n v="96.01261999999998"/>
        <n v="1857.2557959999997"/>
        <n v="254.46458399999997"/>
        <n v="860.4749999999999"/>
        <n v="715.12848"/>
        <n v="431.3848"/>
        <n v="1755.0215319999998"/>
        <n v="554.5589279999999"/>
        <n v="1297.82576"/>
        <n v="2727.296"/>
        <n v="176.65797599999996"/>
        <n v="200.489036"/>
        <n v="203.832596"/>
        <n v="2407.3632"/>
        <n v="289.7752"/>
        <n v="880.8510479999999"/>
        <n v="631.1330079999999"/>
        <n v="635.66976"/>
        <n v="1215.075928"/>
        <n v="189.80931199999998"/>
        <n v="179.92942"/>
        <n v="539.16544"/>
        <n v="231.07277599999998"/>
        <n v="101.71634"/>
        <n v="223.913624"/>
        <n v="519.2352"/>
        <n v="393.47800799999993"/>
        <n v="1911.7296"/>
        <n v="314.58966"/>
        <n v="146.28402799999998"/>
        <n v="1804.919248"/>
        <n v="298.86837199999997"/>
        <n v="22.001936"/>
        <n v="828.6521759999999"/>
        <n v="34.976259999999996"/>
        <n v="39.231104"/>
        <n v="1284.9759999999999"/>
        <n v="140.016492"/>
        <n v="233.583724"/>
        <n v="33.20614"/>
        <n v="1000.70784"/>
        <n v="111.21598399999998"/>
        <n v="372.74137999999994"/>
        <n v="42.732008"/>
        <n v="2835.312656"/>
        <n v="378.80567999999994"/>
        <n v="65.186308"/>
        <n v="1363.1235199999999"/>
        <n v="3474.68"/>
        <n v="1007.6572"/>
        <n v="384.69952399999994"/>
        <n v="530.44596"/>
        <n v="374.47872"/>
        <n v="551.661176"/>
        <n v="2045.472"/>
        <n v="675.39912"/>
        <n v="282.511152"/>
        <n v="613.5629279999999"/>
        <n v="19.602439999999998"/>
        <n v="1909.1072"/>
        <n v="1431.2796959999998"/>
        <n v="475.559128"/>
        <n v="415.42094"/>
        <n v="1009.0274039999999"/>
        <n v="1536.2019199999997"/>
        <n v="173.79956"/>
        <n v="157.48823199999998"/>
        <n v="1428.637628"/>
        <n v="1751.2387199999998"/>
        <n v="1458.5395439999998"/>
        <n v="714.315536"/>
        <n v="496.32197999999994"/>
        <n v="1657.88128"/>
        <n v="1228.7583"/>
        <n v="843.2655"/>
        <n v="2524.5320319999996"/>
        <n v="192.26781199999996"/>
        <n v="1416.096"/>
        <n v="204.140728"/>
        <n v="182.119124"/>
        <n v="96.96324"/>
        <n v="242.82768399999998"/>
        <n v="74.030352"/>
        <n v="1417.590768"/>
        <n v="3155.4486919999995"/>
        <n v="107.77408399999999"/>
        <n v="141.255576"/>
        <n v="1520.992"/>
        <n v="877.5140439999999"/>
        <n v="810.3216"/>
        <n v="3971.6116879999995"/>
        <n v="133.630948"/>
        <n v="210.028016"/>
        <n v="367.778488"/>
        <n v="2454.5205079999996"/>
        <n v="1040.8305599999999"/>
        <n v="71.971768"/>
        <n v="180.34900399999998"/>
        <n v="219.730896"/>
        <n v="63.580087999999996"/>
        <n v="3129.57216"/>
        <n v="3436.3273999999997"/>
        <n v="330.415844"/>
        <n v="490.369132"/>
        <n v="413.02799999999996"/>
        <n v="306.34876799999995"/>
        <n v="92.31503599999999"/>
        <n v="2126.47138"/>
        <n v="44.430012"/>
        <n v="793.0137599999999"/>
        <n v="352.54234399999996"/>
        <n v="376.17016799999993"/>
        <n v="163.23128799999998"/>
        <n v="430.88654399999996"/>
        <n v="445.571984"/>
        <n v="200.54804"/>
        <n v="3953.2155519999997"/>
        <n v="2230.3512"/>
        <n v="381.074056"/>
        <n v="1840.216752"/>
        <n v="460.38854399999997"/>
        <n v="1092.7213"/>
        <n v="480.935048"/>
        <n v="405.02312399999994"/>
        <n v="491.07717999999994"/>
        <n v="201.92479999999998"/>
        <n v="351.00168399999995"/>
        <n v="395.45792"/>
        <n v="145.34651999999997"/>
        <n v="844.2488999999999"/>
        <n v="527.115512"/>
        <n v="323.10590399999995"/>
        <n v="1608.05568"/>
        <n v="397.29359999999997"/>
        <n v="209.13639999999998"/>
        <n v="301.635004"/>
        <n v="226.824488"/>
        <n v="107.8462"/>
        <n v="241.03133999999997"/>
        <n v="301.51043999999996"/>
        <n v="886.0302879999999"/>
        <n v="310.85274"/>
        <n v="60.70855999999999"/>
        <n v="1193.192"/>
        <n v="261.2566"/>
        <n v="126.68158799999999"/>
        <n v="61.495279999999994"/>
        <n v="409.67132799999996"/>
        <n v="3817.126104"/>
        <n v="4029.2389279999998"/>
        <n v="1191.4874399999999"/>
        <n v="399.60786799999994"/>
        <n v="199.944888"/>
        <n v="123.90839999999999"/>
        <n v="504.81199999999995"/>
        <n v="217.639532"/>
        <n v="1604.5351079999998"/>
        <n v="1785.7953959999998"/>
        <n v="170.11508800000001"/>
        <n v="343.3705"/>
        <n v="353.63063999999997"/>
        <n v="91.78399999999999"/>
        <n v="621.70548"/>
        <n v="139.767364"/>
        <n v="247.81679999999997"/>
        <n v="607.7411999999999"/>
        <n v="100.50348"/>
        <n v="220.34060399999996"/>
        <n v="352.01130799999993"/>
        <n v="1390.92096"/>
        <n v="107.95765199999998"/>
        <n v="595.9404"/>
        <n v="396.500324"/>
        <n v="61.718183999999994"/>
        <n v="499.10172399999993"/>
        <n v="581.1303959999999"/>
        <n v="1009.6239999999999"/>
        <n v="595.835504"/>
        <n v="201.419988"/>
        <n v="764.6918400000001"/>
        <n v="668.9152359999999"/>
        <n v="180.611244"/>
        <n v="1296.6456799999999"/>
        <n v="254.29412799999997"/>
        <n v="631.3428"/>
        <n v="79.976644"/>
        <n v="618.85362"/>
        <n v="76.305284"/>
        <n v="235.104716"/>
        <n v="279.96086799999995"/>
        <n v="618.1652399999999"/>
        <n v="2387.30184"/>
        <n v="327.66888"/>
        <n v="506.45099999999996"/>
        <n v="283.61256"/>
        <n v="70.52944799999999"/>
        <n v="387.72184"/>
        <n v="304.401636"/>
        <n v="409.074732"/>
        <n v="1262.974064"/>
        <n v="453.825988"/>
        <n v="1104.1287399999999"/>
        <n v="1350.79824"/>
        <n v="601.4605519999999"/>
        <n v="296.58032799999995"/>
        <n v="1592.472068"/>
        <n v="608.763936"/>
        <n v="30.026479999999996"/>
        <n v="345.10783999999995"/>
        <n v="1197.368172"/>
        <n v="205.26180399999998"/>
        <n v="105.68271999999999"/>
        <n v="2048.35664"/>
        <n v="138.475832"/>
        <n v="972.3859199999999"/>
        <n v="215.6924"/>
        <n v="197.72896"/>
        <n v="399.175172"/>
        <n v="296.95401999999996"/>
        <n v="983.00664"/>
        <n v="494.643644"/>
        <n v="238.37616"/>
        <n v="437.3245359999999"/>
        <n v="635.971336"/>
        <n v="813.448812"/>
        <n v="874.6490719999998"/>
        <n v="648.3228399999999"/>
        <n v="175.5369"/>
        <n v="138.63973199999998"/>
        <n v="606.52834"/>
        <n v="1611.6942599999998"/>
        <n v="548.8486519999999"/>
        <n v="256.739516"/>
        <n v="406.72768399999995"/>
        <n v="836.257136"/>
        <n v="810.0528039999999"/>
        <n v="202.934424"/>
        <n v="160.045072"/>
        <n v="88.86658"/>
        <n v="194.12316"/>
        <n v="232.023396"/>
        <n v="189.19304799999998"/>
        <n v="272.185452"/>
        <n v="2454.5663999999997"/>
        <n v="875.6193599999999"/>
        <n v="43.571175999999994"/>
        <n v="230.19427199999998"/>
        <n v="1737.9824879999999"/>
        <n v="647.195208"/>
        <n v="98.86448"/>
        <n v="980.738264"/>
        <n v="790.640488"/>
        <n v="729.2697719999999"/>
        <n v="384.52906799999994"/>
        <n v="1376.76"/>
        <n v="158.91744"/>
        <n v="249.34434799999997"/>
        <n v="269.182804"/>
        <n v="418.33835999999997"/>
        <n v="4090.7735439999997"/>
        <n v="182.905844"/>
        <n v="1657.3109079999997"/>
        <n v="2862.5593919999997"/>
        <n v="464.905628"/>
        <n v="240.467524"/>
        <n v="385.4928"/>
        <n v="1457.7921599999997"/>
        <n v="1044.1020039999999"/>
        <n v="1169.780524"/>
        <n v="93.895032"/>
        <n v="264.200244"/>
        <n v="199.59086399999998"/>
        <n v="1579.517412"/>
        <n v="41.558484"/>
        <n v="701.701792"/>
        <n v="1042.056532"/>
        <n v="557.174772"/>
        <n v="125.08848"/>
        <n v="374.85896799999995"/>
        <n v="22.650979999999997"/>
        <n v="1621.9609560000001"/>
        <n v="504.51042399999994"/>
        <n v="476.22128399999997"/>
        <n v="867.2670159999999"/>
        <n v="1431.423928"/>
        <n v="937.14742"/>
        <n v="406.86536"/>
        <n v="581.7794399999999"/>
        <n v="344.19"/>
        <n v="541.0535679999999"/>
        <n v="349.847828"/>
        <n v="904.5313199999999"/>
        <n v="826.0953359999999"/>
        <n v="1995.6136199999999"/>
        <n v="416.692804"/>
        <n v="249.90160799999998"/>
        <n v="1051.8184159999998"/>
        <n v="376.74053999999995"/>
        <n v="472.032"/>
        <n v="400.093012"/>
        <n v="504.66776799999997"/>
        <n v="384.94209599999994"/>
        <n v="688.1046479999999"/>
        <n v="288.03786"/>
        <n v="115.53638799999999"/>
        <n v="264.167464"/>
        <n v="134.784804"/>
        <n v="366.21816"/>
        <n v="688.38"/>
        <n v="123.029896"/>
        <n v="69.959076"/>
        <n v="1720.2616199999998"/>
        <n v="1734.7176"/>
        <n v="695.191684"/>
        <n v="113.005772"/>
        <n v="596.950024"/>
        <n v="1499.4358719999998"/>
        <n v="57.548567999999996"/>
        <n v="65.42887999999999"/>
        <n v="385.1191079999999"/>
        <n v="1925.8905599999998"/>
        <n v="103.05376399999999"/>
        <n v="1766.337188"/>
        <n v="233.714844"/>
        <n v="139.983712"/>
        <n v="152.577788"/>
        <n v="347.33032399999996"/>
        <n v="736.0880119999999"/>
        <n v="538.863864"/>
        <n v="198.24688399999997"/>
        <n v="1431.04368"/>
        <n v="277.371248"/>
        <n v="1501.0617599999998"/>
        <n v="788.7130239999999"/>
        <n v="2105.8396479999997"/>
        <n v="929.6407999999999"/>
        <n v="46.586936"/>
        <n v="476.75232"/>
        <n v="177.73316"/>
        <n v="286.67421199999995"/>
        <n v="2371.92802"/>
        <n v="256.968976"/>
        <n v="3788.0568"/>
        <n v="1787.513068"/>
        <n v="305.14901999999995"/>
        <n v="1610.192936"/>
        <n v="307.57473999999996"/>
        <n v="204.48163999999997"/>
        <n v="366.72297199999997"/>
        <n v="1254.3857039999998"/>
        <n v="208.51358"/>
        <n v="427.903564"/>
        <n v="269.569608"/>
        <n v="391.517764"/>
        <n v="161.657848"/>
        <n v="444.326344"/>
        <n v="201.53143999999998"/>
        <n v="160.431876"/>
        <n v="146.421704"/>
        <n v="462.584804"/>
        <n v="1535.670884"/>
        <n v="1688.1699999999998"/>
        <n v="1262.6856"/>
        <n v="969.6324"/>
        <n v="203.43268"/>
        <n v="1670.4687999999999"/>
        <n v="486.31752399999993"/>
        <n v="699.695656"/>
        <n v="1208.7690559999999"/>
        <n v="357.76092"/>
        <n v="419.308648"/>
        <n v="1572.9155199999998"/>
        <n v="314.49787599999996"/>
        <n v="368.18496"/>
        <n v="216.452896"/>
        <n v="480.06309999999996"/>
        <n v="244.787928"/>
        <n v="1450.147864"/>
        <n v="2061.07528"/>
        <n v="901.4499999999999"/>
        <n v="950.2922"/>
        <n v="3574.449208"/>
        <n v="63.337515999999994"/>
        <n v="416.823924"/>
        <n v="427.779"/>
        <n v="66.08448"/>
        <n v="1450.6461199999999"/>
        <n v="1986.4679999999998"/>
        <n v="2251.59264"/>
        <n v="38.870523999999996"/>
        <n v="1531.4815999999998"/>
        <n v="56.28325999999999"/>
        <n v="228.63394399999999"/>
        <n v="1472.73984"/>
        <n v="172.55391999999998"/>
        <n v="726.254012"/>
        <n v="2687.4289639999997"/>
        <n v="457.26788799999997"/>
        <n v="466.774088"/>
        <n v="322.85022"/>
        <n v="361.229044"/>
        <n v="122.590644"/>
        <n v="368.040728"/>
        <n v="86.598204"/>
        <n v="4128.90324"/>
        <n v="513.9445079999999"/>
        <n v="1383.6241319999997"/>
        <n v="554.742496"/>
        <n v="366.958988"/>
        <n v="346.94352000000003"/>
        <n v="1685.1542399999998"/>
        <n v="509.23074399999996"/>
        <n v="120.23704"/>
        <n v="1730.207072"/>
        <n v="943.01504"/>
        <n v="882.89652"/>
        <n v="1429.63414"/>
        <n v="612.959776"/>
        <n v="721.3763479999999"/>
        <n v="127.901004"/>
        <n v="172.501472"/>
        <n v="901.08942"/>
        <n v="1016.815932"/>
        <n v="610.088248"/>
        <n v="94.90465599999999"/>
        <n v="97.435272"/>
        <n v="621.4891319999999"/>
        <n v="1533.5139599999998"/>
        <n v="32.714439999999996"/>
        <n v="673.917464"/>
        <n v="1458.880456"/>
        <n v="581.6352079999999"/>
        <n v="760.496"/>
        <n v="1012.495528"/>
        <n v="1753.0285079999999"/>
        <n v="1252.373012"/>
        <n v="585.6737039999999"/>
        <n v="1512.6003199999998"/>
        <n v="600.503376"/>
        <n v="694.6606479999999"/>
        <n v="93.68524"/>
        <n v="794.3249599999999"/>
        <n v="3933.6"/>
        <n v="144.356564"/>
        <n v="132.831116"/>
        <n v="835.7326559999999"/>
        <n v="213.95506"/>
        <n v="95.71759999999999"/>
        <n v="378.490992"/>
        <n v="590.6956"/>
        <n v="261.492616"/>
        <n v="224.320096"/>
        <n v="172.095"/>
        <n v="378.15007999999995"/>
        <n v="285.186"/>
        <n v="213.666596"/>
        <n v="1823.1777079999997"/>
        <n v="19.79912"/>
        <n v="194.496852"/>
        <n v="142.63233599999998"/>
        <n v="508.52269599999994"/>
        <n v="672.08834"/>
        <n v="505.100464"/>
        <n v="182.466592"/>
        <n v="150.98468"/>
        <n v="4325.51768"/>
        <n v="1310.636184"/>
        <n v="2065.14"/>
        <n v="868.67"/>
        <n v="282.65538399999997"/>
        <n v="528.400488"/>
        <n v="371.44984800000003"/>
        <n v="1124.544124"/>
        <n v="3763.157112"/>
        <n v="255.82167599999997"/>
        <n v="516.58002"/>
        <n v="229.00108"/>
        <n v="220.00624799999997"/>
        <n v="2463.15476"/>
        <n v="1622.2821999999999"/>
        <n v="3186.216"/>
        <n v="351.0738"/>
        <n v="892.900976"/>
        <n v="1145.46432"/>
        <n v="946.220924"/>
        <n v="1013.4658159999999"/>
        <n v="112.29772399999999"/>
        <n v="3028.006608"/>
        <n v="467.96727999999996"/>
        <n v="611.6813559999999"/>
        <n v="440.95655999999997"/>
        <n v="1286.2872"/>
        <n v="33.96008"/>
        <n v="380.248"/>
        <n v="87.273472"/>
        <n v="40.378404"/>
        <n v="612.986"/>
        <n v="130.339836"/>
        <n v="43.636736"/>
        <n v="601.172088"/>
        <n v="127.304408"/>
        <n v="222.163172"/>
        <n v="403.84959999999995"/>
        <n v="1261.282616"/>
        <n v="894.553088"/>
        <n v="1651.5612959999999"/>
        <n v="126.13088399999998"/>
        <n v="3839.1804879999995"/>
        <n v="347.59912"/>
        <n v="701.2100919999999"/>
        <n v="67.29734"/>
        <n v="801.0055239999999"/>
        <n v="405.10835199999997"/>
        <n v="100.024892"/>
        <n v="65.31742799999999"/>
        <n v="452.016532"/>
        <n v="501.86179999999996"/>
        <n v="783.3108799999999"/>
        <n v="702.009924"/>
        <n v="124.636116"/>
        <n v="2621.35104"/>
        <n v="346.77306400000003"/>
        <n v="50.861447999999996"/>
        <n v="1881.578556"/>
        <n v="501.330764"/>
        <n v="1262.7511599999998"/>
        <n v="209.654324"/>
        <n v="2033.6253079999997"/>
        <n v="470.85192"/>
        <n v="59.528479999999995"/>
        <n v="1227.6109999999999"/>
        <n v="3646.3554159999994"/>
        <n v="2440.352992"/>
        <n v="715.6398479999999"/>
        <n v="409.09439999999995"/>
        <n v="779.462508"/>
        <n v="2058.05952"/>
        <n v="305.601384"/>
        <n v="1104.55488"/>
        <n v="674.2846"/>
        <n v="100.76571999999999"/>
        <n v="122.76765599999999"/>
        <n v="850.8376799999999"/>
        <n v="3373.730712"/>
        <n v="93.18042799999999"/>
        <n v="3460.414144"/>
        <n v="252.40599999999998"/>
        <n v="207.739972"/>
        <n v="43.138479999999994"/>
        <n v="495.292688"/>
        <n v="364.64472"/>
        <n v="163.83444"/>
        <n v="360.704564"/>
        <n v="2315.3169599999997"/>
        <n v="2144.677392"/>
        <n v="3680.433504"/>
        <n v="36.35302"/>
        <n v="245.181288"/>
        <n v="248.43962"/>
        <n v="544.370904"/>
        <n v="403.06287999999995"/>
        <n v="2808.0331399999995"/>
        <n v="1592.7408639999999"/>
        <n v="47.203199999999995"/>
        <n v="121.64002399999998"/>
        <n v="194.273948"/>
        <n v="1393.648256"/>
        <n v="852.6078"/>
        <n v="73.35508399999999"/>
        <n v="65.402656"/>
        <n v="432.551768"/>
        <n v="1718.19648"/>
        <n v="33.69784"/>
        <n v="178.29041999999998"/>
        <n v="771.9689999999999"/>
        <n v="3101.755052"/>
        <n v="62.727808"/>
        <n v="733.22304"/>
        <n v="287.887072"/>
        <n v="366.61152"/>
        <n v="396.00862399999994"/>
        <n v="185.40368"/>
        <n v="330.94687999999996"/>
        <n v="1250.4652159999998"/>
        <n v="719.71768"/>
        <n v="1625.52742"/>
        <n v="67.92016"/>
        <n v="1249.494928"/>
        <n v="108.81648799999999"/>
        <n v="767.83872"/>
        <n v="485.65536799999995"/>
        <n v="381.10027999999994"/>
        <n v="495.5811519999999"/>
        <n v="393.22887999999995"/>
        <n v="333.68728799999997"/>
        <n v="1022.6048799999999"/>
        <n v="372.715156"/>
        <n v="448.82376"/>
        <n v="499.21973199999996"/>
        <n v="3500.556532"/>
        <n v="160.2942"/>
        <n v="306.493"/>
        <n v="211.358884"/>
        <n v="58.512299999999996"/>
        <n v="364.638164"/>
        <n v="3877.192176"/>
        <n v="244.912492"/>
        <n v="190.124"/>
        <n v="1415.532184"/>
        <n v="688.7733599999999"/>
        <n v="1976.6077759999998"/>
        <n v="494.32239999999996"/>
        <n v="220.27504399999998"/>
        <n v="1232.00352"/>
        <n v="2005.4672879999998"/>
        <n v="128.484488"/>
        <n v="864.11358"/>
        <n v="387.85296"/>
        <n v="168.94812"/>
        <n v="993.2339999999999"/>
        <n v="93.61968"/>
        <n v="1019.58912"/>
        <n v="859.3801479999998"/>
        <n v="90.590808"/>
        <n v="223.841508"/>
        <n v="422.717768"/>
        <n v="3896.1652399999994"/>
        <n v="268.120732"/>
        <n v="139.44611999999998"/>
        <n v="249.54102799999998"/>
        <n v="192.726732"/>
        <n v="1791.8334719999998"/>
        <n v="400.499484"/>
        <n v="695.0671199999999"/>
        <n v="480.2663359999999"/>
        <n v="1312.006388"/>
        <n v="166.84364399999998"/>
        <n v="2949.0199199999997"/>
        <n v="1170.2459999999999"/>
        <n v="55.981683999999994"/>
        <n v="336.71616"/>
        <n v="91.4562"/>
        <n v="388.7183519999999"/>
        <n v="2303.509604"/>
        <n v="1148.6111999999998"/>
        <n v="122.24317599999999"/>
        <n v="3743.7185719999998"/>
        <n v="2572.5744"/>
        <n v="1083.680576"/>
        <n v="211.98826"/>
        <n v="1907.00928"/>
        <n v="911.592132"/>
        <n v="4287.624"/>
        <n v="121.48268"/>
        <n v="410.52360799999997"/>
        <n v="274.801296"/>
        <n v="1624.9701599999999"/>
        <n v="915.4470599999999"/>
        <n v="206.750016"/>
        <n v="451.80673999999993"/>
        <n v="476.594976"/>
        <n v="273.33930799999996"/>
        <n v="119.968244"/>
        <n v="35.658083999999995"/>
        <n v="109.013168"/>
        <n v="849.62482"/>
        <n v="796.3704319999999"/>
        <n v="1588.643364"/>
        <n v="44.003872"/>
        <n v="1515.2227199999998"/>
        <n v="83.39232"/>
        <n v="186.32807599999998"/>
        <n v="123.49537199999999"/>
        <n v="201.905132"/>
        <n v="668.18752"/>
        <n v="541.158464"/>
        <n v="582.4415959999999"/>
        <n v="900.40104"/>
        <n v="3339.980424"/>
        <n v="48.64552"/>
        <n v="1549.7400599999999"/>
        <n v="373.941128"/>
        <n v="169.8004"/>
        <n v="201.88546399999998"/>
        <n v="613.615376"/>
        <n v="1186.37376"/>
        <n v="170.39043999999998"/>
        <n v="354.410804"/>
        <n v="225.26416"/>
        <n v="3822.187336"/>
        <n v="297.6424"/>
        <n v="769.3990479999999"/>
        <n v="624.190204"/>
        <n v="123.77072399999999"/>
        <n v="114.048176"/>
        <n v="371.469516"/>
        <n v="1052.2379999999998"/>
        <n v="680.0669919999999"/>
        <n v="286.9889"/>
        <n v="374.74096"/>
        <n v="944.064"/>
        <n v="55.726"/>
        <n v="625.4423999999999"/>
        <n v="194.096936"/>
        <n v="2385.4268239999997"/>
        <n v="294.69219999999996"/>
        <n v="1389.31474"/>
        <n v="399.12272399999995"/>
        <n v="412.20194399999997"/>
        <n v="1431.3518119999999"/>
        <n v="3717.4421239999997"/>
        <n v="636.5351519999999"/>
        <n v="314.688"/>
        <n v="819.1722"/>
        <n v="4130.489791999999"/>
        <n v="88.9977"/>
        <n v="247.54144799999997"/>
        <n v="610.42916"/>
        <n v="2780.13736"/>
        <n v="770.913484"/>
        <n v="388.193872"/>
        <n v="337.69956"/>
        <n v="630.077492"/>
        <n v="992.834084"/>
        <n v="330.409288"/>
        <n v="339.823704"/>
        <n v="588.85992"/>
        <n v="204.23251199999999"/>
        <n v="774.715964"/>
        <n v="168.84978"/>
        <n v="340.912"/>
        <n v="383.91936"/>
        <n v="410.66783999999996"/>
        <n v="184.15148399999998"/>
        <n v="470.209432"/>
        <n v="183.476216"/>
        <n v="119.18808"/>
        <n v="426.90705199999996"/>
        <n v="563.1604"/>
        <n v="508.135892"/>
        <n v="851.9522"/>
        <n v="849.8936159999998"/>
        <n v="1270.343008"/>
        <n v="177.39880399999998"/>
        <n v="245.174732"/>
        <n v="121.04342799999999"/>
        <n v="2714.0332120000003"/>
        <n v="1363.648"/>
        <n v="1291.191088"/>
        <n v="3468.4452439999995"/>
        <n v="559.108792"/>
        <n v="337.1423"/>
        <n v="1858.626"/>
        <n v="1472.1760239999999"/>
        <n v="539.13266"/>
        <n v="160.464656"/>
        <n v="269.431932"/>
        <n v="731.9774"/>
        <n v="133.408044"/>
        <n v="232.41019999999997"/>
        <n v="253.330396"/>
        <n v="1103.3747999999998"/>
        <n v="371.312172"/>
        <n v="190.432132"/>
        <n v="629.376"/>
        <n v="2044.790176"/>
        <n v="1424.02876"/>
        <n v="81.61564399999999"/>
        <n v="2065.1334439999996"/>
        <n v="3336.164832"/>
        <n v="176.00237599999997"/>
        <n v="463.50919999999996"/>
        <n v="377.92062"/>
        <n v="171.07881999999998"/>
        <n v="84.755968"/>
        <n v="357.157768"/>
        <n v="215.91530399999996"/>
        <n v="2409.3234439999997"/>
        <n v="103.91915599999999"/>
        <n v="266.947208"/>
        <n v="45.7281"/>
        <n v="250.098288"/>
        <n v="80.24544"/>
        <n v="2316.621604"/>
        <n v="3972.9359999999997"/>
        <n v="1038.4704"/>
        <n v="2336.5584"/>
        <n v="1114.3561"/>
        <n v="397.16247999999996"/>
        <n v="185.24633599999999"/>
        <n v="1191.8808"/>
        <n v="1287.2705999999998"/>
        <n v="895.3070280000001"/>
        <n v="828.94064"/>
        <n v="176.42196"/>
        <n v="264.331364"/>
        <n v="605.7744"/>
        <n v="94.08515599999998"/>
        <n v="1185.967288"/>
        <n v="454.83561199999997"/>
        <n v="678.74268"/>
        <n v="2005.336168"/>
        <n v="1577.7276239999999"/>
        <n v="312.02626399999997"/>
        <n v="107.97731999999999"/>
        <n v="60.05295999999999"/>
        <n v="842.5771199999999"/>
        <n v="2071.6369959999997"/>
        <n v="1534.6940399999999"/>
        <n v="1374.9243199999999"/>
        <n v="630.641308"/>
        <n v="46.160796"/>
        <n v="607.065932"/>
        <n v="654.55104"/>
        <n v="978.8042439999999"/>
        <n v="416.9616"/>
        <n v="612.415628"/>
        <n v="3220.3793159999996"/>
        <n v="2085.581608"/>
        <n v="3397.496212"/>
        <n v="1990.92608"/>
        <n v="581.576204"/>
        <n v="1005.0347999999999"/>
        <n v="1125.79632"/>
        <n v="867.3588"/>
        <n v="261.81386"/>
        <n v="1882.2276"/>
        <n v="468.4262"/>
        <n v="118.26368399999998"/>
        <n v="232.947792"/>
        <n v="995.46304"/>
        <n v="1840.9247999999998"/>
        <n v="1064.3731559999999"/>
        <n v="991.2671999999999"/>
        <n v="345.29140799999993"/>
        <n v="187.0099"/>
        <n v="91.94789999999999"/>
        <n v="274.36204399999997"/>
        <n v="2778.62948"/>
        <n v="990.9852919999998"/>
        <n v="1137.584008"/>
        <n v="2749.8486399999997"/>
        <n v="1192.7134119999998"/>
        <n v="117.693312"/>
        <n v="363.37285599999996"/>
        <n v="2410.7067599999996"/>
        <n v="1042.790804"/>
        <n v="568.2412999999999"/>
        <n v="256.98864399999997"/>
        <n v="903.0693319999999"/>
        <n v="589.3843999999999"/>
        <n v="1203.0587799999998"/>
        <n v="86.27695999999999"/>
        <n v="112.63208"/>
        <n v="188.08508399999997"/>
        <n v="1806.1386639999998"/>
        <n v="141.05889599999998"/>
        <n v="945.3752"/>
        <n v="181.181616"/>
        <n v="237.72056"/>
        <n v="142.35698399999998"/>
        <n v="2359.37328"/>
        <n v="317.06782799999996"/>
        <n v="199.56463999999997"/>
        <n v="3645.9489439999998"/>
        <n v="1025.863212"/>
        <n v="64.760168"/>
        <n v="378.38609599999995"/>
        <n v="315.04202399999997"/>
        <n v="920.108376"/>
        <n v="169.50538"/>
        <n v="532.189856"/>
        <n v="183.358208"/>
        <n v="3475.9649759999998"/>
        <n v="311.029752"/>
        <n v="282.550488"/>
        <n v="2998.8717439999996"/>
        <n v="1202.344176"/>
        <n v="1156.4784"/>
        <n v="2248.708"/>
        <n v="112.06826399999999"/>
        <n v="27.725323999999997"/>
        <n v="993.974828"/>
        <n v="528.820072"/>
        <n v="794.5871999999999"/>
        <n v="647.5885679999999"/>
        <n v="681.0372799999999"/>
        <n v="533.900972"/>
        <n v="531.6194839999999"/>
        <n v="272.04777599999994"/>
        <n v="439.461792"/>
        <n v="933.207264"/>
        <n v="695.46048"/>
        <n v="642.428996"/>
        <n v="643.6352999999999"/>
        <n v="192.02523999999997"/>
        <n v="436.83939200000003"/>
        <n v="318.75271999999995"/>
        <n v="79.183368"/>
        <n v="245.0305"/>
        <n v="521.392124"/>
        <n v="692.0513599999999"/>
        <n v="262.02365199999997"/>
        <n v="287.74283999999994"/>
        <n v="172.19333999999998"/>
        <n v="419.9445799999999"/>
        <n v="570.253992"/>
        <n v="414.32608799999997"/>
        <n v="342.70178799999996"/>
        <n v="293.695688"/>
        <n v="180.152324"/>
        <n v="192.35303999999996"/>
        <n v="736.6124919999999"/>
        <n v="519.012296"/>
        <n v="256.464164"/>
        <n v="770.9856"/>
        <n v="500.35392"/>
        <n v="183.10908"/>
        <n v="3251.048284"/>
        <n v="4105.262304"/>
        <n v="462.28322799999995"/>
        <n v="1101.408"/>
        <n v="255.00217599999996"/>
        <n v="359.53103999999996"/>
        <n v="187.42292799999998"/>
        <n v="3748.58968"/>
        <n v="226.75237199999998"/>
        <n v="120.099364"/>
        <n v="4000.641656"/>
        <n v="35.985884"/>
        <n v="122.59719999999999"/>
        <n v="55.457204"/>
        <n v="200.21368399999997"/>
        <n v="2873.6849239999997"/>
        <n v="317.985668"/>
        <n v="3308.8131999999996"/>
        <n v="109.865448"/>
        <n v="964.1319159999999"/>
        <n v="467.429688"/>
        <n v="2044.68528"/>
        <n v="1652.1119999999999"/>
        <n v="330.88131999999996"/>
        <n v="238.15981199999996"/>
        <n v="86.250736"/>
        <n v="357.16432399999997"/>
        <n v="475.30999999999995"/>
        <n v="619.5419999999999"/>
        <n v="1364.0544719999998"/>
        <n v="1250.557"/>
        <n v="431.2536799999999"/>
        <n v="927.0183999999999"/>
        <n v="290.81760399999996"/>
        <n v="99.8151"/>
        <n v="33.04224"/>
        <n v="129.664568"/>
        <n v="385.46002"/>
        <n v="129.95303199999998"/>
        <n v="722.458088"/>
        <n v="614.9527999999999"/>
        <n v="350.04450799999995"/>
        <n v="999.59332"/>
        <n v="151.14858"/>
        <n v="106.97425199999998"/>
        <n v="408.2749"/>
        <n v="859.09824"/>
        <n v="4168.226128"/>
        <n v="256.398604"/>
        <n v="578.186752"/>
        <n v="100.96239999999999"/>
        <n v="490.38879999999995"/>
        <n v="1190.556488"/>
        <n v="1404.019848"/>
        <n v="91.593876"/>
        <n v="229.768132"/>
        <n v="624.747464"/>
        <n v="124.95080399999999"/>
      </sharedItems>
    </cacheField>
    <cacheField name="Nombre" numFmtId="0">
      <sharedItems>
        <s v="No hay datos"/>
      </sharedItems>
    </cacheField>
    <cacheField name="Ciudad" numFmtId="0">
      <sharedItems>
        <s v="No hay datos"/>
      </sharedItems>
    </cacheField>
    <cacheField name="Región" numFmtId="0">
      <sharedItems>
        <s v="No hay datos"/>
      </sharedItems>
    </cacheField>
    <cacheField name=" " numFmtId="0">
      <sharedItems>
        <e v="#N/A"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inámica Cantidades por Categor" cacheId="0" dataCaption="" rowGrandTotals="0" compact="0" compactData="0">
  <location ref="A1:B2" firstHeaderRow="0" firstDataRow="1" firstDataCol="0"/>
  <pivotFields>
    <pivotField name="Product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ntid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 Brasileñ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t="default"/>
      </items>
    </pivotField>
    <pivotField name="Peso Mexican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t="default"/>
      </items>
    </pivotField>
    <pivotField name="Sol Peruan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t="default"/>
      </items>
    </pivotField>
    <pivotField name="Nombre" compact="0" outline="0" multipleItemSelectionAllowed="1" showAll="0">
      <items>
        <item x="0"/>
        <item t="default"/>
      </items>
    </pivotField>
    <pivotField name="Ciudad" compact="0" outline="0" multipleItemSelectionAllowed="1" showAll="0">
      <items>
        <item x="0"/>
        <item t="default"/>
      </items>
    </pivotField>
    <pivotField name="Región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axis="axisRow" compact="0" outline="0" multipleItemSelectionAllowed="1" showAll="0" sortType="ascending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11"/>
  </rowFields>
  <dataFields>
    <dataField name="SUM of Cantidad" fld="2" baseField="0"/>
  </dataFields>
</pivotTableDefinition>
</file>

<file path=xl/pivotTables/pivotTable2.xml><?xml version="1.0" encoding="utf-8"?>
<pivotTableDefinition xmlns="http://schemas.openxmlformats.org/spreadsheetml/2006/main" name="Dinámica Ventas por Categoría" cacheId="0" dataCaption="" rowGrandTotals="0" compact="0" compactData="0">
  <location ref="A1:B2" firstHeaderRow="0" firstDataRow="1" firstDataCol="0"/>
  <pivotFields>
    <pivotField name="Product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 Brasileñ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t="default"/>
      </items>
    </pivotField>
    <pivotField name="Peso Mexican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t="default"/>
      </items>
    </pivotField>
    <pivotField name="Sol Peruan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t="default"/>
      </items>
    </pivotField>
    <pivotField name="Nombre" compact="0" outline="0" multipleItemSelectionAllowed="1" showAll="0">
      <items>
        <item x="0"/>
        <item t="default"/>
      </items>
    </pivotField>
    <pivotField name="Ciudad" compact="0" outline="0" multipleItemSelectionAllowed="1" showAll="0">
      <items>
        <item x="0"/>
        <item t="default"/>
      </items>
    </pivotField>
    <pivotField name="Región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axis="axisRow" compact="0" outline="0" multipleItemSelectionAllowed="1" showAll="0" sortType="ascending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11"/>
  </rowFields>
  <dataFields>
    <dataField name="SUM of Real Brasileño" fld="3" baseField="0"/>
  </dataFields>
</pivotTableDefinition>
</file>

<file path=xl/pivotTables/pivotTable3.xml><?xml version="1.0" encoding="utf-8"?>
<pivotTableDefinition xmlns="http://schemas.openxmlformats.org/spreadsheetml/2006/main" name="Dinámica Ventas por Vendedor" cacheId="0" dataCaption="" rowGrandTotals="0" compact="0" compactData="0">
  <location ref="A3:E12" firstHeaderRow="0" firstDataRow="1" firstDataCol="0" rowPageCount="1" colPageCount="1"/>
  <pivotFields>
    <pivotField name="Product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al Brasileñ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t="default"/>
      </items>
    </pivotField>
    <pivotField name="Peso Mexican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t="default"/>
      </items>
    </pivotField>
    <pivotField name="Sol Peruan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t="default"/>
      </items>
    </pivotField>
    <pivotField name="Nombre" axis="axisRow" compact="0" outline="0" multipleItemSelectionAllowed="1" showAll="0" sortType="ascending">
      <items>
        <item x="0"/>
        <item t="default"/>
      </items>
    </pivotField>
    <pivotField name="Ciudad" compact="0" outline="0" multipleItemSelectionAllowed="1" showAll="0">
      <items>
        <item x="0"/>
        <item t="default"/>
      </items>
    </pivotField>
    <pivotField name="Región" axis="axisPage" compact="0" outline="0" multipleItemSelectionAllowed="1" showAll="0">
      <items>
        <item h="1"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6"/>
  </rowFields>
  <pageFields>
    <pageField fld="8"/>
  </pageFields>
  <dataFields>
    <dataField name="SUM of Real Brasileño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2.13"/>
    <col customWidth="1" min="11" max="11" width="23.88"/>
  </cols>
  <sheetData>
    <row r="1">
      <c r="A1" s="2" t="str">
        <f>IFERROR(__xludf.DUMMYFUNCTION("importdata(""https://drive.google.com/uc?export=download&amp;id=1U1AR8u12BH41vb1Uvb31WaPc4KTs4qQo&amp;v=2"","";"")"),"Empresa")</f>
        <v>Empresa</v>
      </c>
      <c r="B1" s="2" t="str">
        <f>IFERROR(__xludf.DUMMYFUNCTION("""COMPUTED_VALUE"""),"Número de Documento")</f>
        <v>Número de Documento</v>
      </c>
      <c r="C1" s="2" t="str">
        <f>IFERROR(__xludf.DUMMYFUNCTION("""COMPUTED_VALUE"""),"Año Fiscal")</f>
        <v>Año Fiscal</v>
      </c>
      <c r="D1" s="2" t="str">
        <f>IFERROR(__xludf.DUMMYFUNCTION("""COMPUTED_VALUE"""),"Fecha")</f>
        <v>Fecha</v>
      </c>
      <c r="E1" s="2" t="str">
        <f>IFERROR(__xludf.DUMMYFUNCTION("""COMPUTED_VALUE"""),"Tipo de Documento")</f>
        <v>Tipo de Documento</v>
      </c>
      <c r="F1" s="2" t="str">
        <f>IFERROR(__xludf.DUMMYFUNCTION("""COMPUTED_VALUE"""),"Número de Artículo")</f>
        <v>Número de Artículo</v>
      </c>
      <c r="G1" s="2" t="str">
        <f>IFERROR(__xludf.DUMMYFUNCTION("""COMPUTED_VALUE"""),"Material")</f>
        <v>Material</v>
      </c>
      <c r="H1" s="2" t="str">
        <f>IFERROR(__xludf.DUMMYFUNCTION("""COMPUTED_VALUE"""),"Vendedor")</f>
        <v>Vendedor</v>
      </c>
      <c r="I1" s="2" t="str">
        <f>IFERROR(__xludf.DUMMYFUNCTION("""COMPUTED_VALUE"""),"Cantidad")</f>
        <v>Cantidad</v>
      </c>
      <c r="J1" s="2" t="str">
        <f>IFERROR(__xludf.DUMMYFUNCTION("""COMPUTED_VALUE"""),"Valor en Moneda Local")</f>
        <v>Valor en Moneda Local</v>
      </c>
      <c r="K1" s="2" t="str">
        <f>IFERROR(__xludf.DUMMYFUNCTION("""COMPUTED_VALUE"""),"Valor en Moneda Extranjera")</f>
        <v>Valor en Moneda Extranjera</v>
      </c>
    </row>
    <row r="2">
      <c r="A2" s="2">
        <f>IFERROR(__xludf.DUMMYFUNCTION("""COMPUTED_VALUE"""),1000.0)</f>
        <v>1000</v>
      </c>
      <c r="B2" s="2">
        <f>IFERROR(__xludf.DUMMYFUNCTION("""COMPUTED_VALUE"""),183456.0)</f>
        <v>183456</v>
      </c>
      <c r="C2" s="2">
        <f>IFERROR(__xludf.DUMMYFUNCTION("""COMPUTED_VALUE"""),2026.0)</f>
        <v>2026</v>
      </c>
      <c r="D2" s="2">
        <f>IFERROR(__xludf.DUMMYFUNCTION("""COMPUTED_VALUE"""),46387.0)</f>
        <v>46387</v>
      </c>
      <c r="E2" s="2" t="str">
        <f>IFERROR(__xludf.DUMMYFUNCTION("""COMPUTED_VALUE"""),"VF")</f>
        <v>VF</v>
      </c>
      <c r="F2" s="2">
        <f>IFERROR(__xludf.DUMMYFUNCTION("""COMPUTED_VALUE"""),1.0)</f>
        <v>1</v>
      </c>
      <c r="G2" s="2" t="str">
        <f>IFERROR(__xludf.DUMMYFUNCTION("""COMPUTED_VALUE"""),"PR001")</f>
        <v>PR001</v>
      </c>
      <c r="H2" s="2" t="str">
        <f>IFERROR(__xludf.DUMMYFUNCTION("""COMPUTED_VALUE"""),"VD026")</f>
        <v>VD026</v>
      </c>
      <c r="I2" s="2">
        <f>IFERROR(__xludf.DUMMYFUNCTION("""COMPUTED_VALUE"""),27.0)</f>
        <v>27</v>
      </c>
      <c r="J2" s="2">
        <f>IFERROR(__xludf.DUMMYFUNCTION("""COMPUTED_VALUE"""),1957.23)</f>
        <v>1957.23</v>
      </c>
      <c r="K2" s="2">
        <f>IFERROR(__xludf.DUMMYFUNCTION("""COMPUTED_VALUE"""),1957.23)</f>
        <v>1957.23</v>
      </c>
    </row>
    <row r="3">
      <c r="A3" s="2">
        <f>IFERROR(__xludf.DUMMYFUNCTION("""COMPUTED_VALUE"""),1000.0)</f>
        <v>1000</v>
      </c>
      <c r="B3" s="2">
        <f>IFERROR(__xludf.DUMMYFUNCTION("""COMPUTED_VALUE"""),183456.0)</f>
        <v>183456</v>
      </c>
      <c r="C3" s="2">
        <f>IFERROR(__xludf.DUMMYFUNCTION("""COMPUTED_VALUE"""),2026.0)</f>
        <v>2026</v>
      </c>
      <c r="D3" s="2">
        <f>IFERROR(__xludf.DUMMYFUNCTION("""COMPUTED_VALUE"""),46387.0)</f>
        <v>46387</v>
      </c>
      <c r="E3" s="2" t="str">
        <f>IFERROR(__xludf.DUMMYFUNCTION("""COMPUTED_VALUE"""),"VF")</f>
        <v>VF</v>
      </c>
      <c r="F3" s="2">
        <f>IFERROR(__xludf.DUMMYFUNCTION("""COMPUTED_VALUE"""),2.0)</f>
        <v>2</v>
      </c>
      <c r="G3" s="2" t="str">
        <f>IFERROR(__xludf.DUMMYFUNCTION("""COMPUTED_VALUE"""),"PR058")</f>
        <v>PR058</v>
      </c>
      <c r="H3" s="2" t="str">
        <f>IFERROR(__xludf.DUMMYFUNCTION("""COMPUTED_VALUE"""),"VD037")</f>
        <v>VD037</v>
      </c>
      <c r="I3" s="2">
        <f>IFERROR(__xludf.DUMMYFUNCTION("""COMPUTED_VALUE"""),14.0)</f>
        <v>14</v>
      </c>
      <c r="J3" s="2">
        <f>IFERROR(__xludf.DUMMYFUNCTION("""COMPUTED_VALUE"""),2872.8)</f>
        <v>2872.8</v>
      </c>
      <c r="K3" s="2">
        <f>IFERROR(__xludf.DUMMYFUNCTION("""COMPUTED_VALUE"""),2872.8)</f>
        <v>2872.8</v>
      </c>
    </row>
    <row r="4">
      <c r="A4" s="2">
        <f>IFERROR(__xludf.DUMMYFUNCTION("""COMPUTED_VALUE"""),1000.0)</f>
        <v>1000</v>
      </c>
      <c r="B4" s="2">
        <f>IFERROR(__xludf.DUMMYFUNCTION("""COMPUTED_VALUE"""),183457.0)</f>
        <v>183457</v>
      </c>
      <c r="C4" s="2">
        <f>IFERROR(__xludf.DUMMYFUNCTION("""COMPUTED_VALUE"""),2026.0)</f>
        <v>2026</v>
      </c>
      <c r="D4" s="2">
        <f>IFERROR(__xludf.DUMMYFUNCTION("""COMPUTED_VALUE"""),46387.0)</f>
        <v>46387</v>
      </c>
      <c r="E4" s="2" t="str">
        <f>IFERROR(__xludf.DUMMYFUNCTION("""COMPUTED_VALUE"""),"VF")</f>
        <v>VF</v>
      </c>
      <c r="F4" s="2">
        <f>IFERROR(__xludf.DUMMYFUNCTION("""COMPUTED_VALUE"""),1.0)</f>
        <v>1</v>
      </c>
      <c r="G4" s="2" t="str">
        <f>IFERROR(__xludf.DUMMYFUNCTION("""COMPUTED_VALUE"""),"PR020")</f>
        <v>PR020</v>
      </c>
      <c r="H4" s="2" t="str">
        <f>IFERROR(__xludf.DUMMYFUNCTION("""COMPUTED_VALUE"""),"VD034")</f>
        <v>VD034</v>
      </c>
      <c r="I4" s="2">
        <f>IFERROR(__xludf.DUMMYFUNCTION("""COMPUTED_VALUE"""),20.0)</f>
        <v>20</v>
      </c>
      <c r="J4" s="2">
        <f>IFERROR(__xludf.DUMMYFUNCTION("""COMPUTED_VALUE"""),7137.62)</f>
        <v>7137.62</v>
      </c>
      <c r="K4" s="2">
        <f>IFERROR(__xludf.DUMMYFUNCTION("""COMPUTED_VALUE"""),7137.62)</f>
        <v>7137.62</v>
      </c>
    </row>
    <row r="5">
      <c r="A5" s="2">
        <f>IFERROR(__xludf.DUMMYFUNCTION("""COMPUTED_VALUE"""),1000.0)</f>
        <v>1000</v>
      </c>
      <c r="B5" s="2">
        <f>IFERROR(__xludf.DUMMYFUNCTION("""COMPUTED_VALUE"""),183458.0)</f>
        <v>183458</v>
      </c>
      <c r="C5" s="2">
        <f>IFERROR(__xludf.DUMMYFUNCTION("""COMPUTED_VALUE"""),2026.0)</f>
        <v>2026</v>
      </c>
      <c r="D5" s="3">
        <f>IFERROR(__xludf.DUMMYFUNCTION("""COMPUTED_VALUE"""),46387.0)</f>
        <v>46387</v>
      </c>
      <c r="E5" s="2" t="str">
        <f>IFERROR(__xludf.DUMMYFUNCTION("""COMPUTED_VALUE"""),"VF")</f>
        <v>VF</v>
      </c>
      <c r="F5" s="2">
        <f>IFERROR(__xludf.DUMMYFUNCTION("""COMPUTED_VALUE"""),1.0)</f>
        <v>1</v>
      </c>
      <c r="G5" s="2" t="str">
        <f>IFERROR(__xludf.DUMMYFUNCTION("""COMPUTED_VALUE"""),"PR035")</f>
        <v>PR035</v>
      </c>
      <c r="H5" s="2" t="str">
        <f>IFERROR(__xludf.DUMMYFUNCTION("""COMPUTED_VALUE"""),"VD021")</f>
        <v>VD021</v>
      </c>
      <c r="I5" s="2">
        <f>IFERROR(__xludf.DUMMYFUNCTION("""COMPUTED_VALUE"""),24.0)</f>
        <v>24</v>
      </c>
      <c r="J5" s="2">
        <f>IFERROR(__xludf.DUMMYFUNCTION("""COMPUTED_VALUE"""),2478.77)</f>
        <v>2478.77</v>
      </c>
      <c r="K5" s="2">
        <f>IFERROR(__xludf.DUMMYFUNCTION("""COMPUTED_VALUE"""),2478.77)</f>
        <v>2478.77</v>
      </c>
    </row>
    <row r="6">
      <c r="A6" s="2">
        <f>IFERROR(__xludf.DUMMYFUNCTION("""COMPUTED_VALUE"""),1000.0)</f>
        <v>1000</v>
      </c>
      <c r="B6" s="2">
        <f>IFERROR(__xludf.DUMMYFUNCTION("""COMPUTED_VALUE"""),183459.0)</f>
        <v>183459</v>
      </c>
      <c r="C6" s="2">
        <f>IFERROR(__xludf.DUMMYFUNCTION("""COMPUTED_VALUE"""),2026.0)</f>
        <v>2026</v>
      </c>
      <c r="D6" s="2">
        <f>IFERROR(__xludf.DUMMYFUNCTION("""COMPUTED_VALUE"""),46387.0)</f>
        <v>46387</v>
      </c>
      <c r="E6" s="2" t="str">
        <f>IFERROR(__xludf.DUMMYFUNCTION("""COMPUTED_VALUE"""),"VF")</f>
        <v>VF</v>
      </c>
      <c r="F6" s="2">
        <f>IFERROR(__xludf.DUMMYFUNCTION("""COMPUTED_VALUE"""),1.0)</f>
        <v>1</v>
      </c>
      <c r="G6" s="2" t="str">
        <f>IFERROR(__xludf.DUMMYFUNCTION("""COMPUTED_VALUE"""),"PR016")</f>
        <v>PR016</v>
      </c>
      <c r="H6" s="2" t="str">
        <f>IFERROR(__xludf.DUMMYFUNCTION("""COMPUTED_VALUE"""),"VD027")</f>
        <v>VD027</v>
      </c>
      <c r="I6" s="2">
        <f>IFERROR(__xludf.DUMMYFUNCTION("""COMPUTED_VALUE"""),10.0)</f>
        <v>10</v>
      </c>
      <c r="J6" s="2">
        <f>IFERROR(__xludf.DUMMYFUNCTION("""COMPUTED_VALUE"""),303.03)</f>
        <v>303.03</v>
      </c>
      <c r="K6" s="2">
        <f>IFERROR(__xludf.DUMMYFUNCTION("""COMPUTED_VALUE"""),303.03)</f>
        <v>303.03</v>
      </c>
    </row>
    <row r="7">
      <c r="A7" s="2">
        <f>IFERROR(__xludf.DUMMYFUNCTION("""COMPUTED_VALUE"""),1000.0)</f>
        <v>1000</v>
      </c>
      <c r="B7" s="2">
        <f>IFERROR(__xludf.DUMMYFUNCTION("""COMPUTED_VALUE"""),183460.0)</f>
        <v>183460</v>
      </c>
      <c r="C7" s="2">
        <f>IFERROR(__xludf.DUMMYFUNCTION("""COMPUTED_VALUE"""),2026.0)</f>
        <v>2026</v>
      </c>
      <c r="D7" s="3">
        <f>IFERROR(__xludf.DUMMYFUNCTION("""COMPUTED_VALUE"""),46387.0)</f>
        <v>46387</v>
      </c>
      <c r="E7" s="2" t="str">
        <f>IFERROR(__xludf.DUMMYFUNCTION("""COMPUTED_VALUE"""),"VF")</f>
        <v>VF</v>
      </c>
      <c r="F7" s="2">
        <f>IFERROR(__xludf.DUMMYFUNCTION("""COMPUTED_VALUE"""),1.0)</f>
        <v>1</v>
      </c>
      <c r="G7" s="2" t="str">
        <f>IFERROR(__xludf.DUMMYFUNCTION("""COMPUTED_VALUE"""),"PR051")</f>
        <v>PR051</v>
      </c>
      <c r="H7" s="2" t="str">
        <f>IFERROR(__xludf.DUMMYFUNCTION("""COMPUTED_VALUE"""),"VD048")</f>
        <v>VD048</v>
      </c>
      <c r="I7" s="2">
        <f>IFERROR(__xludf.DUMMYFUNCTION("""COMPUTED_VALUE"""),18.0)</f>
        <v>18</v>
      </c>
      <c r="J7" s="2">
        <f>IFERROR(__xludf.DUMMYFUNCTION("""COMPUTED_VALUE"""),704.72)</f>
        <v>704.72</v>
      </c>
      <c r="K7" s="2">
        <f>IFERROR(__xludf.DUMMYFUNCTION("""COMPUTED_VALUE"""),704.72)</f>
        <v>704.72</v>
      </c>
    </row>
    <row r="8">
      <c r="A8" s="2">
        <f>IFERROR(__xludf.DUMMYFUNCTION("""COMPUTED_VALUE"""),1000.0)</f>
        <v>1000</v>
      </c>
      <c r="B8" s="2">
        <f>IFERROR(__xludf.DUMMYFUNCTION("""COMPUTED_VALUE"""),183461.0)</f>
        <v>183461</v>
      </c>
      <c r="C8" s="2">
        <f>IFERROR(__xludf.DUMMYFUNCTION("""COMPUTED_VALUE"""),2026.0)</f>
        <v>2026</v>
      </c>
      <c r="D8" s="2">
        <f>IFERROR(__xludf.DUMMYFUNCTION("""COMPUTED_VALUE"""),46387.0)</f>
        <v>46387</v>
      </c>
      <c r="E8" s="2" t="str">
        <f>IFERROR(__xludf.DUMMYFUNCTION("""COMPUTED_VALUE"""),"VF")</f>
        <v>VF</v>
      </c>
      <c r="F8" s="2">
        <f>IFERROR(__xludf.DUMMYFUNCTION("""COMPUTED_VALUE"""),1.0)</f>
        <v>1</v>
      </c>
      <c r="G8" s="2" t="str">
        <f>IFERROR(__xludf.DUMMYFUNCTION("""COMPUTED_VALUE"""),"PR042")</f>
        <v>PR042</v>
      </c>
      <c r="H8" s="2" t="str">
        <f>IFERROR(__xludf.DUMMYFUNCTION("""COMPUTED_VALUE"""),"VD025")</f>
        <v>VD025</v>
      </c>
      <c r="I8" s="2">
        <f>IFERROR(__xludf.DUMMYFUNCTION("""COMPUTED_VALUE"""),27.0)</f>
        <v>27</v>
      </c>
      <c r="J8" s="2">
        <f>IFERROR(__xludf.DUMMYFUNCTION("""COMPUTED_VALUE"""),1778.76)</f>
        <v>1778.76</v>
      </c>
      <c r="K8" s="2">
        <f>IFERROR(__xludf.DUMMYFUNCTION("""COMPUTED_VALUE"""),1778.76)</f>
        <v>1778.76</v>
      </c>
    </row>
    <row r="9">
      <c r="A9" s="2">
        <f>IFERROR(__xludf.DUMMYFUNCTION("""COMPUTED_VALUE"""),1000.0)</f>
        <v>1000</v>
      </c>
      <c r="B9" s="2">
        <f>IFERROR(__xludf.DUMMYFUNCTION("""COMPUTED_VALUE"""),183462.0)</f>
        <v>183462</v>
      </c>
      <c r="C9" s="2">
        <f>IFERROR(__xludf.DUMMYFUNCTION("""COMPUTED_VALUE"""),2026.0)</f>
        <v>2026</v>
      </c>
      <c r="D9" s="2">
        <f>IFERROR(__xludf.DUMMYFUNCTION("""COMPUTED_VALUE"""),46387.0)</f>
        <v>46387</v>
      </c>
      <c r="E9" s="2" t="str">
        <f>IFERROR(__xludf.DUMMYFUNCTION("""COMPUTED_VALUE"""),"VF")</f>
        <v>VF</v>
      </c>
      <c r="F9" s="2">
        <f>IFERROR(__xludf.DUMMYFUNCTION("""COMPUTED_VALUE"""),1.0)</f>
        <v>1</v>
      </c>
      <c r="G9" s="2" t="str">
        <f>IFERROR(__xludf.DUMMYFUNCTION("""COMPUTED_VALUE"""),"PR050")</f>
        <v>PR050</v>
      </c>
      <c r="H9" s="2" t="str">
        <f>IFERROR(__xludf.DUMMYFUNCTION("""COMPUTED_VALUE"""),"VD037")</f>
        <v>VD037</v>
      </c>
      <c r="I9" s="2">
        <f>IFERROR(__xludf.DUMMYFUNCTION("""COMPUTED_VALUE"""),14.0)</f>
        <v>14</v>
      </c>
      <c r="J9" s="2">
        <f>IFERROR(__xludf.DUMMYFUNCTION("""COMPUTED_VALUE"""),511.27)</f>
        <v>511.27</v>
      </c>
      <c r="K9" s="2">
        <f>IFERROR(__xludf.DUMMYFUNCTION("""COMPUTED_VALUE"""),511.27)</f>
        <v>511.27</v>
      </c>
    </row>
    <row r="10">
      <c r="A10" s="2">
        <f>IFERROR(__xludf.DUMMYFUNCTION("""COMPUTED_VALUE"""),1000.0)</f>
        <v>1000</v>
      </c>
      <c r="B10" s="2">
        <f>IFERROR(__xludf.DUMMYFUNCTION("""COMPUTED_VALUE"""),183463.0)</f>
        <v>183463</v>
      </c>
      <c r="C10" s="2">
        <f>IFERROR(__xludf.DUMMYFUNCTION("""COMPUTED_VALUE"""),2026.0)</f>
        <v>2026</v>
      </c>
      <c r="D10" s="2">
        <f>IFERROR(__xludf.DUMMYFUNCTION("""COMPUTED_VALUE"""),46387.0)</f>
        <v>46387</v>
      </c>
      <c r="E10" s="2" t="str">
        <f>IFERROR(__xludf.DUMMYFUNCTION("""COMPUTED_VALUE"""),"VF")</f>
        <v>VF</v>
      </c>
      <c r="F10" s="2">
        <f>IFERROR(__xludf.DUMMYFUNCTION("""COMPUTED_VALUE"""),1.0)</f>
        <v>1</v>
      </c>
      <c r="G10" s="2" t="str">
        <f>IFERROR(__xludf.DUMMYFUNCTION("""COMPUTED_VALUE"""),"PR001")</f>
        <v>PR001</v>
      </c>
      <c r="H10" s="2" t="str">
        <f>IFERROR(__xludf.DUMMYFUNCTION("""COMPUTED_VALUE"""),"VD036")</f>
        <v>VD036</v>
      </c>
      <c r="I10" s="2">
        <f>IFERROR(__xludf.DUMMYFUNCTION("""COMPUTED_VALUE"""),12.0)</f>
        <v>12</v>
      </c>
      <c r="J10" s="2">
        <f>IFERROR(__xludf.DUMMYFUNCTION("""COMPUTED_VALUE"""),901.51)</f>
        <v>901.51</v>
      </c>
      <c r="K10" s="2">
        <f>IFERROR(__xludf.DUMMYFUNCTION("""COMPUTED_VALUE"""),901.51)</f>
        <v>901.51</v>
      </c>
    </row>
    <row r="11">
      <c r="A11" s="2">
        <f>IFERROR(__xludf.DUMMYFUNCTION("""COMPUTED_VALUE"""),1000.0)</f>
        <v>1000</v>
      </c>
      <c r="B11" s="2">
        <f>IFERROR(__xludf.DUMMYFUNCTION("""COMPUTED_VALUE"""),183464.0)</f>
        <v>183464</v>
      </c>
      <c r="C11" s="2">
        <f>IFERROR(__xludf.DUMMYFUNCTION("""COMPUTED_VALUE"""),2026.0)</f>
        <v>2026</v>
      </c>
      <c r="D11" s="2">
        <f>IFERROR(__xludf.DUMMYFUNCTION("""COMPUTED_VALUE"""),46387.0)</f>
        <v>46387</v>
      </c>
      <c r="E11" s="2" t="str">
        <f>IFERROR(__xludf.DUMMYFUNCTION("""COMPUTED_VALUE"""),"VF")</f>
        <v>VF</v>
      </c>
      <c r="F11" s="2">
        <f>IFERROR(__xludf.DUMMYFUNCTION("""COMPUTED_VALUE"""),1.0)</f>
        <v>1</v>
      </c>
      <c r="G11" s="2" t="str">
        <f>IFERROR(__xludf.DUMMYFUNCTION("""COMPUTED_VALUE"""),"PR059")</f>
        <v>PR059</v>
      </c>
      <c r="H11" s="2" t="str">
        <f>IFERROR(__xludf.DUMMYFUNCTION("""COMPUTED_VALUE"""),"VD049")</f>
        <v>VD049</v>
      </c>
      <c r="I11" s="2">
        <f>IFERROR(__xludf.DUMMYFUNCTION("""COMPUTED_VALUE"""),27.0)</f>
        <v>27</v>
      </c>
      <c r="J11" s="2">
        <f>IFERROR(__xludf.DUMMYFUNCTION("""COMPUTED_VALUE"""),5783.4)</f>
        <v>5783.4</v>
      </c>
      <c r="K11" s="2">
        <f>IFERROR(__xludf.DUMMYFUNCTION("""COMPUTED_VALUE"""),5783.4)</f>
        <v>5783.4</v>
      </c>
    </row>
    <row r="12">
      <c r="A12" s="2">
        <f>IFERROR(__xludf.DUMMYFUNCTION("""COMPUTED_VALUE"""),1000.0)</f>
        <v>1000</v>
      </c>
      <c r="B12" s="2">
        <f>IFERROR(__xludf.DUMMYFUNCTION("""COMPUTED_VALUE"""),183465.0)</f>
        <v>183465</v>
      </c>
      <c r="C12" s="2">
        <f>IFERROR(__xludf.DUMMYFUNCTION("""COMPUTED_VALUE"""),2026.0)</f>
        <v>2026</v>
      </c>
      <c r="D12" s="2">
        <f>IFERROR(__xludf.DUMMYFUNCTION("""COMPUTED_VALUE"""),46387.0)</f>
        <v>46387</v>
      </c>
      <c r="E12" s="2" t="str">
        <f>IFERROR(__xludf.DUMMYFUNCTION("""COMPUTED_VALUE"""),"VF")</f>
        <v>VF</v>
      </c>
      <c r="F12" s="2">
        <f>IFERROR(__xludf.DUMMYFUNCTION("""COMPUTED_VALUE"""),1.0)</f>
        <v>1</v>
      </c>
      <c r="G12" s="2" t="str">
        <f>IFERROR(__xludf.DUMMYFUNCTION("""COMPUTED_VALUE"""),"PR019")</f>
        <v>PR019</v>
      </c>
      <c r="H12" s="2" t="str">
        <f>IFERROR(__xludf.DUMMYFUNCTION("""COMPUTED_VALUE"""),"VD021")</f>
        <v>VD021</v>
      </c>
      <c r="I12" s="2">
        <f>IFERROR(__xludf.DUMMYFUNCTION("""COMPUTED_VALUE"""),15.0)</f>
        <v>15</v>
      </c>
      <c r="J12" s="2">
        <f>IFERROR(__xludf.DUMMYFUNCTION("""COMPUTED_VALUE"""),845.81)</f>
        <v>845.81</v>
      </c>
      <c r="K12" s="2">
        <f>IFERROR(__xludf.DUMMYFUNCTION("""COMPUTED_VALUE"""),845.81)</f>
        <v>845.81</v>
      </c>
    </row>
    <row r="13">
      <c r="A13" s="2">
        <f>IFERROR(__xludf.DUMMYFUNCTION("""COMPUTED_VALUE"""),1000.0)</f>
        <v>1000</v>
      </c>
      <c r="B13" s="2">
        <f>IFERROR(__xludf.DUMMYFUNCTION("""COMPUTED_VALUE"""),183466.0)</f>
        <v>183466</v>
      </c>
      <c r="C13" s="2">
        <f>IFERROR(__xludf.DUMMYFUNCTION("""COMPUTED_VALUE"""),2026.0)</f>
        <v>2026</v>
      </c>
      <c r="D13" s="2">
        <f>IFERROR(__xludf.DUMMYFUNCTION("""COMPUTED_VALUE"""),46387.0)</f>
        <v>46387</v>
      </c>
      <c r="E13" s="2" t="str">
        <f>IFERROR(__xludf.DUMMYFUNCTION("""COMPUTED_VALUE"""),"VF")</f>
        <v>VF</v>
      </c>
      <c r="F13" s="2">
        <f>IFERROR(__xludf.DUMMYFUNCTION("""COMPUTED_VALUE"""),1.0)</f>
        <v>1</v>
      </c>
      <c r="G13" s="2" t="str">
        <f>IFERROR(__xludf.DUMMYFUNCTION("""COMPUTED_VALUE"""),"PR055")</f>
        <v>PR055</v>
      </c>
      <c r="H13" s="2" t="str">
        <f>IFERROR(__xludf.DUMMYFUNCTION("""COMPUTED_VALUE"""),"VD015")</f>
        <v>VD015</v>
      </c>
      <c r="I13" s="2">
        <f>IFERROR(__xludf.DUMMYFUNCTION("""COMPUTED_VALUE"""),18.0)</f>
        <v>18</v>
      </c>
      <c r="J13" s="2">
        <f>IFERROR(__xludf.DUMMYFUNCTION("""COMPUTED_VALUE"""),1844.75)</f>
        <v>1844.75</v>
      </c>
      <c r="K13" s="2">
        <f>IFERROR(__xludf.DUMMYFUNCTION("""COMPUTED_VALUE"""),1844.75)</f>
        <v>1844.75</v>
      </c>
    </row>
    <row r="14">
      <c r="A14" s="2">
        <f>IFERROR(__xludf.DUMMYFUNCTION("""COMPUTED_VALUE"""),1000.0)</f>
        <v>1000</v>
      </c>
      <c r="B14" s="2">
        <f>IFERROR(__xludf.DUMMYFUNCTION("""COMPUTED_VALUE"""),183466.0)</f>
        <v>183466</v>
      </c>
      <c r="C14" s="2">
        <f>IFERROR(__xludf.DUMMYFUNCTION("""COMPUTED_VALUE"""),2026.0)</f>
        <v>2026</v>
      </c>
      <c r="D14" s="2">
        <f>IFERROR(__xludf.DUMMYFUNCTION("""COMPUTED_VALUE"""),46387.0)</f>
        <v>46387</v>
      </c>
      <c r="E14" s="2" t="str">
        <f>IFERROR(__xludf.DUMMYFUNCTION("""COMPUTED_VALUE"""),"VF")</f>
        <v>VF</v>
      </c>
      <c r="F14" s="2">
        <f>IFERROR(__xludf.DUMMYFUNCTION("""COMPUTED_VALUE"""),2.0)</f>
        <v>2</v>
      </c>
      <c r="G14" s="2" t="str">
        <f>IFERROR(__xludf.DUMMYFUNCTION("""COMPUTED_VALUE"""),"PR052")</f>
        <v>PR052</v>
      </c>
      <c r="H14" s="2" t="str">
        <f>IFERROR(__xludf.DUMMYFUNCTION("""COMPUTED_VALUE"""),"VD012")</f>
        <v>VD012</v>
      </c>
      <c r="I14" s="2">
        <f>IFERROR(__xludf.DUMMYFUNCTION("""COMPUTED_VALUE"""),16.0)</f>
        <v>16</v>
      </c>
      <c r="J14" s="2">
        <f>IFERROR(__xludf.DUMMYFUNCTION("""COMPUTED_VALUE"""),950.1)</f>
        <v>950.1</v>
      </c>
      <c r="K14" s="2">
        <f>IFERROR(__xludf.DUMMYFUNCTION("""COMPUTED_VALUE"""),950.1)</f>
        <v>950.1</v>
      </c>
    </row>
    <row r="15">
      <c r="A15" s="2">
        <f>IFERROR(__xludf.DUMMYFUNCTION("""COMPUTED_VALUE"""),1000.0)</f>
        <v>1000</v>
      </c>
      <c r="B15" s="2">
        <f>IFERROR(__xludf.DUMMYFUNCTION("""COMPUTED_VALUE"""),183466.0)</f>
        <v>183466</v>
      </c>
      <c r="C15" s="2">
        <f>IFERROR(__xludf.DUMMYFUNCTION("""COMPUTED_VALUE"""),2026.0)</f>
        <v>2026</v>
      </c>
      <c r="D15" s="2">
        <f>IFERROR(__xludf.DUMMYFUNCTION("""COMPUTED_VALUE"""),46387.0)</f>
        <v>46387</v>
      </c>
      <c r="E15" s="2" t="str">
        <f>IFERROR(__xludf.DUMMYFUNCTION("""COMPUTED_VALUE"""),"VF")</f>
        <v>VF</v>
      </c>
      <c r="F15" s="2">
        <f>IFERROR(__xludf.DUMMYFUNCTION("""COMPUTED_VALUE"""),3.0)</f>
        <v>3</v>
      </c>
      <c r="G15" s="2" t="str">
        <f>IFERROR(__xludf.DUMMYFUNCTION("""COMPUTED_VALUE"""),"PR052")</f>
        <v>PR052</v>
      </c>
      <c r="H15" s="2" t="str">
        <f>IFERROR(__xludf.DUMMYFUNCTION("""COMPUTED_VALUE"""),"VD043")</f>
        <v>VD043</v>
      </c>
      <c r="I15" s="2">
        <f>IFERROR(__xludf.DUMMYFUNCTION("""COMPUTED_VALUE"""),9.0)</f>
        <v>9</v>
      </c>
      <c r="J15" s="2">
        <f>IFERROR(__xludf.DUMMYFUNCTION("""COMPUTED_VALUE"""),511.97)</f>
        <v>511.97</v>
      </c>
      <c r="K15" s="2">
        <f>IFERROR(__xludf.DUMMYFUNCTION("""COMPUTED_VALUE"""),511.97)</f>
        <v>511.97</v>
      </c>
    </row>
    <row r="16">
      <c r="A16" s="2">
        <f>IFERROR(__xludf.DUMMYFUNCTION("""COMPUTED_VALUE"""),1000.0)</f>
        <v>1000</v>
      </c>
      <c r="B16" s="2">
        <f>IFERROR(__xludf.DUMMYFUNCTION("""COMPUTED_VALUE"""),183467.0)</f>
        <v>183467</v>
      </c>
      <c r="C16" s="2">
        <f>IFERROR(__xludf.DUMMYFUNCTION("""COMPUTED_VALUE"""),2026.0)</f>
        <v>2026</v>
      </c>
      <c r="D16" s="2">
        <f>IFERROR(__xludf.DUMMYFUNCTION("""COMPUTED_VALUE"""),46386.0)</f>
        <v>46386</v>
      </c>
      <c r="E16" s="2" t="str">
        <f>IFERROR(__xludf.DUMMYFUNCTION("""COMPUTED_VALUE"""),"VF")</f>
        <v>VF</v>
      </c>
      <c r="F16" s="2">
        <f>IFERROR(__xludf.DUMMYFUNCTION("""COMPUTED_VALUE"""),1.0)</f>
        <v>1</v>
      </c>
      <c r="G16" s="2" t="str">
        <f>IFERROR(__xludf.DUMMYFUNCTION("""COMPUTED_VALUE"""),"PR014")</f>
        <v>PR014</v>
      </c>
      <c r="H16" s="2" t="str">
        <f>IFERROR(__xludf.DUMMYFUNCTION("""COMPUTED_VALUE"""),"VD020")</f>
        <v>VD020</v>
      </c>
      <c r="I16" s="2">
        <f>IFERROR(__xludf.DUMMYFUNCTION("""COMPUTED_VALUE"""),9.0)</f>
        <v>9</v>
      </c>
      <c r="J16" s="2">
        <f>IFERROR(__xludf.DUMMYFUNCTION("""COMPUTED_VALUE"""),420.15)</f>
        <v>420.15</v>
      </c>
      <c r="K16" s="2">
        <f>IFERROR(__xludf.DUMMYFUNCTION("""COMPUTED_VALUE"""),420.15)</f>
        <v>420.15</v>
      </c>
    </row>
    <row r="17">
      <c r="A17" s="2">
        <f>IFERROR(__xludf.DUMMYFUNCTION("""COMPUTED_VALUE"""),1000.0)</f>
        <v>1000</v>
      </c>
      <c r="B17" s="2">
        <f>IFERROR(__xludf.DUMMYFUNCTION("""COMPUTED_VALUE"""),183468.0)</f>
        <v>183468</v>
      </c>
      <c r="C17" s="2">
        <f>IFERROR(__xludf.DUMMYFUNCTION("""COMPUTED_VALUE"""),2026.0)</f>
        <v>2026</v>
      </c>
      <c r="D17" s="2">
        <f>IFERROR(__xludf.DUMMYFUNCTION("""COMPUTED_VALUE"""),46386.0)</f>
        <v>46386</v>
      </c>
      <c r="E17" s="2" t="str">
        <f>IFERROR(__xludf.DUMMYFUNCTION("""COMPUTED_VALUE"""),"VF")</f>
        <v>VF</v>
      </c>
      <c r="F17" s="2">
        <f>IFERROR(__xludf.DUMMYFUNCTION("""COMPUTED_VALUE"""),1.0)</f>
        <v>1</v>
      </c>
      <c r="G17" s="2" t="str">
        <f>IFERROR(__xludf.DUMMYFUNCTION("""COMPUTED_VALUE"""),"PR055")</f>
        <v>PR055</v>
      </c>
      <c r="H17" s="2" t="str">
        <f>IFERROR(__xludf.DUMMYFUNCTION("""COMPUTED_VALUE"""),"VD019")</f>
        <v>VD019</v>
      </c>
      <c r="I17" s="2">
        <f>IFERROR(__xludf.DUMMYFUNCTION("""COMPUTED_VALUE"""),9.0)</f>
        <v>9</v>
      </c>
      <c r="J17" s="2">
        <f>IFERROR(__xludf.DUMMYFUNCTION("""COMPUTED_VALUE"""),890.01)</f>
        <v>890.01</v>
      </c>
      <c r="K17" s="2">
        <f>IFERROR(__xludf.DUMMYFUNCTION("""COMPUTED_VALUE"""),890.01)</f>
        <v>890.01</v>
      </c>
    </row>
    <row r="18">
      <c r="A18" s="2">
        <f>IFERROR(__xludf.DUMMYFUNCTION("""COMPUTED_VALUE"""),1000.0)</f>
        <v>1000</v>
      </c>
      <c r="B18" s="2">
        <f>IFERROR(__xludf.DUMMYFUNCTION("""COMPUTED_VALUE"""),183469.0)</f>
        <v>183469</v>
      </c>
      <c r="C18" s="2">
        <f>IFERROR(__xludf.DUMMYFUNCTION("""COMPUTED_VALUE"""),2026.0)</f>
        <v>2026</v>
      </c>
      <c r="D18" s="2">
        <f>IFERROR(__xludf.DUMMYFUNCTION("""COMPUTED_VALUE"""),46386.0)</f>
        <v>46386</v>
      </c>
      <c r="E18" s="2" t="str">
        <f>IFERROR(__xludf.DUMMYFUNCTION("""COMPUTED_VALUE"""),"VF")</f>
        <v>VF</v>
      </c>
      <c r="F18" s="2">
        <f>IFERROR(__xludf.DUMMYFUNCTION("""COMPUTED_VALUE"""),1.0)</f>
        <v>1</v>
      </c>
      <c r="G18" s="2" t="str">
        <f>IFERROR(__xludf.DUMMYFUNCTION("""COMPUTED_VALUE"""),"PR045")</f>
        <v>PR045</v>
      </c>
      <c r="H18" s="2" t="str">
        <f>IFERROR(__xludf.DUMMYFUNCTION("""COMPUTED_VALUE"""),"VD041")</f>
        <v>VD041</v>
      </c>
      <c r="I18" s="2">
        <f>IFERROR(__xludf.DUMMYFUNCTION("""COMPUTED_VALUE"""),14.0)</f>
        <v>14</v>
      </c>
      <c r="J18" s="2">
        <f>IFERROR(__xludf.DUMMYFUNCTION("""COMPUTED_VALUE"""),1157.1)</f>
        <v>1157.1</v>
      </c>
      <c r="K18" s="2">
        <f>IFERROR(__xludf.DUMMYFUNCTION("""COMPUTED_VALUE"""),1157.1)</f>
        <v>1157.1</v>
      </c>
    </row>
    <row r="19">
      <c r="A19" s="2">
        <f>IFERROR(__xludf.DUMMYFUNCTION("""COMPUTED_VALUE"""),1000.0)</f>
        <v>1000</v>
      </c>
      <c r="B19" s="2">
        <f>IFERROR(__xludf.DUMMYFUNCTION("""COMPUTED_VALUE"""),183470.0)</f>
        <v>183470</v>
      </c>
      <c r="C19" s="2">
        <f>IFERROR(__xludf.DUMMYFUNCTION("""COMPUTED_VALUE"""),2026.0)</f>
        <v>2026</v>
      </c>
      <c r="D19" s="2">
        <f>IFERROR(__xludf.DUMMYFUNCTION("""COMPUTED_VALUE"""),46386.0)</f>
        <v>46386</v>
      </c>
      <c r="E19" s="2" t="str">
        <f>IFERROR(__xludf.DUMMYFUNCTION("""COMPUTED_VALUE"""),"VF")</f>
        <v>VF</v>
      </c>
      <c r="F19" s="2">
        <f>IFERROR(__xludf.DUMMYFUNCTION("""COMPUTED_VALUE"""),1.0)</f>
        <v>1</v>
      </c>
      <c r="G19" s="2" t="str">
        <f>IFERROR(__xludf.DUMMYFUNCTION("""COMPUTED_VALUE"""),"PR053")</f>
        <v>PR053</v>
      </c>
      <c r="H19" s="2" t="str">
        <f>IFERROR(__xludf.DUMMYFUNCTION("""COMPUTED_VALUE"""),"VD013")</f>
        <v>VD013</v>
      </c>
      <c r="I19" s="2">
        <f>IFERROR(__xludf.DUMMYFUNCTION("""COMPUTED_VALUE"""),9.0)</f>
        <v>9</v>
      </c>
      <c r="J19" s="2">
        <f>IFERROR(__xludf.DUMMYFUNCTION("""COMPUTED_VALUE"""),511.97)</f>
        <v>511.97</v>
      </c>
      <c r="K19" s="2">
        <f>IFERROR(__xludf.DUMMYFUNCTION("""COMPUTED_VALUE"""),511.97)</f>
        <v>511.97</v>
      </c>
    </row>
    <row r="20">
      <c r="A20" s="2">
        <f>IFERROR(__xludf.DUMMYFUNCTION("""COMPUTED_VALUE"""),1000.0)</f>
        <v>1000</v>
      </c>
      <c r="B20" s="2">
        <f>IFERROR(__xludf.DUMMYFUNCTION("""COMPUTED_VALUE"""),183471.0)</f>
        <v>183471</v>
      </c>
      <c r="C20" s="2">
        <f>IFERROR(__xludf.DUMMYFUNCTION("""COMPUTED_VALUE"""),2026.0)</f>
        <v>2026</v>
      </c>
      <c r="D20" s="2">
        <f>IFERROR(__xludf.DUMMYFUNCTION("""COMPUTED_VALUE"""),46386.0)</f>
        <v>46386</v>
      </c>
      <c r="E20" s="2" t="str">
        <f>IFERROR(__xludf.DUMMYFUNCTION("""COMPUTED_VALUE"""),"VF")</f>
        <v>VF</v>
      </c>
      <c r="F20" s="2">
        <f>IFERROR(__xludf.DUMMYFUNCTION("""COMPUTED_VALUE"""),1.0)</f>
        <v>1</v>
      </c>
      <c r="G20" s="2" t="str">
        <f>IFERROR(__xludf.DUMMYFUNCTION("""COMPUTED_VALUE"""),"PR054")</f>
        <v>PR054</v>
      </c>
      <c r="H20" s="2" t="str">
        <f>IFERROR(__xludf.DUMMYFUNCTION("""COMPUTED_VALUE"""),"VD028")</f>
        <v>VD028</v>
      </c>
      <c r="I20" s="2">
        <f>IFERROR(__xludf.DUMMYFUNCTION("""COMPUTED_VALUE"""),9.0)</f>
        <v>9</v>
      </c>
      <c r="J20" s="2">
        <f>IFERROR(__xludf.DUMMYFUNCTION("""COMPUTED_VALUE"""),538.92)</f>
        <v>538.92</v>
      </c>
      <c r="K20" s="2">
        <f>IFERROR(__xludf.DUMMYFUNCTION("""COMPUTED_VALUE"""),538.92)</f>
        <v>538.92</v>
      </c>
    </row>
    <row r="21">
      <c r="A21" s="2">
        <f>IFERROR(__xludf.DUMMYFUNCTION("""COMPUTED_VALUE"""),2000.0)</f>
        <v>2000</v>
      </c>
      <c r="B21" s="2">
        <f>IFERROR(__xludf.DUMMYFUNCTION("""COMPUTED_VALUE"""),183472.0)</f>
        <v>183472</v>
      </c>
      <c r="C21" s="2">
        <f>IFERROR(__xludf.DUMMYFUNCTION("""COMPUTED_VALUE"""),2026.0)</f>
        <v>2026</v>
      </c>
      <c r="D21" s="2">
        <f>IFERROR(__xludf.DUMMYFUNCTION("""COMPUTED_VALUE"""),46386.0)</f>
        <v>46386</v>
      </c>
      <c r="E21" s="2" t="str">
        <f>IFERROR(__xludf.DUMMYFUNCTION("""COMPUTED_VALUE"""),"VF")</f>
        <v>VF</v>
      </c>
      <c r="F21" s="2">
        <f>IFERROR(__xludf.DUMMYFUNCTION("""COMPUTED_VALUE"""),1.0)</f>
        <v>1</v>
      </c>
      <c r="G21" s="2" t="str">
        <f>IFERROR(__xludf.DUMMYFUNCTION("""COMPUTED_VALUE"""),"PR020")</f>
        <v>PR020</v>
      </c>
      <c r="H21" s="2" t="str">
        <f>IFERROR(__xludf.DUMMYFUNCTION("""COMPUTED_VALUE"""),"VD047")</f>
        <v>VD047</v>
      </c>
      <c r="I21" s="2">
        <f>IFERROR(__xludf.DUMMYFUNCTION("""COMPUTED_VALUE"""),27.0)</f>
        <v>27</v>
      </c>
      <c r="J21" s="2">
        <f>IFERROR(__xludf.DUMMYFUNCTION("""COMPUTED_VALUE"""),8907.03)</f>
        <v>8907.03</v>
      </c>
      <c r="K21" s="2">
        <f>IFERROR(__xludf.DUMMYFUNCTION("""COMPUTED_VALUE"""),8907.03)</f>
        <v>8907.03</v>
      </c>
    </row>
    <row r="22">
      <c r="A22" s="2">
        <f>IFERROR(__xludf.DUMMYFUNCTION("""COMPUTED_VALUE"""),1000.0)</f>
        <v>1000</v>
      </c>
      <c r="B22" s="2">
        <f>IFERROR(__xludf.DUMMYFUNCTION("""COMPUTED_VALUE"""),183472.0)</f>
        <v>183472</v>
      </c>
      <c r="C22" s="2">
        <f>IFERROR(__xludf.DUMMYFUNCTION("""COMPUTED_VALUE"""),2026.0)</f>
        <v>2026</v>
      </c>
      <c r="D22" s="2">
        <f>IFERROR(__xludf.DUMMYFUNCTION("""COMPUTED_VALUE"""),46386.0)</f>
        <v>46386</v>
      </c>
      <c r="E22" s="2" t="str">
        <f>IFERROR(__xludf.DUMMYFUNCTION("""COMPUTED_VALUE"""),"VF")</f>
        <v>VF</v>
      </c>
      <c r="F22" s="2">
        <f>IFERROR(__xludf.DUMMYFUNCTION("""COMPUTED_VALUE"""),2.0)</f>
        <v>2</v>
      </c>
      <c r="G22" s="2" t="str">
        <f>IFERROR(__xludf.DUMMYFUNCTION("""COMPUTED_VALUE"""),"PR047")</f>
        <v>PR047</v>
      </c>
      <c r="H22" s="2" t="str">
        <f>IFERROR(__xludf.DUMMYFUNCTION("""COMPUTED_VALUE"""),"VD017")</f>
        <v>VD017</v>
      </c>
      <c r="I22" s="2">
        <f>IFERROR(__xludf.DUMMYFUNCTION("""COMPUTED_VALUE"""),12.0)</f>
        <v>12</v>
      </c>
      <c r="J22" s="2">
        <f>IFERROR(__xludf.DUMMYFUNCTION("""COMPUTED_VALUE"""),4174.56)</f>
        <v>4174.56</v>
      </c>
      <c r="K22" s="2">
        <f>IFERROR(__xludf.DUMMYFUNCTION("""COMPUTED_VALUE"""),4174.56)</f>
        <v>4174.56</v>
      </c>
    </row>
    <row r="23">
      <c r="A23" s="2">
        <f>IFERROR(__xludf.DUMMYFUNCTION("""COMPUTED_VALUE"""),2000.0)</f>
        <v>2000</v>
      </c>
      <c r="B23" s="2">
        <f>IFERROR(__xludf.DUMMYFUNCTION("""COMPUTED_VALUE"""),183473.0)</f>
        <v>183473</v>
      </c>
      <c r="C23" s="2">
        <f>IFERROR(__xludf.DUMMYFUNCTION("""COMPUTED_VALUE"""),2026.0)</f>
        <v>2026</v>
      </c>
      <c r="D23" s="2">
        <f>IFERROR(__xludf.DUMMYFUNCTION("""COMPUTED_VALUE"""),46386.0)</f>
        <v>46386</v>
      </c>
      <c r="E23" s="2" t="str">
        <f>IFERROR(__xludf.DUMMYFUNCTION("""COMPUTED_VALUE"""),"VF")</f>
        <v>VF</v>
      </c>
      <c r="F23" s="2">
        <f>IFERROR(__xludf.DUMMYFUNCTION("""COMPUTED_VALUE"""),1.0)</f>
        <v>1</v>
      </c>
      <c r="G23" s="2" t="str">
        <f>IFERROR(__xludf.DUMMYFUNCTION("""COMPUTED_VALUE"""),"PR047")</f>
        <v>PR047</v>
      </c>
      <c r="H23" s="2" t="str">
        <f>IFERROR(__xludf.DUMMYFUNCTION("""COMPUTED_VALUE"""),"VD040")</f>
        <v>VD040</v>
      </c>
      <c r="I23" s="2">
        <f>IFERROR(__xludf.DUMMYFUNCTION("""COMPUTED_VALUE"""),15.0)</f>
        <v>15</v>
      </c>
      <c r="J23" s="2">
        <f>IFERROR(__xludf.DUMMYFUNCTION("""COMPUTED_VALUE"""),4826.84)</f>
        <v>4826.84</v>
      </c>
      <c r="K23" s="2">
        <f>IFERROR(__xludf.DUMMYFUNCTION("""COMPUTED_VALUE"""),4826.84)</f>
        <v>4826.84</v>
      </c>
    </row>
    <row r="24">
      <c r="A24" s="2">
        <f>IFERROR(__xludf.DUMMYFUNCTION("""COMPUTED_VALUE"""),1000.0)</f>
        <v>1000</v>
      </c>
      <c r="B24" s="2">
        <f>IFERROR(__xludf.DUMMYFUNCTION("""COMPUTED_VALUE"""),183474.0)</f>
        <v>183474</v>
      </c>
      <c r="C24" s="2">
        <f>IFERROR(__xludf.DUMMYFUNCTION("""COMPUTED_VALUE"""),2026.0)</f>
        <v>2026</v>
      </c>
      <c r="D24" s="2">
        <f>IFERROR(__xludf.DUMMYFUNCTION("""COMPUTED_VALUE"""),46386.0)</f>
        <v>46386</v>
      </c>
      <c r="E24" s="2" t="str">
        <f>IFERROR(__xludf.DUMMYFUNCTION("""COMPUTED_VALUE"""),"VF")</f>
        <v>VF</v>
      </c>
      <c r="F24" s="2">
        <f>IFERROR(__xludf.DUMMYFUNCTION("""COMPUTED_VALUE"""),1.0)</f>
        <v>1</v>
      </c>
      <c r="G24" s="2" t="str">
        <f>IFERROR(__xludf.DUMMYFUNCTION("""COMPUTED_VALUE"""),"PR003")</f>
        <v>PR003</v>
      </c>
      <c r="H24" s="2" t="str">
        <f>IFERROR(__xludf.DUMMYFUNCTION("""COMPUTED_VALUE"""),"VD033")</f>
        <v>VD033</v>
      </c>
      <c r="I24" s="2">
        <f>IFERROR(__xludf.DUMMYFUNCTION("""COMPUTED_VALUE"""),8.0)</f>
        <v>8</v>
      </c>
      <c r="J24" s="2">
        <f>IFERROR(__xludf.DUMMYFUNCTION("""COMPUTED_VALUE"""),629.59)</f>
        <v>629.59</v>
      </c>
      <c r="K24" s="2">
        <f>IFERROR(__xludf.DUMMYFUNCTION("""COMPUTED_VALUE"""),629.59)</f>
        <v>629.59</v>
      </c>
    </row>
    <row r="25">
      <c r="A25" s="2">
        <f>IFERROR(__xludf.DUMMYFUNCTION("""COMPUTED_VALUE"""),1000.0)</f>
        <v>1000</v>
      </c>
      <c r="B25" s="2">
        <f>IFERROR(__xludf.DUMMYFUNCTION("""COMPUTED_VALUE"""),183475.0)</f>
        <v>183475</v>
      </c>
      <c r="C25" s="2">
        <f>IFERROR(__xludf.DUMMYFUNCTION("""COMPUTED_VALUE"""),2026.0)</f>
        <v>2026</v>
      </c>
      <c r="D25" s="2">
        <f>IFERROR(__xludf.DUMMYFUNCTION("""COMPUTED_VALUE"""),46386.0)</f>
        <v>46386</v>
      </c>
      <c r="E25" s="2" t="str">
        <f>IFERROR(__xludf.DUMMYFUNCTION("""COMPUTED_VALUE"""),"VF")</f>
        <v>VF</v>
      </c>
      <c r="F25" s="2">
        <f>IFERROR(__xludf.DUMMYFUNCTION("""COMPUTED_VALUE"""),1.0)</f>
        <v>1</v>
      </c>
      <c r="G25" s="2" t="str">
        <f>IFERROR(__xludf.DUMMYFUNCTION("""COMPUTED_VALUE"""),"PR058")</f>
        <v>PR058</v>
      </c>
      <c r="H25" s="2" t="str">
        <f>IFERROR(__xludf.DUMMYFUNCTION("""COMPUTED_VALUE"""),"VD014")</f>
        <v>VD014</v>
      </c>
      <c r="I25" s="2">
        <f>IFERROR(__xludf.DUMMYFUNCTION("""COMPUTED_VALUE"""),21.0)</f>
        <v>21</v>
      </c>
      <c r="J25" s="2">
        <f>IFERROR(__xludf.DUMMYFUNCTION("""COMPUTED_VALUE"""),4536.0)</f>
        <v>4536</v>
      </c>
      <c r="K25" s="2">
        <f>IFERROR(__xludf.DUMMYFUNCTION("""COMPUTED_VALUE"""),4536.0)</f>
        <v>4536</v>
      </c>
    </row>
    <row r="26">
      <c r="A26" s="2">
        <f>IFERROR(__xludf.DUMMYFUNCTION("""COMPUTED_VALUE"""),2000.0)</f>
        <v>2000</v>
      </c>
      <c r="B26" s="2">
        <f>IFERROR(__xludf.DUMMYFUNCTION("""COMPUTED_VALUE"""),183476.0)</f>
        <v>183476</v>
      </c>
      <c r="C26" s="2">
        <f>IFERROR(__xludf.DUMMYFUNCTION("""COMPUTED_VALUE"""),2026.0)</f>
        <v>2026</v>
      </c>
      <c r="D26" s="2">
        <f>IFERROR(__xludf.DUMMYFUNCTION("""COMPUTED_VALUE"""),46386.0)</f>
        <v>46386</v>
      </c>
      <c r="E26" s="2" t="str">
        <f>IFERROR(__xludf.DUMMYFUNCTION("""COMPUTED_VALUE"""),"VF")</f>
        <v>VF</v>
      </c>
      <c r="F26" s="2">
        <f>IFERROR(__xludf.DUMMYFUNCTION("""COMPUTED_VALUE"""),1.0)</f>
        <v>1</v>
      </c>
      <c r="G26" s="2" t="str">
        <f>IFERROR(__xludf.DUMMYFUNCTION("""COMPUTED_VALUE"""),"PR049")</f>
        <v>PR049</v>
      </c>
      <c r="H26" s="2" t="str">
        <f>IFERROR(__xludf.DUMMYFUNCTION("""COMPUTED_VALUE"""),"VD029")</f>
        <v>VD029</v>
      </c>
      <c r="I26" s="2">
        <f>IFERROR(__xludf.DUMMYFUNCTION("""COMPUTED_VALUE"""),12.0)</f>
        <v>12</v>
      </c>
      <c r="J26" s="2">
        <f>IFERROR(__xludf.DUMMYFUNCTION("""COMPUTED_VALUE"""),473.76)</f>
        <v>473.76</v>
      </c>
      <c r="K26" s="2">
        <f>IFERROR(__xludf.DUMMYFUNCTION("""COMPUTED_VALUE"""),473.76)</f>
        <v>473.76</v>
      </c>
    </row>
    <row r="27">
      <c r="A27" s="2">
        <f>IFERROR(__xludf.DUMMYFUNCTION("""COMPUTED_VALUE"""),1000.0)</f>
        <v>1000</v>
      </c>
      <c r="B27" s="2">
        <f>IFERROR(__xludf.DUMMYFUNCTION("""COMPUTED_VALUE"""),183477.0)</f>
        <v>183477</v>
      </c>
      <c r="C27" s="2">
        <f>IFERROR(__xludf.DUMMYFUNCTION("""COMPUTED_VALUE"""),2026.0)</f>
        <v>2026</v>
      </c>
      <c r="D27" s="2">
        <f>IFERROR(__xludf.DUMMYFUNCTION("""COMPUTED_VALUE"""),46386.0)</f>
        <v>46386</v>
      </c>
      <c r="E27" s="2" t="str">
        <f>IFERROR(__xludf.DUMMYFUNCTION("""COMPUTED_VALUE"""),"VF")</f>
        <v>VF</v>
      </c>
      <c r="F27" s="2">
        <f>IFERROR(__xludf.DUMMYFUNCTION("""COMPUTED_VALUE"""),1.0)</f>
        <v>1</v>
      </c>
      <c r="G27" s="2" t="str">
        <f>IFERROR(__xludf.DUMMYFUNCTION("""COMPUTED_VALUE"""),"PR035")</f>
        <v>PR035</v>
      </c>
      <c r="H27" s="2" t="str">
        <f>IFERROR(__xludf.DUMMYFUNCTION("""COMPUTED_VALUE"""),"VD010")</f>
        <v>VD010</v>
      </c>
      <c r="I27" s="2">
        <f>IFERROR(__xludf.DUMMYFUNCTION("""COMPUTED_VALUE"""),27.0)</f>
        <v>27</v>
      </c>
      <c r="J27" s="2">
        <f>IFERROR(__xludf.DUMMYFUNCTION("""COMPUTED_VALUE"""),2763.94)</f>
        <v>2763.94</v>
      </c>
      <c r="K27" s="2">
        <f>IFERROR(__xludf.DUMMYFUNCTION("""COMPUTED_VALUE"""),2763.94)</f>
        <v>2763.94</v>
      </c>
    </row>
    <row r="28">
      <c r="A28" s="2">
        <f>IFERROR(__xludf.DUMMYFUNCTION("""COMPUTED_VALUE"""),2000.0)</f>
        <v>2000</v>
      </c>
      <c r="B28" s="2">
        <f>IFERROR(__xludf.DUMMYFUNCTION("""COMPUTED_VALUE"""),183478.0)</f>
        <v>183478</v>
      </c>
      <c r="C28" s="2">
        <f>IFERROR(__xludf.DUMMYFUNCTION("""COMPUTED_VALUE"""),2026.0)</f>
        <v>2026</v>
      </c>
      <c r="D28" s="2">
        <f>IFERROR(__xludf.DUMMYFUNCTION("""COMPUTED_VALUE"""),46386.0)</f>
        <v>46386</v>
      </c>
      <c r="E28" s="2" t="str">
        <f>IFERROR(__xludf.DUMMYFUNCTION("""COMPUTED_VALUE"""),"VF")</f>
        <v>VF</v>
      </c>
      <c r="F28" s="2">
        <f>IFERROR(__xludf.DUMMYFUNCTION("""COMPUTED_VALUE"""),1.0)</f>
        <v>1</v>
      </c>
      <c r="G28" s="2" t="str">
        <f>IFERROR(__xludf.DUMMYFUNCTION("""COMPUTED_VALUE"""),"PR003")</f>
        <v>PR003</v>
      </c>
      <c r="H28" s="2" t="str">
        <f>IFERROR(__xludf.DUMMYFUNCTION("""COMPUTED_VALUE"""),"VD024")</f>
        <v>VD024</v>
      </c>
      <c r="I28" s="2">
        <f>IFERROR(__xludf.DUMMYFUNCTION("""COMPUTED_VALUE"""),18.0)</f>
        <v>18</v>
      </c>
      <c r="J28" s="2">
        <f>IFERROR(__xludf.DUMMYFUNCTION("""COMPUTED_VALUE"""),1480.39)</f>
        <v>1480.39</v>
      </c>
      <c r="K28" s="2">
        <f>IFERROR(__xludf.DUMMYFUNCTION("""COMPUTED_VALUE"""),1480.39)</f>
        <v>1480.39</v>
      </c>
    </row>
    <row r="29">
      <c r="A29" s="2">
        <f>IFERROR(__xludf.DUMMYFUNCTION("""COMPUTED_VALUE"""),2000.0)</f>
        <v>2000</v>
      </c>
      <c r="B29" s="2">
        <f>IFERROR(__xludf.DUMMYFUNCTION("""COMPUTED_VALUE"""),183479.0)</f>
        <v>183479</v>
      </c>
      <c r="C29" s="2">
        <f>IFERROR(__xludf.DUMMYFUNCTION("""COMPUTED_VALUE"""),2026.0)</f>
        <v>2026</v>
      </c>
      <c r="D29" s="2">
        <f>IFERROR(__xludf.DUMMYFUNCTION("""COMPUTED_VALUE"""),46385.0)</f>
        <v>46385</v>
      </c>
      <c r="E29" s="2" t="str">
        <f>IFERROR(__xludf.DUMMYFUNCTION("""COMPUTED_VALUE"""),"VF")</f>
        <v>VF</v>
      </c>
      <c r="F29" s="2">
        <f>IFERROR(__xludf.DUMMYFUNCTION("""COMPUTED_VALUE"""),1.0)</f>
        <v>1</v>
      </c>
      <c r="G29" s="2" t="str">
        <f>IFERROR(__xludf.DUMMYFUNCTION("""COMPUTED_VALUE"""),"PR006")</f>
        <v>PR006</v>
      </c>
      <c r="H29" s="2" t="str">
        <f>IFERROR(__xludf.DUMMYFUNCTION("""COMPUTED_VALUE"""),"VD021")</f>
        <v>VD021</v>
      </c>
      <c r="I29" s="2">
        <f>IFERROR(__xludf.DUMMYFUNCTION("""COMPUTED_VALUE"""),27.0)</f>
        <v>27</v>
      </c>
      <c r="J29" s="2">
        <f>IFERROR(__xludf.DUMMYFUNCTION("""COMPUTED_VALUE"""),1249.67)</f>
        <v>1249.67</v>
      </c>
      <c r="K29" s="2">
        <f>IFERROR(__xludf.DUMMYFUNCTION("""COMPUTED_VALUE"""),1249.67)</f>
        <v>1249.67</v>
      </c>
    </row>
    <row r="30">
      <c r="A30" s="2">
        <f>IFERROR(__xludf.DUMMYFUNCTION("""COMPUTED_VALUE"""),1000.0)</f>
        <v>1000</v>
      </c>
      <c r="B30" s="2">
        <f>IFERROR(__xludf.DUMMYFUNCTION("""COMPUTED_VALUE"""),183479.0)</f>
        <v>183479</v>
      </c>
      <c r="C30" s="2">
        <f>IFERROR(__xludf.DUMMYFUNCTION("""COMPUTED_VALUE"""),2026.0)</f>
        <v>2026</v>
      </c>
      <c r="D30" s="2">
        <f>IFERROR(__xludf.DUMMYFUNCTION("""COMPUTED_VALUE"""),46385.0)</f>
        <v>46385</v>
      </c>
      <c r="E30" s="2" t="str">
        <f>IFERROR(__xludf.DUMMYFUNCTION("""COMPUTED_VALUE"""),"VF")</f>
        <v>VF</v>
      </c>
      <c r="F30" s="2">
        <f>IFERROR(__xludf.DUMMYFUNCTION("""COMPUTED_VALUE"""),2.0)</f>
        <v>2</v>
      </c>
      <c r="G30" s="2" t="str">
        <f>IFERROR(__xludf.DUMMYFUNCTION("""COMPUTED_VALUE"""),"PR002")</f>
        <v>PR002</v>
      </c>
      <c r="H30" s="2" t="str">
        <f>IFERROR(__xludf.DUMMYFUNCTION("""COMPUTED_VALUE"""),"VD040")</f>
        <v>VD040</v>
      </c>
      <c r="I30" s="2">
        <f>IFERROR(__xludf.DUMMYFUNCTION("""COMPUTED_VALUE"""),24.0)</f>
        <v>24</v>
      </c>
      <c r="J30" s="2">
        <f>IFERROR(__xludf.DUMMYFUNCTION("""COMPUTED_VALUE"""),1996.34)</f>
        <v>1996.34</v>
      </c>
      <c r="K30" s="2">
        <f>IFERROR(__xludf.DUMMYFUNCTION("""COMPUTED_VALUE"""),1996.34)</f>
        <v>1996.34</v>
      </c>
    </row>
    <row r="31">
      <c r="A31" s="2">
        <f>IFERROR(__xludf.DUMMYFUNCTION("""COMPUTED_VALUE"""),1000.0)</f>
        <v>1000</v>
      </c>
      <c r="B31" s="2">
        <f>IFERROR(__xludf.DUMMYFUNCTION("""COMPUTED_VALUE"""),183479.0)</f>
        <v>183479</v>
      </c>
      <c r="C31" s="2">
        <f>IFERROR(__xludf.DUMMYFUNCTION("""COMPUTED_VALUE"""),2026.0)</f>
        <v>2026</v>
      </c>
      <c r="D31" s="2">
        <f>IFERROR(__xludf.DUMMYFUNCTION("""COMPUTED_VALUE"""),46384.0)</f>
        <v>46384</v>
      </c>
      <c r="E31" s="2" t="str">
        <f>IFERROR(__xludf.DUMMYFUNCTION("""COMPUTED_VALUE"""),"VF")</f>
        <v>VF</v>
      </c>
      <c r="F31" s="2">
        <f>IFERROR(__xludf.DUMMYFUNCTION("""COMPUTED_VALUE"""),3.0)</f>
        <v>3</v>
      </c>
      <c r="G31" s="2" t="str">
        <f>IFERROR(__xludf.DUMMYFUNCTION("""COMPUTED_VALUE"""),"PR038")</f>
        <v>PR038</v>
      </c>
      <c r="H31" s="2" t="str">
        <f>IFERROR(__xludf.DUMMYFUNCTION("""COMPUTED_VALUE"""),"VD016")</f>
        <v>VD016</v>
      </c>
      <c r="I31" s="2">
        <f>IFERROR(__xludf.DUMMYFUNCTION("""COMPUTED_VALUE"""),12.0)</f>
        <v>12</v>
      </c>
      <c r="J31" s="2">
        <f>IFERROR(__xludf.DUMMYFUNCTION("""COMPUTED_VALUE"""),1972.02)</f>
        <v>1972.02</v>
      </c>
      <c r="K31" s="2">
        <f>IFERROR(__xludf.DUMMYFUNCTION("""COMPUTED_VALUE"""),1972.02)</f>
        <v>1972.02</v>
      </c>
    </row>
    <row r="32">
      <c r="A32" s="2">
        <f>IFERROR(__xludf.DUMMYFUNCTION("""COMPUTED_VALUE"""),1000.0)</f>
        <v>1000</v>
      </c>
      <c r="B32" s="2">
        <f>IFERROR(__xludf.DUMMYFUNCTION("""COMPUTED_VALUE"""),183480.0)</f>
        <v>183480</v>
      </c>
      <c r="C32" s="2">
        <f>IFERROR(__xludf.DUMMYFUNCTION("""COMPUTED_VALUE"""),2026.0)</f>
        <v>2026</v>
      </c>
      <c r="D32" s="2">
        <f>IFERROR(__xludf.DUMMYFUNCTION("""COMPUTED_VALUE"""),46384.0)</f>
        <v>46384</v>
      </c>
      <c r="E32" s="2" t="str">
        <f>IFERROR(__xludf.DUMMYFUNCTION("""COMPUTED_VALUE"""),"VF")</f>
        <v>VF</v>
      </c>
      <c r="F32" s="2">
        <f>IFERROR(__xludf.DUMMYFUNCTION("""COMPUTED_VALUE"""),1.0)</f>
        <v>1</v>
      </c>
      <c r="G32" s="2" t="str">
        <f>IFERROR(__xludf.DUMMYFUNCTION("""COMPUTED_VALUE"""),"PR027")</f>
        <v>PR027</v>
      </c>
      <c r="H32" s="2" t="str">
        <f>IFERROR(__xludf.DUMMYFUNCTION("""COMPUTED_VALUE"""),"VD035")</f>
        <v>VD035</v>
      </c>
      <c r="I32" s="2">
        <f>IFERROR(__xludf.DUMMYFUNCTION("""COMPUTED_VALUE"""),30.0)</f>
        <v>30</v>
      </c>
      <c r="J32" s="2">
        <f>IFERROR(__xludf.DUMMYFUNCTION("""COMPUTED_VALUE"""),3996.0)</f>
        <v>3996</v>
      </c>
      <c r="K32" s="2">
        <f>IFERROR(__xludf.DUMMYFUNCTION("""COMPUTED_VALUE"""),3996.0)</f>
        <v>3996</v>
      </c>
    </row>
    <row r="33">
      <c r="A33" s="2">
        <f>IFERROR(__xludf.DUMMYFUNCTION("""COMPUTED_VALUE"""),1000.0)</f>
        <v>1000</v>
      </c>
      <c r="B33" s="2">
        <f>IFERROR(__xludf.DUMMYFUNCTION("""COMPUTED_VALUE"""),183480.0)</f>
        <v>183480</v>
      </c>
      <c r="C33" s="2">
        <f>IFERROR(__xludf.DUMMYFUNCTION("""COMPUTED_VALUE"""),2026.0)</f>
        <v>2026</v>
      </c>
      <c r="D33" s="2">
        <f>IFERROR(__xludf.DUMMYFUNCTION("""COMPUTED_VALUE"""),46384.0)</f>
        <v>46384</v>
      </c>
      <c r="E33" s="2" t="str">
        <f>IFERROR(__xludf.DUMMYFUNCTION("""COMPUTED_VALUE"""),"VF")</f>
        <v>VF</v>
      </c>
      <c r="F33" s="2">
        <f>IFERROR(__xludf.DUMMYFUNCTION("""COMPUTED_VALUE"""),2.0)</f>
        <v>2</v>
      </c>
      <c r="G33" s="2" t="str">
        <f>IFERROR(__xludf.DUMMYFUNCTION("""COMPUTED_VALUE"""),"PR059")</f>
        <v>PR059</v>
      </c>
      <c r="H33" s="2" t="str">
        <f>IFERROR(__xludf.DUMMYFUNCTION("""COMPUTED_VALUE"""),"VD049")</f>
        <v>VD049</v>
      </c>
      <c r="I33" s="2">
        <f>IFERROR(__xludf.DUMMYFUNCTION("""COMPUTED_VALUE"""),12.0)</f>
        <v>12</v>
      </c>
      <c r="J33" s="2">
        <f>IFERROR(__xludf.DUMMYFUNCTION("""COMPUTED_VALUE"""),2419.2)</f>
        <v>2419.2</v>
      </c>
      <c r="K33" s="2">
        <f>IFERROR(__xludf.DUMMYFUNCTION("""COMPUTED_VALUE"""),2419.2)</f>
        <v>2419.2</v>
      </c>
    </row>
    <row r="34">
      <c r="A34" s="2">
        <f>IFERROR(__xludf.DUMMYFUNCTION("""COMPUTED_VALUE"""),1000.0)</f>
        <v>1000</v>
      </c>
      <c r="B34" s="2">
        <f>IFERROR(__xludf.DUMMYFUNCTION("""COMPUTED_VALUE"""),183480.0)</f>
        <v>183480</v>
      </c>
      <c r="C34" s="2">
        <f>IFERROR(__xludf.DUMMYFUNCTION("""COMPUTED_VALUE"""),2026.0)</f>
        <v>2026</v>
      </c>
      <c r="D34" s="2">
        <f>IFERROR(__xludf.DUMMYFUNCTION("""COMPUTED_VALUE"""),46383.0)</f>
        <v>46383</v>
      </c>
      <c r="E34" s="2" t="str">
        <f>IFERROR(__xludf.DUMMYFUNCTION("""COMPUTED_VALUE"""),"VF")</f>
        <v>VF</v>
      </c>
      <c r="F34" s="2">
        <f>IFERROR(__xludf.DUMMYFUNCTION("""COMPUTED_VALUE"""),3.0)</f>
        <v>3</v>
      </c>
      <c r="G34" s="2" t="str">
        <f>IFERROR(__xludf.DUMMYFUNCTION("""COMPUTED_VALUE"""),"PR035")</f>
        <v>PR035</v>
      </c>
      <c r="H34" s="2" t="str">
        <f>IFERROR(__xludf.DUMMYFUNCTION("""COMPUTED_VALUE"""),"VD019")</f>
        <v>VD019</v>
      </c>
      <c r="I34" s="2">
        <f>IFERROR(__xludf.DUMMYFUNCTION("""COMPUTED_VALUE"""),21.0)</f>
        <v>21</v>
      </c>
      <c r="J34" s="2">
        <f>IFERROR(__xludf.DUMMYFUNCTION("""COMPUTED_VALUE"""),2207.31)</f>
        <v>2207.31</v>
      </c>
      <c r="K34" s="2">
        <f>IFERROR(__xludf.DUMMYFUNCTION("""COMPUTED_VALUE"""),2207.31)</f>
        <v>2207.31</v>
      </c>
    </row>
    <row r="35">
      <c r="A35" s="2">
        <f>IFERROR(__xludf.DUMMYFUNCTION("""COMPUTED_VALUE"""),1000.0)</f>
        <v>1000</v>
      </c>
      <c r="B35" s="2">
        <f>IFERROR(__xludf.DUMMYFUNCTION("""COMPUTED_VALUE"""),183481.0)</f>
        <v>183481</v>
      </c>
      <c r="C35" s="2">
        <f>IFERROR(__xludf.DUMMYFUNCTION("""COMPUTED_VALUE"""),2026.0)</f>
        <v>2026</v>
      </c>
      <c r="D35" s="2">
        <f>IFERROR(__xludf.DUMMYFUNCTION("""COMPUTED_VALUE"""),46383.0)</f>
        <v>46383</v>
      </c>
      <c r="E35" s="2" t="str">
        <f>IFERROR(__xludf.DUMMYFUNCTION("""COMPUTED_VALUE"""),"VF")</f>
        <v>VF</v>
      </c>
      <c r="F35" s="2">
        <f>IFERROR(__xludf.DUMMYFUNCTION("""COMPUTED_VALUE"""),1.0)</f>
        <v>1</v>
      </c>
      <c r="G35" s="2" t="str">
        <f>IFERROR(__xludf.DUMMYFUNCTION("""COMPUTED_VALUE"""),"PR028")</f>
        <v>PR028</v>
      </c>
      <c r="H35" s="2" t="str">
        <f>IFERROR(__xludf.DUMMYFUNCTION("""COMPUTED_VALUE"""),"VD011")</f>
        <v>VD011</v>
      </c>
      <c r="I35" s="2">
        <f>IFERROR(__xludf.DUMMYFUNCTION("""COMPUTED_VALUE"""),16.0)</f>
        <v>16</v>
      </c>
      <c r="J35" s="2">
        <f>IFERROR(__xludf.DUMMYFUNCTION("""COMPUTED_VALUE"""),4718.11)</f>
        <v>4718.11</v>
      </c>
      <c r="K35" s="2">
        <f>IFERROR(__xludf.DUMMYFUNCTION("""COMPUTED_VALUE"""),4718.11)</f>
        <v>4718.11</v>
      </c>
    </row>
    <row r="36">
      <c r="A36" s="2">
        <f>IFERROR(__xludf.DUMMYFUNCTION("""COMPUTED_VALUE"""),1000.0)</f>
        <v>1000</v>
      </c>
      <c r="B36" s="2">
        <f>IFERROR(__xludf.DUMMYFUNCTION("""COMPUTED_VALUE"""),183482.0)</f>
        <v>183482</v>
      </c>
      <c r="C36" s="2">
        <f>IFERROR(__xludf.DUMMYFUNCTION("""COMPUTED_VALUE"""),2026.0)</f>
        <v>2026</v>
      </c>
      <c r="D36" s="2">
        <f>IFERROR(__xludf.DUMMYFUNCTION("""COMPUTED_VALUE"""),46382.0)</f>
        <v>46382</v>
      </c>
      <c r="E36" s="2" t="str">
        <f>IFERROR(__xludf.DUMMYFUNCTION("""COMPUTED_VALUE"""),"VF")</f>
        <v>VF</v>
      </c>
      <c r="F36" s="2">
        <f>IFERROR(__xludf.DUMMYFUNCTION("""COMPUTED_VALUE"""),1.0)</f>
        <v>1</v>
      </c>
      <c r="G36" s="2" t="str">
        <f>IFERROR(__xludf.DUMMYFUNCTION("""COMPUTED_VALUE"""),"PR018")</f>
        <v>PR018</v>
      </c>
      <c r="H36" s="2" t="str">
        <f>IFERROR(__xludf.DUMMYFUNCTION("""COMPUTED_VALUE"""),"VD016")</f>
        <v>VD016</v>
      </c>
      <c r="I36" s="2">
        <f>IFERROR(__xludf.DUMMYFUNCTION("""COMPUTED_VALUE"""),10.0)</f>
        <v>10</v>
      </c>
      <c r="J36" s="2">
        <f>IFERROR(__xludf.DUMMYFUNCTION("""COMPUTED_VALUE"""),378.35)</f>
        <v>378.35</v>
      </c>
      <c r="K36" s="2">
        <f>IFERROR(__xludf.DUMMYFUNCTION("""COMPUTED_VALUE"""),378.35)</f>
        <v>378.35</v>
      </c>
    </row>
    <row r="37">
      <c r="A37" s="2">
        <f>IFERROR(__xludf.DUMMYFUNCTION("""COMPUTED_VALUE"""),2000.0)</f>
        <v>2000</v>
      </c>
      <c r="B37" s="2">
        <f>IFERROR(__xludf.DUMMYFUNCTION("""COMPUTED_VALUE"""),183483.0)</f>
        <v>183483</v>
      </c>
      <c r="C37" s="2">
        <f>IFERROR(__xludf.DUMMYFUNCTION("""COMPUTED_VALUE"""),2026.0)</f>
        <v>2026</v>
      </c>
      <c r="D37" s="2">
        <f>IFERROR(__xludf.DUMMYFUNCTION("""COMPUTED_VALUE"""),46382.0)</f>
        <v>46382</v>
      </c>
      <c r="E37" s="2" t="str">
        <f>IFERROR(__xludf.DUMMYFUNCTION("""COMPUTED_VALUE"""),"VF")</f>
        <v>VF</v>
      </c>
      <c r="F37" s="2">
        <f>IFERROR(__xludf.DUMMYFUNCTION("""COMPUTED_VALUE"""),1.0)</f>
        <v>1</v>
      </c>
      <c r="G37" s="2" t="str">
        <f>IFERROR(__xludf.DUMMYFUNCTION("""COMPUTED_VALUE"""),"PR035")</f>
        <v>PR035</v>
      </c>
      <c r="H37" s="2" t="str">
        <f>IFERROR(__xludf.DUMMYFUNCTION("""COMPUTED_VALUE"""),"VD018")</f>
        <v>VD018</v>
      </c>
      <c r="I37" s="2">
        <f>IFERROR(__xludf.DUMMYFUNCTION("""COMPUTED_VALUE"""),28.0)</f>
        <v>28</v>
      </c>
      <c r="J37" s="2">
        <f>IFERROR(__xludf.DUMMYFUNCTION("""COMPUTED_VALUE"""),2149.73)</f>
        <v>2149.73</v>
      </c>
      <c r="K37" s="2">
        <f>IFERROR(__xludf.DUMMYFUNCTION("""COMPUTED_VALUE"""),2149.73)</f>
        <v>2149.73</v>
      </c>
    </row>
    <row r="38">
      <c r="A38" s="2">
        <f>IFERROR(__xludf.DUMMYFUNCTION("""COMPUTED_VALUE"""),1000.0)</f>
        <v>1000</v>
      </c>
      <c r="B38" s="2">
        <f>IFERROR(__xludf.DUMMYFUNCTION("""COMPUTED_VALUE"""),183483.0)</f>
        <v>183483</v>
      </c>
      <c r="C38" s="2">
        <f>IFERROR(__xludf.DUMMYFUNCTION("""COMPUTED_VALUE"""),2026.0)</f>
        <v>2026</v>
      </c>
      <c r="D38" s="2">
        <f>IFERROR(__xludf.DUMMYFUNCTION("""COMPUTED_VALUE"""),46381.0)</f>
        <v>46381</v>
      </c>
      <c r="E38" s="2" t="str">
        <f>IFERROR(__xludf.DUMMYFUNCTION("""COMPUTED_VALUE"""),"VF")</f>
        <v>VF</v>
      </c>
      <c r="F38" s="2">
        <f>IFERROR(__xludf.DUMMYFUNCTION("""COMPUTED_VALUE"""),2.0)</f>
        <v>2</v>
      </c>
      <c r="G38" s="2" t="str">
        <f>IFERROR(__xludf.DUMMYFUNCTION("""COMPUTED_VALUE"""),"PR057")</f>
        <v>PR057</v>
      </c>
      <c r="H38" s="2" t="str">
        <f>IFERROR(__xludf.DUMMYFUNCTION("""COMPUTED_VALUE"""),"VD034")</f>
        <v>VD034</v>
      </c>
      <c r="I38" s="2">
        <f>IFERROR(__xludf.DUMMYFUNCTION("""COMPUTED_VALUE"""),9.0)</f>
        <v>9</v>
      </c>
      <c r="J38" s="2">
        <f>IFERROR(__xludf.DUMMYFUNCTION("""COMPUTED_VALUE"""),906.19)</f>
        <v>906.19</v>
      </c>
      <c r="K38" s="2">
        <f>IFERROR(__xludf.DUMMYFUNCTION("""COMPUTED_VALUE"""),906.19)</f>
        <v>906.19</v>
      </c>
    </row>
    <row r="39">
      <c r="A39" s="2">
        <f>IFERROR(__xludf.DUMMYFUNCTION("""COMPUTED_VALUE"""),1000.0)</f>
        <v>1000</v>
      </c>
      <c r="B39" s="2">
        <f>IFERROR(__xludf.DUMMYFUNCTION("""COMPUTED_VALUE"""),183484.0)</f>
        <v>183484</v>
      </c>
      <c r="C39" s="2">
        <f>IFERROR(__xludf.DUMMYFUNCTION("""COMPUTED_VALUE"""),2026.0)</f>
        <v>2026</v>
      </c>
      <c r="D39" s="2">
        <f>IFERROR(__xludf.DUMMYFUNCTION("""COMPUTED_VALUE"""),46381.0)</f>
        <v>46381</v>
      </c>
      <c r="E39" s="2" t="str">
        <f>IFERROR(__xludf.DUMMYFUNCTION("""COMPUTED_VALUE"""),"VF")</f>
        <v>VF</v>
      </c>
      <c r="F39" s="2">
        <f>IFERROR(__xludf.DUMMYFUNCTION("""COMPUTED_VALUE"""),1.0)</f>
        <v>1</v>
      </c>
      <c r="G39" s="2" t="str">
        <f>IFERROR(__xludf.DUMMYFUNCTION("""COMPUTED_VALUE"""),"PR004")</f>
        <v>PR004</v>
      </c>
      <c r="H39" s="2" t="str">
        <f>IFERROR(__xludf.DUMMYFUNCTION("""COMPUTED_VALUE"""),"VD024")</f>
        <v>VD024</v>
      </c>
      <c r="I39" s="2">
        <f>IFERROR(__xludf.DUMMYFUNCTION("""COMPUTED_VALUE"""),15.0)</f>
        <v>15</v>
      </c>
      <c r="J39" s="2">
        <f>IFERROR(__xludf.DUMMYFUNCTION("""COMPUTED_VALUE"""),2610.0)</f>
        <v>2610</v>
      </c>
      <c r="K39" s="2">
        <f>IFERROR(__xludf.DUMMYFUNCTION("""COMPUTED_VALUE"""),2610.0)</f>
        <v>2610</v>
      </c>
    </row>
    <row r="40">
      <c r="A40" s="2">
        <f>IFERROR(__xludf.DUMMYFUNCTION("""COMPUTED_VALUE"""),1000.0)</f>
        <v>1000</v>
      </c>
      <c r="B40" s="2">
        <f>IFERROR(__xludf.DUMMYFUNCTION("""COMPUTED_VALUE"""),183485.0)</f>
        <v>183485</v>
      </c>
      <c r="C40" s="2">
        <f>IFERROR(__xludf.DUMMYFUNCTION("""COMPUTED_VALUE"""),2026.0)</f>
        <v>2026</v>
      </c>
      <c r="D40" s="2">
        <f>IFERROR(__xludf.DUMMYFUNCTION("""COMPUTED_VALUE"""),46381.0)</f>
        <v>46381</v>
      </c>
      <c r="E40" s="2" t="str">
        <f>IFERROR(__xludf.DUMMYFUNCTION("""COMPUTED_VALUE"""),"VF")</f>
        <v>VF</v>
      </c>
      <c r="F40" s="2">
        <f>IFERROR(__xludf.DUMMYFUNCTION("""COMPUTED_VALUE"""),1.0)</f>
        <v>1</v>
      </c>
      <c r="G40" s="2" t="str">
        <f>IFERROR(__xludf.DUMMYFUNCTION("""COMPUTED_VALUE"""),"PR014")</f>
        <v>PR014</v>
      </c>
      <c r="H40" s="2" t="str">
        <f>IFERROR(__xludf.DUMMYFUNCTION("""COMPUTED_VALUE"""),"VD011")</f>
        <v>VD011</v>
      </c>
      <c r="I40" s="2">
        <f>IFERROR(__xludf.DUMMYFUNCTION("""COMPUTED_VALUE"""),12.0)</f>
        <v>12</v>
      </c>
      <c r="J40" s="2">
        <f>IFERROR(__xludf.DUMMYFUNCTION("""COMPUTED_VALUE"""),560.2)</f>
        <v>560.2</v>
      </c>
      <c r="K40" s="2">
        <f>IFERROR(__xludf.DUMMYFUNCTION("""COMPUTED_VALUE"""),560.2)</f>
        <v>560.2</v>
      </c>
    </row>
    <row r="41">
      <c r="A41" s="2">
        <f>IFERROR(__xludf.DUMMYFUNCTION("""COMPUTED_VALUE"""),2000.0)</f>
        <v>2000</v>
      </c>
      <c r="B41" s="2">
        <f>IFERROR(__xludf.DUMMYFUNCTION("""COMPUTED_VALUE"""),183486.0)</f>
        <v>183486</v>
      </c>
      <c r="C41" s="2">
        <f>IFERROR(__xludf.DUMMYFUNCTION("""COMPUTED_VALUE"""),2026.0)</f>
        <v>2026</v>
      </c>
      <c r="D41" s="2">
        <f>IFERROR(__xludf.DUMMYFUNCTION("""COMPUTED_VALUE"""),46381.0)</f>
        <v>46381</v>
      </c>
      <c r="E41" s="2" t="str">
        <f>IFERROR(__xludf.DUMMYFUNCTION("""COMPUTED_VALUE"""),"VF")</f>
        <v>VF</v>
      </c>
      <c r="F41" s="2">
        <f>IFERROR(__xludf.DUMMYFUNCTION("""COMPUTED_VALUE"""),1.0)</f>
        <v>1</v>
      </c>
      <c r="G41" s="2" t="str">
        <f>IFERROR(__xludf.DUMMYFUNCTION("""COMPUTED_VALUE"""),"PR027")</f>
        <v>PR027</v>
      </c>
      <c r="H41" s="2" t="str">
        <f>IFERROR(__xludf.DUMMYFUNCTION("""COMPUTED_VALUE"""),"VD018")</f>
        <v>VD018</v>
      </c>
      <c r="I41" s="2">
        <f>IFERROR(__xludf.DUMMYFUNCTION("""COMPUTED_VALUE"""),27.0)</f>
        <v>27</v>
      </c>
      <c r="J41" s="2">
        <f>IFERROR(__xludf.DUMMYFUNCTION("""COMPUTED_VALUE"""),3888.0)</f>
        <v>3888</v>
      </c>
      <c r="K41" s="2">
        <f>IFERROR(__xludf.DUMMYFUNCTION("""COMPUTED_VALUE"""),3888.0)</f>
        <v>3888</v>
      </c>
    </row>
    <row r="42">
      <c r="A42" s="2">
        <f>IFERROR(__xludf.DUMMYFUNCTION("""COMPUTED_VALUE"""),1000.0)</f>
        <v>1000</v>
      </c>
      <c r="B42" s="2">
        <f>IFERROR(__xludf.DUMMYFUNCTION("""COMPUTED_VALUE"""),183487.0)</f>
        <v>183487</v>
      </c>
      <c r="C42" s="2">
        <f>IFERROR(__xludf.DUMMYFUNCTION("""COMPUTED_VALUE"""),2026.0)</f>
        <v>2026</v>
      </c>
      <c r="D42" s="2">
        <f>IFERROR(__xludf.DUMMYFUNCTION("""COMPUTED_VALUE"""),46381.0)</f>
        <v>46381</v>
      </c>
      <c r="E42" s="2" t="str">
        <f>IFERROR(__xludf.DUMMYFUNCTION("""COMPUTED_VALUE"""),"VF")</f>
        <v>VF</v>
      </c>
      <c r="F42" s="2">
        <f>IFERROR(__xludf.DUMMYFUNCTION("""COMPUTED_VALUE"""),1.0)</f>
        <v>1</v>
      </c>
      <c r="G42" s="2" t="str">
        <f>IFERROR(__xludf.DUMMYFUNCTION("""COMPUTED_VALUE"""),"PR032")</f>
        <v>PR032</v>
      </c>
      <c r="H42" s="2" t="str">
        <f>IFERROR(__xludf.DUMMYFUNCTION("""COMPUTED_VALUE"""),"VD011")</f>
        <v>VD011</v>
      </c>
      <c r="I42" s="2">
        <f>IFERROR(__xludf.DUMMYFUNCTION("""COMPUTED_VALUE"""),24.0)</f>
        <v>24</v>
      </c>
      <c r="J42" s="2">
        <f>IFERROR(__xludf.DUMMYFUNCTION("""COMPUTED_VALUE"""),6600.0)</f>
        <v>6600</v>
      </c>
      <c r="K42" s="2">
        <f>IFERROR(__xludf.DUMMYFUNCTION("""COMPUTED_VALUE"""),6600.0)</f>
        <v>6600</v>
      </c>
    </row>
    <row r="43">
      <c r="A43" s="2">
        <f>IFERROR(__xludf.DUMMYFUNCTION("""COMPUTED_VALUE"""),2000.0)</f>
        <v>2000</v>
      </c>
      <c r="B43" s="2">
        <f>IFERROR(__xludf.DUMMYFUNCTION("""COMPUTED_VALUE"""),183487.0)</f>
        <v>183487</v>
      </c>
      <c r="C43" s="2">
        <f>IFERROR(__xludf.DUMMYFUNCTION("""COMPUTED_VALUE"""),2026.0)</f>
        <v>2026</v>
      </c>
      <c r="D43" s="2">
        <f>IFERROR(__xludf.DUMMYFUNCTION("""COMPUTED_VALUE"""),46381.0)</f>
        <v>46381</v>
      </c>
      <c r="E43" s="2" t="str">
        <f>IFERROR(__xludf.DUMMYFUNCTION("""COMPUTED_VALUE"""),"VF")</f>
        <v>VF</v>
      </c>
      <c r="F43" s="2">
        <f>IFERROR(__xludf.DUMMYFUNCTION("""COMPUTED_VALUE"""),2.0)</f>
        <v>2</v>
      </c>
      <c r="G43" s="2" t="str">
        <f>IFERROR(__xludf.DUMMYFUNCTION("""COMPUTED_VALUE"""),"PR006")</f>
        <v>PR006</v>
      </c>
      <c r="H43" s="2" t="str">
        <f>IFERROR(__xludf.DUMMYFUNCTION("""COMPUTED_VALUE"""),"VD015")</f>
        <v>VD015</v>
      </c>
      <c r="I43" s="2">
        <f>IFERROR(__xludf.DUMMYFUNCTION("""COMPUTED_VALUE"""),27.0)</f>
        <v>27</v>
      </c>
      <c r="J43" s="2">
        <f>IFERROR(__xludf.DUMMYFUNCTION("""COMPUTED_VALUE"""),1260.44)</f>
        <v>1260.44</v>
      </c>
      <c r="K43" s="2">
        <f>IFERROR(__xludf.DUMMYFUNCTION("""COMPUTED_VALUE"""),1260.44)</f>
        <v>1260.44</v>
      </c>
    </row>
    <row r="44">
      <c r="A44" s="2">
        <f>IFERROR(__xludf.DUMMYFUNCTION("""COMPUTED_VALUE"""),2000.0)</f>
        <v>2000</v>
      </c>
      <c r="B44" s="2">
        <f>IFERROR(__xludf.DUMMYFUNCTION("""COMPUTED_VALUE"""),183488.0)</f>
        <v>183488</v>
      </c>
      <c r="C44" s="2">
        <f>IFERROR(__xludf.DUMMYFUNCTION("""COMPUTED_VALUE"""),2026.0)</f>
        <v>2026</v>
      </c>
      <c r="D44" s="2">
        <f>IFERROR(__xludf.DUMMYFUNCTION("""COMPUTED_VALUE"""),46381.0)</f>
        <v>46381</v>
      </c>
      <c r="E44" s="2" t="str">
        <f>IFERROR(__xludf.DUMMYFUNCTION("""COMPUTED_VALUE"""),"VF")</f>
        <v>VF</v>
      </c>
      <c r="F44" s="2">
        <f>IFERROR(__xludf.DUMMYFUNCTION("""COMPUTED_VALUE"""),1.0)</f>
        <v>1</v>
      </c>
      <c r="G44" s="2" t="str">
        <f>IFERROR(__xludf.DUMMYFUNCTION("""COMPUTED_VALUE"""),"PR028")</f>
        <v>PR028</v>
      </c>
      <c r="H44" s="2" t="str">
        <f>IFERROR(__xludf.DUMMYFUNCTION("""COMPUTED_VALUE"""),"VD048")</f>
        <v>VD048</v>
      </c>
      <c r="I44" s="2">
        <f>IFERROR(__xludf.DUMMYFUNCTION("""COMPUTED_VALUE"""),20.0)</f>
        <v>20</v>
      </c>
      <c r="J44" s="2">
        <f>IFERROR(__xludf.DUMMYFUNCTION("""COMPUTED_VALUE"""),5597.76)</f>
        <v>5597.76</v>
      </c>
      <c r="K44" s="2">
        <f>IFERROR(__xludf.DUMMYFUNCTION("""COMPUTED_VALUE"""),5597.76)</f>
        <v>5597.76</v>
      </c>
    </row>
    <row r="45">
      <c r="A45" s="2">
        <f>IFERROR(__xludf.DUMMYFUNCTION("""COMPUTED_VALUE"""),1000.0)</f>
        <v>1000</v>
      </c>
      <c r="B45" s="2">
        <f>IFERROR(__xludf.DUMMYFUNCTION("""COMPUTED_VALUE"""),183489.0)</f>
        <v>183489</v>
      </c>
      <c r="C45" s="2">
        <f>IFERROR(__xludf.DUMMYFUNCTION("""COMPUTED_VALUE"""),2026.0)</f>
        <v>2026</v>
      </c>
      <c r="D45" s="2">
        <f>IFERROR(__xludf.DUMMYFUNCTION("""COMPUTED_VALUE"""),46381.0)</f>
        <v>46381</v>
      </c>
      <c r="E45" s="2" t="str">
        <f>IFERROR(__xludf.DUMMYFUNCTION("""COMPUTED_VALUE"""),"VF")</f>
        <v>VF</v>
      </c>
      <c r="F45" s="2">
        <f>IFERROR(__xludf.DUMMYFUNCTION("""COMPUTED_VALUE"""),1.0)</f>
        <v>1</v>
      </c>
      <c r="G45" s="2" t="str">
        <f>IFERROR(__xludf.DUMMYFUNCTION("""COMPUTED_VALUE"""),"PR033")</f>
        <v>PR033</v>
      </c>
      <c r="H45" s="2" t="str">
        <f>IFERROR(__xludf.DUMMYFUNCTION("""COMPUTED_VALUE"""),"VD024")</f>
        <v>VD024</v>
      </c>
      <c r="I45" s="2">
        <f>IFERROR(__xludf.DUMMYFUNCTION("""COMPUTED_VALUE"""),24.0)</f>
        <v>24</v>
      </c>
      <c r="J45" s="2">
        <f>IFERROR(__xludf.DUMMYFUNCTION("""COMPUTED_VALUE"""),7485.12)</f>
        <v>7485.12</v>
      </c>
      <c r="K45" s="2">
        <f>IFERROR(__xludf.DUMMYFUNCTION("""COMPUTED_VALUE"""),7485.12)</f>
        <v>7485.12</v>
      </c>
    </row>
    <row r="46">
      <c r="A46" s="2">
        <f>IFERROR(__xludf.DUMMYFUNCTION("""COMPUTED_VALUE"""),1000.0)</f>
        <v>1000</v>
      </c>
      <c r="B46" s="2">
        <f>IFERROR(__xludf.DUMMYFUNCTION("""COMPUTED_VALUE"""),183490.0)</f>
        <v>183490</v>
      </c>
      <c r="C46" s="2">
        <f>IFERROR(__xludf.DUMMYFUNCTION("""COMPUTED_VALUE"""),2026.0)</f>
        <v>2026</v>
      </c>
      <c r="D46" s="2">
        <f>IFERROR(__xludf.DUMMYFUNCTION("""COMPUTED_VALUE"""),46381.0)</f>
        <v>46381</v>
      </c>
      <c r="E46" s="2" t="str">
        <f>IFERROR(__xludf.DUMMYFUNCTION("""COMPUTED_VALUE"""),"VF")</f>
        <v>VF</v>
      </c>
      <c r="F46" s="2">
        <f>IFERROR(__xludf.DUMMYFUNCTION("""COMPUTED_VALUE"""),1.0)</f>
        <v>1</v>
      </c>
      <c r="G46" s="2" t="str">
        <f>IFERROR(__xludf.DUMMYFUNCTION("""COMPUTED_VALUE"""),"PR008")</f>
        <v>PR008</v>
      </c>
      <c r="H46" s="2" t="str">
        <f>IFERROR(__xludf.DUMMYFUNCTION("""COMPUTED_VALUE"""),"VD027")</f>
        <v>VD027</v>
      </c>
      <c r="I46" s="2">
        <f>IFERROR(__xludf.DUMMYFUNCTION("""COMPUTED_VALUE"""),20.0)</f>
        <v>20</v>
      </c>
      <c r="J46" s="2">
        <f>IFERROR(__xludf.DUMMYFUNCTION("""COMPUTED_VALUE"""),2049.72)</f>
        <v>2049.72</v>
      </c>
      <c r="K46" s="2">
        <f>IFERROR(__xludf.DUMMYFUNCTION("""COMPUTED_VALUE"""),2049.72)</f>
        <v>2049.72</v>
      </c>
    </row>
    <row r="47">
      <c r="A47" s="2">
        <f>IFERROR(__xludf.DUMMYFUNCTION("""COMPUTED_VALUE"""),1000.0)</f>
        <v>1000</v>
      </c>
      <c r="B47" s="2">
        <f>IFERROR(__xludf.DUMMYFUNCTION("""COMPUTED_VALUE"""),183491.0)</f>
        <v>183491</v>
      </c>
      <c r="C47" s="2">
        <f>IFERROR(__xludf.DUMMYFUNCTION("""COMPUTED_VALUE"""),2026.0)</f>
        <v>2026</v>
      </c>
      <c r="D47" s="2">
        <f>IFERROR(__xludf.DUMMYFUNCTION("""COMPUTED_VALUE"""),46381.0)</f>
        <v>46381</v>
      </c>
      <c r="E47" s="2" t="str">
        <f>IFERROR(__xludf.DUMMYFUNCTION("""COMPUTED_VALUE"""),"VF")</f>
        <v>VF</v>
      </c>
      <c r="F47" s="2">
        <f>IFERROR(__xludf.DUMMYFUNCTION("""COMPUTED_VALUE"""),1.0)</f>
        <v>1</v>
      </c>
      <c r="G47" s="2" t="str">
        <f>IFERROR(__xludf.DUMMYFUNCTION("""COMPUTED_VALUE"""),"PR013")</f>
        <v>PR013</v>
      </c>
      <c r="H47" s="2" t="str">
        <f>IFERROR(__xludf.DUMMYFUNCTION("""COMPUTED_VALUE"""),"VD048")</f>
        <v>VD048</v>
      </c>
      <c r="I47" s="2">
        <f>IFERROR(__xludf.DUMMYFUNCTION("""COMPUTED_VALUE"""),27.0)</f>
        <v>27</v>
      </c>
      <c r="J47" s="2">
        <f>IFERROR(__xludf.DUMMYFUNCTION("""COMPUTED_VALUE"""),1238.9)</f>
        <v>1238.9</v>
      </c>
      <c r="K47" s="2">
        <f>IFERROR(__xludf.DUMMYFUNCTION("""COMPUTED_VALUE"""),1238.9)</f>
        <v>1238.9</v>
      </c>
    </row>
    <row r="48">
      <c r="A48" s="2">
        <f>IFERROR(__xludf.DUMMYFUNCTION("""COMPUTED_VALUE"""),1000.0)</f>
        <v>1000</v>
      </c>
      <c r="B48" s="2">
        <f>IFERROR(__xludf.DUMMYFUNCTION("""COMPUTED_VALUE"""),183492.0)</f>
        <v>183492</v>
      </c>
      <c r="C48" s="2">
        <f>IFERROR(__xludf.DUMMYFUNCTION("""COMPUTED_VALUE"""),2026.0)</f>
        <v>2026</v>
      </c>
      <c r="D48" s="2">
        <f>IFERROR(__xludf.DUMMYFUNCTION("""COMPUTED_VALUE"""),46381.0)</f>
        <v>46381</v>
      </c>
      <c r="E48" s="2" t="str">
        <f>IFERROR(__xludf.DUMMYFUNCTION("""COMPUTED_VALUE"""),"VF")</f>
        <v>VF</v>
      </c>
      <c r="F48" s="2">
        <f>IFERROR(__xludf.DUMMYFUNCTION("""COMPUTED_VALUE"""),1.0)</f>
        <v>1</v>
      </c>
      <c r="G48" s="2" t="str">
        <f>IFERROR(__xludf.DUMMYFUNCTION("""COMPUTED_VALUE"""),"PR011")</f>
        <v>PR011</v>
      </c>
      <c r="H48" s="2" t="str">
        <f>IFERROR(__xludf.DUMMYFUNCTION("""COMPUTED_VALUE"""),"VD026")</f>
        <v>VD026</v>
      </c>
      <c r="I48" s="2">
        <f>IFERROR(__xludf.DUMMYFUNCTION("""COMPUTED_VALUE"""),18.0)</f>
        <v>18</v>
      </c>
      <c r="J48" s="2">
        <f>IFERROR(__xludf.DUMMYFUNCTION("""COMPUTED_VALUE"""),1013.04)</f>
        <v>1013.04</v>
      </c>
      <c r="K48" s="2">
        <f>IFERROR(__xludf.DUMMYFUNCTION("""COMPUTED_VALUE"""),1013.04)</f>
        <v>1013.04</v>
      </c>
    </row>
    <row r="49">
      <c r="A49" s="2">
        <f>IFERROR(__xludf.DUMMYFUNCTION("""COMPUTED_VALUE"""),1000.0)</f>
        <v>1000</v>
      </c>
      <c r="B49" s="2">
        <f>IFERROR(__xludf.DUMMYFUNCTION("""COMPUTED_VALUE"""),183493.0)</f>
        <v>183493</v>
      </c>
      <c r="C49" s="2">
        <f>IFERROR(__xludf.DUMMYFUNCTION("""COMPUTED_VALUE"""),2026.0)</f>
        <v>2026</v>
      </c>
      <c r="D49" s="2">
        <f>IFERROR(__xludf.DUMMYFUNCTION("""COMPUTED_VALUE"""),46381.0)</f>
        <v>46381</v>
      </c>
      <c r="E49" s="2" t="str">
        <f>IFERROR(__xludf.DUMMYFUNCTION("""COMPUTED_VALUE"""),"VF")</f>
        <v>VF</v>
      </c>
      <c r="F49" s="2">
        <f>IFERROR(__xludf.DUMMYFUNCTION("""COMPUTED_VALUE"""),1.0)</f>
        <v>1</v>
      </c>
      <c r="G49" s="2" t="str">
        <f>IFERROR(__xludf.DUMMYFUNCTION("""COMPUTED_VALUE"""),"PR014")</f>
        <v>PR014</v>
      </c>
      <c r="H49" s="2" t="str">
        <f>IFERROR(__xludf.DUMMYFUNCTION("""COMPUTED_VALUE"""),"VD040")</f>
        <v>VD040</v>
      </c>
      <c r="I49" s="2">
        <f>IFERROR(__xludf.DUMMYFUNCTION("""COMPUTED_VALUE"""),24.0)</f>
        <v>24</v>
      </c>
      <c r="J49" s="2">
        <f>IFERROR(__xludf.DUMMYFUNCTION("""COMPUTED_VALUE"""),1139.54)</f>
        <v>1139.54</v>
      </c>
      <c r="K49" s="2">
        <f>IFERROR(__xludf.DUMMYFUNCTION("""COMPUTED_VALUE"""),1139.54)</f>
        <v>1139.54</v>
      </c>
    </row>
    <row r="50">
      <c r="A50" s="2">
        <f>IFERROR(__xludf.DUMMYFUNCTION("""COMPUTED_VALUE"""),2000.0)</f>
        <v>2000</v>
      </c>
      <c r="B50" s="2">
        <f>IFERROR(__xludf.DUMMYFUNCTION("""COMPUTED_VALUE"""),183494.0)</f>
        <v>183494</v>
      </c>
      <c r="C50" s="2">
        <f>IFERROR(__xludf.DUMMYFUNCTION("""COMPUTED_VALUE"""),2026.0)</f>
        <v>2026</v>
      </c>
      <c r="D50" s="2">
        <f>IFERROR(__xludf.DUMMYFUNCTION("""COMPUTED_VALUE"""),46380.0)</f>
        <v>46380</v>
      </c>
      <c r="E50" s="2" t="str">
        <f>IFERROR(__xludf.DUMMYFUNCTION("""COMPUTED_VALUE"""),"VF")</f>
        <v>VF</v>
      </c>
      <c r="F50" s="2">
        <f>IFERROR(__xludf.DUMMYFUNCTION("""COMPUTED_VALUE"""),1.0)</f>
        <v>1</v>
      </c>
      <c r="G50" s="2" t="str">
        <f>IFERROR(__xludf.DUMMYFUNCTION("""COMPUTED_VALUE"""),"PR043")</f>
        <v>PR043</v>
      </c>
      <c r="H50" s="2" t="str">
        <f>IFERROR(__xludf.DUMMYFUNCTION("""COMPUTED_VALUE"""),"VD035")</f>
        <v>VD035</v>
      </c>
      <c r="I50" s="2">
        <f>IFERROR(__xludf.DUMMYFUNCTION("""COMPUTED_VALUE"""),18.0)</f>
        <v>18</v>
      </c>
      <c r="J50" s="2">
        <f>IFERROR(__xludf.DUMMYFUNCTION("""COMPUTED_VALUE"""),1435.5)</f>
        <v>1435.5</v>
      </c>
      <c r="K50" s="2">
        <f>IFERROR(__xludf.DUMMYFUNCTION("""COMPUTED_VALUE"""),1435.5)</f>
        <v>1435.5</v>
      </c>
    </row>
    <row r="51">
      <c r="A51" s="2">
        <f>IFERROR(__xludf.DUMMYFUNCTION("""COMPUTED_VALUE"""),1000.0)</f>
        <v>1000</v>
      </c>
      <c r="B51" s="2">
        <f>IFERROR(__xludf.DUMMYFUNCTION("""COMPUTED_VALUE"""),183494.0)</f>
        <v>183494</v>
      </c>
      <c r="C51" s="2">
        <f>IFERROR(__xludf.DUMMYFUNCTION("""COMPUTED_VALUE"""),2026.0)</f>
        <v>2026</v>
      </c>
      <c r="D51" s="2">
        <f>IFERROR(__xludf.DUMMYFUNCTION("""COMPUTED_VALUE"""),46380.0)</f>
        <v>46380</v>
      </c>
      <c r="E51" s="2" t="str">
        <f>IFERROR(__xludf.DUMMYFUNCTION("""COMPUTED_VALUE"""),"VF")</f>
        <v>VF</v>
      </c>
      <c r="F51" s="2">
        <f>IFERROR(__xludf.DUMMYFUNCTION("""COMPUTED_VALUE"""),2.0)</f>
        <v>2</v>
      </c>
      <c r="G51" s="2" t="str">
        <f>IFERROR(__xludf.DUMMYFUNCTION("""COMPUTED_VALUE"""),"PR037")</f>
        <v>PR037</v>
      </c>
      <c r="H51" s="2" t="str">
        <f>IFERROR(__xludf.DUMMYFUNCTION("""COMPUTED_VALUE"""),"VD036")</f>
        <v>VD036</v>
      </c>
      <c r="I51" s="2">
        <f>IFERROR(__xludf.DUMMYFUNCTION("""COMPUTED_VALUE"""),30.0)</f>
        <v>30</v>
      </c>
      <c r="J51" s="2">
        <f>IFERROR(__xludf.DUMMYFUNCTION("""COMPUTED_VALUE"""),5040.0)</f>
        <v>5040</v>
      </c>
      <c r="K51" s="2">
        <f>IFERROR(__xludf.DUMMYFUNCTION("""COMPUTED_VALUE"""),5040.0)</f>
        <v>5040</v>
      </c>
    </row>
    <row r="52">
      <c r="A52" s="2">
        <f>IFERROR(__xludf.DUMMYFUNCTION("""COMPUTED_VALUE"""),1000.0)</f>
        <v>1000</v>
      </c>
      <c r="B52" s="2">
        <f>IFERROR(__xludf.DUMMYFUNCTION("""COMPUTED_VALUE"""),183494.0)</f>
        <v>183494</v>
      </c>
      <c r="C52" s="2">
        <f>IFERROR(__xludf.DUMMYFUNCTION("""COMPUTED_VALUE"""),2026.0)</f>
        <v>2026</v>
      </c>
      <c r="D52" s="2">
        <f>IFERROR(__xludf.DUMMYFUNCTION("""COMPUTED_VALUE"""),46380.0)</f>
        <v>46380</v>
      </c>
      <c r="E52" s="2" t="str">
        <f>IFERROR(__xludf.DUMMYFUNCTION("""COMPUTED_VALUE"""),"VF")</f>
        <v>VF</v>
      </c>
      <c r="F52" s="2">
        <f>IFERROR(__xludf.DUMMYFUNCTION("""COMPUTED_VALUE"""),3.0)</f>
        <v>3</v>
      </c>
      <c r="G52" s="2" t="str">
        <f>IFERROR(__xludf.DUMMYFUNCTION("""COMPUTED_VALUE"""),"PR020")</f>
        <v>PR020</v>
      </c>
      <c r="H52" s="2" t="str">
        <f>IFERROR(__xludf.DUMMYFUNCTION("""COMPUTED_VALUE"""),"VD026")</f>
        <v>VD026</v>
      </c>
      <c r="I52" s="2">
        <f>IFERROR(__xludf.DUMMYFUNCTION("""COMPUTED_VALUE"""),20.0)</f>
        <v>20</v>
      </c>
      <c r="J52" s="2">
        <f>IFERROR(__xludf.DUMMYFUNCTION("""COMPUTED_VALUE"""),6657.78)</f>
        <v>6657.78</v>
      </c>
      <c r="K52" s="2">
        <f>IFERROR(__xludf.DUMMYFUNCTION("""COMPUTED_VALUE"""),6657.78)</f>
        <v>6657.78</v>
      </c>
    </row>
    <row r="53">
      <c r="A53" s="2">
        <f>IFERROR(__xludf.DUMMYFUNCTION("""COMPUTED_VALUE"""),1000.0)</f>
        <v>1000</v>
      </c>
      <c r="B53" s="2">
        <f>IFERROR(__xludf.DUMMYFUNCTION("""COMPUTED_VALUE"""),183495.0)</f>
        <v>183495</v>
      </c>
      <c r="C53" s="2">
        <f>IFERROR(__xludf.DUMMYFUNCTION("""COMPUTED_VALUE"""),2026.0)</f>
        <v>2026</v>
      </c>
      <c r="D53" s="2">
        <f>IFERROR(__xludf.DUMMYFUNCTION("""COMPUTED_VALUE"""),46380.0)</f>
        <v>46380</v>
      </c>
      <c r="E53" s="2" t="str">
        <f>IFERROR(__xludf.DUMMYFUNCTION("""COMPUTED_VALUE"""),"VF")</f>
        <v>VF</v>
      </c>
      <c r="F53" s="2">
        <f>IFERROR(__xludf.DUMMYFUNCTION("""COMPUTED_VALUE"""),1.0)</f>
        <v>1</v>
      </c>
      <c r="G53" s="2" t="str">
        <f>IFERROR(__xludf.DUMMYFUNCTION("""COMPUTED_VALUE"""),"PR052")</f>
        <v>PR052</v>
      </c>
      <c r="H53" s="2" t="str">
        <f>IFERROR(__xludf.DUMMYFUNCTION("""COMPUTED_VALUE"""),"VD035")</f>
        <v>VD035</v>
      </c>
      <c r="I53" s="2">
        <f>IFERROR(__xludf.DUMMYFUNCTION("""COMPUTED_VALUE"""),12.0)</f>
        <v>12</v>
      </c>
      <c r="J53" s="2">
        <f>IFERROR(__xludf.DUMMYFUNCTION("""COMPUTED_VALUE"""),658.68)</f>
        <v>658.68</v>
      </c>
      <c r="K53" s="2">
        <f>IFERROR(__xludf.DUMMYFUNCTION("""COMPUTED_VALUE"""),658.68)</f>
        <v>658.68</v>
      </c>
    </row>
    <row r="54">
      <c r="A54" s="2">
        <f>IFERROR(__xludf.DUMMYFUNCTION("""COMPUTED_VALUE"""),1000.0)</f>
        <v>1000</v>
      </c>
      <c r="B54" s="2">
        <f>IFERROR(__xludf.DUMMYFUNCTION("""COMPUTED_VALUE"""),183495.0)</f>
        <v>183495</v>
      </c>
      <c r="C54" s="2">
        <f>IFERROR(__xludf.DUMMYFUNCTION("""COMPUTED_VALUE"""),2026.0)</f>
        <v>2026</v>
      </c>
      <c r="D54" s="2">
        <f>IFERROR(__xludf.DUMMYFUNCTION("""COMPUTED_VALUE"""),46380.0)</f>
        <v>46380</v>
      </c>
      <c r="E54" s="2" t="str">
        <f>IFERROR(__xludf.DUMMYFUNCTION("""COMPUTED_VALUE"""),"VF")</f>
        <v>VF</v>
      </c>
      <c r="F54" s="2">
        <f>IFERROR(__xludf.DUMMYFUNCTION("""COMPUTED_VALUE"""),2.0)</f>
        <v>2</v>
      </c>
      <c r="G54" s="2" t="str">
        <f>IFERROR(__xludf.DUMMYFUNCTION("""COMPUTED_VALUE"""),"PR023")</f>
        <v>PR023</v>
      </c>
      <c r="H54" s="2" t="str">
        <f>IFERROR(__xludf.DUMMYFUNCTION("""COMPUTED_VALUE"""),"VD016")</f>
        <v>VD016</v>
      </c>
      <c r="I54" s="2">
        <f>IFERROR(__xludf.DUMMYFUNCTION("""COMPUTED_VALUE"""),27.0)</f>
        <v>27</v>
      </c>
      <c r="J54" s="2">
        <f>IFERROR(__xludf.DUMMYFUNCTION("""COMPUTED_VALUE"""),7894.34)</f>
        <v>7894.34</v>
      </c>
      <c r="K54" s="2">
        <f>IFERROR(__xludf.DUMMYFUNCTION("""COMPUTED_VALUE"""),7894.34)</f>
        <v>7894.34</v>
      </c>
    </row>
    <row r="55">
      <c r="A55" s="2">
        <f>IFERROR(__xludf.DUMMYFUNCTION("""COMPUTED_VALUE"""),1000.0)</f>
        <v>1000</v>
      </c>
      <c r="B55" s="2">
        <f>IFERROR(__xludf.DUMMYFUNCTION("""COMPUTED_VALUE"""),183496.0)</f>
        <v>183496</v>
      </c>
      <c r="C55" s="2">
        <f>IFERROR(__xludf.DUMMYFUNCTION("""COMPUTED_VALUE"""),2026.0)</f>
        <v>2026</v>
      </c>
      <c r="D55" s="2">
        <f>IFERROR(__xludf.DUMMYFUNCTION("""COMPUTED_VALUE"""),46380.0)</f>
        <v>46380</v>
      </c>
      <c r="E55" s="2" t="str">
        <f>IFERROR(__xludf.DUMMYFUNCTION("""COMPUTED_VALUE"""),"VF")</f>
        <v>VF</v>
      </c>
      <c r="F55" s="2">
        <f>IFERROR(__xludf.DUMMYFUNCTION("""COMPUTED_VALUE"""),1.0)</f>
        <v>1</v>
      </c>
      <c r="G55" s="2" t="str">
        <f>IFERROR(__xludf.DUMMYFUNCTION("""COMPUTED_VALUE"""),"PR002")</f>
        <v>PR002</v>
      </c>
      <c r="H55" s="2" t="str">
        <f>IFERROR(__xludf.DUMMYFUNCTION("""COMPUTED_VALUE"""),"VD018")</f>
        <v>VD018</v>
      </c>
      <c r="I55" s="2">
        <f>IFERROR(__xludf.DUMMYFUNCTION("""COMPUTED_VALUE"""),9.0)</f>
        <v>9</v>
      </c>
      <c r="J55" s="2">
        <f>IFERROR(__xludf.DUMMYFUNCTION("""COMPUTED_VALUE"""),717.17)</f>
        <v>717.17</v>
      </c>
      <c r="K55" s="2">
        <f>IFERROR(__xludf.DUMMYFUNCTION("""COMPUTED_VALUE"""),717.17)</f>
        <v>717.17</v>
      </c>
    </row>
    <row r="56">
      <c r="A56" s="2">
        <f>IFERROR(__xludf.DUMMYFUNCTION("""COMPUTED_VALUE"""),1000.0)</f>
        <v>1000</v>
      </c>
      <c r="B56" s="2">
        <f>IFERROR(__xludf.DUMMYFUNCTION("""COMPUTED_VALUE"""),183496.0)</f>
        <v>183496</v>
      </c>
      <c r="C56" s="2">
        <f>IFERROR(__xludf.DUMMYFUNCTION("""COMPUTED_VALUE"""),2026.0)</f>
        <v>2026</v>
      </c>
      <c r="D56" s="2">
        <f>IFERROR(__xludf.DUMMYFUNCTION("""COMPUTED_VALUE"""),46379.0)</f>
        <v>46379</v>
      </c>
      <c r="E56" s="2" t="str">
        <f>IFERROR(__xludf.DUMMYFUNCTION("""COMPUTED_VALUE"""),"VF")</f>
        <v>VF</v>
      </c>
      <c r="F56" s="2">
        <f>IFERROR(__xludf.DUMMYFUNCTION("""COMPUTED_VALUE"""),2.0)</f>
        <v>2</v>
      </c>
      <c r="G56" s="2" t="str">
        <f>IFERROR(__xludf.DUMMYFUNCTION("""COMPUTED_VALUE"""),"PR039")</f>
        <v>PR039</v>
      </c>
      <c r="H56" s="2" t="str">
        <f>IFERROR(__xludf.DUMMYFUNCTION("""COMPUTED_VALUE"""),"VD014")</f>
        <v>VD014</v>
      </c>
      <c r="I56" s="2">
        <f>IFERROR(__xludf.DUMMYFUNCTION("""COMPUTED_VALUE"""),16.0)</f>
        <v>16</v>
      </c>
      <c r="J56" s="2">
        <f>IFERROR(__xludf.DUMMYFUNCTION("""COMPUTED_VALUE"""),2663.04)</f>
        <v>2663.04</v>
      </c>
      <c r="K56" s="2">
        <f>IFERROR(__xludf.DUMMYFUNCTION("""COMPUTED_VALUE"""),2663.04)</f>
        <v>2663.04</v>
      </c>
    </row>
    <row r="57">
      <c r="A57" s="2">
        <f>IFERROR(__xludf.DUMMYFUNCTION("""COMPUTED_VALUE"""),2000.0)</f>
        <v>2000</v>
      </c>
      <c r="B57" s="2">
        <f>IFERROR(__xludf.DUMMYFUNCTION("""COMPUTED_VALUE"""),183497.0)</f>
        <v>183497</v>
      </c>
      <c r="C57" s="2">
        <f>IFERROR(__xludf.DUMMYFUNCTION("""COMPUTED_VALUE"""),2026.0)</f>
        <v>2026</v>
      </c>
      <c r="D57" s="2">
        <f>IFERROR(__xludf.DUMMYFUNCTION("""COMPUTED_VALUE"""),46379.0)</f>
        <v>46379</v>
      </c>
      <c r="E57" s="2" t="str">
        <f>IFERROR(__xludf.DUMMYFUNCTION("""COMPUTED_VALUE"""),"VF")</f>
        <v>VF</v>
      </c>
      <c r="F57" s="2">
        <f>IFERROR(__xludf.DUMMYFUNCTION("""COMPUTED_VALUE"""),1.0)</f>
        <v>1</v>
      </c>
      <c r="G57" s="2" t="str">
        <f>IFERROR(__xludf.DUMMYFUNCTION("""COMPUTED_VALUE"""),"PR060")</f>
        <v>PR060</v>
      </c>
      <c r="H57" s="2" t="str">
        <f>IFERROR(__xludf.DUMMYFUNCTION("""COMPUTED_VALUE"""),"VD044")</f>
        <v>VD044</v>
      </c>
      <c r="I57" s="2">
        <f>IFERROR(__xludf.DUMMYFUNCTION("""COMPUTED_VALUE"""),6.0)</f>
        <v>6</v>
      </c>
      <c r="J57" s="2">
        <f>IFERROR(__xludf.DUMMYFUNCTION("""COMPUTED_VALUE"""),1252.8)</f>
        <v>1252.8</v>
      </c>
      <c r="K57" s="2">
        <f>IFERROR(__xludf.DUMMYFUNCTION("""COMPUTED_VALUE"""),1252.8)</f>
        <v>1252.8</v>
      </c>
    </row>
    <row r="58">
      <c r="A58" s="2">
        <f>IFERROR(__xludf.DUMMYFUNCTION("""COMPUTED_VALUE"""),1000.0)</f>
        <v>1000</v>
      </c>
      <c r="B58" s="2">
        <f>IFERROR(__xludf.DUMMYFUNCTION("""COMPUTED_VALUE"""),183498.0)</f>
        <v>183498</v>
      </c>
      <c r="C58" s="2">
        <f>IFERROR(__xludf.DUMMYFUNCTION("""COMPUTED_VALUE"""),2026.0)</f>
        <v>2026</v>
      </c>
      <c r="D58" s="2">
        <f>IFERROR(__xludf.DUMMYFUNCTION("""COMPUTED_VALUE"""),46378.0)</f>
        <v>46378</v>
      </c>
      <c r="E58" s="2" t="str">
        <f>IFERROR(__xludf.DUMMYFUNCTION("""COMPUTED_VALUE"""),"VF")</f>
        <v>VF</v>
      </c>
      <c r="F58" s="2">
        <f>IFERROR(__xludf.DUMMYFUNCTION("""COMPUTED_VALUE"""),1.0)</f>
        <v>1</v>
      </c>
      <c r="G58" s="2" t="str">
        <f>IFERROR(__xludf.DUMMYFUNCTION("""COMPUTED_VALUE"""),"PR009")</f>
        <v>PR009</v>
      </c>
      <c r="H58" s="2" t="str">
        <f>IFERROR(__xludf.DUMMYFUNCTION("""COMPUTED_VALUE"""),"VD041")</f>
        <v>VD041</v>
      </c>
      <c r="I58" s="2">
        <f>IFERROR(__xludf.DUMMYFUNCTION("""COMPUTED_VALUE"""),15.0)</f>
        <v>15</v>
      </c>
      <c r="J58" s="2">
        <f>IFERROR(__xludf.DUMMYFUNCTION("""COMPUTED_VALUE"""),1560.72)</f>
        <v>1560.72</v>
      </c>
      <c r="K58" s="2">
        <f>IFERROR(__xludf.DUMMYFUNCTION("""COMPUTED_VALUE"""),1560.72)</f>
        <v>1560.72</v>
      </c>
    </row>
    <row r="59">
      <c r="A59" s="2">
        <f>IFERROR(__xludf.DUMMYFUNCTION("""COMPUTED_VALUE"""),2000.0)</f>
        <v>2000</v>
      </c>
      <c r="B59" s="2">
        <f>IFERROR(__xludf.DUMMYFUNCTION("""COMPUTED_VALUE"""),183498.0)</f>
        <v>183498</v>
      </c>
      <c r="C59" s="2">
        <f>IFERROR(__xludf.DUMMYFUNCTION("""COMPUTED_VALUE"""),2026.0)</f>
        <v>2026</v>
      </c>
      <c r="D59" s="2">
        <f>IFERROR(__xludf.DUMMYFUNCTION("""COMPUTED_VALUE"""),46378.0)</f>
        <v>46378</v>
      </c>
      <c r="E59" s="2" t="str">
        <f>IFERROR(__xludf.DUMMYFUNCTION("""COMPUTED_VALUE"""),"VF")</f>
        <v>VF</v>
      </c>
      <c r="F59" s="2">
        <f>IFERROR(__xludf.DUMMYFUNCTION("""COMPUTED_VALUE"""),2.0)</f>
        <v>2</v>
      </c>
      <c r="G59" s="2" t="str">
        <f>IFERROR(__xludf.DUMMYFUNCTION("""COMPUTED_VALUE"""),"PR057")</f>
        <v>PR057</v>
      </c>
      <c r="H59" s="2" t="str">
        <f>IFERROR(__xludf.DUMMYFUNCTION("""COMPUTED_VALUE"""),"VD046")</f>
        <v>VD046</v>
      </c>
      <c r="I59" s="2">
        <f>IFERROR(__xludf.DUMMYFUNCTION("""COMPUTED_VALUE"""),15.0)</f>
        <v>15</v>
      </c>
      <c r="J59" s="2">
        <f>IFERROR(__xludf.DUMMYFUNCTION("""COMPUTED_VALUE"""),1591.23)</f>
        <v>1591.23</v>
      </c>
      <c r="K59" s="2">
        <f>IFERROR(__xludf.DUMMYFUNCTION("""COMPUTED_VALUE"""),1591.23)</f>
        <v>1591.23</v>
      </c>
    </row>
    <row r="60">
      <c r="A60" s="2">
        <f>IFERROR(__xludf.DUMMYFUNCTION("""COMPUTED_VALUE"""),1000.0)</f>
        <v>1000</v>
      </c>
      <c r="B60" s="2">
        <f>IFERROR(__xludf.DUMMYFUNCTION("""COMPUTED_VALUE"""),183498.0)</f>
        <v>183498</v>
      </c>
      <c r="C60" s="2">
        <f>IFERROR(__xludf.DUMMYFUNCTION("""COMPUTED_VALUE"""),2026.0)</f>
        <v>2026</v>
      </c>
      <c r="D60" s="2">
        <f>IFERROR(__xludf.DUMMYFUNCTION("""COMPUTED_VALUE"""),46377.0)</f>
        <v>46377</v>
      </c>
      <c r="E60" s="2" t="str">
        <f>IFERROR(__xludf.DUMMYFUNCTION("""COMPUTED_VALUE"""),"VF")</f>
        <v>VF</v>
      </c>
      <c r="F60" s="2">
        <f>IFERROR(__xludf.DUMMYFUNCTION("""COMPUTED_VALUE"""),3.0)</f>
        <v>3</v>
      </c>
      <c r="G60" s="2" t="str">
        <f>IFERROR(__xludf.DUMMYFUNCTION("""COMPUTED_VALUE"""),"PR018")</f>
        <v>PR018</v>
      </c>
      <c r="H60" s="2" t="str">
        <f>IFERROR(__xludf.DUMMYFUNCTION("""COMPUTED_VALUE"""),"VD037")</f>
        <v>VD037</v>
      </c>
      <c r="I60" s="2">
        <f>IFERROR(__xludf.DUMMYFUNCTION("""COMPUTED_VALUE"""),10.0)</f>
        <v>10</v>
      </c>
      <c r="J60" s="2">
        <f>IFERROR(__xludf.DUMMYFUNCTION("""COMPUTED_VALUE"""),361.9)</f>
        <v>361.9</v>
      </c>
      <c r="K60" s="2">
        <f>IFERROR(__xludf.DUMMYFUNCTION("""COMPUTED_VALUE"""),361.9)</f>
        <v>361.9</v>
      </c>
    </row>
    <row r="61">
      <c r="A61" s="2">
        <f>IFERROR(__xludf.DUMMYFUNCTION("""COMPUTED_VALUE"""),1000.0)</f>
        <v>1000</v>
      </c>
      <c r="B61" s="2">
        <f>IFERROR(__xludf.DUMMYFUNCTION("""COMPUTED_VALUE"""),183499.0)</f>
        <v>183499</v>
      </c>
      <c r="C61" s="2">
        <f>IFERROR(__xludf.DUMMYFUNCTION("""COMPUTED_VALUE"""),2026.0)</f>
        <v>2026</v>
      </c>
      <c r="D61" s="2">
        <f>IFERROR(__xludf.DUMMYFUNCTION("""COMPUTED_VALUE"""),46377.0)</f>
        <v>46377</v>
      </c>
      <c r="E61" s="2" t="str">
        <f>IFERROR(__xludf.DUMMYFUNCTION("""COMPUTED_VALUE"""),"VF")</f>
        <v>VF</v>
      </c>
      <c r="F61" s="2">
        <f>IFERROR(__xludf.DUMMYFUNCTION("""COMPUTED_VALUE"""),1.0)</f>
        <v>1</v>
      </c>
      <c r="G61" s="2" t="str">
        <f>IFERROR(__xludf.DUMMYFUNCTION("""COMPUTED_VALUE"""),"PR022")</f>
        <v>PR022</v>
      </c>
      <c r="H61" s="2" t="str">
        <f>IFERROR(__xludf.DUMMYFUNCTION("""COMPUTED_VALUE"""),"VD023")</f>
        <v>VD023</v>
      </c>
      <c r="I61" s="2">
        <f>IFERROR(__xludf.DUMMYFUNCTION("""COMPUTED_VALUE"""),16.0)</f>
        <v>16</v>
      </c>
      <c r="J61" s="2">
        <f>IFERROR(__xludf.DUMMYFUNCTION("""COMPUTED_VALUE"""),5424.0)</f>
        <v>5424</v>
      </c>
      <c r="K61" s="2">
        <f>IFERROR(__xludf.DUMMYFUNCTION("""COMPUTED_VALUE"""),5424.0)</f>
        <v>5424</v>
      </c>
    </row>
    <row r="62">
      <c r="A62" s="2">
        <f>IFERROR(__xludf.DUMMYFUNCTION("""COMPUTED_VALUE"""),1000.0)</f>
        <v>1000</v>
      </c>
      <c r="B62" s="2">
        <f>IFERROR(__xludf.DUMMYFUNCTION("""COMPUTED_VALUE"""),183499.0)</f>
        <v>183499</v>
      </c>
      <c r="C62" s="2">
        <f>IFERROR(__xludf.DUMMYFUNCTION("""COMPUTED_VALUE"""),2026.0)</f>
        <v>2026</v>
      </c>
      <c r="D62" s="2">
        <f>IFERROR(__xludf.DUMMYFUNCTION("""COMPUTED_VALUE"""),46377.0)</f>
        <v>46377</v>
      </c>
      <c r="E62" s="2" t="str">
        <f>IFERROR(__xludf.DUMMYFUNCTION("""COMPUTED_VALUE"""),"VF")</f>
        <v>VF</v>
      </c>
      <c r="F62" s="2">
        <f>IFERROR(__xludf.DUMMYFUNCTION("""COMPUTED_VALUE"""),2.0)</f>
        <v>2</v>
      </c>
      <c r="G62" s="2" t="str">
        <f>IFERROR(__xludf.DUMMYFUNCTION("""COMPUTED_VALUE"""),"PR020")</f>
        <v>PR020</v>
      </c>
      <c r="H62" s="2" t="str">
        <f>IFERROR(__xludf.DUMMYFUNCTION("""COMPUTED_VALUE"""),"VD023")</f>
        <v>VD023</v>
      </c>
      <c r="I62" s="2">
        <f>IFERROR(__xludf.DUMMYFUNCTION("""COMPUTED_VALUE"""),21.0)</f>
        <v>21</v>
      </c>
      <c r="J62" s="2">
        <f>IFERROR(__xludf.DUMMYFUNCTION("""COMPUTED_VALUE"""),7242.59)</f>
        <v>7242.59</v>
      </c>
      <c r="K62" s="2">
        <f>IFERROR(__xludf.DUMMYFUNCTION("""COMPUTED_VALUE"""),7242.59)</f>
        <v>7242.59</v>
      </c>
    </row>
    <row r="63">
      <c r="A63" s="2">
        <f>IFERROR(__xludf.DUMMYFUNCTION("""COMPUTED_VALUE"""),1000.0)</f>
        <v>1000</v>
      </c>
      <c r="B63" s="2">
        <f>IFERROR(__xludf.DUMMYFUNCTION("""COMPUTED_VALUE"""),183500.0)</f>
        <v>183500</v>
      </c>
      <c r="C63" s="2">
        <f>IFERROR(__xludf.DUMMYFUNCTION("""COMPUTED_VALUE"""),2026.0)</f>
        <v>2026</v>
      </c>
      <c r="D63" s="2">
        <f>IFERROR(__xludf.DUMMYFUNCTION("""COMPUTED_VALUE"""),46377.0)</f>
        <v>46377</v>
      </c>
      <c r="E63" s="2" t="str">
        <f>IFERROR(__xludf.DUMMYFUNCTION("""COMPUTED_VALUE"""),"VF")</f>
        <v>VF</v>
      </c>
      <c r="F63" s="2">
        <f>IFERROR(__xludf.DUMMYFUNCTION("""COMPUTED_VALUE"""),1.0)</f>
        <v>1</v>
      </c>
      <c r="G63" s="2" t="str">
        <f>IFERROR(__xludf.DUMMYFUNCTION("""COMPUTED_VALUE"""),"PR043")</f>
        <v>PR043</v>
      </c>
      <c r="H63" s="2" t="str">
        <f>IFERROR(__xludf.DUMMYFUNCTION("""COMPUTED_VALUE"""),"VD039")</f>
        <v>VD039</v>
      </c>
      <c r="I63" s="2">
        <f>IFERROR(__xludf.DUMMYFUNCTION("""COMPUTED_VALUE"""),16.0)</f>
        <v>16</v>
      </c>
      <c r="J63" s="2">
        <f>IFERROR(__xludf.DUMMYFUNCTION("""COMPUTED_VALUE"""),1368.8)</f>
        <v>1368.8</v>
      </c>
      <c r="K63" s="2">
        <f>IFERROR(__xludf.DUMMYFUNCTION("""COMPUTED_VALUE"""),1368.8)</f>
        <v>1368.8</v>
      </c>
    </row>
    <row r="64">
      <c r="A64" s="2">
        <f>IFERROR(__xludf.DUMMYFUNCTION("""COMPUTED_VALUE"""),1000.0)</f>
        <v>1000</v>
      </c>
      <c r="B64" s="2">
        <f>IFERROR(__xludf.DUMMYFUNCTION("""COMPUTED_VALUE"""),183501.0)</f>
        <v>183501</v>
      </c>
      <c r="C64" s="2">
        <f>IFERROR(__xludf.DUMMYFUNCTION("""COMPUTED_VALUE"""),2026.0)</f>
        <v>2026</v>
      </c>
      <c r="D64" s="2">
        <f>IFERROR(__xludf.DUMMYFUNCTION("""COMPUTED_VALUE"""),46377.0)</f>
        <v>46377</v>
      </c>
      <c r="E64" s="2" t="str">
        <f>IFERROR(__xludf.DUMMYFUNCTION("""COMPUTED_VALUE"""),"VF")</f>
        <v>VF</v>
      </c>
      <c r="F64" s="2">
        <f>IFERROR(__xludf.DUMMYFUNCTION("""COMPUTED_VALUE"""),1.0)</f>
        <v>1</v>
      </c>
      <c r="G64" s="2" t="str">
        <f>IFERROR(__xludf.DUMMYFUNCTION("""COMPUTED_VALUE"""),"PR040")</f>
        <v>PR040</v>
      </c>
      <c r="H64" s="2" t="str">
        <f>IFERROR(__xludf.DUMMYFUNCTION("""COMPUTED_VALUE"""),"VD014")</f>
        <v>VD014</v>
      </c>
      <c r="I64" s="2">
        <f>IFERROR(__xludf.DUMMYFUNCTION("""COMPUTED_VALUE"""),20.0)</f>
        <v>20</v>
      </c>
      <c r="J64" s="2">
        <f>IFERROR(__xludf.DUMMYFUNCTION("""COMPUTED_VALUE"""),1624.0)</f>
        <v>1624</v>
      </c>
      <c r="K64" s="2">
        <f>IFERROR(__xludf.DUMMYFUNCTION("""COMPUTED_VALUE"""),1624.0)</f>
        <v>1624</v>
      </c>
    </row>
    <row r="65">
      <c r="A65" s="2">
        <f>IFERROR(__xludf.DUMMYFUNCTION("""COMPUTED_VALUE"""),1000.0)</f>
        <v>1000</v>
      </c>
      <c r="B65" s="2">
        <f>IFERROR(__xludf.DUMMYFUNCTION("""COMPUTED_VALUE"""),183502.0)</f>
        <v>183502</v>
      </c>
      <c r="C65" s="2">
        <f>IFERROR(__xludf.DUMMYFUNCTION("""COMPUTED_VALUE"""),2026.0)</f>
        <v>2026</v>
      </c>
      <c r="D65" s="2">
        <f>IFERROR(__xludf.DUMMYFUNCTION("""COMPUTED_VALUE"""),46377.0)</f>
        <v>46377</v>
      </c>
      <c r="E65" s="2" t="str">
        <f>IFERROR(__xludf.DUMMYFUNCTION("""COMPUTED_VALUE"""),"VF")</f>
        <v>VF</v>
      </c>
      <c r="F65" s="2">
        <f>IFERROR(__xludf.DUMMYFUNCTION("""COMPUTED_VALUE"""),1.0)</f>
        <v>1</v>
      </c>
      <c r="G65" s="2" t="str">
        <f>IFERROR(__xludf.DUMMYFUNCTION("""COMPUTED_VALUE"""),"PR052")</f>
        <v>PR052</v>
      </c>
      <c r="H65" s="2" t="str">
        <f>IFERROR(__xludf.DUMMYFUNCTION("""COMPUTED_VALUE"""),"VD035")</f>
        <v>VD035</v>
      </c>
      <c r="I65" s="2">
        <f>IFERROR(__xludf.DUMMYFUNCTION("""COMPUTED_VALUE"""),30.0)</f>
        <v>30</v>
      </c>
      <c r="J65" s="2">
        <f>IFERROR(__xludf.DUMMYFUNCTION("""COMPUTED_VALUE"""),1721.55)</f>
        <v>1721.55</v>
      </c>
      <c r="K65" s="2">
        <f>IFERROR(__xludf.DUMMYFUNCTION("""COMPUTED_VALUE"""),1721.55)</f>
        <v>1721.55</v>
      </c>
    </row>
    <row r="66">
      <c r="A66" s="2">
        <f>IFERROR(__xludf.DUMMYFUNCTION("""COMPUTED_VALUE"""),2000.0)</f>
        <v>2000</v>
      </c>
      <c r="B66" s="2">
        <f>IFERROR(__xludf.DUMMYFUNCTION("""COMPUTED_VALUE"""),183502.0)</f>
        <v>183502</v>
      </c>
      <c r="C66" s="2">
        <f>IFERROR(__xludf.DUMMYFUNCTION("""COMPUTED_VALUE"""),2026.0)</f>
        <v>2026</v>
      </c>
      <c r="D66" s="2">
        <f>IFERROR(__xludf.DUMMYFUNCTION("""COMPUTED_VALUE"""),46377.0)</f>
        <v>46377</v>
      </c>
      <c r="E66" s="2" t="str">
        <f>IFERROR(__xludf.DUMMYFUNCTION("""COMPUTED_VALUE"""),"VF")</f>
        <v>VF</v>
      </c>
      <c r="F66" s="2">
        <f>IFERROR(__xludf.DUMMYFUNCTION("""COMPUTED_VALUE"""),2.0)</f>
        <v>2</v>
      </c>
      <c r="G66" s="2" t="str">
        <f>IFERROR(__xludf.DUMMYFUNCTION("""COMPUTED_VALUE"""),"PR021")</f>
        <v>PR021</v>
      </c>
      <c r="H66" s="2" t="str">
        <f>IFERROR(__xludf.DUMMYFUNCTION("""COMPUTED_VALUE"""),"VD013")</f>
        <v>VD013</v>
      </c>
      <c r="I66" s="2">
        <f>IFERROR(__xludf.DUMMYFUNCTION("""COMPUTED_VALUE"""),8.0)</f>
        <v>8</v>
      </c>
      <c r="J66" s="2">
        <f>IFERROR(__xludf.DUMMYFUNCTION("""COMPUTED_VALUE"""),2689.75)</f>
        <v>2689.75</v>
      </c>
      <c r="K66" s="2">
        <f>IFERROR(__xludf.DUMMYFUNCTION("""COMPUTED_VALUE"""),2689.75)</f>
        <v>2689.75</v>
      </c>
    </row>
    <row r="67">
      <c r="A67" s="2">
        <f>IFERROR(__xludf.DUMMYFUNCTION("""COMPUTED_VALUE"""),1000.0)</f>
        <v>1000</v>
      </c>
      <c r="B67" s="2">
        <f>IFERROR(__xludf.DUMMYFUNCTION("""COMPUTED_VALUE"""),183503.0)</f>
        <v>183503</v>
      </c>
      <c r="C67" s="2">
        <f>IFERROR(__xludf.DUMMYFUNCTION("""COMPUTED_VALUE"""),2026.0)</f>
        <v>2026</v>
      </c>
      <c r="D67" s="2">
        <f>IFERROR(__xludf.DUMMYFUNCTION("""COMPUTED_VALUE"""),46377.0)</f>
        <v>46377</v>
      </c>
      <c r="E67" s="2" t="str">
        <f>IFERROR(__xludf.DUMMYFUNCTION("""COMPUTED_VALUE"""),"VF")</f>
        <v>VF</v>
      </c>
      <c r="F67" s="2">
        <f>IFERROR(__xludf.DUMMYFUNCTION("""COMPUTED_VALUE"""),1.0)</f>
        <v>1</v>
      </c>
      <c r="G67" s="2" t="str">
        <f>IFERROR(__xludf.DUMMYFUNCTION("""COMPUTED_VALUE"""),"PR050")</f>
        <v>PR050</v>
      </c>
      <c r="H67" s="2" t="str">
        <f>IFERROR(__xludf.DUMMYFUNCTION("""COMPUTED_VALUE"""),"VD015")</f>
        <v>VD015</v>
      </c>
      <c r="I67" s="2">
        <f>IFERROR(__xludf.DUMMYFUNCTION("""COMPUTED_VALUE"""),24.0)</f>
        <v>24</v>
      </c>
      <c r="J67" s="2">
        <f>IFERROR(__xludf.DUMMYFUNCTION("""COMPUTED_VALUE"""),915.94)</f>
        <v>915.94</v>
      </c>
      <c r="K67" s="2">
        <f>IFERROR(__xludf.DUMMYFUNCTION("""COMPUTED_VALUE"""),915.94)</f>
        <v>915.94</v>
      </c>
    </row>
    <row r="68">
      <c r="A68" s="2">
        <f>IFERROR(__xludf.DUMMYFUNCTION("""COMPUTED_VALUE"""),1000.0)</f>
        <v>1000</v>
      </c>
      <c r="B68" s="2">
        <f>IFERROR(__xludf.DUMMYFUNCTION("""COMPUTED_VALUE"""),183504.0)</f>
        <v>183504</v>
      </c>
      <c r="C68" s="2">
        <f>IFERROR(__xludf.DUMMYFUNCTION("""COMPUTED_VALUE"""),2026.0)</f>
        <v>2026</v>
      </c>
      <c r="D68" s="2">
        <f>IFERROR(__xludf.DUMMYFUNCTION("""COMPUTED_VALUE"""),46377.0)</f>
        <v>46377</v>
      </c>
      <c r="E68" s="2" t="str">
        <f>IFERROR(__xludf.DUMMYFUNCTION("""COMPUTED_VALUE"""),"VF")</f>
        <v>VF</v>
      </c>
      <c r="F68" s="2">
        <f>IFERROR(__xludf.DUMMYFUNCTION("""COMPUTED_VALUE"""),1.0)</f>
        <v>1</v>
      </c>
      <c r="G68" s="2" t="str">
        <f>IFERROR(__xludf.DUMMYFUNCTION("""COMPUTED_VALUE"""),"PR036")</f>
        <v>PR036</v>
      </c>
      <c r="H68" s="2" t="str">
        <f>IFERROR(__xludf.DUMMYFUNCTION("""COMPUTED_VALUE"""),"VD040")</f>
        <v>VD040</v>
      </c>
      <c r="I68" s="2">
        <f>IFERROR(__xludf.DUMMYFUNCTION("""COMPUTED_VALUE"""),12.0)</f>
        <v>12</v>
      </c>
      <c r="J68" s="2">
        <f>IFERROR(__xludf.DUMMYFUNCTION("""COMPUTED_VALUE"""),1301.52)</f>
        <v>1301.52</v>
      </c>
      <c r="K68" s="2">
        <f>IFERROR(__xludf.DUMMYFUNCTION("""COMPUTED_VALUE"""),1301.52)</f>
        <v>1301.52</v>
      </c>
    </row>
    <row r="69">
      <c r="A69" s="2">
        <f>IFERROR(__xludf.DUMMYFUNCTION("""COMPUTED_VALUE"""),1000.0)</f>
        <v>1000</v>
      </c>
      <c r="B69" s="2">
        <f>IFERROR(__xludf.DUMMYFUNCTION("""COMPUTED_VALUE"""),183505.0)</f>
        <v>183505</v>
      </c>
      <c r="C69" s="2">
        <f>IFERROR(__xludf.DUMMYFUNCTION("""COMPUTED_VALUE"""),2026.0)</f>
        <v>2026</v>
      </c>
      <c r="D69" s="2">
        <f>IFERROR(__xludf.DUMMYFUNCTION("""COMPUTED_VALUE"""),46376.0)</f>
        <v>46376</v>
      </c>
      <c r="E69" s="2" t="str">
        <f>IFERROR(__xludf.DUMMYFUNCTION("""COMPUTED_VALUE"""),"VF")</f>
        <v>VF</v>
      </c>
      <c r="F69" s="2">
        <f>IFERROR(__xludf.DUMMYFUNCTION("""COMPUTED_VALUE"""),1.0)</f>
        <v>1</v>
      </c>
      <c r="G69" s="2" t="str">
        <f>IFERROR(__xludf.DUMMYFUNCTION("""COMPUTED_VALUE"""),"PR023")</f>
        <v>PR023</v>
      </c>
      <c r="H69" s="2" t="str">
        <f>IFERROR(__xludf.DUMMYFUNCTION("""COMPUTED_VALUE"""),"VD037")</f>
        <v>VD037</v>
      </c>
      <c r="I69" s="2">
        <f>IFERROR(__xludf.DUMMYFUNCTION("""COMPUTED_VALUE"""),12.0)</f>
        <v>12</v>
      </c>
      <c r="J69" s="2">
        <f>IFERROR(__xludf.DUMMYFUNCTION("""COMPUTED_VALUE"""),3298.68)</f>
        <v>3298.68</v>
      </c>
      <c r="K69" s="2">
        <f>IFERROR(__xludf.DUMMYFUNCTION("""COMPUTED_VALUE"""),3298.68)</f>
        <v>3298.68</v>
      </c>
    </row>
    <row r="70">
      <c r="A70" s="2">
        <f>IFERROR(__xludf.DUMMYFUNCTION("""COMPUTED_VALUE"""),1000.0)</f>
        <v>1000</v>
      </c>
      <c r="B70" s="2">
        <f>IFERROR(__xludf.DUMMYFUNCTION("""COMPUTED_VALUE"""),183506.0)</f>
        <v>183506</v>
      </c>
      <c r="C70" s="2">
        <f>IFERROR(__xludf.DUMMYFUNCTION("""COMPUTED_VALUE"""),2026.0)</f>
        <v>2026</v>
      </c>
      <c r="D70" s="2">
        <f>IFERROR(__xludf.DUMMYFUNCTION("""COMPUTED_VALUE"""),46376.0)</f>
        <v>46376</v>
      </c>
      <c r="E70" s="2" t="str">
        <f>IFERROR(__xludf.DUMMYFUNCTION("""COMPUTED_VALUE"""),"VF")</f>
        <v>VF</v>
      </c>
      <c r="F70" s="2">
        <f>IFERROR(__xludf.DUMMYFUNCTION("""COMPUTED_VALUE"""),1.0)</f>
        <v>1</v>
      </c>
      <c r="G70" s="2" t="str">
        <f>IFERROR(__xludf.DUMMYFUNCTION("""COMPUTED_VALUE"""),"PR052")</f>
        <v>PR052</v>
      </c>
      <c r="H70" s="2" t="str">
        <f>IFERROR(__xludf.DUMMYFUNCTION("""COMPUTED_VALUE"""),"VD014")</f>
        <v>VD014</v>
      </c>
      <c r="I70" s="2">
        <f>IFERROR(__xludf.DUMMYFUNCTION("""COMPUTED_VALUE"""),20.0)</f>
        <v>20</v>
      </c>
      <c r="J70" s="2">
        <f>IFERROR(__xludf.DUMMYFUNCTION("""COMPUTED_VALUE"""),1127.74)</f>
        <v>1127.74</v>
      </c>
      <c r="K70" s="2">
        <f>IFERROR(__xludf.DUMMYFUNCTION("""COMPUTED_VALUE"""),1127.74)</f>
        <v>1127.74</v>
      </c>
    </row>
    <row r="71">
      <c r="A71" s="2">
        <f>IFERROR(__xludf.DUMMYFUNCTION("""COMPUTED_VALUE"""),1000.0)</f>
        <v>1000</v>
      </c>
      <c r="B71" s="2">
        <f>IFERROR(__xludf.DUMMYFUNCTION("""COMPUTED_VALUE"""),183506.0)</f>
        <v>183506</v>
      </c>
      <c r="C71" s="2">
        <f>IFERROR(__xludf.DUMMYFUNCTION("""COMPUTED_VALUE"""),2026.0)</f>
        <v>2026</v>
      </c>
      <c r="D71" s="2">
        <f>IFERROR(__xludf.DUMMYFUNCTION("""COMPUTED_VALUE"""),46375.0)</f>
        <v>46375</v>
      </c>
      <c r="E71" s="2" t="str">
        <f>IFERROR(__xludf.DUMMYFUNCTION("""COMPUTED_VALUE"""),"VF")</f>
        <v>VF</v>
      </c>
      <c r="F71" s="2">
        <f>IFERROR(__xludf.DUMMYFUNCTION("""COMPUTED_VALUE"""),2.0)</f>
        <v>2</v>
      </c>
      <c r="G71" s="2" t="str">
        <f>IFERROR(__xludf.DUMMYFUNCTION("""COMPUTED_VALUE"""),"PR051")</f>
        <v>PR051</v>
      </c>
      <c r="H71" s="2" t="str">
        <f>IFERROR(__xludf.DUMMYFUNCTION("""COMPUTED_VALUE"""),"VD018")</f>
        <v>VD018</v>
      </c>
      <c r="I71" s="2">
        <f>IFERROR(__xludf.DUMMYFUNCTION("""COMPUTED_VALUE"""),6.0)</f>
        <v>6</v>
      </c>
      <c r="J71" s="2">
        <f>IFERROR(__xludf.DUMMYFUNCTION("""COMPUTED_VALUE"""),221.09)</f>
        <v>221.09</v>
      </c>
      <c r="K71" s="2">
        <f>IFERROR(__xludf.DUMMYFUNCTION("""COMPUTED_VALUE"""),221.09)</f>
        <v>221.09</v>
      </c>
    </row>
    <row r="72">
      <c r="A72" s="2">
        <f>IFERROR(__xludf.DUMMYFUNCTION("""COMPUTED_VALUE"""),2000.0)</f>
        <v>2000</v>
      </c>
      <c r="B72" s="2">
        <f>IFERROR(__xludf.DUMMYFUNCTION("""COMPUTED_VALUE"""),183507.0)</f>
        <v>183507</v>
      </c>
      <c r="C72" s="2">
        <f>IFERROR(__xludf.DUMMYFUNCTION("""COMPUTED_VALUE"""),2026.0)</f>
        <v>2026</v>
      </c>
      <c r="D72" s="2">
        <f>IFERROR(__xludf.DUMMYFUNCTION("""COMPUTED_VALUE"""),46375.0)</f>
        <v>46375</v>
      </c>
      <c r="E72" s="2" t="str">
        <f>IFERROR(__xludf.DUMMYFUNCTION("""COMPUTED_VALUE"""),"VF")</f>
        <v>VF</v>
      </c>
      <c r="F72" s="2">
        <f>IFERROR(__xludf.DUMMYFUNCTION("""COMPUTED_VALUE"""),1.0)</f>
        <v>1</v>
      </c>
      <c r="G72" s="2" t="str">
        <f>IFERROR(__xludf.DUMMYFUNCTION("""COMPUTED_VALUE"""),"PR019")</f>
        <v>PR019</v>
      </c>
      <c r="H72" s="2" t="str">
        <f>IFERROR(__xludf.DUMMYFUNCTION("""COMPUTED_VALUE"""),"VD010")</f>
        <v>VD010</v>
      </c>
      <c r="I72" s="2">
        <f>IFERROR(__xludf.DUMMYFUNCTION("""COMPUTED_VALUE"""),20.0)</f>
        <v>20</v>
      </c>
      <c r="J72" s="2">
        <f>IFERROR(__xludf.DUMMYFUNCTION("""COMPUTED_VALUE"""),1197.6)</f>
        <v>1197.6</v>
      </c>
      <c r="K72" s="2">
        <f>IFERROR(__xludf.DUMMYFUNCTION("""COMPUTED_VALUE"""),1197.6)</f>
        <v>1197.6</v>
      </c>
    </row>
    <row r="73">
      <c r="A73" s="2">
        <f>IFERROR(__xludf.DUMMYFUNCTION("""COMPUTED_VALUE"""),1000.0)</f>
        <v>1000</v>
      </c>
      <c r="B73" s="2">
        <f>IFERROR(__xludf.DUMMYFUNCTION("""COMPUTED_VALUE"""),183508.0)</f>
        <v>183508</v>
      </c>
      <c r="C73" s="2">
        <f>IFERROR(__xludf.DUMMYFUNCTION("""COMPUTED_VALUE"""),2026.0)</f>
        <v>2026</v>
      </c>
      <c r="D73" s="2">
        <f>IFERROR(__xludf.DUMMYFUNCTION("""COMPUTED_VALUE"""),46375.0)</f>
        <v>46375</v>
      </c>
      <c r="E73" s="2" t="str">
        <f>IFERROR(__xludf.DUMMYFUNCTION("""COMPUTED_VALUE"""),"VF")</f>
        <v>VF</v>
      </c>
      <c r="F73" s="2">
        <f>IFERROR(__xludf.DUMMYFUNCTION("""COMPUTED_VALUE"""),1.0)</f>
        <v>1</v>
      </c>
      <c r="G73" s="2" t="str">
        <f>IFERROR(__xludf.DUMMYFUNCTION("""COMPUTED_VALUE"""),"PR053")</f>
        <v>PR053</v>
      </c>
      <c r="H73" s="2" t="str">
        <f>IFERROR(__xludf.DUMMYFUNCTION("""COMPUTED_VALUE"""),"VD043")</f>
        <v>VD043</v>
      </c>
      <c r="I73" s="2">
        <f>IFERROR(__xludf.DUMMYFUNCTION("""COMPUTED_VALUE"""),16.0)</f>
        <v>16</v>
      </c>
      <c r="J73" s="2">
        <f>IFERROR(__xludf.DUMMYFUNCTION("""COMPUTED_VALUE"""),950.1)</f>
        <v>950.1</v>
      </c>
      <c r="K73" s="2">
        <f>IFERROR(__xludf.DUMMYFUNCTION("""COMPUTED_VALUE"""),950.1)</f>
        <v>950.1</v>
      </c>
    </row>
    <row r="74">
      <c r="A74" s="2">
        <f>IFERROR(__xludf.DUMMYFUNCTION("""COMPUTED_VALUE"""),1000.0)</f>
        <v>1000</v>
      </c>
      <c r="B74" s="2">
        <f>IFERROR(__xludf.DUMMYFUNCTION("""COMPUTED_VALUE"""),183509.0)</f>
        <v>183509</v>
      </c>
      <c r="C74" s="2">
        <f>IFERROR(__xludf.DUMMYFUNCTION("""COMPUTED_VALUE"""),2026.0)</f>
        <v>2026</v>
      </c>
      <c r="D74" s="2">
        <f>IFERROR(__xludf.DUMMYFUNCTION("""COMPUTED_VALUE"""),46375.0)</f>
        <v>46375</v>
      </c>
      <c r="E74" s="2" t="str">
        <f>IFERROR(__xludf.DUMMYFUNCTION("""COMPUTED_VALUE"""),"VF")</f>
        <v>VF</v>
      </c>
      <c r="F74" s="2">
        <f>IFERROR(__xludf.DUMMYFUNCTION("""COMPUTED_VALUE"""),1.0)</f>
        <v>1</v>
      </c>
      <c r="G74" s="2" t="str">
        <f>IFERROR(__xludf.DUMMYFUNCTION("""COMPUTED_VALUE"""),"PR031")</f>
        <v>PR031</v>
      </c>
      <c r="H74" s="2" t="str">
        <f>IFERROR(__xludf.DUMMYFUNCTION("""COMPUTED_VALUE"""),"VD035")</f>
        <v>VD035</v>
      </c>
      <c r="I74" s="2">
        <f>IFERROR(__xludf.DUMMYFUNCTION("""COMPUTED_VALUE"""),21.0)</f>
        <v>21</v>
      </c>
      <c r="J74" s="2">
        <f>IFERROR(__xludf.DUMMYFUNCTION("""COMPUTED_VALUE"""),6122.55)</f>
        <v>6122.55</v>
      </c>
      <c r="K74" s="2">
        <f>IFERROR(__xludf.DUMMYFUNCTION("""COMPUTED_VALUE"""),6122.55)</f>
        <v>6122.55</v>
      </c>
    </row>
    <row r="75">
      <c r="A75" s="2">
        <f>IFERROR(__xludf.DUMMYFUNCTION("""COMPUTED_VALUE"""),1000.0)</f>
        <v>1000</v>
      </c>
      <c r="B75" s="2">
        <f>IFERROR(__xludf.DUMMYFUNCTION("""COMPUTED_VALUE"""),183509.0)</f>
        <v>183509</v>
      </c>
      <c r="C75" s="2">
        <f>IFERROR(__xludf.DUMMYFUNCTION("""COMPUTED_VALUE"""),2026.0)</f>
        <v>2026</v>
      </c>
      <c r="D75" s="2">
        <f>IFERROR(__xludf.DUMMYFUNCTION("""COMPUTED_VALUE"""),46375.0)</f>
        <v>46375</v>
      </c>
      <c r="E75" s="2" t="str">
        <f>IFERROR(__xludf.DUMMYFUNCTION("""COMPUTED_VALUE"""),"VF")</f>
        <v>VF</v>
      </c>
      <c r="F75" s="2">
        <f>IFERROR(__xludf.DUMMYFUNCTION("""COMPUTED_VALUE"""),2.0)</f>
        <v>2</v>
      </c>
      <c r="G75" s="2" t="str">
        <f>IFERROR(__xludf.DUMMYFUNCTION("""COMPUTED_VALUE"""),"PR008")</f>
        <v>PR008</v>
      </c>
      <c r="H75" s="2" t="str">
        <f>IFERROR(__xludf.DUMMYFUNCTION("""COMPUTED_VALUE"""),"VD037")</f>
        <v>VD037</v>
      </c>
      <c r="I75" s="2">
        <f>IFERROR(__xludf.DUMMYFUNCTION("""COMPUTED_VALUE"""),10.0)</f>
        <v>10</v>
      </c>
      <c r="J75" s="2">
        <f>IFERROR(__xludf.DUMMYFUNCTION("""COMPUTED_VALUE"""),1078.8)</f>
        <v>1078.8</v>
      </c>
      <c r="K75" s="2">
        <f>IFERROR(__xludf.DUMMYFUNCTION("""COMPUTED_VALUE"""),1078.8)</f>
        <v>1078.8</v>
      </c>
    </row>
    <row r="76">
      <c r="A76" s="2">
        <f>IFERROR(__xludf.DUMMYFUNCTION("""COMPUTED_VALUE"""),1000.0)</f>
        <v>1000</v>
      </c>
      <c r="B76" s="2">
        <f>IFERROR(__xludf.DUMMYFUNCTION("""COMPUTED_VALUE"""),183510.0)</f>
        <v>183510</v>
      </c>
      <c r="C76" s="2">
        <f>IFERROR(__xludf.DUMMYFUNCTION("""COMPUTED_VALUE"""),2026.0)</f>
        <v>2026</v>
      </c>
      <c r="D76" s="2">
        <f>IFERROR(__xludf.DUMMYFUNCTION("""COMPUTED_VALUE"""),46375.0)</f>
        <v>46375</v>
      </c>
      <c r="E76" s="2" t="str">
        <f>IFERROR(__xludf.DUMMYFUNCTION("""COMPUTED_VALUE"""),"VF")</f>
        <v>VF</v>
      </c>
      <c r="F76" s="2">
        <f>IFERROR(__xludf.DUMMYFUNCTION("""COMPUTED_VALUE"""),1.0)</f>
        <v>1</v>
      </c>
      <c r="G76" s="2" t="str">
        <f>IFERROR(__xludf.DUMMYFUNCTION("""COMPUTED_VALUE"""),"PR010")</f>
        <v>PR010</v>
      </c>
      <c r="H76" s="2" t="str">
        <f>IFERROR(__xludf.DUMMYFUNCTION("""COMPUTED_VALUE"""),"VD023")</f>
        <v>VD023</v>
      </c>
      <c r="I76" s="2">
        <f>IFERROR(__xludf.DUMMYFUNCTION("""COMPUTED_VALUE"""),14.0)</f>
        <v>14</v>
      </c>
      <c r="J76" s="2">
        <f>IFERROR(__xludf.DUMMYFUNCTION("""COMPUTED_VALUE"""),704.03)</f>
        <v>704.03</v>
      </c>
      <c r="K76" s="2">
        <f>IFERROR(__xludf.DUMMYFUNCTION("""COMPUTED_VALUE"""),704.03)</f>
        <v>704.03</v>
      </c>
    </row>
    <row r="77">
      <c r="A77" s="2">
        <f>IFERROR(__xludf.DUMMYFUNCTION("""COMPUTED_VALUE"""),1000.0)</f>
        <v>1000</v>
      </c>
      <c r="B77" s="2">
        <f>IFERROR(__xludf.DUMMYFUNCTION("""COMPUTED_VALUE"""),183511.0)</f>
        <v>183511</v>
      </c>
      <c r="C77" s="2">
        <f>IFERROR(__xludf.DUMMYFUNCTION("""COMPUTED_VALUE"""),2026.0)</f>
        <v>2026</v>
      </c>
      <c r="D77" s="2">
        <f>IFERROR(__xludf.DUMMYFUNCTION("""COMPUTED_VALUE"""),46375.0)</f>
        <v>46375</v>
      </c>
      <c r="E77" s="2" t="str">
        <f>IFERROR(__xludf.DUMMYFUNCTION("""COMPUTED_VALUE"""),"VF")</f>
        <v>VF</v>
      </c>
      <c r="F77" s="2">
        <f>IFERROR(__xludf.DUMMYFUNCTION("""COMPUTED_VALUE"""),1.0)</f>
        <v>1</v>
      </c>
      <c r="G77" s="2" t="str">
        <f>IFERROR(__xludf.DUMMYFUNCTION("""COMPUTED_VALUE"""),"PR012")</f>
        <v>PR012</v>
      </c>
      <c r="H77" s="2" t="str">
        <f>IFERROR(__xludf.DUMMYFUNCTION("""COMPUTED_VALUE"""),"VD018")</f>
        <v>VD018</v>
      </c>
      <c r="I77" s="2">
        <f>IFERROR(__xludf.DUMMYFUNCTION("""COMPUTED_VALUE"""),10.0)</f>
        <v>10</v>
      </c>
      <c r="J77" s="2">
        <f>IFERROR(__xludf.DUMMYFUNCTION("""COMPUTED_VALUE"""),577.02)</f>
        <v>577.02</v>
      </c>
      <c r="K77" s="2">
        <f>IFERROR(__xludf.DUMMYFUNCTION("""COMPUTED_VALUE"""),577.02)</f>
        <v>577.02</v>
      </c>
    </row>
    <row r="78">
      <c r="A78" s="2">
        <f>IFERROR(__xludf.DUMMYFUNCTION("""COMPUTED_VALUE"""),2000.0)</f>
        <v>2000</v>
      </c>
      <c r="B78" s="2">
        <f>IFERROR(__xludf.DUMMYFUNCTION("""COMPUTED_VALUE"""),183512.0)</f>
        <v>183512</v>
      </c>
      <c r="C78" s="2">
        <f>IFERROR(__xludf.DUMMYFUNCTION("""COMPUTED_VALUE"""),2026.0)</f>
        <v>2026</v>
      </c>
      <c r="D78" s="2">
        <f>IFERROR(__xludf.DUMMYFUNCTION("""COMPUTED_VALUE"""),46375.0)</f>
        <v>46375</v>
      </c>
      <c r="E78" s="2" t="str">
        <f>IFERROR(__xludf.DUMMYFUNCTION("""COMPUTED_VALUE"""),"VF")</f>
        <v>VF</v>
      </c>
      <c r="F78" s="2">
        <f>IFERROR(__xludf.DUMMYFUNCTION("""COMPUTED_VALUE"""),1.0)</f>
        <v>1</v>
      </c>
      <c r="G78" s="2" t="str">
        <f>IFERROR(__xludf.DUMMYFUNCTION("""COMPUTED_VALUE"""),"PR043")</f>
        <v>PR043</v>
      </c>
      <c r="H78" s="2" t="str">
        <f>IFERROR(__xludf.DUMMYFUNCTION("""COMPUTED_VALUE"""),"VD033")</f>
        <v>VD033</v>
      </c>
      <c r="I78" s="2">
        <f>IFERROR(__xludf.DUMMYFUNCTION("""COMPUTED_VALUE"""),12.0)</f>
        <v>12</v>
      </c>
      <c r="J78" s="2">
        <f>IFERROR(__xludf.DUMMYFUNCTION("""COMPUTED_VALUE"""),983.1)</f>
        <v>983.1</v>
      </c>
      <c r="K78" s="2">
        <f>IFERROR(__xludf.DUMMYFUNCTION("""COMPUTED_VALUE"""),983.1)</f>
        <v>983.1</v>
      </c>
    </row>
    <row r="79">
      <c r="A79" s="2">
        <f>IFERROR(__xludf.DUMMYFUNCTION("""COMPUTED_VALUE"""),2000.0)</f>
        <v>2000</v>
      </c>
      <c r="B79" s="2">
        <f>IFERROR(__xludf.DUMMYFUNCTION("""COMPUTED_VALUE"""),183513.0)</f>
        <v>183513</v>
      </c>
      <c r="C79" s="2">
        <f>IFERROR(__xludf.DUMMYFUNCTION("""COMPUTED_VALUE"""),2026.0)</f>
        <v>2026</v>
      </c>
      <c r="D79" s="2">
        <f>IFERROR(__xludf.DUMMYFUNCTION("""COMPUTED_VALUE"""),46375.0)</f>
        <v>46375</v>
      </c>
      <c r="E79" s="2" t="str">
        <f>IFERROR(__xludf.DUMMYFUNCTION("""COMPUTED_VALUE"""),"VF")</f>
        <v>VF</v>
      </c>
      <c r="F79" s="2">
        <f>IFERROR(__xludf.DUMMYFUNCTION("""COMPUTED_VALUE"""),1.0)</f>
        <v>1</v>
      </c>
      <c r="G79" s="2" t="str">
        <f>IFERROR(__xludf.DUMMYFUNCTION("""COMPUTED_VALUE"""),"PR004")</f>
        <v>PR004</v>
      </c>
      <c r="H79" s="2" t="str">
        <f>IFERROR(__xludf.DUMMYFUNCTION("""COMPUTED_VALUE"""),"VD015")</f>
        <v>VD015</v>
      </c>
      <c r="I79" s="2">
        <f>IFERROR(__xludf.DUMMYFUNCTION("""COMPUTED_VALUE"""),10.0)</f>
        <v>10</v>
      </c>
      <c r="J79" s="2">
        <f>IFERROR(__xludf.DUMMYFUNCTION("""COMPUTED_VALUE"""),1725.5)</f>
        <v>1725.5</v>
      </c>
      <c r="K79" s="2">
        <f>IFERROR(__xludf.DUMMYFUNCTION("""COMPUTED_VALUE"""),1725.5)</f>
        <v>1725.5</v>
      </c>
    </row>
    <row r="80">
      <c r="A80" s="2">
        <f>IFERROR(__xludf.DUMMYFUNCTION("""COMPUTED_VALUE"""),1000.0)</f>
        <v>1000</v>
      </c>
      <c r="B80" s="2">
        <f>IFERROR(__xludf.DUMMYFUNCTION("""COMPUTED_VALUE"""),183513.0)</f>
        <v>183513</v>
      </c>
      <c r="C80" s="2">
        <f>IFERROR(__xludf.DUMMYFUNCTION("""COMPUTED_VALUE"""),2026.0)</f>
        <v>2026</v>
      </c>
      <c r="D80" s="2">
        <f>IFERROR(__xludf.DUMMYFUNCTION("""COMPUTED_VALUE"""),46375.0)</f>
        <v>46375</v>
      </c>
      <c r="E80" s="2" t="str">
        <f>IFERROR(__xludf.DUMMYFUNCTION("""COMPUTED_VALUE"""),"VF")</f>
        <v>VF</v>
      </c>
      <c r="F80" s="2">
        <f>IFERROR(__xludf.DUMMYFUNCTION("""COMPUTED_VALUE"""),2.0)</f>
        <v>2</v>
      </c>
      <c r="G80" s="2" t="str">
        <f>IFERROR(__xludf.DUMMYFUNCTION("""COMPUTED_VALUE"""),"PR045")</f>
        <v>PR045</v>
      </c>
      <c r="H80" s="2" t="str">
        <f>IFERROR(__xludf.DUMMYFUNCTION("""COMPUTED_VALUE"""),"VD027")</f>
        <v>VD027</v>
      </c>
      <c r="I80" s="2">
        <f>IFERROR(__xludf.DUMMYFUNCTION("""COMPUTED_VALUE"""),16.0)</f>
        <v>16</v>
      </c>
      <c r="J80" s="2">
        <f>IFERROR(__xludf.DUMMYFUNCTION("""COMPUTED_VALUE"""),1334.0)</f>
        <v>1334</v>
      </c>
      <c r="K80" s="2">
        <f>IFERROR(__xludf.DUMMYFUNCTION("""COMPUTED_VALUE"""),1334.0)</f>
        <v>1334</v>
      </c>
    </row>
    <row r="81">
      <c r="A81" s="2">
        <f>IFERROR(__xludf.DUMMYFUNCTION("""COMPUTED_VALUE"""),1000.0)</f>
        <v>1000</v>
      </c>
      <c r="B81" s="2">
        <f>IFERROR(__xludf.DUMMYFUNCTION("""COMPUTED_VALUE"""),183514.0)</f>
        <v>183514</v>
      </c>
      <c r="C81" s="2">
        <f>IFERROR(__xludf.DUMMYFUNCTION("""COMPUTED_VALUE"""),2026.0)</f>
        <v>2026</v>
      </c>
      <c r="D81" s="2">
        <f>IFERROR(__xludf.DUMMYFUNCTION("""COMPUTED_VALUE"""),46374.0)</f>
        <v>46374</v>
      </c>
      <c r="E81" s="2" t="str">
        <f>IFERROR(__xludf.DUMMYFUNCTION("""COMPUTED_VALUE"""),"VF")</f>
        <v>VF</v>
      </c>
      <c r="F81" s="2">
        <f>IFERROR(__xludf.DUMMYFUNCTION("""COMPUTED_VALUE"""),1.0)</f>
        <v>1</v>
      </c>
      <c r="G81" s="2" t="str">
        <f>IFERROR(__xludf.DUMMYFUNCTION("""COMPUTED_VALUE"""),"PR014")</f>
        <v>PR014</v>
      </c>
      <c r="H81" s="2" t="str">
        <f>IFERROR(__xludf.DUMMYFUNCTION("""COMPUTED_VALUE"""),"VD035")</f>
        <v>VD035</v>
      </c>
      <c r="I81" s="2">
        <f>IFERROR(__xludf.DUMMYFUNCTION("""COMPUTED_VALUE"""),20.0)</f>
        <v>20</v>
      </c>
      <c r="J81" s="2">
        <f>IFERROR(__xludf.DUMMYFUNCTION("""COMPUTED_VALUE"""),877.8)</f>
        <v>877.8</v>
      </c>
      <c r="K81" s="2">
        <f>IFERROR(__xludf.DUMMYFUNCTION("""COMPUTED_VALUE"""),877.8)</f>
        <v>877.8</v>
      </c>
    </row>
    <row r="82">
      <c r="A82" s="2">
        <f>IFERROR(__xludf.DUMMYFUNCTION("""COMPUTED_VALUE"""),1000.0)</f>
        <v>1000</v>
      </c>
      <c r="B82" s="2">
        <f>IFERROR(__xludf.DUMMYFUNCTION("""COMPUTED_VALUE"""),183515.0)</f>
        <v>183515</v>
      </c>
      <c r="C82" s="2">
        <f>IFERROR(__xludf.DUMMYFUNCTION("""COMPUTED_VALUE"""),2026.0)</f>
        <v>2026</v>
      </c>
      <c r="D82" s="2">
        <f>IFERROR(__xludf.DUMMYFUNCTION("""COMPUTED_VALUE"""),46374.0)</f>
        <v>46374</v>
      </c>
      <c r="E82" s="2" t="str">
        <f>IFERROR(__xludf.DUMMYFUNCTION("""COMPUTED_VALUE"""),"VF")</f>
        <v>VF</v>
      </c>
      <c r="F82" s="2">
        <f>IFERROR(__xludf.DUMMYFUNCTION("""COMPUTED_VALUE"""),1.0)</f>
        <v>1</v>
      </c>
      <c r="G82" s="2" t="str">
        <f>IFERROR(__xludf.DUMMYFUNCTION("""COMPUTED_VALUE"""),"PR026")</f>
        <v>PR026</v>
      </c>
      <c r="H82" s="2" t="str">
        <f>IFERROR(__xludf.DUMMYFUNCTION("""COMPUTED_VALUE"""),"VD011")</f>
        <v>VD011</v>
      </c>
      <c r="I82" s="2">
        <f>IFERROR(__xludf.DUMMYFUNCTION("""COMPUTED_VALUE"""),15.0)</f>
        <v>15</v>
      </c>
      <c r="J82" s="2">
        <f>IFERROR(__xludf.DUMMYFUNCTION("""COMPUTED_VALUE"""),6035.78)</f>
        <v>6035.78</v>
      </c>
      <c r="K82" s="2">
        <f>IFERROR(__xludf.DUMMYFUNCTION("""COMPUTED_VALUE"""),6035.78)</f>
        <v>6035.78</v>
      </c>
    </row>
    <row r="83">
      <c r="A83" s="2">
        <f>IFERROR(__xludf.DUMMYFUNCTION("""COMPUTED_VALUE"""),1000.0)</f>
        <v>1000</v>
      </c>
      <c r="B83" s="2">
        <f>IFERROR(__xludf.DUMMYFUNCTION("""COMPUTED_VALUE"""),183516.0)</f>
        <v>183516</v>
      </c>
      <c r="C83" s="2">
        <f>IFERROR(__xludf.DUMMYFUNCTION("""COMPUTED_VALUE"""),2026.0)</f>
        <v>2026</v>
      </c>
      <c r="D83" s="2">
        <f>IFERROR(__xludf.DUMMYFUNCTION("""COMPUTED_VALUE"""),46374.0)</f>
        <v>46374</v>
      </c>
      <c r="E83" s="2" t="str">
        <f>IFERROR(__xludf.DUMMYFUNCTION("""COMPUTED_VALUE"""),"VF")</f>
        <v>VF</v>
      </c>
      <c r="F83" s="2">
        <f>IFERROR(__xludf.DUMMYFUNCTION("""COMPUTED_VALUE"""),1.0)</f>
        <v>1</v>
      </c>
      <c r="G83" s="2" t="str">
        <f>IFERROR(__xludf.DUMMYFUNCTION("""COMPUTED_VALUE"""),"PR014")</f>
        <v>PR014</v>
      </c>
      <c r="H83" s="2" t="str">
        <f>IFERROR(__xludf.DUMMYFUNCTION("""COMPUTED_VALUE"""),"VD028")</f>
        <v>VD028</v>
      </c>
      <c r="I83" s="2">
        <f>IFERROR(__xludf.DUMMYFUNCTION("""COMPUTED_VALUE"""),30.0)</f>
        <v>30</v>
      </c>
      <c r="J83" s="2">
        <f>IFERROR(__xludf.DUMMYFUNCTION("""COMPUTED_VALUE"""),1328.67)</f>
        <v>1328.67</v>
      </c>
      <c r="K83" s="2">
        <f>IFERROR(__xludf.DUMMYFUNCTION("""COMPUTED_VALUE"""),1328.67)</f>
        <v>1328.67</v>
      </c>
    </row>
    <row r="84">
      <c r="A84" s="2">
        <f>IFERROR(__xludf.DUMMYFUNCTION("""COMPUTED_VALUE"""),1000.0)</f>
        <v>1000</v>
      </c>
      <c r="B84" s="2">
        <f>IFERROR(__xludf.DUMMYFUNCTION("""COMPUTED_VALUE"""),183516.0)</f>
        <v>183516</v>
      </c>
      <c r="C84" s="2">
        <f>IFERROR(__xludf.DUMMYFUNCTION("""COMPUTED_VALUE"""),2026.0)</f>
        <v>2026</v>
      </c>
      <c r="D84" s="2">
        <f>IFERROR(__xludf.DUMMYFUNCTION("""COMPUTED_VALUE"""),46373.0)</f>
        <v>46373</v>
      </c>
      <c r="E84" s="2" t="str">
        <f>IFERROR(__xludf.DUMMYFUNCTION("""COMPUTED_VALUE"""),"VF")</f>
        <v>VF</v>
      </c>
      <c r="F84" s="2">
        <f>IFERROR(__xludf.DUMMYFUNCTION("""COMPUTED_VALUE"""),2.0)</f>
        <v>2</v>
      </c>
      <c r="G84" s="2" t="str">
        <f>IFERROR(__xludf.DUMMYFUNCTION("""COMPUTED_VALUE"""),"PR024")</f>
        <v>PR024</v>
      </c>
      <c r="H84" s="2" t="str">
        <f>IFERROR(__xludf.DUMMYFUNCTION("""COMPUTED_VALUE"""),"VD019")</f>
        <v>VD019</v>
      </c>
      <c r="I84" s="2">
        <f>IFERROR(__xludf.DUMMYFUNCTION("""COMPUTED_VALUE"""),30.0)</f>
        <v>30</v>
      </c>
      <c r="J84" s="2">
        <f>IFERROR(__xludf.DUMMYFUNCTION("""COMPUTED_VALUE"""),8810.61)</f>
        <v>8810.61</v>
      </c>
      <c r="K84" s="2">
        <f>IFERROR(__xludf.DUMMYFUNCTION("""COMPUTED_VALUE"""),8810.61)</f>
        <v>8810.61</v>
      </c>
    </row>
    <row r="85">
      <c r="A85" s="2">
        <f>IFERROR(__xludf.DUMMYFUNCTION("""COMPUTED_VALUE"""),1000.0)</f>
        <v>1000</v>
      </c>
      <c r="B85" s="2">
        <f>IFERROR(__xludf.DUMMYFUNCTION("""COMPUTED_VALUE"""),183517.0)</f>
        <v>183517</v>
      </c>
      <c r="C85" s="2">
        <f>IFERROR(__xludf.DUMMYFUNCTION("""COMPUTED_VALUE"""),2026.0)</f>
        <v>2026</v>
      </c>
      <c r="D85" s="2">
        <f>IFERROR(__xludf.DUMMYFUNCTION("""COMPUTED_VALUE"""),46373.0)</f>
        <v>46373</v>
      </c>
      <c r="E85" s="2" t="str">
        <f>IFERROR(__xludf.DUMMYFUNCTION("""COMPUTED_VALUE"""),"VF")</f>
        <v>VF</v>
      </c>
      <c r="F85" s="2">
        <f>IFERROR(__xludf.DUMMYFUNCTION("""COMPUTED_VALUE"""),1.0)</f>
        <v>1</v>
      </c>
      <c r="G85" s="2" t="str">
        <f>IFERROR(__xludf.DUMMYFUNCTION("""COMPUTED_VALUE"""),"PR023")</f>
        <v>PR023</v>
      </c>
      <c r="H85" s="2" t="str">
        <f>IFERROR(__xludf.DUMMYFUNCTION("""COMPUTED_VALUE"""),"VD034")</f>
        <v>VD034</v>
      </c>
      <c r="I85" s="2">
        <f>IFERROR(__xludf.DUMMYFUNCTION("""COMPUTED_VALUE"""),18.0)</f>
        <v>18</v>
      </c>
      <c r="J85" s="2">
        <f>IFERROR(__xludf.DUMMYFUNCTION("""COMPUTED_VALUE"""),5082.97)</f>
        <v>5082.97</v>
      </c>
      <c r="K85" s="2">
        <f>IFERROR(__xludf.DUMMYFUNCTION("""COMPUTED_VALUE"""),5082.97)</f>
        <v>5082.97</v>
      </c>
    </row>
    <row r="86">
      <c r="A86" s="2">
        <f>IFERROR(__xludf.DUMMYFUNCTION("""COMPUTED_VALUE"""),1000.0)</f>
        <v>1000</v>
      </c>
      <c r="B86" s="2">
        <f>IFERROR(__xludf.DUMMYFUNCTION("""COMPUTED_VALUE"""),183517.0)</f>
        <v>183517</v>
      </c>
      <c r="C86" s="2">
        <f>IFERROR(__xludf.DUMMYFUNCTION("""COMPUTED_VALUE"""),2026.0)</f>
        <v>2026</v>
      </c>
      <c r="D86" s="2">
        <f>IFERROR(__xludf.DUMMYFUNCTION("""COMPUTED_VALUE"""),46373.0)</f>
        <v>46373</v>
      </c>
      <c r="E86" s="2" t="str">
        <f>IFERROR(__xludf.DUMMYFUNCTION("""COMPUTED_VALUE"""),"VF")</f>
        <v>VF</v>
      </c>
      <c r="F86" s="2">
        <f>IFERROR(__xludf.DUMMYFUNCTION("""COMPUTED_VALUE"""),2.0)</f>
        <v>2</v>
      </c>
      <c r="G86" s="2" t="str">
        <f>IFERROR(__xludf.DUMMYFUNCTION("""COMPUTED_VALUE"""),"PR010")</f>
        <v>PR010</v>
      </c>
      <c r="H86" s="2" t="str">
        <f>IFERROR(__xludf.DUMMYFUNCTION("""COMPUTED_VALUE"""),"VD028")</f>
        <v>VD028</v>
      </c>
      <c r="I86" s="2">
        <f>IFERROR(__xludf.DUMMYFUNCTION("""COMPUTED_VALUE"""),20.0)</f>
        <v>20</v>
      </c>
      <c r="J86" s="2">
        <f>IFERROR(__xludf.DUMMYFUNCTION("""COMPUTED_VALUE"""),1050.66)</f>
        <v>1050.66</v>
      </c>
      <c r="K86" s="2">
        <f>IFERROR(__xludf.DUMMYFUNCTION("""COMPUTED_VALUE"""),1050.66)</f>
        <v>1050.66</v>
      </c>
    </row>
    <row r="87">
      <c r="A87" s="2">
        <f>IFERROR(__xludf.DUMMYFUNCTION("""COMPUTED_VALUE"""),1000.0)</f>
        <v>1000</v>
      </c>
      <c r="B87" s="2">
        <f>IFERROR(__xludf.DUMMYFUNCTION("""COMPUTED_VALUE"""),183517.0)</f>
        <v>183517</v>
      </c>
      <c r="C87" s="2">
        <f>IFERROR(__xludf.DUMMYFUNCTION("""COMPUTED_VALUE"""),2026.0)</f>
        <v>2026</v>
      </c>
      <c r="D87" s="2">
        <f>IFERROR(__xludf.DUMMYFUNCTION("""COMPUTED_VALUE"""),46373.0)</f>
        <v>46373</v>
      </c>
      <c r="E87" s="2" t="str">
        <f>IFERROR(__xludf.DUMMYFUNCTION("""COMPUTED_VALUE"""),"VF")</f>
        <v>VF</v>
      </c>
      <c r="F87" s="2">
        <f>IFERROR(__xludf.DUMMYFUNCTION("""COMPUTED_VALUE"""),3.0)</f>
        <v>3</v>
      </c>
      <c r="G87" s="2" t="str">
        <f>IFERROR(__xludf.DUMMYFUNCTION("""COMPUTED_VALUE"""),"PR042")</f>
        <v>PR042</v>
      </c>
      <c r="H87" s="2" t="str">
        <f>IFERROR(__xludf.DUMMYFUNCTION("""COMPUTED_VALUE"""),"VD041")</f>
        <v>VD041</v>
      </c>
      <c r="I87" s="2">
        <f>IFERROR(__xludf.DUMMYFUNCTION("""COMPUTED_VALUE"""),24.0)</f>
        <v>24</v>
      </c>
      <c r="J87" s="2">
        <f>IFERROR(__xludf.DUMMYFUNCTION("""COMPUTED_VALUE"""),1502.06)</f>
        <v>1502.06</v>
      </c>
      <c r="K87" s="2">
        <f>IFERROR(__xludf.DUMMYFUNCTION("""COMPUTED_VALUE"""),1502.06)</f>
        <v>1502.06</v>
      </c>
    </row>
    <row r="88">
      <c r="A88" s="2">
        <f>IFERROR(__xludf.DUMMYFUNCTION("""COMPUTED_VALUE"""),1000.0)</f>
        <v>1000</v>
      </c>
      <c r="B88" s="2">
        <f>IFERROR(__xludf.DUMMYFUNCTION("""COMPUTED_VALUE"""),183518.0)</f>
        <v>183518</v>
      </c>
      <c r="C88" s="2">
        <f>IFERROR(__xludf.DUMMYFUNCTION("""COMPUTED_VALUE"""),2026.0)</f>
        <v>2026</v>
      </c>
      <c r="D88" s="2">
        <f>IFERROR(__xludf.DUMMYFUNCTION("""COMPUTED_VALUE"""),46373.0)</f>
        <v>46373</v>
      </c>
      <c r="E88" s="2" t="str">
        <f>IFERROR(__xludf.DUMMYFUNCTION("""COMPUTED_VALUE"""),"VF")</f>
        <v>VF</v>
      </c>
      <c r="F88" s="2">
        <f>IFERROR(__xludf.DUMMYFUNCTION("""COMPUTED_VALUE"""),1.0)</f>
        <v>1</v>
      </c>
      <c r="G88" s="2" t="str">
        <f>IFERROR(__xludf.DUMMYFUNCTION("""COMPUTED_VALUE"""),"PR057")</f>
        <v>PR057</v>
      </c>
      <c r="H88" s="2" t="str">
        <f>IFERROR(__xludf.DUMMYFUNCTION("""COMPUTED_VALUE"""),"VD015")</f>
        <v>VD015</v>
      </c>
      <c r="I88" s="2">
        <f>IFERROR(__xludf.DUMMYFUNCTION("""COMPUTED_VALUE"""),24.0)</f>
        <v>24</v>
      </c>
      <c r="J88" s="2">
        <f>IFERROR(__xludf.DUMMYFUNCTION("""COMPUTED_VALUE"""),2373.36)</f>
        <v>2373.36</v>
      </c>
      <c r="K88" s="2">
        <f>IFERROR(__xludf.DUMMYFUNCTION("""COMPUTED_VALUE"""),2373.36)</f>
        <v>2373.36</v>
      </c>
    </row>
    <row r="89">
      <c r="A89" s="2">
        <f>IFERROR(__xludf.DUMMYFUNCTION("""COMPUTED_VALUE"""),1000.0)</f>
        <v>1000</v>
      </c>
      <c r="B89" s="2">
        <f>IFERROR(__xludf.DUMMYFUNCTION("""COMPUTED_VALUE"""),183519.0)</f>
        <v>183519</v>
      </c>
      <c r="C89" s="2">
        <f>IFERROR(__xludf.DUMMYFUNCTION("""COMPUTED_VALUE"""),2026.0)</f>
        <v>2026</v>
      </c>
      <c r="D89" s="2">
        <f>IFERROR(__xludf.DUMMYFUNCTION("""COMPUTED_VALUE"""),46373.0)</f>
        <v>46373</v>
      </c>
      <c r="E89" s="2" t="str">
        <f>IFERROR(__xludf.DUMMYFUNCTION("""COMPUTED_VALUE"""),"VF")</f>
        <v>VF</v>
      </c>
      <c r="F89" s="2">
        <f>IFERROR(__xludf.DUMMYFUNCTION("""COMPUTED_VALUE"""),1.0)</f>
        <v>1</v>
      </c>
      <c r="G89" s="2" t="str">
        <f>IFERROR(__xludf.DUMMYFUNCTION("""COMPUTED_VALUE"""),"PR034")</f>
        <v>PR034</v>
      </c>
      <c r="H89" s="2" t="str">
        <f>IFERROR(__xludf.DUMMYFUNCTION("""COMPUTED_VALUE"""),"VD027")</f>
        <v>VD027</v>
      </c>
      <c r="I89" s="2">
        <f>IFERROR(__xludf.DUMMYFUNCTION("""COMPUTED_VALUE"""),6.0)</f>
        <v>6</v>
      </c>
      <c r="J89" s="2">
        <f>IFERROR(__xludf.DUMMYFUNCTION("""COMPUTED_VALUE"""),598.73)</f>
        <v>598.73</v>
      </c>
      <c r="K89" s="2">
        <f>IFERROR(__xludf.DUMMYFUNCTION("""COMPUTED_VALUE"""),598.73)</f>
        <v>598.73</v>
      </c>
    </row>
    <row r="90">
      <c r="A90" s="2">
        <f>IFERROR(__xludf.DUMMYFUNCTION("""COMPUTED_VALUE"""),1000.0)</f>
        <v>1000</v>
      </c>
      <c r="B90" s="2">
        <f>IFERROR(__xludf.DUMMYFUNCTION("""COMPUTED_VALUE"""),183520.0)</f>
        <v>183520</v>
      </c>
      <c r="C90" s="2">
        <f>IFERROR(__xludf.DUMMYFUNCTION("""COMPUTED_VALUE"""),2026.0)</f>
        <v>2026</v>
      </c>
      <c r="D90" s="2">
        <f>IFERROR(__xludf.DUMMYFUNCTION("""COMPUTED_VALUE"""),46373.0)</f>
        <v>46373</v>
      </c>
      <c r="E90" s="2" t="str">
        <f>IFERROR(__xludf.DUMMYFUNCTION("""COMPUTED_VALUE"""),"VF")</f>
        <v>VF</v>
      </c>
      <c r="F90" s="2">
        <f>IFERROR(__xludf.DUMMYFUNCTION("""COMPUTED_VALUE"""),1.0)</f>
        <v>1</v>
      </c>
      <c r="G90" s="2" t="str">
        <f>IFERROR(__xludf.DUMMYFUNCTION("""COMPUTED_VALUE"""),"PR031")</f>
        <v>PR031</v>
      </c>
      <c r="H90" s="2" t="str">
        <f>IFERROR(__xludf.DUMMYFUNCTION("""COMPUTED_VALUE"""),"VD024")</f>
        <v>VD024</v>
      </c>
      <c r="I90" s="2">
        <f>IFERROR(__xludf.DUMMYFUNCTION("""COMPUTED_VALUE"""),6.0)</f>
        <v>6</v>
      </c>
      <c r="J90" s="2">
        <f>IFERROR(__xludf.DUMMYFUNCTION("""COMPUTED_VALUE"""),1675.8)</f>
        <v>1675.8</v>
      </c>
      <c r="K90" s="2">
        <f>IFERROR(__xludf.DUMMYFUNCTION("""COMPUTED_VALUE"""),1675.8)</f>
        <v>1675.8</v>
      </c>
    </row>
    <row r="91">
      <c r="A91" s="2">
        <f>IFERROR(__xludf.DUMMYFUNCTION("""COMPUTED_VALUE"""),1000.0)</f>
        <v>1000</v>
      </c>
      <c r="B91" s="2">
        <f>IFERROR(__xludf.DUMMYFUNCTION("""COMPUTED_VALUE"""),183521.0)</f>
        <v>183521</v>
      </c>
      <c r="C91" s="2">
        <f>IFERROR(__xludf.DUMMYFUNCTION("""COMPUTED_VALUE"""),2026.0)</f>
        <v>2026</v>
      </c>
      <c r="D91" s="2">
        <f>IFERROR(__xludf.DUMMYFUNCTION("""COMPUTED_VALUE"""),46373.0)</f>
        <v>46373</v>
      </c>
      <c r="E91" s="2" t="str">
        <f>IFERROR(__xludf.DUMMYFUNCTION("""COMPUTED_VALUE"""),"VF")</f>
        <v>VF</v>
      </c>
      <c r="F91" s="2">
        <f>IFERROR(__xludf.DUMMYFUNCTION("""COMPUTED_VALUE"""),1.0)</f>
        <v>1</v>
      </c>
      <c r="G91" s="2" t="str">
        <f>IFERROR(__xludf.DUMMYFUNCTION("""COMPUTED_VALUE"""),"PR046")</f>
        <v>PR046</v>
      </c>
      <c r="H91" s="2" t="str">
        <f>IFERROR(__xludf.DUMMYFUNCTION("""COMPUTED_VALUE"""),"VD038")</f>
        <v>VD038</v>
      </c>
      <c r="I91" s="2">
        <f>IFERROR(__xludf.DUMMYFUNCTION("""COMPUTED_VALUE"""),8.0)</f>
        <v>8</v>
      </c>
      <c r="J91" s="2">
        <f>IFERROR(__xludf.DUMMYFUNCTION("""COMPUTED_VALUE"""),2620.7)</f>
        <v>2620.7</v>
      </c>
      <c r="K91" s="2">
        <f>IFERROR(__xludf.DUMMYFUNCTION("""COMPUTED_VALUE"""),2620.7)</f>
        <v>2620.7</v>
      </c>
    </row>
    <row r="92">
      <c r="A92" s="2">
        <f>IFERROR(__xludf.DUMMYFUNCTION("""COMPUTED_VALUE"""),1000.0)</f>
        <v>1000</v>
      </c>
      <c r="B92" s="2">
        <f>IFERROR(__xludf.DUMMYFUNCTION("""COMPUTED_VALUE"""),183522.0)</f>
        <v>183522</v>
      </c>
      <c r="C92" s="2">
        <f>IFERROR(__xludf.DUMMYFUNCTION("""COMPUTED_VALUE"""),2026.0)</f>
        <v>2026</v>
      </c>
      <c r="D92" s="2">
        <f>IFERROR(__xludf.DUMMYFUNCTION("""COMPUTED_VALUE"""),46372.0)</f>
        <v>46372</v>
      </c>
      <c r="E92" s="2" t="str">
        <f>IFERROR(__xludf.DUMMYFUNCTION("""COMPUTED_VALUE"""),"VF")</f>
        <v>VF</v>
      </c>
      <c r="F92" s="2">
        <f>IFERROR(__xludf.DUMMYFUNCTION("""COMPUTED_VALUE"""),1.0)</f>
        <v>1</v>
      </c>
      <c r="G92" s="2" t="str">
        <f>IFERROR(__xludf.DUMMYFUNCTION("""COMPUTED_VALUE"""),"PR033")</f>
        <v>PR033</v>
      </c>
      <c r="H92" s="2" t="str">
        <f>IFERROR(__xludf.DUMMYFUNCTION("""COMPUTED_VALUE"""),"VD014")</f>
        <v>VD014</v>
      </c>
      <c r="I92" s="2">
        <f>IFERROR(__xludf.DUMMYFUNCTION("""COMPUTED_VALUE"""),12.0)</f>
        <v>12</v>
      </c>
      <c r="J92" s="2">
        <f>IFERROR(__xludf.DUMMYFUNCTION("""COMPUTED_VALUE"""),3649.0)</f>
        <v>3649</v>
      </c>
      <c r="K92" s="2">
        <f>IFERROR(__xludf.DUMMYFUNCTION("""COMPUTED_VALUE"""),3649.0)</f>
        <v>3649</v>
      </c>
    </row>
    <row r="93">
      <c r="A93" s="2">
        <f>IFERROR(__xludf.DUMMYFUNCTION("""COMPUTED_VALUE"""),1000.0)</f>
        <v>1000</v>
      </c>
      <c r="B93" s="2">
        <f>IFERROR(__xludf.DUMMYFUNCTION("""COMPUTED_VALUE"""),183523.0)</f>
        <v>183523</v>
      </c>
      <c r="C93" s="2">
        <f>IFERROR(__xludf.DUMMYFUNCTION("""COMPUTED_VALUE"""),2026.0)</f>
        <v>2026</v>
      </c>
      <c r="D93" s="2">
        <f>IFERROR(__xludf.DUMMYFUNCTION("""COMPUTED_VALUE"""),46372.0)</f>
        <v>46372</v>
      </c>
      <c r="E93" s="2" t="str">
        <f>IFERROR(__xludf.DUMMYFUNCTION("""COMPUTED_VALUE"""),"VF")</f>
        <v>VF</v>
      </c>
      <c r="F93" s="2">
        <f>IFERROR(__xludf.DUMMYFUNCTION("""COMPUTED_VALUE"""),1.0)</f>
        <v>1</v>
      </c>
      <c r="G93" s="2" t="str">
        <f>IFERROR(__xludf.DUMMYFUNCTION("""COMPUTED_VALUE"""),"PR041")</f>
        <v>PR041</v>
      </c>
      <c r="H93" s="2" t="str">
        <f>IFERROR(__xludf.DUMMYFUNCTION("""COMPUTED_VALUE"""),"VD035")</f>
        <v>VD035</v>
      </c>
      <c r="I93" s="2">
        <f>IFERROR(__xludf.DUMMYFUNCTION("""COMPUTED_VALUE"""),18.0)</f>
        <v>18</v>
      </c>
      <c r="J93" s="2">
        <f>IFERROR(__xludf.DUMMYFUNCTION("""COMPUTED_VALUE"""),1166.08)</f>
        <v>1166.08</v>
      </c>
      <c r="K93" s="2">
        <f>IFERROR(__xludf.DUMMYFUNCTION("""COMPUTED_VALUE"""),1166.08)</f>
        <v>1166.08</v>
      </c>
    </row>
    <row r="94">
      <c r="A94" s="2">
        <f>IFERROR(__xludf.DUMMYFUNCTION("""COMPUTED_VALUE"""),1000.0)</f>
        <v>1000</v>
      </c>
      <c r="B94" s="2">
        <f>IFERROR(__xludf.DUMMYFUNCTION("""COMPUTED_VALUE"""),183524.0)</f>
        <v>183524</v>
      </c>
      <c r="C94" s="2">
        <f>IFERROR(__xludf.DUMMYFUNCTION("""COMPUTED_VALUE"""),2026.0)</f>
        <v>2026</v>
      </c>
      <c r="D94" s="2">
        <f>IFERROR(__xludf.DUMMYFUNCTION("""COMPUTED_VALUE"""),46372.0)</f>
        <v>46372</v>
      </c>
      <c r="E94" s="2" t="str">
        <f>IFERROR(__xludf.DUMMYFUNCTION("""COMPUTED_VALUE"""),"VF")</f>
        <v>VF</v>
      </c>
      <c r="F94" s="2">
        <f>IFERROR(__xludf.DUMMYFUNCTION("""COMPUTED_VALUE"""),1.0)</f>
        <v>1</v>
      </c>
      <c r="G94" s="2" t="str">
        <f>IFERROR(__xludf.DUMMYFUNCTION("""COMPUTED_VALUE"""),"PR001")</f>
        <v>PR001</v>
      </c>
      <c r="H94" s="2" t="str">
        <f>IFERROR(__xludf.DUMMYFUNCTION("""COMPUTED_VALUE"""),"VD045")</f>
        <v>VD045</v>
      </c>
      <c r="I94" s="2">
        <f>IFERROR(__xludf.DUMMYFUNCTION("""COMPUTED_VALUE"""),12.0)</f>
        <v>12</v>
      </c>
      <c r="J94" s="2">
        <f>IFERROR(__xludf.DUMMYFUNCTION("""COMPUTED_VALUE"""),941.05)</f>
        <v>941.05</v>
      </c>
      <c r="K94" s="2">
        <f>IFERROR(__xludf.DUMMYFUNCTION("""COMPUTED_VALUE"""),941.05)</f>
        <v>941.05</v>
      </c>
    </row>
    <row r="95">
      <c r="A95" s="2">
        <f>IFERROR(__xludf.DUMMYFUNCTION("""COMPUTED_VALUE"""),1000.0)</f>
        <v>1000</v>
      </c>
      <c r="B95" s="2">
        <f>IFERROR(__xludf.DUMMYFUNCTION("""COMPUTED_VALUE"""),183525.0)</f>
        <v>183525</v>
      </c>
      <c r="C95" s="2">
        <f>IFERROR(__xludf.DUMMYFUNCTION("""COMPUTED_VALUE"""),2026.0)</f>
        <v>2026</v>
      </c>
      <c r="D95" s="2">
        <f>IFERROR(__xludf.DUMMYFUNCTION("""COMPUTED_VALUE"""),46372.0)</f>
        <v>46372</v>
      </c>
      <c r="E95" s="2" t="str">
        <f>IFERROR(__xludf.DUMMYFUNCTION("""COMPUTED_VALUE"""),"VF")</f>
        <v>VF</v>
      </c>
      <c r="F95" s="2">
        <f>IFERROR(__xludf.DUMMYFUNCTION("""COMPUTED_VALUE"""),1.0)</f>
        <v>1</v>
      </c>
      <c r="G95" s="2" t="str">
        <f>IFERROR(__xludf.DUMMYFUNCTION("""COMPUTED_VALUE"""),"PR006")</f>
        <v>PR006</v>
      </c>
      <c r="H95" s="2" t="str">
        <f>IFERROR(__xludf.DUMMYFUNCTION("""COMPUTED_VALUE"""),"VD035")</f>
        <v>VD035</v>
      </c>
      <c r="I95" s="2">
        <f>IFERROR(__xludf.DUMMYFUNCTION("""COMPUTED_VALUE"""),12.0)</f>
        <v>12</v>
      </c>
      <c r="J95" s="2">
        <f>IFERROR(__xludf.DUMMYFUNCTION("""COMPUTED_VALUE"""),541.04)</f>
        <v>541.04</v>
      </c>
      <c r="K95" s="2">
        <f>IFERROR(__xludf.DUMMYFUNCTION("""COMPUTED_VALUE"""),541.04)</f>
        <v>541.04</v>
      </c>
    </row>
    <row r="96">
      <c r="A96" s="2">
        <f>IFERROR(__xludf.DUMMYFUNCTION("""COMPUTED_VALUE"""),1000.0)</f>
        <v>1000</v>
      </c>
      <c r="B96" s="2">
        <f>IFERROR(__xludf.DUMMYFUNCTION("""COMPUTED_VALUE"""),183526.0)</f>
        <v>183526</v>
      </c>
      <c r="C96" s="2">
        <f>IFERROR(__xludf.DUMMYFUNCTION("""COMPUTED_VALUE"""),2026.0)</f>
        <v>2026</v>
      </c>
      <c r="D96" s="2">
        <f>IFERROR(__xludf.DUMMYFUNCTION("""COMPUTED_VALUE"""),46372.0)</f>
        <v>46372</v>
      </c>
      <c r="E96" s="2" t="str">
        <f>IFERROR(__xludf.DUMMYFUNCTION("""COMPUTED_VALUE"""),"VF")</f>
        <v>VF</v>
      </c>
      <c r="F96" s="2">
        <f>IFERROR(__xludf.DUMMYFUNCTION("""COMPUTED_VALUE"""),1.0)</f>
        <v>1</v>
      </c>
      <c r="G96" s="2" t="str">
        <f>IFERROR(__xludf.DUMMYFUNCTION("""COMPUTED_VALUE"""),"PR049")</f>
        <v>PR049</v>
      </c>
      <c r="H96" s="2" t="str">
        <f>IFERROR(__xludf.DUMMYFUNCTION("""COMPUTED_VALUE"""),"VD039")</f>
        <v>VD039</v>
      </c>
      <c r="I96" s="2">
        <f>IFERROR(__xludf.DUMMYFUNCTION("""COMPUTED_VALUE"""),10.0)</f>
        <v>10</v>
      </c>
      <c r="J96" s="2">
        <f>IFERROR(__xludf.DUMMYFUNCTION("""COMPUTED_VALUE"""),388.22)</f>
        <v>388.22</v>
      </c>
      <c r="K96" s="2">
        <f>IFERROR(__xludf.DUMMYFUNCTION("""COMPUTED_VALUE"""),388.22)</f>
        <v>388.22</v>
      </c>
    </row>
    <row r="97">
      <c r="A97" s="2">
        <f>IFERROR(__xludf.DUMMYFUNCTION("""COMPUTED_VALUE"""),1000.0)</f>
        <v>1000</v>
      </c>
      <c r="B97" s="2">
        <f>IFERROR(__xludf.DUMMYFUNCTION("""COMPUTED_VALUE"""),183527.0)</f>
        <v>183527</v>
      </c>
      <c r="C97" s="2">
        <f>IFERROR(__xludf.DUMMYFUNCTION("""COMPUTED_VALUE"""),2026.0)</f>
        <v>2026</v>
      </c>
      <c r="D97" s="2">
        <f>IFERROR(__xludf.DUMMYFUNCTION("""COMPUTED_VALUE"""),46372.0)</f>
        <v>46372</v>
      </c>
      <c r="E97" s="2" t="str">
        <f>IFERROR(__xludf.DUMMYFUNCTION("""COMPUTED_VALUE"""),"VF")</f>
        <v>VF</v>
      </c>
      <c r="F97" s="2">
        <f>IFERROR(__xludf.DUMMYFUNCTION("""COMPUTED_VALUE"""),1.0)</f>
        <v>1</v>
      </c>
      <c r="G97" s="2" t="str">
        <f>IFERROR(__xludf.DUMMYFUNCTION("""COMPUTED_VALUE"""),"PR012")</f>
        <v>PR012</v>
      </c>
      <c r="H97" s="2" t="str">
        <f>IFERROR(__xludf.DUMMYFUNCTION("""COMPUTED_VALUE"""),"VD034")</f>
        <v>VD034</v>
      </c>
      <c r="I97" s="2">
        <f>IFERROR(__xludf.DUMMYFUNCTION("""COMPUTED_VALUE"""),27.0)</f>
        <v>27</v>
      </c>
      <c r="J97" s="2">
        <f>IFERROR(__xludf.DUMMYFUNCTION("""COMPUTED_VALUE"""),1584.36)</f>
        <v>1584.36</v>
      </c>
      <c r="K97" s="2">
        <f>IFERROR(__xludf.DUMMYFUNCTION("""COMPUTED_VALUE"""),1584.36)</f>
        <v>1584.36</v>
      </c>
    </row>
    <row r="98">
      <c r="A98" s="2">
        <f>IFERROR(__xludf.DUMMYFUNCTION("""COMPUTED_VALUE"""),1000.0)</f>
        <v>1000</v>
      </c>
      <c r="B98" s="2">
        <f>IFERROR(__xludf.DUMMYFUNCTION("""COMPUTED_VALUE"""),183528.0)</f>
        <v>183528</v>
      </c>
      <c r="C98" s="2">
        <f>IFERROR(__xludf.DUMMYFUNCTION("""COMPUTED_VALUE"""),2026.0)</f>
        <v>2026</v>
      </c>
      <c r="D98" s="2">
        <f>IFERROR(__xludf.DUMMYFUNCTION("""COMPUTED_VALUE"""),46371.0)</f>
        <v>46371</v>
      </c>
      <c r="E98" s="2" t="str">
        <f>IFERROR(__xludf.DUMMYFUNCTION("""COMPUTED_VALUE"""),"VF")</f>
        <v>VF</v>
      </c>
      <c r="F98" s="2">
        <f>IFERROR(__xludf.DUMMYFUNCTION("""COMPUTED_VALUE"""),1.0)</f>
        <v>1</v>
      </c>
      <c r="G98" s="2" t="str">
        <f>IFERROR(__xludf.DUMMYFUNCTION("""COMPUTED_VALUE"""),"PR060")</f>
        <v>PR060</v>
      </c>
      <c r="H98" s="2" t="str">
        <f>IFERROR(__xludf.DUMMYFUNCTION("""COMPUTED_VALUE"""),"VD019")</f>
        <v>VD019</v>
      </c>
      <c r="I98" s="2">
        <f>IFERROR(__xludf.DUMMYFUNCTION("""COMPUTED_VALUE"""),18.0)</f>
        <v>18</v>
      </c>
      <c r="J98" s="2">
        <f>IFERROR(__xludf.DUMMYFUNCTION("""COMPUTED_VALUE"""),3628.8)</f>
        <v>3628.8</v>
      </c>
      <c r="K98" s="2">
        <f>IFERROR(__xludf.DUMMYFUNCTION("""COMPUTED_VALUE"""),3628.8)</f>
        <v>3628.8</v>
      </c>
    </row>
    <row r="99">
      <c r="A99" s="2">
        <f>IFERROR(__xludf.DUMMYFUNCTION("""COMPUTED_VALUE"""),1000.0)</f>
        <v>1000</v>
      </c>
      <c r="B99" s="2">
        <f>IFERROR(__xludf.DUMMYFUNCTION("""COMPUTED_VALUE"""),183529.0)</f>
        <v>183529</v>
      </c>
      <c r="C99" s="2">
        <f>IFERROR(__xludf.DUMMYFUNCTION("""COMPUTED_VALUE"""),2026.0)</f>
        <v>2026</v>
      </c>
      <c r="D99" s="2">
        <f>IFERROR(__xludf.DUMMYFUNCTION("""COMPUTED_VALUE"""),46371.0)</f>
        <v>46371</v>
      </c>
      <c r="E99" s="2" t="str">
        <f>IFERROR(__xludf.DUMMYFUNCTION("""COMPUTED_VALUE"""),"VF")</f>
        <v>VF</v>
      </c>
      <c r="F99" s="2">
        <f>IFERROR(__xludf.DUMMYFUNCTION("""COMPUTED_VALUE"""),1.0)</f>
        <v>1</v>
      </c>
      <c r="G99" s="2" t="str">
        <f>IFERROR(__xludf.DUMMYFUNCTION("""COMPUTED_VALUE"""),"PR060")</f>
        <v>PR060</v>
      </c>
      <c r="H99" s="2" t="str">
        <f>IFERROR(__xludf.DUMMYFUNCTION("""COMPUTED_VALUE"""),"VD042")</f>
        <v>VD042</v>
      </c>
      <c r="I99" s="2">
        <f>IFERROR(__xludf.DUMMYFUNCTION("""COMPUTED_VALUE"""),10.0)</f>
        <v>10</v>
      </c>
      <c r="J99" s="2">
        <f>IFERROR(__xludf.DUMMYFUNCTION("""COMPUTED_VALUE"""),1980.0)</f>
        <v>1980</v>
      </c>
      <c r="K99" s="2">
        <f>IFERROR(__xludf.DUMMYFUNCTION("""COMPUTED_VALUE"""),1980.0)</f>
        <v>1980</v>
      </c>
    </row>
    <row r="100">
      <c r="A100" s="2">
        <f>IFERROR(__xludf.DUMMYFUNCTION("""COMPUTED_VALUE"""),1000.0)</f>
        <v>1000</v>
      </c>
      <c r="B100" s="2">
        <f>IFERROR(__xludf.DUMMYFUNCTION("""COMPUTED_VALUE"""),183530.0)</f>
        <v>183530</v>
      </c>
      <c r="C100" s="2">
        <f>IFERROR(__xludf.DUMMYFUNCTION("""COMPUTED_VALUE"""),2026.0)</f>
        <v>2026</v>
      </c>
      <c r="D100" s="2">
        <f>IFERROR(__xludf.DUMMYFUNCTION("""COMPUTED_VALUE"""),46371.0)</f>
        <v>46371</v>
      </c>
      <c r="E100" s="2" t="str">
        <f>IFERROR(__xludf.DUMMYFUNCTION("""COMPUTED_VALUE"""),"VF")</f>
        <v>VF</v>
      </c>
      <c r="F100" s="2">
        <f>IFERROR(__xludf.DUMMYFUNCTION("""COMPUTED_VALUE"""),1.0)</f>
        <v>1</v>
      </c>
      <c r="G100" s="2" t="str">
        <f>IFERROR(__xludf.DUMMYFUNCTION("""COMPUTED_VALUE"""),"PR014")</f>
        <v>PR014</v>
      </c>
      <c r="H100" s="2" t="str">
        <f>IFERROR(__xludf.DUMMYFUNCTION("""COMPUTED_VALUE"""),"VD010")</f>
        <v>VD010</v>
      </c>
      <c r="I100" s="2">
        <f>IFERROR(__xludf.DUMMYFUNCTION("""COMPUTED_VALUE"""),18.0)</f>
        <v>18</v>
      </c>
      <c r="J100" s="2">
        <f>IFERROR(__xludf.DUMMYFUNCTION("""COMPUTED_VALUE"""),790.02)</f>
        <v>790.02</v>
      </c>
      <c r="K100" s="2">
        <f>IFERROR(__xludf.DUMMYFUNCTION("""COMPUTED_VALUE"""),790.02)</f>
        <v>790.02</v>
      </c>
    </row>
    <row r="101">
      <c r="A101" s="2">
        <f>IFERROR(__xludf.DUMMYFUNCTION("""COMPUTED_VALUE"""),1000.0)</f>
        <v>1000</v>
      </c>
      <c r="B101" s="2">
        <f>IFERROR(__xludf.DUMMYFUNCTION("""COMPUTED_VALUE"""),183530.0)</f>
        <v>183530</v>
      </c>
      <c r="C101" s="2">
        <f>IFERROR(__xludf.DUMMYFUNCTION("""COMPUTED_VALUE"""),2026.0)</f>
        <v>2026</v>
      </c>
      <c r="D101" s="2">
        <f>IFERROR(__xludf.DUMMYFUNCTION("""COMPUTED_VALUE"""),46370.0)</f>
        <v>46370</v>
      </c>
      <c r="E101" s="2" t="str">
        <f>IFERROR(__xludf.DUMMYFUNCTION("""COMPUTED_VALUE"""),"VF")</f>
        <v>VF</v>
      </c>
      <c r="F101" s="2">
        <f>IFERROR(__xludf.DUMMYFUNCTION("""COMPUTED_VALUE"""),2.0)</f>
        <v>2</v>
      </c>
      <c r="G101" s="2" t="str">
        <f>IFERROR(__xludf.DUMMYFUNCTION("""COMPUTED_VALUE"""),"PR036")</f>
        <v>PR036</v>
      </c>
      <c r="H101" s="2" t="str">
        <f>IFERROR(__xludf.DUMMYFUNCTION("""COMPUTED_VALUE"""),"VD019")</f>
        <v>VD019</v>
      </c>
      <c r="I101" s="2">
        <f>IFERROR(__xludf.DUMMYFUNCTION("""COMPUTED_VALUE"""),27.0)</f>
        <v>27</v>
      </c>
      <c r="J101" s="2">
        <f>IFERROR(__xludf.DUMMYFUNCTION("""COMPUTED_VALUE"""),2953.67)</f>
        <v>2953.67</v>
      </c>
      <c r="K101" s="2">
        <f>IFERROR(__xludf.DUMMYFUNCTION("""COMPUTED_VALUE"""),2953.67)</f>
        <v>2953.67</v>
      </c>
    </row>
    <row r="102">
      <c r="A102" s="2">
        <f>IFERROR(__xludf.DUMMYFUNCTION("""COMPUTED_VALUE"""),1000.0)</f>
        <v>1000</v>
      </c>
      <c r="B102" s="2">
        <f>IFERROR(__xludf.DUMMYFUNCTION("""COMPUTED_VALUE"""),183531.0)</f>
        <v>183531</v>
      </c>
      <c r="C102" s="2">
        <f>IFERROR(__xludf.DUMMYFUNCTION("""COMPUTED_VALUE"""),2026.0)</f>
        <v>2026</v>
      </c>
      <c r="D102" s="2">
        <f>IFERROR(__xludf.DUMMYFUNCTION("""COMPUTED_VALUE"""),46370.0)</f>
        <v>46370</v>
      </c>
      <c r="E102" s="2" t="str">
        <f>IFERROR(__xludf.DUMMYFUNCTION("""COMPUTED_VALUE"""),"VF")</f>
        <v>VF</v>
      </c>
      <c r="F102" s="2">
        <f>IFERROR(__xludf.DUMMYFUNCTION("""COMPUTED_VALUE"""),1.0)</f>
        <v>1</v>
      </c>
      <c r="G102" s="2" t="str">
        <f>IFERROR(__xludf.DUMMYFUNCTION("""COMPUTED_VALUE"""),"PR035")</f>
        <v>PR035</v>
      </c>
      <c r="H102" s="2" t="str">
        <f>IFERROR(__xludf.DUMMYFUNCTION("""COMPUTED_VALUE"""),"VD012")</f>
        <v>VD012</v>
      </c>
      <c r="I102" s="2">
        <f>IFERROR(__xludf.DUMMYFUNCTION("""COMPUTED_VALUE"""),8.0)</f>
        <v>8</v>
      </c>
      <c r="J102" s="2">
        <f>IFERROR(__xludf.DUMMYFUNCTION("""COMPUTED_VALUE"""),862.82)</f>
        <v>862.82</v>
      </c>
      <c r="K102" s="2">
        <f>IFERROR(__xludf.DUMMYFUNCTION("""COMPUTED_VALUE"""),862.82)</f>
        <v>862.82</v>
      </c>
    </row>
    <row r="103">
      <c r="A103" s="2">
        <f>IFERROR(__xludf.DUMMYFUNCTION("""COMPUTED_VALUE"""),1000.0)</f>
        <v>1000</v>
      </c>
      <c r="B103" s="2">
        <f>IFERROR(__xludf.DUMMYFUNCTION("""COMPUTED_VALUE"""),183532.0)</f>
        <v>183532</v>
      </c>
      <c r="C103" s="2">
        <f>IFERROR(__xludf.DUMMYFUNCTION("""COMPUTED_VALUE"""),2026.0)</f>
        <v>2026</v>
      </c>
      <c r="D103" s="2">
        <f>IFERROR(__xludf.DUMMYFUNCTION("""COMPUTED_VALUE"""),46369.0)</f>
        <v>46369</v>
      </c>
      <c r="E103" s="2" t="str">
        <f>IFERROR(__xludf.DUMMYFUNCTION("""COMPUTED_VALUE"""),"VF")</f>
        <v>VF</v>
      </c>
      <c r="F103" s="2">
        <f>IFERROR(__xludf.DUMMYFUNCTION("""COMPUTED_VALUE"""),1.0)</f>
        <v>1</v>
      </c>
      <c r="G103" s="2" t="str">
        <f>IFERROR(__xludf.DUMMYFUNCTION("""COMPUTED_VALUE"""),"PR006")</f>
        <v>PR006</v>
      </c>
      <c r="H103" s="2" t="str">
        <f>IFERROR(__xludf.DUMMYFUNCTION("""COMPUTED_VALUE"""),"VD044")</f>
        <v>VD044</v>
      </c>
      <c r="I103" s="2">
        <f>IFERROR(__xludf.DUMMYFUNCTION("""COMPUTED_VALUE"""),16.0)</f>
        <v>16</v>
      </c>
      <c r="J103" s="2">
        <f>IFERROR(__xludf.DUMMYFUNCTION("""COMPUTED_VALUE"""),746.93)</f>
        <v>746.93</v>
      </c>
      <c r="K103" s="2">
        <f>IFERROR(__xludf.DUMMYFUNCTION("""COMPUTED_VALUE"""),746.93)</f>
        <v>746.93</v>
      </c>
    </row>
    <row r="104">
      <c r="A104" s="2">
        <f>IFERROR(__xludf.DUMMYFUNCTION("""COMPUTED_VALUE"""),2000.0)</f>
        <v>2000</v>
      </c>
      <c r="B104" s="2">
        <f>IFERROR(__xludf.DUMMYFUNCTION("""COMPUTED_VALUE"""),183533.0)</f>
        <v>183533</v>
      </c>
      <c r="C104" s="2">
        <f>IFERROR(__xludf.DUMMYFUNCTION("""COMPUTED_VALUE"""),2026.0)</f>
        <v>2026</v>
      </c>
      <c r="D104" s="2">
        <f>IFERROR(__xludf.DUMMYFUNCTION("""COMPUTED_VALUE"""),46369.0)</f>
        <v>46369</v>
      </c>
      <c r="E104" s="2" t="str">
        <f>IFERROR(__xludf.DUMMYFUNCTION("""COMPUTED_VALUE"""),"VF")</f>
        <v>VF</v>
      </c>
      <c r="F104" s="2">
        <f>IFERROR(__xludf.DUMMYFUNCTION("""COMPUTED_VALUE"""),1.0)</f>
        <v>1</v>
      </c>
      <c r="G104" s="2" t="str">
        <f>IFERROR(__xludf.DUMMYFUNCTION("""COMPUTED_VALUE"""),"PR010")</f>
        <v>PR010</v>
      </c>
      <c r="H104" s="2" t="str">
        <f>IFERROR(__xludf.DUMMYFUNCTION("""COMPUTED_VALUE"""),"VD049")</f>
        <v>VD049</v>
      </c>
      <c r="I104" s="2">
        <f>IFERROR(__xludf.DUMMYFUNCTION("""COMPUTED_VALUE"""),20.0)</f>
        <v>20</v>
      </c>
      <c r="J104" s="2">
        <f>IFERROR(__xludf.DUMMYFUNCTION("""COMPUTED_VALUE"""),1077.6)</f>
        <v>1077.6</v>
      </c>
      <c r="K104" s="2">
        <f>IFERROR(__xludf.DUMMYFUNCTION("""COMPUTED_VALUE"""),1077.6)</f>
        <v>1077.6</v>
      </c>
    </row>
    <row r="105">
      <c r="A105" s="2">
        <f>IFERROR(__xludf.DUMMYFUNCTION("""COMPUTED_VALUE"""),1000.0)</f>
        <v>1000</v>
      </c>
      <c r="B105" s="2">
        <f>IFERROR(__xludf.DUMMYFUNCTION("""COMPUTED_VALUE"""),183534.0)</f>
        <v>183534</v>
      </c>
      <c r="C105" s="2">
        <f>IFERROR(__xludf.DUMMYFUNCTION("""COMPUTED_VALUE"""),2026.0)</f>
        <v>2026</v>
      </c>
      <c r="D105" s="2">
        <f>IFERROR(__xludf.DUMMYFUNCTION("""COMPUTED_VALUE"""),46369.0)</f>
        <v>46369</v>
      </c>
      <c r="E105" s="2" t="str">
        <f>IFERROR(__xludf.DUMMYFUNCTION("""COMPUTED_VALUE"""),"VF")</f>
        <v>VF</v>
      </c>
      <c r="F105" s="2">
        <f>IFERROR(__xludf.DUMMYFUNCTION("""COMPUTED_VALUE"""),1.0)</f>
        <v>1</v>
      </c>
      <c r="G105" s="2" t="str">
        <f>IFERROR(__xludf.DUMMYFUNCTION("""COMPUTED_VALUE"""),"PR024")</f>
        <v>PR024</v>
      </c>
      <c r="H105" s="2" t="str">
        <f>IFERROR(__xludf.DUMMYFUNCTION("""COMPUTED_VALUE"""),"VD041")</f>
        <v>VD041</v>
      </c>
      <c r="I105" s="2">
        <f>IFERROR(__xludf.DUMMYFUNCTION("""COMPUTED_VALUE"""),27.0)</f>
        <v>27</v>
      </c>
      <c r="J105" s="2">
        <f>IFERROR(__xludf.DUMMYFUNCTION("""COMPUTED_VALUE"""),8350.59)</f>
        <v>8350.59</v>
      </c>
      <c r="K105" s="2">
        <f>IFERROR(__xludf.DUMMYFUNCTION("""COMPUTED_VALUE"""),8350.59)</f>
        <v>8350.59</v>
      </c>
    </row>
    <row r="106">
      <c r="A106" s="2">
        <f>IFERROR(__xludf.DUMMYFUNCTION("""COMPUTED_VALUE"""),1000.0)</f>
        <v>1000</v>
      </c>
      <c r="B106" s="2">
        <f>IFERROR(__xludf.DUMMYFUNCTION("""COMPUTED_VALUE"""),183535.0)</f>
        <v>183535</v>
      </c>
      <c r="C106" s="2">
        <f>IFERROR(__xludf.DUMMYFUNCTION("""COMPUTED_VALUE"""),2026.0)</f>
        <v>2026</v>
      </c>
      <c r="D106" s="2">
        <f>IFERROR(__xludf.DUMMYFUNCTION("""COMPUTED_VALUE"""),46369.0)</f>
        <v>46369</v>
      </c>
      <c r="E106" s="2" t="str">
        <f>IFERROR(__xludf.DUMMYFUNCTION("""COMPUTED_VALUE"""),"VF")</f>
        <v>VF</v>
      </c>
      <c r="F106" s="2">
        <f>IFERROR(__xludf.DUMMYFUNCTION("""COMPUTED_VALUE"""),1.0)</f>
        <v>1</v>
      </c>
      <c r="G106" s="2" t="str">
        <f>IFERROR(__xludf.DUMMYFUNCTION("""COMPUTED_VALUE"""),"PR023")</f>
        <v>PR023</v>
      </c>
      <c r="H106" s="2" t="str">
        <f>IFERROR(__xludf.DUMMYFUNCTION("""COMPUTED_VALUE"""),"VD038")</f>
        <v>VD038</v>
      </c>
      <c r="I106" s="2">
        <f>IFERROR(__xludf.DUMMYFUNCTION("""COMPUTED_VALUE"""),30.0)</f>
        <v>30</v>
      </c>
      <c r="J106" s="2">
        <f>IFERROR(__xludf.DUMMYFUNCTION("""COMPUTED_VALUE"""),8846.46)</f>
        <v>8846.46</v>
      </c>
      <c r="K106" s="2">
        <f>IFERROR(__xludf.DUMMYFUNCTION("""COMPUTED_VALUE"""),8846.46)</f>
        <v>8846.46</v>
      </c>
    </row>
    <row r="107">
      <c r="A107" s="2">
        <f>IFERROR(__xludf.DUMMYFUNCTION("""COMPUTED_VALUE"""),1000.0)</f>
        <v>1000</v>
      </c>
      <c r="B107" s="2">
        <f>IFERROR(__xludf.DUMMYFUNCTION("""COMPUTED_VALUE"""),183536.0)</f>
        <v>183536</v>
      </c>
      <c r="C107" s="2">
        <f>IFERROR(__xludf.DUMMYFUNCTION("""COMPUTED_VALUE"""),2026.0)</f>
        <v>2026</v>
      </c>
      <c r="D107" s="2">
        <f>IFERROR(__xludf.DUMMYFUNCTION("""COMPUTED_VALUE"""),46368.0)</f>
        <v>46368</v>
      </c>
      <c r="E107" s="2" t="str">
        <f>IFERROR(__xludf.DUMMYFUNCTION("""COMPUTED_VALUE"""),"VF")</f>
        <v>VF</v>
      </c>
      <c r="F107" s="2">
        <f>IFERROR(__xludf.DUMMYFUNCTION("""COMPUTED_VALUE"""),1.0)</f>
        <v>1</v>
      </c>
      <c r="G107" s="2" t="str">
        <f>IFERROR(__xludf.DUMMYFUNCTION("""COMPUTED_VALUE"""),"PR022")</f>
        <v>PR022</v>
      </c>
      <c r="H107" s="2" t="str">
        <f>IFERROR(__xludf.DUMMYFUNCTION("""COMPUTED_VALUE"""),"VD044")</f>
        <v>VD044</v>
      </c>
      <c r="I107" s="2">
        <f>IFERROR(__xludf.DUMMYFUNCTION("""COMPUTED_VALUE"""),12.0)</f>
        <v>12</v>
      </c>
      <c r="J107" s="2">
        <f>IFERROR(__xludf.DUMMYFUNCTION("""COMPUTED_VALUE"""),4032.0)</f>
        <v>4032</v>
      </c>
      <c r="K107" s="2">
        <f>IFERROR(__xludf.DUMMYFUNCTION("""COMPUTED_VALUE"""),4032.0)</f>
        <v>4032</v>
      </c>
    </row>
    <row r="108">
      <c r="A108" s="2">
        <f>IFERROR(__xludf.DUMMYFUNCTION("""COMPUTED_VALUE"""),1000.0)</f>
        <v>1000</v>
      </c>
      <c r="B108" s="2">
        <f>IFERROR(__xludf.DUMMYFUNCTION("""COMPUTED_VALUE"""),183536.0)</f>
        <v>183536</v>
      </c>
      <c r="C108" s="2">
        <f>IFERROR(__xludf.DUMMYFUNCTION("""COMPUTED_VALUE"""),2026.0)</f>
        <v>2026</v>
      </c>
      <c r="D108" s="2">
        <f>IFERROR(__xludf.DUMMYFUNCTION("""COMPUTED_VALUE"""),46368.0)</f>
        <v>46368</v>
      </c>
      <c r="E108" s="2" t="str">
        <f>IFERROR(__xludf.DUMMYFUNCTION("""COMPUTED_VALUE"""),"VF")</f>
        <v>VF</v>
      </c>
      <c r="F108" s="2">
        <f>IFERROR(__xludf.DUMMYFUNCTION("""COMPUTED_VALUE"""),2.0)</f>
        <v>2</v>
      </c>
      <c r="G108" s="2" t="str">
        <f>IFERROR(__xludf.DUMMYFUNCTION("""COMPUTED_VALUE"""),"PR053")</f>
        <v>PR053</v>
      </c>
      <c r="H108" s="2" t="str">
        <f>IFERROR(__xludf.DUMMYFUNCTION("""COMPUTED_VALUE"""),"VD010")</f>
        <v>VD010</v>
      </c>
      <c r="I108" s="2">
        <f>IFERROR(__xludf.DUMMYFUNCTION("""COMPUTED_VALUE"""),14.0)</f>
        <v>14</v>
      </c>
      <c r="J108" s="2">
        <f>IFERROR(__xludf.DUMMYFUNCTION("""COMPUTED_VALUE"""),810.38)</f>
        <v>810.38</v>
      </c>
      <c r="K108" s="2">
        <f>IFERROR(__xludf.DUMMYFUNCTION("""COMPUTED_VALUE"""),810.38)</f>
        <v>810.38</v>
      </c>
    </row>
    <row r="109">
      <c r="A109" s="2">
        <f>IFERROR(__xludf.DUMMYFUNCTION("""COMPUTED_VALUE"""),2000.0)</f>
        <v>2000</v>
      </c>
      <c r="B109" s="2">
        <f>IFERROR(__xludf.DUMMYFUNCTION("""COMPUTED_VALUE"""),183537.0)</f>
        <v>183537</v>
      </c>
      <c r="C109" s="2">
        <f>IFERROR(__xludf.DUMMYFUNCTION("""COMPUTED_VALUE"""),2026.0)</f>
        <v>2026</v>
      </c>
      <c r="D109" s="2">
        <f>IFERROR(__xludf.DUMMYFUNCTION("""COMPUTED_VALUE"""),46367.0)</f>
        <v>46367</v>
      </c>
      <c r="E109" s="2" t="str">
        <f>IFERROR(__xludf.DUMMYFUNCTION("""COMPUTED_VALUE"""),"VF")</f>
        <v>VF</v>
      </c>
      <c r="F109" s="2">
        <f>IFERROR(__xludf.DUMMYFUNCTION("""COMPUTED_VALUE"""),1.0)</f>
        <v>1</v>
      </c>
      <c r="G109" s="2" t="str">
        <f>IFERROR(__xludf.DUMMYFUNCTION("""COMPUTED_VALUE"""),"PR054")</f>
        <v>PR054</v>
      </c>
      <c r="H109" s="2" t="str">
        <f>IFERROR(__xludf.DUMMYFUNCTION("""COMPUTED_VALUE"""),"VD034")</f>
        <v>VD034</v>
      </c>
      <c r="I109" s="2">
        <f>IFERROR(__xludf.DUMMYFUNCTION("""COMPUTED_VALUE"""),21.0)</f>
        <v>21</v>
      </c>
      <c r="J109" s="2">
        <f>IFERROR(__xludf.DUMMYFUNCTION("""COMPUTED_VALUE"""),1236.52)</f>
        <v>1236.52</v>
      </c>
      <c r="K109" s="2">
        <f>IFERROR(__xludf.DUMMYFUNCTION("""COMPUTED_VALUE"""),1236.52)</f>
        <v>1236.52</v>
      </c>
    </row>
    <row r="110">
      <c r="A110" s="2">
        <f>IFERROR(__xludf.DUMMYFUNCTION("""COMPUTED_VALUE"""),1000.0)</f>
        <v>1000</v>
      </c>
      <c r="B110" s="2">
        <f>IFERROR(__xludf.DUMMYFUNCTION("""COMPUTED_VALUE"""),183538.0)</f>
        <v>183538</v>
      </c>
      <c r="C110" s="2">
        <f>IFERROR(__xludf.DUMMYFUNCTION("""COMPUTED_VALUE"""),2026.0)</f>
        <v>2026</v>
      </c>
      <c r="D110" s="2">
        <f>IFERROR(__xludf.DUMMYFUNCTION("""COMPUTED_VALUE"""),46367.0)</f>
        <v>46367</v>
      </c>
      <c r="E110" s="2" t="str">
        <f>IFERROR(__xludf.DUMMYFUNCTION("""COMPUTED_VALUE"""),"VF")</f>
        <v>VF</v>
      </c>
      <c r="F110" s="2">
        <f>IFERROR(__xludf.DUMMYFUNCTION("""COMPUTED_VALUE"""),1.0)</f>
        <v>1</v>
      </c>
      <c r="G110" s="2" t="str">
        <f>IFERROR(__xludf.DUMMYFUNCTION("""COMPUTED_VALUE"""),"PR058")</f>
        <v>PR058</v>
      </c>
      <c r="H110" s="2" t="str">
        <f>IFERROR(__xludf.DUMMYFUNCTION("""COMPUTED_VALUE"""),"VD044")</f>
        <v>VD044</v>
      </c>
      <c r="I110" s="2">
        <f>IFERROR(__xludf.DUMMYFUNCTION("""COMPUTED_VALUE"""),15.0)</f>
        <v>15</v>
      </c>
      <c r="J110" s="2">
        <f>IFERROR(__xludf.DUMMYFUNCTION("""COMPUTED_VALUE"""),3240.0)</f>
        <v>3240</v>
      </c>
      <c r="K110" s="2">
        <f>IFERROR(__xludf.DUMMYFUNCTION("""COMPUTED_VALUE"""),3240.0)</f>
        <v>3240</v>
      </c>
    </row>
    <row r="111">
      <c r="A111" s="2">
        <f>IFERROR(__xludf.DUMMYFUNCTION("""COMPUTED_VALUE"""),1000.0)</f>
        <v>1000</v>
      </c>
      <c r="B111" s="2">
        <f>IFERROR(__xludf.DUMMYFUNCTION("""COMPUTED_VALUE"""),183539.0)</f>
        <v>183539</v>
      </c>
      <c r="C111" s="2">
        <f>IFERROR(__xludf.DUMMYFUNCTION("""COMPUTED_VALUE"""),2026.0)</f>
        <v>2026</v>
      </c>
      <c r="D111" s="2">
        <f>IFERROR(__xludf.DUMMYFUNCTION("""COMPUTED_VALUE"""),46366.0)</f>
        <v>46366</v>
      </c>
      <c r="E111" s="2" t="str">
        <f>IFERROR(__xludf.DUMMYFUNCTION("""COMPUTED_VALUE"""),"VF")</f>
        <v>VF</v>
      </c>
      <c r="F111" s="2">
        <f>IFERROR(__xludf.DUMMYFUNCTION("""COMPUTED_VALUE"""),1.0)</f>
        <v>1</v>
      </c>
      <c r="G111" s="2" t="str">
        <f>IFERROR(__xludf.DUMMYFUNCTION("""COMPUTED_VALUE"""),"PR040")</f>
        <v>PR040</v>
      </c>
      <c r="H111" s="2" t="str">
        <f>IFERROR(__xludf.DUMMYFUNCTION("""COMPUTED_VALUE"""),"VD037")</f>
        <v>VD037</v>
      </c>
      <c r="I111" s="2">
        <f>IFERROR(__xludf.DUMMYFUNCTION("""COMPUTED_VALUE"""),12.0)</f>
        <v>12</v>
      </c>
      <c r="J111" s="2">
        <f>IFERROR(__xludf.DUMMYFUNCTION("""COMPUTED_VALUE"""),974.4)</f>
        <v>974.4</v>
      </c>
      <c r="K111" s="2">
        <f>IFERROR(__xludf.DUMMYFUNCTION("""COMPUTED_VALUE"""),974.4)</f>
        <v>974.4</v>
      </c>
    </row>
    <row r="112">
      <c r="A112" s="2">
        <f>IFERROR(__xludf.DUMMYFUNCTION("""COMPUTED_VALUE"""),1000.0)</f>
        <v>1000</v>
      </c>
      <c r="B112" s="2">
        <f>IFERROR(__xludf.DUMMYFUNCTION("""COMPUTED_VALUE"""),183540.0)</f>
        <v>183540</v>
      </c>
      <c r="C112" s="2">
        <f>IFERROR(__xludf.DUMMYFUNCTION("""COMPUTED_VALUE"""),2026.0)</f>
        <v>2026</v>
      </c>
      <c r="D112" s="2">
        <f>IFERROR(__xludf.DUMMYFUNCTION("""COMPUTED_VALUE"""),46366.0)</f>
        <v>46366</v>
      </c>
      <c r="E112" s="2" t="str">
        <f>IFERROR(__xludf.DUMMYFUNCTION("""COMPUTED_VALUE"""),"VF")</f>
        <v>VF</v>
      </c>
      <c r="F112" s="2">
        <f>IFERROR(__xludf.DUMMYFUNCTION("""COMPUTED_VALUE"""),1.0)</f>
        <v>1</v>
      </c>
      <c r="G112" s="2" t="str">
        <f>IFERROR(__xludf.DUMMYFUNCTION("""COMPUTED_VALUE"""),"PR031")</f>
        <v>PR031</v>
      </c>
      <c r="H112" s="2" t="str">
        <f>IFERROR(__xludf.DUMMYFUNCTION("""COMPUTED_VALUE"""),"VD037")</f>
        <v>VD037</v>
      </c>
      <c r="I112" s="2">
        <f>IFERROR(__xludf.DUMMYFUNCTION("""COMPUTED_VALUE"""),24.0)</f>
        <v>24</v>
      </c>
      <c r="J112" s="2">
        <f>IFERROR(__xludf.DUMMYFUNCTION("""COMPUTED_VALUE"""),6997.2)</f>
        <v>6997.2</v>
      </c>
      <c r="K112" s="2">
        <f>IFERROR(__xludf.DUMMYFUNCTION("""COMPUTED_VALUE"""),6997.2)</f>
        <v>6997.2</v>
      </c>
    </row>
    <row r="113">
      <c r="A113" s="2">
        <f>IFERROR(__xludf.DUMMYFUNCTION("""COMPUTED_VALUE"""),2000.0)</f>
        <v>2000</v>
      </c>
      <c r="B113" s="2">
        <f>IFERROR(__xludf.DUMMYFUNCTION("""COMPUTED_VALUE"""),183541.0)</f>
        <v>183541</v>
      </c>
      <c r="C113" s="2">
        <f>IFERROR(__xludf.DUMMYFUNCTION("""COMPUTED_VALUE"""),2026.0)</f>
        <v>2026</v>
      </c>
      <c r="D113" s="2">
        <f>IFERROR(__xludf.DUMMYFUNCTION("""COMPUTED_VALUE"""),46366.0)</f>
        <v>46366</v>
      </c>
      <c r="E113" s="2" t="str">
        <f>IFERROR(__xludf.DUMMYFUNCTION("""COMPUTED_VALUE"""),"VF")</f>
        <v>VF</v>
      </c>
      <c r="F113" s="2">
        <f>IFERROR(__xludf.DUMMYFUNCTION("""COMPUTED_VALUE"""),1.0)</f>
        <v>1</v>
      </c>
      <c r="G113" s="2" t="str">
        <f>IFERROR(__xludf.DUMMYFUNCTION("""COMPUTED_VALUE"""),"PR009")</f>
        <v>PR009</v>
      </c>
      <c r="H113" s="2" t="str">
        <f>IFERROR(__xludf.DUMMYFUNCTION("""COMPUTED_VALUE"""),"VD011")</f>
        <v>VD011</v>
      </c>
      <c r="I113" s="2">
        <f>IFERROR(__xludf.DUMMYFUNCTION("""COMPUTED_VALUE"""),21.0)</f>
        <v>21</v>
      </c>
      <c r="J113" s="2">
        <f>IFERROR(__xludf.DUMMYFUNCTION("""COMPUTED_VALUE"""),2185.01)</f>
        <v>2185.01</v>
      </c>
      <c r="K113" s="2">
        <f>IFERROR(__xludf.DUMMYFUNCTION("""COMPUTED_VALUE"""),2185.01)</f>
        <v>2185.01</v>
      </c>
    </row>
    <row r="114">
      <c r="A114" s="2">
        <f>IFERROR(__xludf.DUMMYFUNCTION("""COMPUTED_VALUE"""),1000.0)</f>
        <v>1000</v>
      </c>
      <c r="B114" s="2">
        <f>IFERROR(__xludf.DUMMYFUNCTION("""COMPUTED_VALUE"""),183542.0)</f>
        <v>183542</v>
      </c>
      <c r="C114" s="2">
        <f>IFERROR(__xludf.DUMMYFUNCTION("""COMPUTED_VALUE"""),2026.0)</f>
        <v>2026</v>
      </c>
      <c r="D114" s="2">
        <f>IFERROR(__xludf.DUMMYFUNCTION("""COMPUTED_VALUE"""),46366.0)</f>
        <v>46366</v>
      </c>
      <c r="E114" s="2" t="str">
        <f>IFERROR(__xludf.DUMMYFUNCTION("""COMPUTED_VALUE"""),"VF")</f>
        <v>VF</v>
      </c>
      <c r="F114" s="2">
        <f>IFERROR(__xludf.DUMMYFUNCTION("""COMPUTED_VALUE"""),1.0)</f>
        <v>1</v>
      </c>
      <c r="G114" s="2" t="str">
        <f>IFERROR(__xludf.DUMMYFUNCTION("""COMPUTED_VALUE"""),"PR029")</f>
        <v>PR029</v>
      </c>
      <c r="H114" s="2" t="str">
        <f>IFERROR(__xludf.DUMMYFUNCTION("""COMPUTED_VALUE"""),"VD047")</f>
        <v>VD047</v>
      </c>
      <c r="I114" s="2">
        <f>IFERROR(__xludf.DUMMYFUNCTION("""COMPUTED_VALUE"""),24.0)</f>
        <v>24</v>
      </c>
      <c r="J114" s="2">
        <f>IFERROR(__xludf.DUMMYFUNCTION("""COMPUTED_VALUE"""),6793.2)</f>
        <v>6793.2</v>
      </c>
      <c r="K114" s="2">
        <f>IFERROR(__xludf.DUMMYFUNCTION("""COMPUTED_VALUE"""),6793.2)</f>
        <v>6793.2</v>
      </c>
    </row>
    <row r="115">
      <c r="A115" s="2">
        <f>IFERROR(__xludf.DUMMYFUNCTION("""COMPUTED_VALUE"""),1000.0)</f>
        <v>1000</v>
      </c>
      <c r="B115" s="2">
        <f>IFERROR(__xludf.DUMMYFUNCTION("""COMPUTED_VALUE"""),183543.0)</f>
        <v>183543</v>
      </c>
      <c r="C115" s="2">
        <f>IFERROR(__xludf.DUMMYFUNCTION("""COMPUTED_VALUE"""),2026.0)</f>
        <v>2026</v>
      </c>
      <c r="D115" s="2">
        <f>IFERROR(__xludf.DUMMYFUNCTION("""COMPUTED_VALUE"""),46365.0)</f>
        <v>46365</v>
      </c>
      <c r="E115" s="2" t="str">
        <f>IFERROR(__xludf.DUMMYFUNCTION("""COMPUTED_VALUE"""),"VF")</f>
        <v>VF</v>
      </c>
      <c r="F115" s="2">
        <f>IFERROR(__xludf.DUMMYFUNCTION("""COMPUTED_VALUE"""),1.0)</f>
        <v>1</v>
      </c>
      <c r="G115" s="2" t="str">
        <f>IFERROR(__xludf.DUMMYFUNCTION("""COMPUTED_VALUE"""),"PR017")</f>
        <v>PR017</v>
      </c>
      <c r="H115" s="2" t="str">
        <f>IFERROR(__xludf.DUMMYFUNCTION("""COMPUTED_VALUE"""),"VD042")</f>
        <v>VD042</v>
      </c>
      <c r="I115" s="2">
        <f>IFERROR(__xludf.DUMMYFUNCTION("""COMPUTED_VALUE"""),27.0)</f>
        <v>27</v>
      </c>
      <c r="J115" s="2">
        <f>IFERROR(__xludf.DUMMYFUNCTION("""COMPUTED_VALUE"""),912.25)</f>
        <v>912.25</v>
      </c>
      <c r="K115" s="2">
        <f>IFERROR(__xludf.DUMMYFUNCTION("""COMPUTED_VALUE"""),912.25)</f>
        <v>912.25</v>
      </c>
    </row>
    <row r="116">
      <c r="A116" s="2">
        <f>IFERROR(__xludf.DUMMYFUNCTION("""COMPUTED_VALUE"""),1000.0)</f>
        <v>1000</v>
      </c>
      <c r="B116" s="2">
        <f>IFERROR(__xludf.DUMMYFUNCTION("""COMPUTED_VALUE"""),183544.0)</f>
        <v>183544</v>
      </c>
      <c r="C116" s="2">
        <f>IFERROR(__xludf.DUMMYFUNCTION("""COMPUTED_VALUE"""),2026.0)</f>
        <v>2026</v>
      </c>
      <c r="D116" s="2">
        <f>IFERROR(__xludf.DUMMYFUNCTION("""COMPUTED_VALUE"""),46365.0)</f>
        <v>46365</v>
      </c>
      <c r="E116" s="2" t="str">
        <f>IFERROR(__xludf.DUMMYFUNCTION("""COMPUTED_VALUE"""),"VF")</f>
        <v>VF</v>
      </c>
      <c r="F116" s="2">
        <f>IFERROR(__xludf.DUMMYFUNCTION("""COMPUTED_VALUE"""),1.0)</f>
        <v>1</v>
      </c>
      <c r="G116" s="2" t="str">
        <f>IFERROR(__xludf.DUMMYFUNCTION("""COMPUTED_VALUE"""),"PR003")</f>
        <v>PR003</v>
      </c>
      <c r="H116" s="2" t="str">
        <f>IFERROR(__xludf.DUMMYFUNCTION("""COMPUTED_VALUE"""),"VD032")</f>
        <v>VD032</v>
      </c>
      <c r="I116" s="2">
        <f>IFERROR(__xludf.DUMMYFUNCTION("""COMPUTED_VALUE"""),24.0)</f>
        <v>24</v>
      </c>
      <c r="J116" s="2">
        <f>IFERROR(__xludf.DUMMYFUNCTION("""COMPUTED_VALUE"""),2041.92)</f>
        <v>2041.92</v>
      </c>
      <c r="K116" s="2">
        <f>IFERROR(__xludf.DUMMYFUNCTION("""COMPUTED_VALUE"""),2041.92)</f>
        <v>2041.92</v>
      </c>
    </row>
    <row r="117">
      <c r="A117" s="2">
        <f>IFERROR(__xludf.DUMMYFUNCTION("""COMPUTED_VALUE"""),1000.0)</f>
        <v>1000</v>
      </c>
      <c r="B117" s="2">
        <f>IFERROR(__xludf.DUMMYFUNCTION("""COMPUTED_VALUE"""),183545.0)</f>
        <v>183545</v>
      </c>
      <c r="C117" s="2">
        <f>IFERROR(__xludf.DUMMYFUNCTION("""COMPUTED_VALUE"""),2026.0)</f>
        <v>2026</v>
      </c>
      <c r="D117" s="2">
        <f>IFERROR(__xludf.DUMMYFUNCTION("""COMPUTED_VALUE"""),46365.0)</f>
        <v>46365</v>
      </c>
      <c r="E117" s="2" t="str">
        <f>IFERROR(__xludf.DUMMYFUNCTION("""COMPUTED_VALUE"""),"VF")</f>
        <v>VF</v>
      </c>
      <c r="F117" s="2">
        <f>IFERROR(__xludf.DUMMYFUNCTION("""COMPUTED_VALUE"""),1.0)</f>
        <v>1</v>
      </c>
      <c r="G117" s="2" t="str">
        <f>IFERROR(__xludf.DUMMYFUNCTION("""COMPUTED_VALUE"""),"PR041")</f>
        <v>PR041</v>
      </c>
      <c r="H117" s="2" t="str">
        <f>IFERROR(__xludf.DUMMYFUNCTION("""COMPUTED_VALUE"""),"VD023")</f>
        <v>VD023</v>
      </c>
      <c r="I117" s="2">
        <f>IFERROR(__xludf.DUMMYFUNCTION("""COMPUTED_VALUE"""),18.0)</f>
        <v>18</v>
      </c>
      <c r="J117" s="2">
        <f>IFERROR(__xludf.DUMMYFUNCTION("""COMPUTED_VALUE"""),1136.43)</f>
        <v>1136.43</v>
      </c>
      <c r="K117" s="2">
        <f>IFERROR(__xludf.DUMMYFUNCTION("""COMPUTED_VALUE"""),1136.43)</f>
        <v>1136.43</v>
      </c>
    </row>
    <row r="118">
      <c r="A118" s="2">
        <f>IFERROR(__xludf.DUMMYFUNCTION("""COMPUTED_VALUE"""),1000.0)</f>
        <v>1000</v>
      </c>
      <c r="B118" s="2">
        <f>IFERROR(__xludf.DUMMYFUNCTION("""COMPUTED_VALUE"""),183546.0)</f>
        <v>183546</v>
      </c>
      <c r="C118" s="2">
        <f>IFERROR(__xludf.DUMMYFUNCTION("""COMPUTED_VALUE"""),2026.0)</f>
        <v>2026</v>
      </c>
      <c r="D118" s="2">
        <f>IFERROR(__xludf.DUMMYFUNCTION("""COMPUTED_VALUE"""),46365.0)</f>
        <v>46365</v>
      </c>
      <c r="E118" s="2" t="str">
        <f>IFERROR(__xludf.DUMMYFUNCTION("""COMPUTED_VALUE"""),"VF")</f>
        <v>VF</v>
      </c>
      <c r="F118" s="2">
        <f>IFERROR(__xludf.DUMMYFUNCTION("""COMPUTED_VALUE"""),1.0)</f>
        <v>1</v>
      </c>
      <c r="G118" s="2" t="str">
        <f>IFERROR(__xludf.DUMMYFUNCTION("""COMPUTED_VALUE"""),"PR029")</f>
        <v>PR029</v>
      </c>
      <c r="H118" s="2" t="str">
        <f>IFERROR(__xludf.DUMMYFUNCTION("""COMPUTED_VALUE"""),"VD036")</f>
        <v>VD036</v>
      </c>
      <c r="I118" s="2">
        <f>IFERROR(__xludf.DUMMYFUNCTION("""COMPUTED_VALUE"""),24.0)</f>
        <v>24</v>
      </c>
      <c r="J118" s="2">
        <f>IFERROR(__xludf.DUMMYFUNCTION("""COMPUTED_VALUE"""),6976.8)</f>
        <v>6976.8</v>
      </c>
      <c r="K118" s="2">
        <f>IFERROR(__xludf.DUMMYFUNCTION("""COMPUTED_VALUE"""),6976.8)</f>
        <v>6976.8</v>
      </c>
    </row>
    <row r="119">
      <c r="A119" s="2">
        <f>IFERROR(__xludf.DUMMYFUNCTION("""COMPUTED_VALUE"""),1000.0)</f>
        <v>1000</v>
      </c>
      <c r="B119" s="2">
        <f>IFERROR(__xludf.DUMMYFUNCTION("""COMPUTED_VALUE"""),183547.0)</f>
        <v>183547</v>
      </c>
      <c r="C119" s="2">
        <f>IFERROR(__xludf.DUMMYFUNCTION("""COMPUTED_VALUE"""),2026.0)</f>
        <v>2026</v>
      </c>
      <c r="D119" s="2">
        <f>IFERROR(__xludf.DUMMYFUNCTION("""COMPUTED_VALUE"""),46365.0)</f>
        <v>46365</v>
      </c>
      <c r="E119" s="2" t="str">
        <f>IFERROR(__xludf.DUMMYFUNCTION("""COMPUTED_VALUE"""),"VF")</f>
        <v>VF</v>
      </c>
      <c r="F119" s="2">
        <f>IFERROR(__xludf.DUMMYFUNCTION("""COMPUTED_VALUE"""),1.0)</f>
        <v>1</v>
      </c>
      <c r="G119" s="2" t="str">
        <f>IFERROR(__xludf.DUMMYFUNCTION("""COMPUTED_VALUE"""),"PR054")</f>
        <v>PR054</v>
      </c>
      <c r="H119" s="2" t="str">
        <f>IFERROR(__xludf.DUMMYFUNCTION("""COMPUTED_VALUE"""),"VD034")</f>
        <v>VD034</v>
      </c>
      <c r="I119" s="2">
        <f>IFERROR(__xludf.DUMMYFUNCTION("""COMPUTED_VALUE"""),18.0)</f>
        <v>18</v>
      </c>
      <c r="J119" s="2">
        <f>IFERROR(__xludf.DUMMYFUNCTION("""COMPUTED_VALUE"""),1059.88)</f>
        <v>1059.88</v>
      </c>
      <c r="K119" s="2">
        <f>IFERROR(__xludf.DUMMYFUNCTION("""COMPUTED_VALUE"""),1059.88)</f>
        <v>1059.88</v>
      </c>
    </row>
    <row r="120">
      <c r="A120" s="2">
        <f>IFERROR(__xludf.DUMMYFUNCTION("""COMPUTED_VALUE"""),1000.0)</f>
        <v>1000</v>
      </c>
      <c r="B120" s="2">
        <f>IFERROR(__xludf.DUMMYFUNCTION("""COMPUTED_VALUE"""),183548.0)</f>
        <v>183548</v>
      </c>
      <c r="C120" s="2">
        <f>IFERROR(__xludf.DUMMYFUNCTION("""COMPUTED_VALUE"""),2026.0)</f>
        <v>2026</v>
      </c>
      <c r="D120" s="2">
        <f>IFERROR(__xludf.DUMMYFUNCTION("""COMPUTED_VALUE"""),46364.0)</f>
        <v>46364</v>
      </c>
      <c r="E120" s="2" t="str">
        <f>IFERROR(__xludf.DUMMYFUNCTION("""COMPUTED_VALUE"""),"VF")</f>
        <v>VF</v>
      </c>
      <c r="F120" s="2">
        <f>IFERROR(__xludf.DUMMYFUNCTION("""COMPUTED_VALUE"""),1.0)</f>
        <v>1</v>
      </c>
      <c r="G120" s="2" t="str">
        <f>IFERROR(__xludf.DUMMYFUNCTION("""COMPUTED_VALUE"""),"PR047")</f>
        <v>PR047</v>
      </c>
      <c r="H120" s="2" t="str">
        <f>IFERROR(__xludf.DUMMYFUNCTION("""COMPUTED_VALUE"""),"VD034")</f>
        <v>VD034</v>
      </c>
      <c r="I120" s="2">
        <f>IFERROR(__xludf.DUMMYFUNCTION("""COMPUTED_VALUE"""),21.0)</f>
        <v>21</v>
      </c>
      <c r="J120" s="2">
        <f>IFERROR(__xludf.DUMMYFUNCTION("""COMPUTED_VALUE"""),7122.84)</f>
        <v>7122.84</v>
      </c>
      <c r="K120" s="2">
        <f>IFERROR(__xludf.DUMMYFUNCTION("""COMPUTED_VALUE"""),7122.84)</f>
        <v>7122.84</v>
      </c>
    </row>
    <row r="121">
      <c r="A121" s="2">
        <f>IFERROR(__xludf.DUMMYFUNCTION("""COMPUTED_VALUE"""),1000.0)</f>
        <v>1000</v>
      </c>
      <c r="B121" s="2">
        <f>IFERROR(__xludf.DUMMYFUNCTION("""COMPUTED_VALUE"""),183549.0)</f>
        <v>183549</v>
      </c>
      <c r="C121" s="2">
        <f>IFERROR(__xludf.DUMMYFUNCTION("""COMPUTED_VALUE"""),2026.0)</f>
        <v>2026</v>
      </c>
      <c r="D121" s="2">
        <f>IFERROR(__xludf.DUMMYFUNCTION("""COMPUTED_VALUE"""),46364.0)</f>
        <v>46364</v>
      </c>
      <c r="E121" s="2" t="str">
        <f>IFERROR(__xludf.DUMMYFUNCTION("""COMPUTED_VALUE"""),"VF")</f>
        <v>VF</v>
      </c>
      <c r="F121" s="2">
        <f>IFERROR(__xludf.DUMMYFUNCTION("""COMPUTED_VALUE"""),1.0)</f>
        <v>1</v>
      </c>
      <c r="G121" s="2" t="str">
        <f>IFERROR(__xludf.DUMMYFUNCTION("""COMPUTED_VALUE"""),"PR023")</f>
        <v>PR023</v>
      </c>
      <c r="H121" s="2" t="str">
        <f>IFERROR(__xludf.DUMMYFUNCTION("""COMPUTED_VALUE"""),"VD018")</f>
        <v>VD018</v>
      </c>
      <c r="I121" s="2">
        <f>IFERROR(__xludf.DUMMYFUNCTION("""COMPUTED_VALUE"""),12.0)</f>
        <v>12</v>
      </c>
      <c r="J121" s="2">
        <f>IFERROR(__xludf.DUMMYFUNCTION("""COMPUTED_VALUE"""),3598.56)</f>
        <v>3598.56</v>
      </c>
      <c r="K121" s="2">
        <f>IFERROR(__xludf.DUMMYFUNCTION("""COMPUTED_VALUE"""),3598.56)</f>
        <v>3598.56</v>
      </c>
    </row>
    <row r="122">
      <c r="A122" s="2">
        <f>IFERROR(__xludf.DUMMYFUNCTION("""COMPUTED_VALUE"""),1000.0)</f>
        <v>1000</v>
      </c>
      <c r="B122" s="2">
        <f>IFERROR(__xludf.DUMMYFUNCTION("""COMPUTED_VALUE"""),183550.0)</f>
        <v>183550</v>
      </c>
      <c r="C122" s="2">
        <f>IFERROR(__xludf.DUMMYFUNCTION("""COMPUTED_VALUE"""),2026.0)</f>
        <v>2026</v>
      </c>
      <c r="D122" s="2">
        <f>IFERROR(__xludf.DUMMYFUNCTION("""COMPUTED_VALUE"""),46364.0)</f>
        <v>46364</v>
      </c>
      <c r="E122" s="2" t="str">
        <f>IFERROR(__xludf.DUMMYFUNCTION("""COMPUTED_VALUE"""),"VF")</f>
        <v>VF</v>
      </c>
      <c r="F122" s="2">
        <f>IFERROR(__xludf.DUMMYFUNCTION("""COMPUTED_VALUE"""),1.0)</f>
        <v>1</v>
      </c>
      <c r="G122" s="2" t="str">
        <f>IFERROR(__xludf.DUMMYFUNCTION("""COMPUTED_VALUE"""),"PR017")</f>
        <v>PR017</v>
      </c>
      <c r="H122" s="2" t="str">
        <f>IFERROR(__xludf.DUMMYFUNCTION("""COMPUTED_VALUE"""),"VD043")</f>
        <v>VD043</v>
      </c>
      <c r="I122" s="2">
        <f>IFERROR(__xludf.DUMMYFUNCTION("""COMPUTED_VALUE"""),18.0)</f>
        <v>18</v>
      </c>
      <c r="J122" s="2">
        <f>IFERROR(__xludf.DUMMYFUNCTION("""COMPUTED_VALUE"""),592.02)</f>
        <v>592.02</v>
      </c>
      <c r="K122" s="2">
        <f>IFERROR(__xludf.DUMMYFUNCTION("""COMPUTED_VALUE"""),592.02)</f>
        <v>592.02</v>
      </c>
    </row>
    <row r="123">
      <c r="A123" s="2">
        <f>IFERROR(__xludf.DUMMYFUNCTION("""COMPUTED_VALUE"""),1000.0)</f>
        <v>1000</v>
      </c>
      <c r="B123" s="2">
        <f>IFERROR(__xludf.DUMMYFUNCTION("""COMPUTED_VALUE"""),183551.0)</f>
        <v>183551</v>
      </c>
      <c r="C123" s="2">
        <f>IFERROR(__xludf.DUMMYFUNCTION("""COMPUTED_VALUE"""),2026.0)</f>
        <v>2026</v>
      </c>
      <c r="D123" s="2">
        <f>IFERROR(__xludf.DUMMYFUNCTION("""COMPUTED_VALUE"""),46363.0)</f>
        <v>46363</v>
      </c>
      <c r="E123" s="2" t="str">
        <f>IFERROR(__xludf.DUMMYFUNCTION("""COMPUTED_VALUE"""),"VF")</f>
        <v>VF</v>
      </c>
      <c r="F123" s="2">
        <f>IFERROR(__xludf.DUMMYFUNCTION("""COMPUTED_VALUE"""),1.0)</f>
        <v>1</v>
      </c>
      <c r="G123" s="2" t="str">
        <f>IFERROR(__xludf.DUMMYFUNCTION("""COMPUTED_VALUE"""),"PR058")</f>
        <v>PR058</v>
      </c>
      <c r="H123" s="2" t="str">
        <f>IFERROR(__xludf.DUMMYFUNCTION("""COMPUTED_VALUE"""),"VD021")</f>
        <v>VD021</v>
      </c>
      <c r="I123" s="2">
        <f>IFERROR(__xludf.DUMMYFUNCTION("""COMPUTED_VALUE"""),10.0)</f>
        <v>10</v>
      </c>
      <c r="J123" s="2">
        <f>IFERROR(__xludf.DUMMYFUNCTION("""COMPUTED_VALUE"""),2070.0)</f>
        <v>2070</v>
      </c>
      <c r="K123" s="2">
        <f>IFERROR(__xludf.DUMMYFUNCTION("""COMPUTED_VALUE"""),2070.0)</f>
        <v>2070</v>
      </c>
    </row>
    <row r="124">
      <c r="A124" s="2">
        <f>IFERROR(__xludf.DUMMYFUNCTION("""COMPUTED_VALUE"""),1000.0)</f>
        <v>1000</v>
      </c>
      <c r="B124" s="2">
        <f>IFERROR(__xludf.DUMMYFUNCTION("""COMPUTED_VALUE"""),183552.0)</f>
        <v>183552</v>
      </c>
      <c r="C124" s="2">
        <f>IFERROR(__xludf.DUMMYFUNCTION("""COMPUTED_VALUE"""),2026.0)</f>
        <v>2026</v>
      </c>
      <c r="D124" s="2">
        <f>IFERROR(__xludf.DUMMYFUNCTION("""COMPUTED_VALUE"""),46363.0)</f>
        <v>46363</v>
      </c>
      <c r="E124" s="2" t="str">
        <f>IFERROR(__xludf.DUMMYFUNCTION("""COMPUTED_VALUE"""),"VF")</f>
        <v>VF</v>
      </c>
      <c r="F124" s="2">
        <f>IFERROR(__xludf.DUMMYFUNCTION("""COMPUTED_VALUE"""),1.0)</f>
        <v>1</v>
      </c>
      <c r="G124" s="2" t="str">
        <f>IFERROR(__xludf.DUMMYFUNCTION("""COMPUTED_VALUE"""),"PR012")</f>
        <v>PR012</v>
      </c>
      <c r="H124" s="2" t="str">
        <f>IFERROR(__xludf.DUMMYFUNCTION("""COMPUTED_VALUE"""),"VD031")</f>
        <v>VD031</v>
      </c>
      <c r="I124" s="2">
        <f>IFERROR(__xludf.DUMMYFUNCTION("""COMPUTED_VALUE"""),9.0)</f>
        <v>9</v>
      </c>
      <c r="J124" s="2">
        <f>IFERROR(__xludf.DUMMYFUNCTION("""COMPUTED_VALUE"""),523.72)</f>
        <v>523.72</v>
      </c>
      <c r="K124" s="2">
        <f>IFERROR(__xludf.DUMMYFUNCTION("""COMPUTED_VALUE"""),523.72)</f>
        <v>523.72</v>
      </c>
    </row>
    <row r="125">
      <c r="A125" s="2">
        <f>IFERROR(__xludf.DUMMYFUNCTION("""COMPUTED_VALUE"""),1000.0)</f>
        <v>1000</v>
      </c>
      <c r="B125" s="2">
        <f>IFERROR(__xludf.DUMMYFUNCTION("""COMPUTED_VALUE"""),183553.0)</f>
        <v>183553</v>
      </c>
      <c r="C125" s="2">
        <f>IFERROR(__xludf.DUMMYFUNCTION("""COMPUTED_VALUE"""),2026.0)</f>
        <v>2026</v>
      </c>
      <c r="D125" s="2">
        <f>IFERROR(__xludf.DUMMYFUNCTION("""COMPUTED_VALUE"""),46363.0)</f>
        <v>46363</v>
      </c>
      <c r="E125" s="2" t="str">
        <f>IFERROR(__xludf.DUMMYFUNCTION("""COMPUTED_VALUE"""),"VF")</f>
        <v>VF</v>
      </c>
      <c r="F125" s="2">
        <f>IFERROR(__xludf.DUMMYFUNCTION("""COMPUTED_VALUE"""),1.0)</f>
        <v>1</v>
      </c>
      <c r="G125" s="2" t="str">
        <f>IFERROR(__xludf.DUMMYFUNCTION("""COMPUTED_VALUE"""),"PR010")</f>
        <v>PR010</v>
      </c>
      <c r="H125" s="2" t="str">
        <f>IFERROR(__xludf.DUMMYFUNCTION("""COMPUTED_VALUE"""),"VD020")</f>
        <v>VD020</v>
      </c>
      <c r="I125" s="2">
        <f>IFERROR(__xludf.DUMMYFUNCTION("""COMPUTED_VALUE"""),27.0)</f>
        <v>27</v>
      </c>
      <c r="J125" s="2">
        <f>IFERROR(__xludf.DUMMYFUNCTION("""COMPUTED_VALUE"""),1357.78)</f>
        <v>1357.78</v>
      </c>
      <c r="K125" s="2">
        <f>IFERROR(__xludf.DUMMYFUNCTION("""COMPUTED_VALUE"""),1357.78)</f>
        <v>1357.78</v>
      </c>
    </row>
    <row r="126">
      <c r="A126" s="2">
        <f>IFERROR(__xludf.DUMMYFUNCTION("""COMPUTED_VALUE"""),1000.0)</f>
        <v>1000</v>
      </c>
      <c r="B126" s="2">
        <f>IFERROR(__xludf.DUMMYFUNCTION("""COMPUTED_VALUE"""),183553.0)</f>
        <v>183553</v>
      </c>
      <c r="C126" s="2">
        <f>IFERROR(__xludf.DUMMYFUNCTION("""COMPUTED_VALUE"""),2026.0)</f>
        <v>2026</v>
      </c>
      <c r="D126" s="2">
        <f>IFERROR(__xludf.DUMMYFUNCTION("""COMPUTED_VALUE"""),46362.0)</f>
        <v>46362</v>
      </c>
      <c r="E126" s="2" t="str">
        <f>IFERROR(__xludf.DUMMYFUNCTION("""COMPUTED_VALUE"""),"VF")</f>
        <v>VF</v>
      </c>
      <c r="F126" s="2">
        <f>IFERROR(__xludf.DUMMYFUNCTION("""COMPUTED_VALUE"""),2.0)</f>
        <v>2</v>
      </c>
      <c r="G126" s="2" t="str">
        <f>IFERROR(__xludf.DUMMYFUNCTION("""COMPUTED_VALUE"""),"PR038")</f>
        <v>PR038</v>
      </c>
      <c r="H126" s="2" t="str">
        <f>IFERROR(__xludf.DUMMYFUNCTION("""COMPUTED_VALUE"""),"VD024")</f>
        <v>VD024</v>
      </c>
      <c r="I126" s="2">
        <f>IFERROR(__xludf.DUMMYFUNCTION("""COMPUTED_VALUE"""),24.0)</f>
        <v>24</v>
      </c>
      <c r="J126" s="2">
        <f>IFERROR(__xludf.DUMMYFUNCTION("""COMPUTED_VALUE"""),4081.22)</f>
        <v>4081.22</v>
      </c>
      <c r="K126" s="2">
        <f>IFERROR(__xludf.DUMMYFUNCTION("""COMPUTED_VALUE"""),4081.22)</f>
        <v>4081.22</v>
      </c>
    </row>
    <row r="127">
      <c r="A127" s="2">
        <f>IFERROR(__xludf.DUMMYFUNCTION("""COMPUTED_VALUE"""),1000.0)</f>
        <v>1000</v>
      </c>
      <c r="B127" s="2">
        <f>IFERROR(__xludf.DUMMYFUNCTION("""COMPUTED_VALUE"""),183553.0)</f>
        <v>183553</v>
      </c>
      <c r="C127" s="2">
        <f>IFERROR(__xludf.DUMMYFUNCTION("""COMPUTED_VALUE"""),2026.0)</f>
        <v>2026</v>
      </c>
      <c r="D127" s="2">
        <f>IFERROR(__xludf.DUMMYFUNCTION("""COMPUTED_VALUE"""),46362.0)</f>
        <v>46362</v>
      </c>
      <c r="E127" s="2" t="str">
        <f>IFERROR(__xludf.DUMMYFUNCTION("""COMPUTED_VALUE"""),"VF")</f>
        <v>VF</v>
      </c>
      <c r="F127" s="2">
        <f>IFERROR(__xludf.DUMMYFUNCTION("""COMPUTED_VALUE"""),3.0)</f>
        <v>3</v>
      </c>
      <c r="G127" s="2" t="str">
        <f>IFERROR(__xludf.DUMMYFUNCTION("""COMPUTED_VALUE"""),"PR024")</f>
        <v>PR024</v>
      </c>
      <c r="H127" s="2" t="str">
        <f>IFERROR(__xludf.DUMMYFUNCTION("""COMPUTED_VALUE"""),"VD038")</f>
        <v>VD038</v>
      </c>
      <c r="I127" s="2">
        <f>IFERROR(__xludf.DUMMYFUNCTION("""COMPUTED_VALUE"""),18.0)</f>
        <v>18</v>
      </c>
      <c r="J127" s="2">
        <f>IFERROR(__xludf.DUMMYFUNCTION("""COMPUTED_VALUE"""),5567.06)</f>
        <v>5567.06</v>
      </c>
      <c r="K127" s="2">
        <f>IFERROR(__xludf.DUMMYFUNCTION("""COMPUTED_VALUE"""),5567.06)</f>
        <v>5567.06</v>
      </c>
    </row>
    <row r="128">
      <c r="A128" s="2">
        <f>IFERROR(__xludf.DUMMYFUNCTION("""COMPUTED_VALUE"""),1000.0)</f>
        <v>1000</v>
      </c>
      <c r="B128" s="2">
        <f>IFERROR(__xludf.DUMMYFUNCTION("""COMPUTED_VALUE"""),183554.0)</f>
        <v>183554</v>
      </c>
      <c r="C128" s="2">
        <f>IFERROR(__xludf.DUMMYFUNCTION("""COMPUTED_VALUE"""),2026.0)</f>
        <v>2026</v>
      </c>
      <c r="D128" s="2">
        <f>IFERROR(__xludf.DUMMYFUNCTION("""COMPUTED_VALUE"""),46362.0)</f>
        <v>46362</v>
      </c>
      <c r="E128" s="2" t="str">
        <f>IFERROR(__xludf.DUMMYFUNCTION("""COMPUTED_VALUE"""),"VF")</f>
        <v>VF</v>
      </c>
      <c r="F128" s="2">
        <f>IFERROR(__xludf.DUMMYFUNCTION("""COMPUTED_VALUE"""),1.0)</f>
        <v>1</v>
      </c>
      <c r="G128" s="2" t="str">
        <f>IFERROR(__xludf.DUMMYFUNCTION("""COMPUTED_VALUE"""),"PR029")</f>
        <v>PR029</v>
      </c>
      <c r="H128" s="2" t="str">
        <f>IFERROR(__xludf.DUMMYFUNCTION("""COMPUTED_VALUE"""),"VD048")</f>
        <v>VD048</v>
      </c>
      <c r="I128" s="2">
        <f>IFERROR(__xludf.DUMMYFUNCTION("""COMPUTED_VALUE"""),8.0)</f>
        <v>8</v>
      </c>
      <c r="J128" s="2">
        <f>IFERROR(__xludf.DUMMYFUNCTION("""COMPUTED_VALUE"""),2325.6)</f>
        <v>2325.6</v>
      </c>
      <c r="K128" s="2">
        <f>IFERROR(__xludf.DUMMYFUNCTION("""COMPUTED_VALUE"""),2325.6)</f>
        <v>2325.6</v>
      </c>
    </row>
    <row r="129">
      <c r="A129" s="2">
        <f>IFERROR(__xludf.DUMMYFUNCTION("""COMPUTED_VALUE"""),1000.0)</f>
        <v>1000</v>
      </c>
      <c r="B129" s="2">
        <f>IFERROR(__xludf.DUMMYFUNCTION("""COMPUTED_VALUE"""),183555.0)</f>
        <v>183555</v>
      </c>
      <c r="C129" s="2">
        <f>IFERROR(__xludf.DUMMYFUNCTION("""COMPUTED_VALUE"""),2026.0)</f>
        <v>2026</v>
      </c>
      <c r="D129" s="2">
        <f>IFERROR(__xludf.DUMMYFUNCTION("""COMPUTED_VALUE"""),46362.0)</f>
        <v>46362</v>
      </c>
      <c r="E129" s="2" t="str">
        <f>IFERROR(__xludf.DUMMYFUNCTION("""COMPUTED_VALUE"""),"VF")</f>
        <v>VF</v>
      </c>
      <c r="F129" s="2">
        <f>IFERROR(__xludf.DUMMYFUNCTION("""COMPUTED_VALUE"""),1.0)</f>
        <v>1</v>
      </c>
      <c r="G129" s="2" t="str">
        <f>IFERROR(__xludf.DUMMYFUNCTION("""COMPUTED_VALUE"""),"PR040")</f>
        <v>PR040</v>
      </c>
      <c r="H129" s="2" t="str">
        <f>IFERROR(__xludf.DUMMYFUNCTION("""COMPUTED_VALUE"""),"VD022")</f>
        <v>VD022</v>
      </c>
      <c r="I129" s="2">
        <f>IFERROR(__xludf.DUMMYFUNCTION("""COMPUTED_VALUE"""),18.0)</f>
        <v>18</v>
      </c>
      <c r="J129" s="2">
        <f>IFERROR(__xludf.DUMMYFUNCTION("""COMPUTED_VALUE"""),1423.8)</f>
        <v>1423.8</v>
      </c>
      <c r="K129" s="2">
        <f>IFERROR(__xludf.DUMMYFUNCTION("""COMPUTED_VALUE"""),1423.8)</f>
        <v>1423.8</v>
      </c>
    </row>
    <row r="130">
      <c r="A130" s="2">
        <f>IFERROR(__xludf.DUMMYFUNCTION("""COMPUTED_VALUE"""),1000.0)</f>
        <v>1000</v>
      </c>
      <c r="B130" s="2">
        <f>IFERROR(__xludf.DUMMYFUNCTION("""COMPUTED_VALUE"""),183555.0)</f>
        <v>183555</v>
      </c>
      <c r="C130" s="2">
        <f>IFERROR(__xludf.DUMMYFUNCTION("""COMPUTED_VALUE"""),2026.0)</f>
        <v>2026</v>
      </c>
      <c r="D130" s="2">
        <f>IFERROR(__xludf.DUMMYFUNCTION("""COMPUTED_VALUE"""),46362.0)</f>
        <v>46362</v>
      </c>
      <c r="E130" s="2" t="str">
        <f>IFERROR(__xludf.DUMMYFUNCTION("""COMPUTED_VALUE"""),"VF")</f>
        <v>VF</v>
      </c>
      <c r="F130" s="2">
        <f>IFERROR(__xludf.DUMMYFUNCTION("""COMPUTED_VALUE"""),2.0)</f>
        <v>2</v>
      </c>
      <c r="G130" s="2" t="str">
        <f>IFERROR(__xludf.DUMMYFUNCTION("""COMPUTED_VALUE"""),"PR045")</f>
        <v>PR045</v>
      </c>
      <c r="H130" s="2" t="str">
        <f>IFERROR(__xludf.DUMMYFUNCTION("""COMPUTED_VALUE"""),"VD023")</f>
        <v>VD023</v>
      </c>
      <c r="I130" s="2">
        <f>IFERROR(__xludf.DUMMYFUNCTION("""COMPUTED_VALUE"""),16.0)</f>
        <v>16</v>
      </c>
      <c r="J130" s="2">
        <f>IFERROR(__xludf.DUMMYFUNCTION("""COMPUTED_VALUE"""),1345.6)</f>
        <v>1345.6</v>
      </c>
      <c r="K130" s="2">
        <f>IFERROR(__xludf.DUMMYFUNCTION("""COMPUTED_VALUE"""),1345.6)</f>
        <v>1345.6</v>
      </c>
    </row>
    <row r="131">
      <c r="A131" s="2">
        <f>IFERROR(__xludf.DUMMYFUNCTION("""COMPUTED_VALUE"""),1000.0)</f>
        <v>1000</v>
      </c>
      <c r="B131" s="2">
        <f>IFERROR(__xludf.DUMMYFUNCTION("""COMPUTED_VALUE"""),183556.0)</f>
        <v>183556</v>
      </c>
      <c r="C131" s="2">
        <f>IFERROR(__xludf.DUMMYFUNCTION("""COMPUTED_VALUE"""),2026.0)</f>
        <v>2026</v>
      </c>
      <c r="D131" s="2">
        <f>IFERROR(__xludf.DUMMYFUNCTION("""COMPUTED_VALUE"""),46362.0)</f>
        <v>46362</v>
      </c>
      <c r="E131" s="2" t="str">
        <f>IFERROR(__xludf.DUMMYFUNCTION("""COMPUTED_VALUE"""),"VF")</f>
        <v>VF</v>
      </c>
      <c r="F131" s="2">
        <f>IFERROR(__xludf.DUMMYFUNCTION("""COMPUTED_VALUE"""),1.0)</f>
        <v>1</v>
      </c>
      <c r="G131" s="2" t="str">
        <f>IFERROR(__xludf.DUMMYFUNCTION("""COMPUTED_VALUE"""),"PR059")</f>
        <v>PR059</v>
      </c>
      <c r="H131" s="2" t="str">
        <f>IFERROR(__xludf.DUMMYFUNCTION("""COMPUTED_VALUE"""),"VD034")</f>
        <v>VD034</v>
      </c>
      <c r="I131" s="2">
        <f>IFERROR(__xludf.DUMMYFUNCTION("""COMPUTED_VALUE"""),18.0)</f>
        <v>18</v>
      </c>
      <c r="J131" s="2">
        <f>IFERROR(__xludf.DUMMYFUNCTION("""COMPUTED_VALUE"""),3888.0)</f>
        <v>3888</v>
      </c>
      <c r="K131" s="2">
        <f>IFERROR(__xludf.DUMMYFUNCTION("""COMPUTED_VALUE"""),3888.0)</f>
        <v>3888</v>
      </c>
    </row>
    <row r="132">
      <c r="A132" s="2">
        <f>IFERROR(__xludf.DUMMYFUNCTION("""COMPUTED_VALUE"""),1000.0)</f>
        <v>1000</v>
      </c>
      <c r="B132" s="2">
        <f>IFERROR(__xludf.DUMMYFUNCTION("""COMPUTED_VALUE"""),183556.0)</f>
        <v>183556</v>
      </c>
      <c r="C132" s="2">
        <f>IFERROR(__xludf.DUMMYFUNCTION("""COMPUTED_VALUE"""),2026.0)</f>
        <v>2026</v>
      </c>
      <c r="D132" s="2">
        <f>IFERROR(__xludf.DUMMYFUNCTION("""COMPUTED_VALUE"""),46361.0)</f>
        <v>46361</v>
      </c>
      <c r="E132" s="2" t="str">
        <f>IFERROR(__xludf.DUMMYFUNCTION("""COMPUTED_VALUE"""),"VF")</f>
        <v>VF</v>
      </c>
      <c r="F132" s="2">
        <f>IFERROR(__xludf.DUMMYFUNCTION("""COMPUTED_VALUE"""),2.0)</f>
        <v>2</v>
      </c>
      <c r="G132" s="2" t="str">
        <f>IFERROR(__xludf.DUMMYFUNCTION("""COMPUTED_VALUE"""),"PR031")</f>
        <v>PR031</v>
      </c>
      <c r="H132" s="2" t="str">
        <f>IFERROR(__xludf.DUMMYFUNCTION("""COMPUTED_VALUE"""),"VD039")</f>
        <v>VD039</v>
      </c>
      <c r="I132" s="2">
        <f>IFERROR(__xludf.DUMMYFUNCTION("""COMPUTED_VALUE"""),9.0)</f>
        <v>9</v>
      </c>
      <c r="J132" s="2">
        <f>IFERROR(__xludf.DUMMYFUNCTION("""COMPUTED_VALUE"""),2557.8)</f>
        <v>2557.8</v>
      </c>
      <c r="K132" s="2">
        <f>IFERROR(__xludf.DUMMYFUNCTION("""COMPUTED_VALUE"""),2557.8)</f>
        <v>2557.8</v>
      </c>
    </row>
    <row r="133">
      <c r="A133" s="2">
        <f>IFERROR(__xludf.DUMMYFUNCTION("""COMPUTED_VALUE"""),1000.0)</f>
        <v>1000</v>
      </c>
      <c r="B133" s="2">
        <f>IFERROR(__xludf.DUMMYFUNCTION("""COMPUTED_VALUE"""),183557.0)</f>
        <v>183557</v>
      </c>
      <c r="C133" s="2">
        <f>IFERROR(__xludf.DUMMYFUNCTION("""COMPUTED_VALUE"""),2026.0)</f>
        <v>2026</v>
      </c>
      <c r="D133" s="2">
        <f>IFERROR(__xludf.DUMMYFUNCTION("""COMPUTED_VALUE"""),46361.0)</f>
        <v>46361</v>
      </c>
      <c r="E133" s="2" t="str">
        <f>IFERROR(__xludf.DUMMYFUNCTION("""COMPUTED_VALUE"""),"VF")</f>
        <v>VF</v>
      </c>
      <c r="F133" s="2">
        <f>IFERROR(__xludf.DUMMYFUNCTION("""COMPUTED_VALUE"""),1.0)</f>
        <v>1</v>
      </c>
      <c r="G133" s="2" t="str">
        <f>IFERROR(__xludf.DUMMYFUNCTION("""COMPUTED_VALUE"""),"PR059")</f>
        <v>PR059</v>
      </c>
      <c r="H133" s="2" t="str">
        <f>IFERROR(__xludf.DUMMYFUNCTION("""COMPUTED_VALUE"""),"VD036")</f>
        <v>VD036</v>
      </c>
      <c r="I133" s="2">
        <f>IFERROR(__xludf.DUMMYFUNCTION("""COMPUTED_VALUE"""),15.0)</f>
        <v>15</v>
      </c>
      <c r="J133" s="2">
        <f>IFERROR(__xludf.DUMMYFUNCTION("""COMPUTED_VALUE"""),2997.0)</f>
        <v>2997</v>
      </c>
      <c r="K133" s="2">
        <f>IFERROR(__xludf.DUMMYFUNCTION("""COMPUTED_VALUE"""),2997.0)</f>
        <v>2997</v>
      </c>
    </row>
    <row r="134">
      <c r="A134" s="2">
        <f>IFERROR(__xludf.DUMMYFUNCTION("""COMPUTED_VALUE"""),1000.0)</f>
        <v>1000</v>
      </c>
      <c r="B134" s="2">
        <f>IFERROR(__xludf.DUMMYFUNCTION("""COMPUTED_VALUE"""),183558.0)</f>
        <v>183558</v>
      </c>
      <c r="C134" s="2">
        <f>IFERROR(__xludf.DUMMYFUNCTION("""COMPUTED_VALUE"""),2026.0)</f>
        <v>2026</v>
      </c>
      <c r="D134" s="2">
        <f>IFERROR(__xludf.DUMMYFUNCTION("""COMPUTED_VALUE"""),46361.0)</f>
        <v>46361</v>
      </c>
      <c r="E134" s="2" t="str">
        <f>IFERROR(__xludf.DUMMYFUNCTION("""COMPUTED_VALUE"""),"VF")</f>
        <v>VF</v>
      </c>
      <c r="F134" s="2">
        <f>IFERROR(__xludf.DUMMYFUNCTION("""COMPUTED_VALUE"""),1.0)</f>
        <v>1</v>
      </c>
      <c r="G134" s="2" t="str">
        <f>IFERROR(__xludf.DUMMYFUNCTION("""COMPUTED_VALUE"""),"PR058")</f>
        <v>PR058</v>
      </c>
      <c r="H134" s="2" t="str">
        <f>IFERROR(__xludf.DUMMYFUNCTION("""COMPUTED_VALUE"""),"VD027")</f>
        <v>VD027</v>
      </c>
      <c r="I134" s="2">
        <f>IFERROR(__xludf.DUMMYFUNCTION("""COMPUTED_VALUE"""),15.0)</f>
        <v>15</v>
      </c>
      <c r="J134" s="2">
        <f>IFERROR(__xludf.DUMMYFUNCTION("""COMPUTED_VALUE"""),3186.0)</f>
        <v>3186</v>
      </c>
      <c r="K134" s="2">
        <f>IFERROR(__xludf.DUMMYFUNCTION("""COMPUTED_VALUE"""),3186.0)</f>
        <v>3186</v>
      </c>
    </row>
    <row r="135">
      <c r="A135" s="2">
        <f>IFERROR(__xludf.DUMMYFUNCTION("""COMPUTED_VALUE"""),1000.0)</f>
        <v>1000</v>
      </c>
      <c r="B135" s="2">
        <f>IFERROR(__xludf.DUMMYFUNCTION("""COMPUTED_VALUE"""),183559.0)</f>
        <v>183559</v>
      </c>
      <c r="C135" s="2">
        <f>IFERROR(__xludf.DUMMYFUNCTION("""COMPUTED_VALUE"""),2026.0)</f>
        <v>2026</v>
      </c>
      <c r="D135" s="2">
        <f>IFERROR(__xludf.DUMMYFUNCTION("""COMPUTED_VALUE"""),46360.0)</f>
        <v>46360</v>
      </c>
      <c r="E135" s="2" t="str">
        <f>IFERROR(__xludf.DUMMYFUNCTION("""COMPUTED_VALUE"""),"VF")</f>
        <v>VF</v>
      </c>
      <c r="F135" s="2">
        <f>IFERROR(__xludf.DUMMYFUNCTION("""COMPUTED_VALUE"""),1.0)</f>
        <v>1</v>
      </c>
      <c r="G135" s="2" t="str">
        <f>IFERROR(__xludf.DUMMYFUNCTION("""COMPUTED_VALUE"""),"PR005")</f>
        <v>PR005</v>
      </c>
      <c r="H135" s="2" t="str">
        <f>IFERROR(__xludf.DUMMYFUNCTION("""COMPUTED_VALUE"""),"VD036")</f>
        <v>VD036</v>
      </c>
      <c r="I135" s="2">
        <f>IFERROR(__xludf.DUMMYFUNCTION("""COMPUTED_VALUE"""),27.0)</f>
        <v>27</v>
      </c>
      <c r="J135" s="2">
        <f>IFERROR(__xludf.DUMMYFUNCTION("""COMPUTED_VALUE"""),7929.55)</f>
        <v>7929.55</v>
      </c>
      <c r="K135" s="2">
        <f>IFERROR(__xludf.DUMMYFUNCTION("""COMPUTED_VALUE"""),7929.55)</f>
        <v>7929.55</v>
      </c>
    </row>
    <row r="136">
      <c r="A136" s="2">
        <f>IFERROR(__xludf.DUMMYFUNCTION("""COMPUTED_VALUE"""),1000.0)</f>
        <v>1000</v>
      </c>
      <c r="B136" s="2">
        <f>IFERROR(__xludf.DUMMYFUNCTION("""COMPUTED_VALUE"""),183559.0)</f>
        <v>183559</v>
      </c>
      <c r="C136" s="2">
        <f>IFERROR(__xludf.DUMMYFUNCTION("""COMPUTED_VALUE"""),2026.0)</f>
        <v>2026</v>
      </c>
      <c r="D136" s="2">
        <f>IFERROR(__xludf.DUMMYFUNCTION("""COMPUTED_VALUE"""),46360.0)</f>
        <v>46360</v>
      </c>
      <c r="E136" s="2" t="str">
        <f>IFERROR(__xludf.DUMMYFUNCTION("""COMPUTED_VALUE"""),"VF")</f>
        <v>VF</v>
      </c>
      <c r="F136" s="2">
        <f>IFERROR(__xludf.DUMMYFUNCTION("""COMPUTED_VALUE"""),2.0)</f>
        <v>2</v>
      </c>
      <c r="G136" s="2" t="str">
        <f>IFERROR(__xludf.DUMMYFUNCTION("""COMPUTED_VALUE"""),"PR017")</f>
        <v>PR017</v>
      </c>
      <c r="H136" s="2" t="str">
        <f>IFERROR(__xludf.DUMMYFUNCTION("""COMPUTED_VALUE"""),"VD022")</f>
        <v>VD022</v>
      </c>
      <c r="I136" s="2">
        <f>IFERROR(__xludf.DUMMYFUNCTION("""COMPUTED_VALUE"""),18.0)</f>
        <v>18</v>
      </c>
      <c r="J136" s="2">
        <f>IFERROR(__xludf.DUMMYFUNCTION("""COMPUTED_VALUE"""),592.02)</f>
        <v>592.02</v>
      </c>
      <c r="K136" s="2">
        <f>IFERROR(__xludf.DUMMYFUNCTION("""COMPUTED_VALUE"""),592.02)</f>
        <v>592.02</v>
      </c>
    </row>
    <row r="137">
      <c r="A137" s="2">
        <f>IFERROR(__xludf.DUMMYFUNCTION("""COMPUTED_VALUE"""),1000.0)</f>
        <v>1000</v>
      </c>
      <c r="B137" s="2">
        <f>IFERROR(__xludf.DUMMYFUNCTION("""COMPUTED_VALUE"""),183560.0)</f>
        <v>183560</v>
      </c>
      <c r="C137" s="2">
        <f>IFERROR(__xludf.DUMMYFUNCTION("""COMPUTED_VALUE"""),2026.0)</f>
        <v>2026</v>
      </c>
      <c r="D137" s="2">
        <f>IFERROR(__xludf.DUMMYFUNCTION("""COMPUTED_VALUE"""),46360.0)</f>
        <v>46360</v>
      </c>
      <c r="E137" s="2" t="str">
        <f>IFERROR(__xludf.DUMMYFUNCTION("""COMPUTED_VALUE"""),"VF")</f>
        <v>VF</v>
      </c>
      <c r="F137" s="2">
        <f>IFERROR(__xludf.DUMMYFUNCTION("""COMPUTED_VALUE"""),1.0)</f>
        <v>1</v>
      </c>
      <c r="G137" s="2" t="str">
        <f>IFERROR(__xludf.DUMMYFUNCTION("""COMPUTED_VALUE"""),"PR005")</f>
        <v>PR005</v>
      </c>
      <c r="H137" s="2" t="str">
        <f>IFERROR(__xludf.DUMMYFUNCTION("""COMPUTED_VALUE"""),"VD047")</f>
        <v>VD047</v>
      </c>
      <c r="I137" s="2">
        <f>IFERROR(__xludf.DUMMYFUNCTION("""COMPUTED_VALUE"""),15.0)</f>
        <v>15</v>
      </c>
      <c r="J137" s="2">
        <f>IFERROR(__xludf.DUMMYFUNCTION("""COMPUTED_VALUE"""),4561.25)</f>
        <v>4561.25</v>
      </c>
      <c r="K137" s="2">
        <f>IFERROR(__xludf.DUMMYFUNCTION("""COMPUTED_VALUE"""),4561.25)</f>
        <v>4561.25</v>
      </c>
    </row>
    <row r="138">
      <c r="A138" s="2">
        <f>IFERROR(__xludf.DUMMYFUNCTION("""COMPUTED_VALUE"""),1000.0)</f>
        <v>1000</v>
      </c>
      <c r="B138" s="2">
        <f>IFERROR(__xludf.DUMMYFUNCTION("""COMPUTED_VALUE"""),183561.0)</f>
        <v>183561</v>
      </c>
      <c r="C138" s="2">
        <f>IFERROR(__xludf.DUMMYFUNCTION("""COMPUTED_VALUE"""),2026.0)</f>
        <v>2026</v>
      </c>
      <c r="D138" s="2">
        <f>IFERROR(__xludf.DUMMYFUNCTION("""COMPUTED_VALUE"""),46360.0)</f>
        <v>46360</v>
      </c>
      <c r="E138" s="2" t="str">
        <f>IFERROR(__xludf.DUMMYFUNCTION("""COMPUTED_VALUE"""),"VF")</f>
        <v>VF</v>
      </c>
      <c r="F138" s="2">
        <f>IFERROR(__xludf.DUMMYFUNCTION("""COMPUTED_VALUE"""),1.0)</f>
        <v>1</v>
      </c>
      <c r="G138" s="2" t="str">
        <f>IFERROR(__xludf.DUMMYFUNCTION("""COMPUTED_VALUE"""),"PR015")</f>
        <v>PR015</v>
      </c>
      <c r="H138" s="2" t="str">
        <f>IFERROR(__xludf.DUMMYFUNCTION("""COMPUTED_VALUE"""),"VD022")</f>
        <v>VD022</v>
      </c>
      <c r="I138" s="2">
        <f>IFERROR(__xludf.DUMMYFUNCTION("""COMPUTED_VALUE"""),6.0)</f>
        <v>6</v>
      </c>
      <c r="J138" s="2">
        <f>IFERROR(__xludf.DUMMYFUNCTION("""COMPUTED_VALUE"""),306.0)</f>
        <v>306</v>
      </c>
      <c r="K138" s="2">
        <f>IFERROR(__xludf.DUMMYFUNCTION("""COMPUTED_VALUE"""),306.0)</f>
        <v>306</v>
      </c>
    </row>
    <row r="139">
      <c r="A139" s="2">
        <f>IFERROR(__xludf.DUMMYFUNCTION("""COMPUTED_VALUE"""),1000.0)</f>
        <v>1000</v>
      </c>
      <c r="B139" s="2">
        <f>IFERROR(__xludf.DUMMYFUNCTION("""COMPUTED_VALUE"""),183562.0)</f>
        <v>183562</v>
      </c>
      <c r="C139" s="2">
        <f>IFERROR(__xludf.DUMMYFUNCTION("""COMPUTED_VALUE"""),2026.0)</f>
        <v>2026</v>
      </c>
      <c r="D139" s="2">
        <f>IFERROR(__xludf.DUMMYFUNCTION("""COMPUTED_VALUE"""),46360.0)</f>
        <v>46360</v>
      </c>
      <c r="E139" s="2" t="str">
        <f>IFERROR(__xludf.DUMMYFUNCTION("""COMPUTED_VALUE"""),"VF")</f>
        <v>VF</v>
      </c>
      <c r="F139" s="2">
        <f>IFERROR(__xludf.DUMMYFUNCTION("""COMPUTED_VALUE"""),1.0)</f>
        <v>1</v>
      </c>
      <c r="G139" s="2" t="str">
        <f>IFERROR(__xludf.DUMMYFUNCTION("""COMPUTED_VALUE"""),"PR010")</f>
        <v>PR010</v>
      </c>
      <c r="H139" s="2" t="str">
        <f>IFERROR(__xludf.DUMMYFUNCTION("""COMPUTED_VALUE"""),"VD013")</f>
        <v>VD013</v>
      </c>
      <c r="I139" s="2">
        <f>IFERROR(__xludf.DUMMYFUNCTION("""COMPUTED_VALUE"""),8.0)</f>
        <v>8</v>
      </c>
      <c r="J139" s="2">
        <f>IFERROR(__xludf.DUMMYFUNCTION("""COMPUTED_VALUE"""),423.86)</f>
        <v>423.86</v>
      </c>
      <c r="K139" s="2">
        <f>IFERROR(__xludf.DUMMYFUNCTION("""COMPUTED_VALUE"""),423.86)</f>
        <v>423.86</v>
      </c>
    </row>
    <row r="140">
      <c r="A140" s="2">
        <f>IFERROR(__xludf.DUMMYFUNCTION("""COMPUTED_VALUE"""),1000.0)</f>
        <v>1000</v>
      </c>
      <c r="B140" s="2">
        <f>IFERROR(__xludf.DUMMYFUNCTION("""COMPUTED_VALUE"""),183563.0)</f>
        <v>183563</v>
      </c>
      <c r="C140" s="2">
        <f>IFERROR(__xludf.DUMMYFUNCTION("""COMPUTED_VALUE"""),2026.0)</f>
        <v>2026</v>
      </c>
      <c r="D140" s="2">
        <f>IFERROR(__xludf.DUMMYFUNCTION("""COMPUTED_VALUE"""),46360.0)</f>
        <v>46360</v>
      </c>
      <c r="E140" s="2" t="str">
        <f>IFERROR(__xludf.DUMMYFUNCTION("""COMPUTED_VALUE"""),"VF")</f>
        <v>VF</v>
      </c>
      <c r="F140" s="2">
        <f>IFERROR(__xludf.DUMMYFUNCTION("""COMPUTED_VALUE"""),1.0)</f>
        <v>1</v>
      </c>
      <c r="G140" s="2" t="str">
        <f>IFERROR(__xludf.DUMMYFUNCTION("""COMPUTED_VALUE"""),"PR057")</f>
        <v>PR057</v>
      </c>
      <c r="H140" s="2" t="str">
        <f>IFERROR(__xludf.DUMMYFUNCTION("""COMPUTED_VALUE"""),"VD023")</f>
        <v>VD023</v>
      </c>
      <c r="I140" s="2">
        <f>IFERROR(__xludf.DUMMYFUNCTION("""COMPUTED_VALUE"""),27.0)</f>
        <v>27</v>
      </c>
      <c r="J140" s="2">
        <f>IFERROR(__xludf.DUMMYFUNCTION("""COMPUTED_VALUE"""),2670.03)</f>
        <v>2670.03</v>
      </c>
      <c r="K140" s="2">
        <f>IFERROR(__xludf.DUMMYFUNCTION("""COMPUTED_VALUE"""),2670.03)</f>
        <v>2670.03</v>
      </c>
    </row>
    <row r="141">
      <c r="A141" s="2">
        <f>IFERROR(__xludf.DUMMYFUNCTION("""COMPUTED_VALUE"""),1000.0)</f>
        <v>1000</v>
      </c>
      <c r="B141" s="2">
        <f>IFERROR(__xludf.DUMMYFUNCTION("""COMPUTED_VALUE"""),183563.0)</f>
        <v>183563</v>
      </c>
      <c r="C141" s="2">
        <f>IFERROR(__xludf.DUMMYFUNCTION("""COMPUTED_VALUE"""),2026.0)</f>
        <v>2026</v>
      </c>
      <c r="D141" s="2">
        <f>IFERROR(__xludf.DUMMYFUNCTION("""COMPUTED_VALUE"""),46359.0)</f>
        <v>46359</v>
      </c>
      <c r="E141" s="2" t="str">
        <f>IFERROR(__xludf.DUMMYFUNCTION("""COMPUTED_VALUE"""),"VF")</f>
        <v>VF</v>
      </c>
      <c r="F141" s="2">
        <f>IFERROR(__xludf.DUMMYFUNCTION("""COMPUTED_VALUE"""),2.0)</f>
        <v>2</v>
      </c>
      <c r="G141" s="2" t="str">
        <f>IFERROR(__xludf.DUMMYFUNCTION("""COMPUTED_VALUE"""),"PR024")</f>
        <v>PR024</v>
      </c>
      <c r="H141" s="2" t="str">
        <f>IFERROR(__xludf.DUMMYFUNCTION("""COMPUTED_VALUE"""),"VD048")</f>
        <v>VD048</v>
      </c>
      <c r="I141" s="2">
        <f>IFERROR(__xludf.DUMMYFUNCTION("""COMPUTED_VALUE"""),16.0)</f>
        <v>16</v>
      </c>
      <c r="J141" s="2">
        <f>IFERROR(__xludf.DUMMYFUNCTION("""COMPUTED_VALUE"""),4823.74)</f>
        <v>4823.74</v>
      </c>
      <c r="K141" s="2">
        <f>IFERROR(__xludf.DUMMYFUNCTION("""COMPUTED_VALUE"""),4823.74)</f>
        <v>4823.74</v>
      </c>
    </row>
    <row r="142">
      <c r="A142" s="2">
        <f>IFERROR(__xludf.DUMMYFUNCTION("""COMPUTED_VALUE"""),1000.0)</f>
        <v>1000</v>
      </c>
      <c r="B142" s="2">
        <f>IFERROR(__xludf.DUMMYFUNCTION("""COMPUTED_VALUE"""),183564.0)</f>
        <v>183564</v>
      </c>
      <c r="C142" s="2">
        <f>IFERROR(__xludf.DUMMYFUNCTION("""COMPUTED_VALUE"""),2026.0)</f>
        <v>2026</v>
      </c>
      <c r="D142" s="2">
        <f>IFERROR(__xludf.DUMMYFUNCTION("""COMPUTED_VALUE"""),46359.0)</f>
        <v>46359</v>
      </c>
      <c r="E142" s="2" t="str">
        <f>IFERROR(__xludf.DUMMYFUNCTION("""COMPUTED_VALUE"""),"VF")</f>
        <v>VF</v>
      </c>
      <c r="F142" s="2">
        <f>IFERROR(__xludf.DUMMYFUNCTION("""COMPUTED_VALUE"""),1.0)</f>
        <v>1</v>
      </c>
      <c r="G142" s="2" t="str">
        <f>IFERROR(__xludf.DUMMYFUNCTION("""COMPUTED_VALUE"""),"PR050")</f>
        <v>PR050</v>
      </c>
      <c r="H142" s="2" t="str">
        <f>IFERROR(__xludf.DUMMYFUNCTION("""COMPUTED_VALUE"""),"VD019")</f>
        <v>VD019</v>
      </c>
      <c r="I142" s="2">
        <f>IFERROR(__xludf.DUMMYFUNCTION("""COMPUTED_VALUE"""),18.0)</f>
        <v>18</v>
      </c>
      <c r="J142" s="2">
        <f>IFERROR(__xludf.DUMMYFUNCTION("""COMPUTED_VALUE"""),681.03)</f>
        <v>681.03</v>
      </c>
      <c r="K142" s="2">
        <f>IFERROR(__xludf.DUMMYFUNCTION("""COMPUTED_VALUE"""),681.03)</f>
        <v>681.03</v>
      </c>
    </row>
    <row r="143">
      <c r="A143" s="2">
        <f>IFERROR(__xludf.DUMMYFUNCTION("""COMPUTED_VALUE"""),2000.0)</f>
        <v>2000</v>
      </c>
      <c r="B143" s="2">
        <f>IFERROR(__xludf.DUMMYFUNCTION("""COMPUTED_VALUE"""),183565.0)</f>
        <v>183565</v>
      </c>
      <c r="C143" s="2">
        <f>IFERROR(__xludf.DUMMYFUNCTION("""COMPUTED_VALUE"""),2026.0)</f>
        <v>2026</v>
      </c>
      <c r="D143" s="2">
        <f>IFERROR(__xludf.DUMMYFUNCTION("""COMPUTED_VALUE"""),46358.0)</f>
        <v>46358</v>
      </c>
      <c r="E143" s="2" t="str">
        <f>IFERROR(__xludf.DUMMYFUNCTION("""COMPUTED_VALUE"""),"VF")</f>
        <v>VF</v>
      </c>
      <c r="F143" s="2">
        <f>IFERROR(__xludf.DUMMYFUNCTION("""COMPUTED_VALUE"""),1.0)</f>
        <v>1</v>
      </c>
      <c r="G143" s="2" t="str">
        <f>IFERROR(__xludf.DUMMYFUNCTION("""COMPUTED_VALUE"""),"PR012")</f>
        <v>PR012</v>
      </c>
      <c r="H143" s="2" t="str">
        <f>IFERROR(__xludf.DUMMYFUNCTION("""COMPUTED_VALUE"""),"VD028")</f>
        <v>VD028</v>
      </c>
      <c r="I143" s="2">
        <f>IFERROR(__xludf.DUMMYFUNCTION("""COMPUTED_VALUE"""),12.0)</f>
        <v>12</v>
      </c>
      <c r="J143" s="2">
        <f>IFERROR(__xludf.DUMMYFUNCTION("""COMPUTED_VALUE"""),692.42)</f>
        <v>692.42</v>
      </c>
      <c r="K143" s="2">
        <f>IFERROR(__xludf.DUMMYFUNCTION("""COMPUTED_VALUE"""),692.42)</f>
        <v>692.42</v>
      </c>
    </row>
    <row r="144">
      <c r="A144" s="2">
        <f>IFERROR(__xludf.DUMMYFUNCTION("""COMPUTED_VALUE"""),1000.0)</f>
        <v>1000</v>
      </c>
      <c r="B144" s="2">
        <f>IFERROR(__xludf.DUMMYFUNCTION("""COMPUTED_VALUE"""),183566.0)</f>
        <v>183566</v>
      </c>
      <c r="C144" s="2">
        <f>IFERROR(__xludf.DUMMYFUNCTION("""COMPUTED_VALUE"""),2026.0)</f>
        <v>2026</v>
      </c>
      <c r="D144" s="2">
        <f>IFERROR(__xludf.DUMMYFUNCTION("""COMPUTED_VALUE"""),46358.0)</f>
        <v>46358</v>
      </c>
      <c r="E144" s="2" t="str">
        <f>IFERROR(__xludf.DUMMYFUNCTION("""COMPUTED_VALUE"""),"VF")</f>
        <v>VF</v>
      </c>
      <c r="F144" s="2">
        <f>IFERROR(__xludf.DUMMYFUNCTION("""COMPUTED_VALUE"""),1.0)</f>
        <v>1</v>
      </c>
      <c r="G144" s="2" t="str">
        <f>IFERROR(__xludf.DUMMYFUNCTION("""COMPUTED_VALUE"""),"PR010")</f>
        <v>PR010</v>
      </c>
      <c r="H144" s="2" t="str">
        <f>IFERROR(__xludf.DUMMYFUNCTION("""COMPUTED_VALUE"""),"VD011")</f>
        <v>VD011</v>
      </c>
      <c r="I144" s="2">
        <f>IFERROR(__xludf.DUMMYFUNCTION("""COMPUTED_VALUE"""),12.0)</f>
        <v>12</v>
      </c>
      <c r="J144" s="2">
        <f>IFERROR(__xludf.DUMMYFUNCTION("""COMPUTED_VALUE"""),646.56)</f>
        <v>646.56</v>
      </c>
      <c r="K144" s="2">
        <f>IFERROR(__xludf.DUMMYFUNCTION("""COMPUTED_VALUE"""),646.56)</f>
        <v>646.56</v>
      </c>
    </row>
    <row r="145">
      <c r="A145" s="2">
        <f>IFERROR(__xludf.DUMMYFUNCTION("""COMPUTED_VALUE"""),2000.0)</f>
        <v>2000</v>
      </c>
      <c r="B145" s="2">
        <f>IFERROR(__xludf.DUMMYFUNCTION("""COMPUTED_VALUE"""),183567.0)</f>
        <v>183567</v>
      </c>
      <c r="C145" s="2">
        <f>IFERROR(__xludf.DUMMYFUNCTION("""COMPUTED_VALUE"""),2026.0)</f>
        <v>2026</v>
      </c>
      <c r="D145" s="2">
        <f>IFERROR(__xludf.DUMMYFUNCTION("""COMPUTED_VALUE"""),46358.0)</f>
        <v>46358</v>
      </c>
      <c r="E145" s="2" t="str">
        <f>IFERROR(__xludf.DUMMYFUNCTION("""COMPUTED_VALUE"""),"VF")</f>
        <v>VF</v>
      </c>
      <c r="F145" s="2">
        <f>IFERROR(__xludf.DUMMYFUNCTION("""COMPUTED_VALUE"""),1.0)</f>
        <v>1</v>
      </c>
      <c r="G145" s="2" t="str">
        <f>IFERROR(__xludf.DUMMYFUNCTION("""COMPUTED_VALUE"""),"PR054")</f>
        <v>PR054</v>
      </c>
      <c r="H145" s="2" t="str">
        <f>IFERROR(__xludf.DUMMYFUNCTION("""COMPUTED_VALUE"""),"VD033")</f>
        <v>VD033</v>
      </c>
      <c r="I145" s="2">
        <f>IFERROR(__xludf.DUMMYFUNCTION("""COMPUTED_VALUE"""),20.0)</f>
        <v>20</v>
      </c>
      <c r="J145" s="2">
        <f>IFERROR(__xludf.DUMMYFUNCTION("""COMPUTED_VALUE"""),1147.7)</f>
        <v>1147.7</v>
      </c>
      <c r="K145" s="2">
        <f>IFERROR(__xludf.DUMMYFUNCTION("""COMPUTED_VALUE"""),1147.7)</f>
        <v>1147.7</v>
      </c>
    </row>
    <row r="146">
      <c r="A146" s="2">
        <f>IFERROR(__xludf.DUMMYFUNCTION("""COMPUTED_VALUE"""),1000.0)</f>
        <v>1000</v>
      </c>
      <c r="B146" s="2">
        <f>IFERROR(__xludf.DUMMYFUNCTION("""COMPUTED_VALUE"""),183568.0)</f>
        <v>183568</v>
      </c>
      <c r="C146" s="2">
        <f>IFERROR(__xludf.DUMMYFUNCTION("""COMPUTED_VALUE"""),2026.0)</f>
        <v>2026</v>
      </c>
      <c r="D146" s="2">
        <f>IFERROR(__xludf.DUMMYFUNCTION("""COMPUTED_VALUE"""),46358.0)</f>
        <v>46358</v>
      </c>
      <c r="E146" s="2" t="str">
        <f>IFERROR(__xludf.DUMMYFUNCTION("""COMPUTED_VALUE"""),"VF")</f>
        <v>VF</v>
      </c>
      <c r="F146" s="2">
        <f>IFERROR(__xludf.DUMMYFUNCTION("""COMPUTED_VALUE"""),1.0)</f>
        <v>1</v>
      </c>
      <c r="G146" s="2" t="str">
        <f>IFERROR(__xludf.DUMMYFUNCTION("""COMPUTED_VALUE"""),"PR007")</f>
        <v>PR007</v>
      </c>
      <c r="H146" s="2" t="str">
        <f>IFERROR(__xludf.DUMMYFUNCTION("""COMPUTED_VALUE"""),"VD031")</f>
        <v>VD031</v>
      </c>
      <c r="I146" s="2">
        <f>IFERROR(__xludf.DUMMYFUNCTION("""COMPUTED_VALUE"""),20.0)</f>
        <v>20</v>
      </c>
      <c r="J146" s="2">
        <f>IFERROR(__xludf.DUMMYFUNCTION("""COMPUTED_VALUE"""),1924.16)</f>
        <v>1924.16</v>
      </c>
      <c r="K146" s="2">
        <f>IFERROR(__xludf.DUMMYFUNCTION("""COMPUTED_VALUE"""),1924.16)</f>
        <v>1924.16</v>
      </c>
    </row>
    <row r="147">
      <c r="A147" s="2">
        <f>IFERROR(__xludf.DUMMYFUNCTION("""COMPUTED_VALUE"""),1000.0)</f>
        <v>1000</v>
      </c>
      <c r="B147" s="2">
        <f>IFERROR(__xludf.DUMMYFUNCTION("""COMPUTED_VALUE"""),183569.0)</f>
        <v>183569</v>
      </c>
      <c r="C147" s="2">
        <f>IFERROR(__xludf.DUMMYFUNCTION("""COMPUTED_VALUE"""),2026.0)</f>
        <v>2026</v>
      </c>
      <c r="D147" s="2">
        <f>IFERROR(__xludf.DUMMYFUNCTION("""COMPUTED_VALUE"""),46357.0)</f>
        <v>46357</v>
      </c>
      <c r="E147" s="2" t="str">
        <f>IFERROR(__xludf.DUMMYFUNCTION("""COMPUTED_VALUE"""),"VF")</f>
        <v>VF</v>
      </c>
      <c r="F147" s="2">
        <f>IFERROR(__xludf.DUMMYFUNCTION("""COMPUTED_VALUE"""),1.0)</f>
        <v>1</v>
      </c>
      <c r="G147" s="2" t="str">
        <f>IFERROR(__xludf.DUMMYFUNCTION("""COMPUTED_VALUE"""),"PR057")</f>
        <v>PR057</v>
      </c>
      <c r="H147" s="2" t="str">
        <f>IFERROR(__xludf.DUMMYFUNCTION("""COMPUTED_VALUE"""),"VD031")</f>
        <v>VD031</v>
      </c>
      <c r="I147" s="2">
        <f>IFERROR(__xludf.DUMMYFUNCTION("""COMPUTED_VALUE"""),30.0)</f>
        <v>30</v>
      </c>
      <c r="J147" s="2">
        <f>IFERROR(__xludf.DUMMYFUNCTION("""COMPUTED_VALUE"""),3020.64)</f>
        <v>3020.64</v>
      </c>
      <c r="K147" s="2">
        <f>IFERROR(__xludf.DUMMYFUNCTION("""COMPUTED_VALUE"""),3020.64)</f>
        <v>3020.64</v>
      </c>
    </row>
    <row r="148">
      <c r="A148" s="2">
        <f>IFERROR(__xludf.DUMMYFUNCTION("""COMPUTED_VALUE"""),2000.0)</f>
        <v>2000</v>
      </c>
      <c r="B148" s="2">
        <f>IFERROR(__xludf.DUMMYFUNCTION("""COMPUTED_VALUE"""),183570.0)</f>
        <v>183570</v>
      </c>
      <c r="C148" s="2">
        <f>IFERROR(__xludf.DUMMYFUNCTION("""COMPUTED_VALUE"""),2026.0)</f>
        <v>2026</v>
      </c>
      <c r="D148" s="2">
        <f>IFERROR(__xludf.DUMMYFUNCTION("""COMPUTED_VALUE"""),46357.0)</f>
        <v>46357</v>
      </c>
      <c r="E148" s="2" t="str">
        <f>IFERROR(__xludf.DUMMYFUNCTION("""COMPUTED_VALUE"""),"VF")</f>
        <v>VF</v>
      </c>
      <c r="F148" s="2">
        <f>IFERROR(__xludf.DUMMYFUNCTION("""COMPUTED_VALUE"""),1.0)</f>
        <v>1</v>
      </c>
      <c r="G148" s="2" t="str">
        <f>IFERROR(__xludf.DUMMYFUNCTION("""COMPUTED_VALUE"""),"PR020")</f>
        <v>PR020</v>
      </c>
      <c r="H148" s="2" t="str">
        <f>IFERROR(__xludf.DUMMYFUNCTION("""COMPUTED_VALUE"""),"VD040")</f>
        <v>VD040</v>
      </c>
      <c r="I148" s="2">
        <f>IFERROR(__xludf.DUMMYFUNCTION("""COMPUTED_VALUE"""),18.0)</f>
        <v>18</v>
      </c>
      <c r="J148" s="2">
        <f>IFERROR(__xludf.DUMMYFUNCTION("""COMPUTED_VALUE"""),5938.02)</f>
        <v>5938.02</v>
      </c>
      <c r="K148" s="2">
        <f>IFERROR(__xludf.DUMMYFUNCTION("""COMPUTED_VALUE"""),5938.02)</f>
        <v>5938.02</v>
      </c>
    </row>
    <row r="149">
      <c r="A149" s="2">
        <f>IFERROR(__xludf.DUMMYFUNCTION("""COMPUTED_VALUE"""),1000.0)</f>
        <v>1000</v>
      </c>
      <c r="B149" s="2">
        <f>IFERROR(__xludf.DUMMYFUNCTION("""COMPUTED_VALUE"""),183571.0)</f>
        <v>183571</v>
      </c>
      <c r="C149" s="2">
        <f>IFERROR(__xludf.DUMMYFUNCTION("""COMPUTED_VALUE"""),2026.0)</f>
        <v>2026</v>
      </c>
      <c r="D149" s="2">
        <f>IFERROR(__xludf.DUMMYFUNCTION("""COMPUTED_VALUE"""),46357.0)</f>
        <v>46357</v>
      </c>
      <c r="E149" s="2" t="str">
        <f>IFERROR(__xludf.DUMMYFUNCTION("""COMPUTED_VALUE"""),"VF")</f>
        <v>VF</v>
      </c>
      <c r="F149" s="2">
        <f>IFERROR(__xludf.DUMMYFUNCTION("""COMPUTED_VALUE"""),1.0)</f>
        <v>1</v>
      </c>
      <c r="G149" s="2" t="str">
        <f>IFERROR(__xludf.DUMMYFUNCTION("""COMPUTED_VALUE"""),"PR053")</f>
        <v>PR053</v>
      </c>
      <c r="H149" s="2" t="str">
        <f>IFERROR(__xludf.DUMMYFUNCTION("""COMPUTED_VALUE"""),"VD019")</f>
        <v>VD019</v>
      </c>
      <c r="I149" s="2">
        <f>IFERROR(__xludf.DUMMYFUNCTION("""COMPUTED_VALUE"""),12.0)</f>
        <v>12</v>
      </c>
      <c r="J149" s="2">
        <f>IFERROR(__xludf.DUMMYFUNCTION("""COMPUTED_VALUE"""),670.66)</f>
        <v>670.66</v>
      </c>
      <c r="K149" s="2">
        <f>IFERROR(__xludf.DUMMYFUNCTION("""COMPUTED_VALUE"""),670.66)</f>
        <v>670.66</v>
      </c>
    </row>
    <row r="150">
      <c r="A150" s="2">
        <f>IFERROR(__xludf.DUMMYFUNCTION("""COMPUTED_VALUE"""),2000.0)</f>
        <v>2000</v>
      </c>
      <c r="B150" s="2">
        <f>IFERROR(__xludf.DUMMYFUNCTION("""COMPUTED_VALUE"""),183572.0)</f>
        <v>183572</v>
      </c>
      <c r="C150" s="2">
        <f>IFERROR(__xludf.DUMMYFUNCTION("""COMPUTED_VALUE"""),2026.0)</f>
        <v>2026</v>
      </c>
      <c r="D150" s="2">
        <f>IFERROR(__xludf.DUMMYFUNCTION("""COMPUTED_VALUE"""),46356.0)</f>
        <v>46356</v>
      </c>
      <c r="E150" s="2" t="str">
        <f>IFERROR(__xludf.DUMMYFUNCTION("""COMPUTED_VALUE"""),"VF")</f>
        <v>VF</v>
      </c>
      <c r="F150" s="2">
        <f>IFERROR(__xludf.DUMMYFUNCTION("""COMPUTED_VALUE"""),1.0)</f>
        <v>1</v>
      </c>
      <c r="G150" s="2" t="str">
        <f>IFERROR(__xludf.DUMMYFUNCTION("""COMPUTED_VALUE"""),"PR049")</f>
        <v>PR049</v>
      </c>
      <c r="H150" s="2" t="str">
        <f>IFERROR(__xludf.DUMMYFUNCTION("""COMPUTED_VALUE"""),"VD016")</f>
        <v>VD016</v>
      </c>
      <c r="I150" s="2">
        <f>IFERROR(__xludf.DUMMYFUNCTION("""COMPUTED_VALUE"""),21.0)</f>
        <v>21</v>
      </c>
      <c r="J150" s="2">
        <f>IFERROR(__xludf.DUMMYFUNCTION("""COMPUTED_VALUE"""),766.9)</f>
        <v>766.9</v>
      </c>
      <c r="K150" s="2">
        <f>IFERROR(__xludf.DUMMYFUNCTION("""COMPUTED_VALUE"""),766.9)</f>
        <v>766.9</v>
      </c>
    </row>
    <row r="151">
      <c r="A151" s="2">
        <f>IFERROR(__xludf.DUMMYFUNCTION("""COMPUTED_VALUE"""),1000.0)</f>
        <v>1000</v>
      </c>
      <c r="B151" s="2">
        <f>IFERROR(__xludf.DUMMYFUNCTION("""COMPUTED_VALUE"""),183572.0)</f>
        <v>183572</v>
      </c>
      <c r="C151" s="2">
        <f>IFERROR(__xludf.DUMMYFUNCTION("""COMPUTED_VALUE"""),2026.0)</f>
        <v>2026</v>
      </c>
      <c r="D151" s="2">
        <f>IFERROR(__xludf.DUMMYFUNCTION("""COMPUTED_VALUE"""),46356.0)</f>
        <v>46356</v>
      </c>
      <c r="E151" s="2" t="str">
        <f>IFERROR(__xludf.DUMMYFUNCTION("""COMPUTED_VALUE"""),"VF")</f>
        <v>VF</v>
      </c>
      <c r="F151" s="2">
        <f>IFERROR(__xludf.DUMMYFUNCTION("""COMPUTED_VALUE"""),2.0)</f>
        <v>2</v>
      </c>
      <c r="G151" s="2" t="str">
        <f>IFERROR(__xludf.DUMMYFUNCTION("""COMPUTED_VALUE"""),"PR026")</f>
        <v>PR026</v>
      </c>
      <c r="H151" s="2" t="str">
        <f>IFERROR(__xludf.DUMMYFUNCTION("""COMPUTED_VALUE"""),"VD018")</f>
        <v>VD018</v>
      </c>
      <c r="I151" s="2">
        <f>IFERROR(__xludf.DUMMYFUNCTION("""COMPUTED_VALUE"""),9.0)</f>
        <v>9</v>
      </c>
      <c r="J151" s="2">
        <f>IFERROR(__xludf.DUMMYFUNCTION("""COMPUTED_VALUE"""),3589.97)</f>
        <v>3589.97</v>
      </c>
      <c r="K151" s="2">
        <f>IFERROR(__xludf.DUMMYFUNCTION("""COMPUTED_VALUE"""),3589.97)</f>
        <v>3589.97</v>
      </c>
    </row>
    <row r="152">
      <c r="A152" s="2">
        <f>IFERROR(__xludf.DUMMYFUNCTION("""COMPUTED_VALUE"""),1000.0)</f>
        <v>1000</v>
      </c>
      <c r="B152" s="2">
        <f>IFERROR(__xludf.DUMMYFUNCTION("""COMPUTED_VALUE"""),183573.0)</f>
        <v>183573</v>
      </c>
      <c r="C152" s="2">
        <f>IFERROR(__xludf.DUMMYFUNCTION("""COMPUTED_VALUE"""),2026.0)</f>
        <v>2026</v>
      </c>
      <c r="D152" s="2">
        <f>IFERROR(__xludf.DUMMYFUNCTION("""COMPUTED_VALUE"""),46356.0)</f>
        <v>46356</v>
      </c>
      <c r="E152" s="2" t="str">
        <f>IFERROR(__xludf.DUMMYFUNCTION("""COMPUTED_VALUE"""),"VF")</f>
        <v>VF</v>
      </c>
      <c r="F152" s="2">
        <f>IFERROR(__xludf.DUMMYFUNCTION("""COMPUTED_VALUE"""),1.0)</f>
        <v>1</v>
      </c>
      <c r="G152" s="2" t="str">
        <f>IFERROR(__xludf.DUMMYFUNCTION("""COMPUTED_VALUE"""),"PR055")</f>
        <v>PR055</v>
      </c>
      <c r="H152" s="2" t="str">
        <f>IFERROR(__xludf.DUMMYFUNCTION("""COMPUTED_VALUE"""),"VD045")</f>
        <v>VD045</v>
      </c>
      <c r="I152" s="2">
        <f>IFERROR(__xludf.DUMMYFUNCTION("""COMPUTED_VALUE"""),27.0)</f>
        <v>27</v>
      </c>
      <c r="J152" s="2">
        <f>IFERROR(__xludf.DUMMYFUNCTION("""COMPUTED_VALUE"""),2815.67)</f>
        <v>2815.67</v>
      </c>
      <c r="K152" s="2">
        <f>IFERROR(__xludf.DUMMYFUNCTION("""COMPUTED_VALUE"""),2815.67)</f>
        <v>2815.67</v>
      </c>
    </row>
    <row r="153">
      <c r="A153" s="2">
        <f>IFERROR(__xludf.DUMMYFUNCTION("""COMPUTED_VALUE"""),1000.0)</f>
        <v>1000</v>
      </c>
      <c r="B153" s="2">
        <f>IFERROR(__xludf.DUMMYFUNCTION("""COMPUTED_VALUE"""),183573.0)</f>
        <v>183573</v>
      </c>
      <c r="C153" s="2">
        <f>IFERROR(__xludf.DUMMYFUNCTION("""COMPUTED_VALUE"""),2026.0)</f>
        <v>2026</v>
      </c>
      <c r="D153" s="2">
        <f>IFERROR(__xludf.DUMMYFUNCTION("""COMPUTED_VALUE"""),46356.0)</f>
        <v>46356</v>
      </c>
      <c r="E153" s="2" t="str">
        <f>IFERROR(__xludf.DUMMYFUNCTION("""COMPUTED_VALUE"""),"VF")</f>
        <v>VF</v>
      </c>
      <c r="F153" s="2">
        <f>IFERROR(__xludf.DUMMYFUNCTION("""COMPUTED_VALUE"""),2.0)</f>
        <v>2</v>
      </c>
      <c r="G153" s="2" t="str">
        <f>IFERROR(__xludf.DUMMYFUNCTION("""COMPUTED_VALUE"""),"PR016")</f>
        <v>PR016</v>
      </c>
      <c r="H153" s="2" t="str">
        <f>IFERROR(__xludf.DUMMYFUNCTION("""COMPUTED_VALUE"""),"VD041")</f>
        <v>VD041</v>
      </c>
      <c r="I153" s="2">
        <f>IFERROR(__xludf.DUMMYFUNCTION("""COMPUTED_VALUE"""),30.0)</f>
        <v>30</v>
      </c>
      <c r="J153" s="2">
        <f>IFERROR(__xludf.DUMMYFUNCTION("""COMPUTED_VALUE"""),901.32)</f>
        <v>901.32</v>
      </c>
      <c r="K153" s="2">
        <f>IFERROR(__xludf.DUMMYFUNCTION("""COMPUTED_VALUE"""),901.32)</f>
        <v>901.32</v>
      </c>
    </row>
    <row r="154">
      <c r="A154" s="2">
        <f>IFERROR(__xludf.DUMMYFUNCTION("""COMPUTED_VALUE"""),1000.0)</f>
        <v>1000</v>
      </c>
      <c r="B154" s="2">
        <f>IFERROR(__xludf.DUMMYFUNCTION("""COMPUTED_VALUE"""),183574.0)</f>
        <v>183574</v>
      </c>
      <c r="C154" s="2">
        <f>IFERROR(__xludf.DUMMYFUNCTION("""COMPUTED_VALUE"""),2026.0)</f>
        <v>2026</v>
      </c>
      <c r="D154" s="2">
        <f>IFERROR(__xludf.DUMMYFUNCTION("""COMPUTED_VALUE"""),46356.0)</f>
        <v>46356</v>
      </c>
      <c r="E154" s="2" t="str">
        <f>IFERROR(__xludf.DUMMYFUNCTION("""COMPUTED_VALUE"""),"VF")</f>
        <v>VF</v>
      </c>
      <c r="F154" s="2">
        <f>IFERROR(__xludf.DUMMYFUNCTION("""COMPUTED_VALUE"""),1.0)</f>
        <v>1</v>
      </c>
      <c r="G154" s="2" t="str">
        <f>IFERROR(__xludf.DUMMYFUNCTION("""COMPUTED_VALUE"""),"PR002")</f>
        <v>PR002</v>
      </c>
      <c r="H154" s="2" t="str">
        <f>IFERROR(__xludf.DUMMYFUNCTION("""COMPUTED_VALUE"""),"VD018")</f>
        <v>VD018</v>
      </c>
      <c r="I154" s="2">
        <f>IFERROR(__xludf.DUMMYFUNCTION("""COMPUTED_VALUE"""),18.0)</f>
        <v>18</v>
      </c>
      <c r="J154" s="2">
        <f>IFERROR(__xludf.DUMMYFUNCTION("""COMPUTED_VALUE"""),1421.77)</f>
        <v>1421.77</v>
      </c>
      <c r="K154" s="2">
        <f>IFERROR(__xludf.DUMMYFUNCTION("""COMPUTED_VALUE"""),1421.77)</f>
        <v>1421.77</v>
      </c>
    </row>
    <row r="155">
      <c r="A155" s="2">
        <f>IFERROR(__xludf.DUMMYFUNCTION("""COMPUTED_VALUE"""),1000.0)</f>
        <v>1000</v>
      </c>
      <c r="B155" s="2">
        <f>IFERROR(__xludf.DUMMYFUNCTION("""COMPUTED_VALUE"""),183575.0)</f>
        <v>183575</v>
      </c>
      <c r="C155" s="2">
        <f>IFERROR(__xludf.DUMMYFUNCTION("""COMPUTED_VALUE"""),2026.0)</f>
        <v>2026</v>
      </c>
      <c r="D155" s="2">
        <f>IFERROR(__xludf.DUMMYFUNCTION("""COMPUTED_VALUE"""),46356.0)</f>
        <v>46356</v>
      </c>
      <c r="E155" s="2" t="str">
        <f>IFERROR(__xludf.DUMMYFUNCTION("""COMPUTED_VALUE"""),"VF")</f>
        <v>VF</v>
      </c>
      <c r="F155" s="2">
        <f>IFERROR(__xludf.DUMMYFUNCTION("""COMPUTED_VALUE"""),1.0)</f>
        <v>1</v>
      </c>
      <c r="G155" s="2" t="str">
        <f>IFERROR(__xludf.DUMMYFUNCTION("""COMPUTED_VALUE"""),"PR021")</f>
        <v>PR021</v>
      </c>
      <c r="H155" s="2" t="str">
        <f>IFERROR(__xludf.DUMMYFUNCTION("""COMPUTED_VALUE"""),"VD013")</f>
        <v>VD013</v>
      </c>
      <c r="I155" s="2">
        <f>IFERROR(__xludf.DUMMYFUNCTION("""COMPUTED_VALUE"""),20.0)</f>
        <v>20</v>
      </c>
      <c r="J155" s="2">
        <f>IFERROR(__xludf.DUMMYFUNCTION("""COMPUTED_VALUE"""),7209.02)</f>
        <v>7209.02</v>
      </c>
      <c r="K155" s="2">
        <f>IFERROR(__xludf.DUMMYFUNCTION("""COMPUTED_VALUE"""),7209.02)</f>
        <v>7209.02</v>
      </c>
    </row>
    <row r="156">
      <c r="A156" s="2">
        <f>IFERROR(__xludf.DUMMYFUNCTION("""COMPUTED_VALUE"""),1000.0)</f>
        <v>1000</v>
      </c>
      <c r="B156" s="2">
        <f>IFERROR(__xludf.DUMMYFUNCTION("""COMPUTED_VALUE"""),183576.0)</f>
        <v>183576</v>
      </c>
      <c r="C156" s="2">
        <f>IFERROR(__xludf.DUMMYFUNCTION("""COMPUTED_VALUE"""),2026.0)</f>
        <v>2026</v>
      </c>
      <c r="D156" s="2">
        <f>IFERROR(__xludf.DUMMYFUNCTION("""COMPUTED_VALUE"""),46355.0)</f>
        <v>46355</v>
      </c>
      <c r="E156" s="2" t="str">
        <f>IFERROR(__xludf.DUMMYFUNCTION("""COMPUTED_VALUE"""),"VF")</f>
        <v>VF</v>
      </c>
      <c r="F156" s="2">
        <f>IFERROR(__xludf.DUMMYFUNCTION("""COMPUTED_VALUE"""),1.0)</f>
        <v>1</v>
      </c>
      <c r="G156" s="2" t="str">
        <f>IFERROR(__xludf.DUMMYFUNCTION("""COMPUTED_VALUE"""),"PR042")</f>
        <v>PR042</v>
      </c>
      <c r="H156" s="2" t="str">
        <f>IFERROR(__xludf.DUMMYFUNCTION("""COMPUTED_VALUE"""),"VD046")</f>
        <v>VD046</v>
      </c>
      <c r="I156" s="2">
        <f>IFERROR(__xludf.DUMMYFUNCTION("""COMPUTED_VALUE"""),30.0)</f>
        <v>30</v>
      </c>
      <c r="J156" s="2">
        <f>IFERROR(__xludf.DUMMYFUNCTION("""COMPUTED_VALUE"""),1811.7)</f>
        <v>1811.7</v>
      </c>
      <c r="K156" s="2">
        <f>IFERROR(__xludf.DUMMYFUNCTION("""COMPUTED_VALUE"""),1811.7)</f>
        <v>1811.7</v>
      </c>
    </row>
    <row r="157">
      <c r="A157" s="2">
        <f>IFERROR(__xludf.DUMMYFUNCTION("""COMPUTED_VALUE"""),1000.0)</f>
        <v>1000</v>
      </c>
      <c r="B157" s="2">
        <f>IFERROR(__xludf.DUMMYFUNCTION("""COMPUTED_VALUE"""),183576.0)</f>
        <v>183576</v>
      </c>
      <c r="C157" s="2">
        <f>IFERROR(__xludf.DUMMYFUNCTION("""COMPUTED_VALUE"""),2026.0)</f>
        <v>2026</v>
      </c>
      <c r="D157" s="2">
        <f>IFERROR(__xludf.DUMMYFUNCTION("""COMPUTED_VALUE"""),46355.0)</f>
        <v>46355</v>
      </c>
      <c r="E157" s="2" t="str">
        <f>IFERROR(__xludf.DUMMYFUNCTION("""COMPUTED_VALUE"""),"VF")</f>
        <v>VF</v>
      </c>
      <c r="F157" s="2">
        <f>IFERROR(__xludf.DUMMYFUNCTION("""COMPUTED_VALUE"""),2.0)</f>
        <v>2</v>
      </c>
      <c r="G157" s="2" t="str">
        <f>IFERROR(__xludf.DUMMYFUNCTION("""COMPUTED_VALUE"""),"PR015")</f>
        <v>PR015</v>
      </c>
      <c r="H157" s="2" t="str">
        <f>IFERROR(__xludf.DUMMYFUNCTION("""COMPUTED_VALUE"""),"VD026")</f>
        <v>VD026</v>
      </c>
      <c r="I157" s="2">
        <f>IFERROR(__xludf.DUMMYFUNCTION("""COMPUTED_VALUE"""),24.0)</f>
        <v>24</v>
      </c>
      <c r="J157" s="2">
        <f>IFERROR(__xludf.DUMMYFUNCTION("""COMPUTED_VALUE"""),1183.2)</f>
        <v>1183.2</v>
      </c>
      <c r="K157" s="2">
        <f>IFERROR(__xludf.DUMMYFUNCTION("""COMPUTED_VALUE"""),1183.2)</f>
        <v>1183.2</v>
      </c>
    </row>
    <row r="158">
      <c r="A158" s="2">
        <f>IFERROR(__xludf.DUMMYFUNCTION("""COMPUTED_VALUE"""),1000.0)</f>
        <v>1000</v>
      </c>
      <c r="B158" s="2">
        <f>IFERROR(__xludf.DUMMYFUNCTION("""COMPUTED_VALUE"""),183577.0)</f>
        <v>183577</v>
      </c>
      <c r="C158" s="2">
        <f>IFERROR(__xludf.DUMMYFUNCTION("""COMPUTED_VALUE"""),2026.0)</f>
        <v>2026</v>
      </c>
      <c r="D158" s="2">
        <f>IFERROR(__xludf.DUMMYFUNCTION("""COMPUTED_VALUE"""),46355.0)</f>
        <v>46355</v>
      </c>
      <c r="E158" s="2" t="str">
        <f>IFERROR(__xludf.DUMMYFUNCTION("""COMPUTED_VALUE"""),"VF")</f>
        <v>VF</v>
      </c>
      <c r="F158" s="2">
        <f>IFERROR(__xludf.DUMMYFUNCTION("""COMPUTED_VALUE"""),1.0)</f>
        <v>1</v>
      </c>
      <c r="G158" s="2" t="str">
        <f>IFERROR(__xludf.DUMMYFUNCTION("""COMPUTED_VALUE"""),"PR015")</f>
        <v>PR015</v>
      </c>
      <c r="H158" s="2" t="str">
        <f>IFERROR(__xludf.DUMMYFUNCTION("""COMPUTED_VALUE"""),"VD044")</f>
        <v>VD044</v>
      </c>
      <c r="I158" s="2">
        <f>IFERROR(__xludf.DUMMYFUNCTION("""COMPUTED_VALUE"""),18.0)</f>
        <v>18</v>
      </c>
      <c r="J158" s="2">
        <f>IFERROR(__xludf.DUMMYFUNCTION("""COMPUTED_VALUE"""),918.0)</f>
        <v>918</v>
      </c>
      <c r="K158" s="2">
        <f>IFERROR(__xludf.DUMMYFUNCTION("""COMPUTED_VALUE"""),918.0)</f>
        <v>918</v>
      </c>
    </row>
    <row r="159">
      <c r="A159" s="2">
        <f>IFERROR(__xludf.DUMMYFUNCTION("""COMPUTED_VALUE"""),1000.0)</f>
        <v>1000</v>
      </c>
      <c r="B159" s="2">
        <f>IFERROR(__xludf.DUMMYFUNCTION("""COMPUTED_VALUE"""),183578.0)</f>
        <v>183578</v>
      </c>
      <c r="C159" s="2">
        <f>IFERROR(__xludf.DUMMYFUNCTION("""COMPUTED_VALUE"""),2026.0)</f>
        <v>2026</v>
      </c>
      <c r="D159" s="2">
        <f>IFERROR(__xludf.DUMMYFUNCTION("""COMPUTED_VALUE"""),46354.0)</f>
        <v>46354</v>
      </c>
      <c r="E159" s="2" t="str">
        <f>IFERROR(__xludf.DUMMYFUNCTION("""COMPUTED_VALUE"""),"VF")</f>
        <v>VF</v>
      </c>
      <c r="F159" s="2">
        <f>IFERROR(__xludf.DUMMYFUNCTION("""COMPUTED_VALUE"""),1.0)</f>
        <v>1</v>
      </c>
      <c r="G159" s="2" t="str">
        <f>IFERROR(__xludf.DUMMYFUNCTION("""COMPUTED_VALUE"""),"PR036")</f>
        <v>PR036</v>
      </c>
      <c r="H159" s="2" t="str">
        <f>IFERROR(__xludf.DUMMYFUNCTION("""COMPUTED_VALUE"""),"VD035")</f>
        <v>VD035</v>
      </c>
      <c r="I159" s="2">
        <f>IFERROR(__xludf.DUMMYFUNCTION("""COMPUTED_VALUE"""),20.0)</f>
        <v>20</v>
      </c>
      <c r="J159" s="2">
        <f>IFERROR(__xludf.DUMMYFUNCTION("""COMPUTED_VALUE"""),2187.9)</f>
        <v>2187.9</v>
      </c>
      <c r="K159" s="2">
        <f>IFERROR(__xludf.DUMMYFUNCTION("""COMPUTED_VALUE"""),2187.9)</f>
        <v>2187.9</v>
      </c>
    </row>
    <row r="160">
      <c r="A160" s="2">
        <f>IFERROR(__xludf.DUMMYFUNCTION("""COMPUTED_VALUE"""),1000.0)</f>
        <v>1000</v>
      </c>
      <c r="B160" s="2">
        <f>IFERROR(__xludf.DUMMYFUNCTION("""COMPUTED_VALUE"""),183579.0)</f>
        <v>183579</v>
      </c>
      <c r="C160" s="2">
        <f>IFERROR(__xludf.DUMMYFUNCTION("""COMPUTED_VALUE"""),2026.0)</f>
        <v>2026</v>
      </c>
      <c r="D160" s="2">
        <f>IFERROR(__xludf.DUMMYFUNCTION("""COMPUTED_VALUE"""),46354.0)</f>
        <v>46354</v>
      </c>
      <c r="E160" s="2" t="str">
        <f>IFERROR(__xludf.DUMMYFUNCTION("""COMPUTED_VALUE"""),"VF")</f>
        <v>VF</v>
      </c>
      <c r="F160" s="2">
        <f>IFERROR(__xludf.DUMMYFUNCTION("""COMPUTED_VALUE"""),1.0)</f>
        <v>1</v>
      </c>
      <c r="G160" s="2" t="str">
        <f>IFERROR(__xludf.DUMMYFUNCTION("""COMPUTED_VALUE"""),"PR029")</f>
        <v>PR029</v>
      </c>
      <c r="H160" s="2" t="str">
        <f>IFERROR(__xludf.DUMMYFUNCTION("""COMPUTED_VALUE"""),"VD040")</f>
        <v>VD040</v>
      </c>
      <c r="I160" s="2">
        <f>IFERROR(__xludf.DUMMYFUNCTION("""COMPUTED_VALUE"""),12.0)</f>
        <v>12</v>
      </c>
      <c r="J160" s="2">
        <f>IFERROR(__xludf.DUMMYFUNCTION("""COMPUTED_VALUE"""),3610.8)</f>
        <v>3610.8</v>
      </c>
      <c r="K160" s="2">
        <f>IFERROR(__xludf.DUMMYFUNCTION("""COMPUTED_VALUE"""),3610.8)</f>
        <v>3610.8</v>
      </c>
    </row>
    <row r="161">
      <c r="A161" s="2">
        <f>IFERROR(__xludf.DUMMYFUNCTION("""COMPUTED_VALUE"""),1000.0)</f>
        <v>1000</v>
      </c>
      <c r="B161" s="2">
        <f>IFERROR(__xludf.DUMMYFUNCTION("""COMPUTED_VALUE"""),183579.0)</f>
        <v>183579</v>
      </c>
      <c r="C161" s="2">
        <f>IFERROR(__xludf.DUMMYFUNCTION("""COMPUTED_VALUE"""),2026.0)</f>
        <v>2026</v>
      </c>
      <c r="D161" s="2">
        <f>IFERROR(__xludf.DUMMYFUNCTION("""COMPUTED_VALUE"""),46354.0)</f>
        <v>46354</v>
      </c>
      <c r="E161" s="2" t="str">
        <f>IFERROR(__xludf.DUMMYFUNCTION("""COMPUTED_VALUE"""),"VF")</f>
        <v>VF</v>
      </c>
      <c r="F161" s="2">
        <f>IFERROR(__xludf.DUMMYFUNCTION("""COMPUTED_VALUE"""),2.0)</f>
        <v>2</v>
      </c>
      <c r="G161" s="2" t="str">
        <f>IFERROR(__xludf.DUMMYFUNCTION("""COMPUTED_VALUE"""),"PR050")</f>
        <v>PR050</v>
      </c>
      <c r="H161" s="2" t="str">
        <f>IFERROR(__xludf.DUMMYFUNCTION("""COMPUTED_VALUE"""),"VD011")</f>
        <v>VD011</v>
      </c>
      <c r="I161" s="2">
        <f>IFERROR(__xludf.DUMMYFUNCTION("""COMPUTED_VALUE"""),18.0)</f>
        <v>18</v>
      </c>
      <c r="J161" s="2">
        <f>IFERROR(__xludf.DUMMYFUNCTION("""COMPUTED_VALUE"""),651.42)</f>
        <v>651.42</v>
      </c>
      <c r="K161" s="2">
        <f>IFERROR(__xludf.DUMMYFUNCTION("""COMPUTED_VALUE"""),651.42)</f>
        <v>651.42</v>
      </c>
    </row>
    <row r="162">
      <c r="A162" s="2">
        <f>IFERROR(__xludf.DUMMYFUNCTION("""COMPUTED_VALUE"""),2000.0)</f>
        <v>2000</v>
      </c>
      <c r="B162" s="2">
        <f>IFERROR(__xludf.DUMMYFUNCTION("""COMPUTED_VALUE"""),183580.0)</f>
        <v>183580</v>
      </c>
      <c r="C162" s="2">
        <f>IFERROR(__xludf.DUMMYFUNCTION("""COMPUTED_VALUE"""),2026.0)</f>
        <v>2026</v>
      </c>
      <c r="D162" s="2">
        <f>IFERROR(__xludf.DUMMYFUNCTION("""COMPUTED_VALUE"""),46354.0)</f>
        <v>46354</v>
      </c>
      <c r="E162" s="2" t="str">
        <f>IFERROR(__xludf.DUMMYFUNCTION("""COMPUTED_VALUE"""),"VF")</f>
        <v>VF</v>
      </c>
      <c r="F162" s="2">
        <f>IFERROR(__xludf.DUMMYFUNCTION("""COMPUTED_VALUE"""),1.0)</f>
        <v>1</v>
      </c>
      <c r="G162" s="2" t="str">
        <f>IFERROR(__xludf.DUMMYFUNCTION("""COMPUTED_VALUE"""),"PR034")</f>
        <v>PR034</v>
      </c>
      <c r="H162" s="2" t="str">
        <f>IFERROR(__xludf.DUMMYFUNCTION("""COMPUTED_VALUE"""),"VD018")</f>
        <v>VD018</v>
      </c>
      <c r="I162" s="2">
        <f>IFERROR(__xludf.DUMMYFUNCTION("""COMPUTED_VALUE"""),9.0)</f>
        <v>9</v>
      </c>
      <c r="J162" s="2">
        <f>IFERROR(__xludf.DUMMYFUNCTION("""COMPUTED_VALUE"""),954.74)</f>
        <v>954.74</v>
      </c>
      <c r="K162" s="2">
        <f>IFERROR(__xludf.DUMMYFUNCTION("""COMPUTED_VALUE"""),954.74)</f>
        <v>954.74</v>
      </c>
    </row>
    <row r="163">
      <c r="A163" s="2">
        <f>IFERROR(__xludf.DUMMYFUNCTION("""COMPUTED_VALUE"""),2000.0)</f>
        <v>2000</v>
      </c>
      <c r="B163" s="2">
        <f>IFERROR(__xludf.DUMMYFUNCTION("""COMPUTED_VALUE"""),183580.0)</f>
        <v>183580</v>
      </c>
      <c r="C163" s="2">
        <f>IFERROR(__xludf.DUMMYFUNCTION("""COMPUTED_VALUE"""),2026.0)</f>
        <v>2026</v>
      </c>
      <c r="D163" s="2">
        <f>IFERROR(__xludf.DUMMYFUNCTION("""COMPUTED_VALUE"""),46354.0)</f>
        <v>46354</v>
      </c>
      <c r="E163" s="2" t="str">
        <f>IFERROR(__xludf.DUMMYFUNCTION("""COMPUTED_VALUE"""),"VF")</f>
        <v>VF</v>
      </c>
      <c r="F163" s="2">
        <f>IFERROR(__xludf.DUMMYFUNCTION("""COMPUTED_VALUE"""),2.0)</f>
        <v>2</v>
      </c>
      <c r="G163" s="2" t="str">
        <f>IFERROR(__xludf.DUMMYFUNCTION("""COMPUTED_VALUE"""),"PR027")</f>
        <v>PR027</v>
      </c>
      <c r="H163" s="2" t="str">
        <f>IFERROR(__xludf.DUMMYFUNCTION("""COMPUTED_VALUE"""),"VD016")</f>
        <v>VD016</v>
      </c>
      <c r="I163" s="2">
        <f>IFERROR(__xludf.DUMMYFUNCTION("""COMPUTED_VALUE"""),10.0)</f>
        <v>10</v>
      </c>
      <c r="J163" s="2">
        <f>IFERROR(__xludf.DUMMYFUNCTION("""COMPUTED_VALUE"""),1428.0)</f>
        <v>1428</v>
      </c>
      <c r="K163" s="2">
        <f>IFERROR(__xludf.DUMMYFUNCTION("""COMPUTED_VALUE"""),1428.0)</f>
        <v>1428</v>
      </c>
    </row>
    <row r="164">
      <c r="A164" s="2">
        <f>IFERROR(__xludf.DUMMYFUNCTION("""COMPUTED_VALUE"""),1000.0)</f>
        <v>1000</v>
      </c>
      <c r="B164" s="2">
        <f>IFERROR(__xludf.DUMMYFUNCTION("""COMPUTED_VALUE"""),183581.0)</f>
        <v>183581</v>
      </c>
      <c r="C164" s="2">
        <f>IFERROR(__xludf.DUMMYFUNCTION("""COMPUTED_VALUE"""),2026.0)</f>
        <v>2026</v>
      </c>
      <c r="D164" s="2">
        <f>IFERROR(__xludf.DUMMYFUNCTION("""COMPUTED_VALUE"""),46354.0)</f>
        <v>46354</v>
      </c>
      <c r="E164" s="2" t="str">
        <f>IFERROR(__xludf.DUMMYFUNCTION("""COMPUTED_VALUE"""),"VF")</f>
        <v>VF</v>
      </c>
      <c r="F164" s="2">
        <f>IFERROR(__xludf.DUMMYFUNCTION("""COMPUTED_VALUE"""),1.0)</f>
        <v>1</v>
      </c>
      <c r="G164" s="2" t="str">
        <f>IFERROR(__xludf.DUMMYFUNCTION("""COMPUTED_VALUE"""),"PR015")</f>
        <v>PR015</v>
      </c>
      <c r="H164" s="2" t="str">
        <f>IFERROR(__xludf.DUMMYFUNCTION("""COMPUTED_VALUE"""),"VD043")</f>
        <v>VD043</v>
      </c>
      <c r="I164" s="2">
        <f>IFERROR(__xludf.DUMMYFUNCTION("""COMPUTED_VALUE"""),18.0)</f>
        <v>18</v>
      </c>
      <c r="J164" s="2">
        <f>IFERROR(__xludf.DUMMYFUNCTION("""COMPUTED_VALUE"""),872.1)</f>
        <v>872.1</v>
      </c>
      <c r="K164" s="2">
        <f>IFERROR(__xludf.DUMMYFUNCTION("""COMPUTED_VALUE"""),872.1)</f>
        <v>872.1</v>
      </c>
    </row>
    <row r="165">
      <c r="A165" s="2">
        <f>IFERROR(__xludf.DUMMYFUNCTION("""COMPUTED_VALUE"""),1000.0)</f>
        <v>1000</v>
      </c>
      <c r="B165" s="2">
        <f>IFERROR(__xludf.DUMMYFUNCTION("""COMPUTED_VALUE"""),183582.0)</f>
        <v>183582</v>
      </c>
      <c r="C165" s="2">
        <f>IFERROR(__xludf.DUMMYFUNCTION("""COMPUTED_VALUE"""),2026.0)</f>
        <v>2026</v>
      </c>
      <c r="D165" s="2">
        <f>IFERROR(__xludf.DUMMYFUNCTION("""COMPUTED_VALUE"""),46354.0)</f>
        <v>46354</v>
      </c>
      <c r="E165" s="2" t="str">
        <f>IFERROR(__xludf.DUMMYFUNCTION("""COMPUTED_VALUE"""),"VF")</f>
        <v>VF</v>
      </c>
      <c r="F165" s="2">
        <f>IFERROR(__xludf.DUMMYFUNCTION("""COMPUTED_VALUE"""),1.0)</f>
        <v>1</v>
      </c>
      <c r="G165" s="2" t="str">
        <f>IFERROR(__xludf.DUMMYFUNCTION("""COMPUTED_VALUE"""),"PR003")</f>
        <v>PR003</v>
      </c>
      <c r="H165" s="2" t="str">
        <f>IFERROR(__xludf.DUMMYFUNCTION("""COMPUTED_VALUE"""),"VD031")</f>
        <v>VD031</v>
      </c>
      <c r="I165" s="2">
        <f>IFERROR(__xludf.DUMMYFUNCTION("""COMPUTED_VALUE"""),9.0)</f>
        <v>9</v>
      </c>
      <c r="J165" s="2">
        <f>IFERROR(__xludf.DUMMYFUNCTION("""COMPUTED_VALUE"""),708.29)</f>
        <v>708.29</v>
      </c>
      <c r="K165" s="2">
        <f>IFERROR(__xludf.DUMMYFUNCTION("""COMPUTED_VALUE"""),708.29)</f>
        <v>708.29</v>
      </c>
    </row>
    <row r="166">
      <c r="A166" s="2">
        <f>IFERROR(__xludf.DUMMYFUNCTION("""COMPUTED_VALUE"""),1000.0)</f>
        <v>1000</v>
      </c>
      <c r="B166" s="2">
        <f>IFERROR(__xludf.DUMMYFUNCTION("""COMPUTED_VALUE"""),183583.0)</f>
        <v>183583</v>
      </c>
      <c r="C166" s="2">
        <f>IFERROR(__xludf.DUMMYFUNCTION("""COMPUTED_VALUE"""),2026.0)</f>
        <v>2026</v>
      </c>
      <c r="D166" s="2">
        <f>IFERROR(__xludf.DUMMYFUNCTION("""COMPUTED_VALUE"""),46354.0)</f>
        <v>46354</v>
      </c>
      <c r="E166" s="2" t="str">
        <f>IFERROR(__xludf.DUMMYFUNCTION("""COMPUTED_VALUE"""),"VF")</f>
        <v>VF</v>
      </c>
      <c r="F166" s="2">
        <f>IFERROR(__xludf.DUMMYFUNCTION("""COMPUTED_VALUE"""),1.0)</f>
        <v>1</v>
      </c>
      <c r="G166" s="2" t="str">
        <f>IFERROR(__xludf.DUMMYFUNCTION("""COMPUTED_VALUE"""),"PR026")</f>
        <v>PR026</v>
      </c>
      <c r="H166" s="2" t="str">
        <f>IFERROR(__xludf.DUMMYFUNCTION("""COMPUTED_VALUE"""),"VD032")</f>
        <v>VD032</v>
      </c>
      <c r="I166" s="2">
        <f>IFERROR(__xludf.DUMMYFUNCTION("""COMPUTED_VALUE"""),10.0)</f>
        <v>10</v>
      </c>
      <c r="J166" s="2">
        <f>IFERROR(__xludf.DUMMYFUNCTION("""COMPUTED_VALUE"""),4128.82)</f>
        <v>4128.82</v>
      </c>
      <c r="K166" s="2">
        <f>IFERROR(__xludf.DUMMYFUNCTION("""COMPUTED_VALUE"""),4128.82)</f>
        <v>4128.82</v>
      </c>
    </row>
    <row r="167">
      <c r="A167" s="2">
        <f>IFERROR(__xludf.DUMMYFUNCTION("""COMPUTED_VALUE"""),1000.0)</f>
        <v>1000</v>
      </c>
      <c r="B167" s="2">
        <f>IFERROR(__xludf.DUMMYFUNCTION("""COMPUTED_VALUE"""),183583.0)</f>
        <v>183583</v>
      </c>
      <c r="C167" s="2">
        <f>IFERROR(__xludf.DUMMYFUNCTION("""COMPUTED_VALUE"""),2026.0)</f>
        <v>2026</v>
      </c>
      <c r="D167" s="2">
        <f>IFERROR(__xludf.DUMMYFUNCTION("""COMPUTED_VALUE"""),46354.0)</f>
        <v>46354</v>
      </c>
      <c r="E167" s="2" t="str">
        <f>IFERROR(__xludf.DUMMYFUNCTION("""COMPUTED_VALUE"""),"VF")</f>
        <v>VF</v>
      </c>
      <c r="F167" s="2">
        <f>IFERROR(__xludf.DUMMYFUNCTION("""COMPUTED_VALUE"""),2.0)</f>
        <v>2</v>
      </c>
      <c r="G167" s="2" t="str">
        <f>IFERROR(__xludf.DUMMYFUNCTION("""COMPUTED_VALUE"""),"PR006")</f>
        <v>PR006</v>
      </c>
      <c r="H167" s="2" t="str">
        <f>IFERROR(__xludf.DUMMYFUNCTION("""COMPUTED_VALUE"""),"VD017")</f>
        <v>VD017</v>
      </c>
      <c r="I167" s="2">
        <f>IFERROR(__xludf.DUMMYFUNCTION("""COMPUTED_VALUE"""),16.0)</f>
        <v>16</v>
      </c>
      <c r="J167" s="2">
        <f>IFERROR(__xludf.DUMMYFUNCTION("""COMPUTED_VALUE"""),766.08)</f>
        <v>766.08</v>
      </c>
      <c r="K167" s="2">
        <f>IFERROR(__xludf.DUMMYFUNCTION("""COMPUTED_VALUE"""),766.08)</f>
        <v>766.08</v>
      </c>
    </row>
    <row r="168">
      <c r="A168" s="2">
        <f>IFERROR(__xludf.DUMMYFUNCTION("""COMPUTED_VALUE"""),2000.0)</f>
        <v>2000</v>
      </c>
      <c r="B168" s="2">
        <f>IFERROR(__xludf.DUMMYFUNCTION("""COMPUTED_VALUE"""),183584.0)</f>
        <v>183584</v>
      </c>
      <c r="C168" s="2">
        <f>IFERROR(__xludf.DUMMYFUNCTION("""COMPUTED_VALUE"""),2026.0)</f>
        <v>2026</v>
      </c>
      <c r="D168" s="2">
        <f>IFERROR(__xludf.DUMMYFUNCTION("""COMPUTED_VALUE"""),46354.0)</f>
        <v>46354</v>
      </c>
      <c r="E168" s="2" t="str">
        <f>IFERROR(__xludf.DUMMYFUNCTION("""COMPUTED_VALUE"""),"VF")</f>
        <v>VF</v>
      </c>
      <c r="F168" s="2">
        <f>IFERROR(__xludf.DUMMYFUNCTION("""COMPUTED_VALUE"""),1.0)</f>
        <v>1</v>
      </c>
      <c r="G168" s="2" t="str">
        <f>IFERROR(__xludf.DUMMYFUNCTION("""COMPUTED_VALUE"""),"PR050")</f>
        <v>PR050</v>
      </c>
      <c r="H168" s="2" t="str">
        <f>IFERROR(__xludf.DUMMYFUNCTION("""COMPUTED_VALUE"""),"VD015")</f>
        <v>VD015</v>
      </c>
      <c r="I168" s="2">
        <f>IFERROR(__xludf.DUMMYFUNCTION("""COMPUTED_VALUE"""),27.0)</f>
        <v>27</v>
      </c>
      <c r="J168" s="2">
        <f>IFERROR(__xludf.DUMMYFUNCTION("""COMPUTED_VALUE"""),1012.66)</f>
        <v>1012.66</v>
      </c>
      <c r="K168" s="2">
        <f>IFERROR(__xludf.DUMMYFUNCTION("""COMPUTED_VALUE"""),1012.66)</f>
        <v>1012.66</v>
      </c>
    </row>
    <row r="169">
      <c r="A169" s="2">
        <f>IFERROR(__xludf.DUMMYFUNCTION("""COMPUTED_VALUE"""),1000.0)</f>
        <v>1000</v>
      </c>
      <c r="B169" s="2">
        <f>IFERROR(__xludf.DUMMYFUNCTION("""COMPUTED_VALUE"""),183584.0)</f>
        <v>183584</v>
      </c>
      <c r="C169" s="2">
        <f>IFERROR(__xludf.DUMMYFUNCTION("""COMPUTED_VALUE"""),2026.0)</f>
        <v>2026</v>
      </c>
      <c r="D169" s="2">
        <f>IFERROR(__xludf.DUMMYFUNCTION("""COMPUTED_VALUE"""),46353.0)</f>
        <v>46353</v>
      </c>
      <c r="E169" s="2" t="str">
        <f>IFERROR(__xludf.DUMMYFUNCTION("""COMPUTED_VALUE"""),"VF")</f>
        <v>VF</v>
      </c>
      <c r="F169" s="2">
        <f>IFERROR(__xludf.DUMMYFUNCTION("""COMPUTED_VALUE"""),2.0)</f>
        <v>2</v>
      </c>
      <c r="G169" s="2" t="str">
        <f>IFERROR(__xludf.DUMMYFUNCTION("""COMPUTED_VALUE"""),"PR009")</f>
        <v>PR009</v>
      </c>
      <c r="H169" s="2" t="str">
        <f>IFERROR(__xludf.DUMMYFUNCTION("""COMPUTED_VALUE"""),"VD040")</f>
        <v>VD040</v>
      </c>
      <c r="I169" s="2">
        <f>IFERROR(__xludf.DUMMYFUNCTION("""COMPUTED_VALUE"""),30.0)</f>
        <v>30</v>
      </c>
      <c r="J169" s="2">
        <f>IFERROR(__xludf.DUMMYFUNCTION("""COMPUTED_VALUE"""),3065.7)</f>
        <v>3065.7</v>
      </c>
      <c r="K169" s="2">
        <f>IFERROR(__xludf.DUMMYFUNCTION("""COMPUTED_VALUE"""),3065.7)</f>
        <v>3065.7</v>
      </c>
    </row>
    <row r="170">
      <c r="A170" s="2">
        <f>IFERROR(__xludf.DUMMYFUNCTION("""COMPUTED_VALUE"""),2000.0)</f>
        <v>2000</v>
      </c>
      <c r="B170" s="2">
        <f>IFERROR(__xludf.DUMMYFUNCTION("""COMPUTED_VALUE"""),183585.0)</f>
        <v>183585</v>
      </c>
      <c r="C170" s="2">
        <f>IFERROR(__xludf.DUMMYFUNCTION("""COMPUTED_VALUE"""),2026.0)</f>
        <v>2026</v>
      </c>
      <c r="D170" s="2">
        <f>IFERROR(__xludf.DUMMYFUNCTION("""COMPUTED_VALUE"""),46353.0)</f>
        <v>46353</v>
      </c>
      <c r="E170" s="2" t="str">
        <f>IFERROR(__xludf.DUMMYFUNCTION("""COMPUTED_VALUE"""),"VF")</f>
        <v>VF</v>
      </c>
      <c r="F170" s="2">
        <f>IFERROR(__xludf.DUMMYFUNCTION("""COMPUTED_VALUE"""),1.0)</f>
        <v>1</v>
      </c>
      <c r="G170" s="2" t="str">
        <f>IFERROR(__xludf.DUMMYFUNCTION("""COMPUTED_VALUE"""),"PR013")</f>
        <v>PR013</v>
      </c>
      <c r="H170" s="2" t="str">
        <f>IFERROR(__xludf.DUMMYFUNCTION("""COMPUTED_VALUE"""),"VD021")</f>
        <v>VD021</v>
      </c>
      <c r="I170" s="2">
        <f>IFERROR(__xludf.DUMMYFUNCTION("""COMPUTED_VALUE"""),15.0)</f>
        <v>15</v>
      </c>
      <c r="J170" s="2">
        <f>IFERROR(__xludf.DUMMYFUNCTION("""COMPUTED_VALUE"""),706.23)</f>
        <v>706.23</v>
      </c>
      <c r="K170" s="2">
        <f>IFERROR(__xludf.DUMMYFUNCTION("""COMPUTED_VALUE"""),706.23)</f>
        <v>706.23</v>
      </c>
    </row>
    <row r="171">
      <c r="A171" s="2">
        <f>IFERROR(__xludf.DUMMYFUNCTION("""COMPUTED_VALUE"""),1000.0)</f>
        <v>1000</v>
      </c>
      <c r="B171" s="2">
        <f>IFERROR(__xludf.DUMMYFUNCTION("""COMPUTED_VALUE"""),183586.0)</f>
        <v>183586</v>
      </c>
      <c r="C171" s="2">
        <f>IFERROR(__xludf.DUMMYFUNCTION("""COMPUTED_VALUE"""),2026.0)</f>
        <v>2026</v>
      </c>
      <c r="D171" s="2">
        <f>IFERROR(__xludf.DUMMYFUNCTION("""COMPUTED_VALUE"""),46352.0)</f>
        <v>46352</v>
      </c>
      <c r="E171" s="2" t="str">
        <f>IFERROR(__xludf.DUMMYFUNCTION("""COMPUTED_VALUE"""),"VF")</f>
        <v>VF</v>
      </c>
      <c r="F171" s="2">
        <f>IFERROR(__xludf.DUMMYFUNCTION("""COMPUTED_VALUE"""),1.0)</f>
        <v>1</v>
      </c>
      <c r="G171" s="2" t="str">
        <f>IFERROR(__xludf.DUMMYFUNCTION("""COMPUTED_VALUE"""),"PR049")</f>
        <v>PR049</v>
      </c>
      <c r="H171" s="2" t="str">
        <f>IFERROR(__xludf.DUMMYFUNCTION("""COMPUTED_VALUE"""),"VD049")</f>
        <v>VD049</v>
      </c>
      <c r="I171" s="2">
        <f>IFERROR(__xludf.DUMMYFUNCTION("""COMPUTED_VALUE"""),21.0)</f>
        <v>21</v>
      </c>
      <c r="J171" s="2">
        <f>IFERROR(__xludf.DUMMYFUNCTION("""COMPUTED_VALUE"""),759.99)</f>
        <v>759.99</v>
      </c>
      <c r="K171" s="2">
        <f>IFERROR(__xludf.DUMMYFUNCTION("""COMPUTED_VALUE"""),759.99)</f>
        <v>759.99</v>
      </c>
    </row>
    <row r="172">
      <c r="A172" s="2">
        <f>IFERROR(__xludf.DUMMYFUNCTION("""COMPUTED_VALUE"""),1000.0)</f>
        <v>1000</v>
      </c>
      <c r="B172" s="2">
        <f>IFERROR(__xludf.DUMMYFUNCTION("""COMPUTED_VALUE"""),183587.0)</f>
        <v>183587</v>
      </c>
      <c r="C172" s="2">
        <f>IFERROR(__xludf.DUMMYFUNCTION("""COMPUTED_VALUE"""),2026.0)</f>
        <v>2026</v>
      </c>
      <c r="D172" s="2">
        <f>IFERROR(__xludf.DUMMYFUNCTION("""COMPUTED_VALUE"""),46352.0)</f>
        <v>46352</v>
      </c>
      <c r="E172" s="2" t="str">
        <f>IFERROR(__xludf.DUMMYFUNCTION("""COMPUTED_VALUE"""),"VF")</f>
        <v>VF</v>
      </c>
      <c r="F172" s="2">
        <f>IFERROR(__xludf.DUMMYFUNCTION("""COMPUTED_VALUE"""),1.0)</f>
        <v>1</v>
      </c>
      <c r="G172" s="2" t="str">
        <f>IFERROR(__xludf.DUMMYFUNCTION("""COMPUTED_VALUE"""),"PR004")</f>
        <v>PR004</v>
      </c>
      <c r="H172" s="2" t="str">
        <f>IFERROR(__xludf.DUMMYFUNCTION("""COMPUTED_VALUE"""),"VD035")</f>
        <v>VD035</v>
      </c>
      <c r="I172" s="2">
        <f>IFERROR(__xludf.DUMMYFUNCTION("""COMPUTED_VALUE"""),18.0)</f>
        <v>18</v>
      </c>
      <c r="J172" s="2">
        <f>IFERROR(__xludf.DUMMYFUNCTION("""COMPUTED_VALUE"""),2923.2)</f>
        <v>2923.2</v>
      </c>
      <c r="K172" s="2">
        <f>IFERROR(__xludf.DUMMYFUNCTION("""COMPUTED_VALUE"""),2923.2)</f>
        <v>2923.2</v>
      </c>
    </row>
    <row r="173">
      <c r="A173" s="2">
        <f>IFERROR(__xludf.DUMMYFUNCTION("""COMPUTED_VALUE"""),2000.0)</f>
        <v>2000</v>
      </c>
      <c r="B173" s="2">
        <f>IFERROR(__xludf.DUMMYFUNCTION("""COMPUTED_VALUE"""),183588.0)</f>
        <v>183588</v>
      </c>
      <c r="C173" s="2">
        <f>IFERROR(__xludf.DUMMYFUNCTION("""COMPUTED_VALUE"""),2026.0)</f>
        <v>2026</v>
      </c>
      <c r="D173" s="2">
        <f>IFERROR(__xludf.DUMMYFUNCTION("""COMPUTED_VALUE"""),46352.0)</f>
        <v>46352</v>
      </c>
      <c r="E173" s="2" t="str">
        <f>IFERROR(__xludf.DUMMYFUNCTION("""COMPUTED_VALUE"""),"VF")</f>
        <v>VF</v>
      </c>
      <c r="F173" s="2">
        <f>IFERROR(__xludf.DUMMYFUNCTION("""COMPUTED_VALUE"""),1.0)</f>
        <v>1</v>
      </c>
      <c r="G173" s="2" t="str">
        <f>IFERROR(__xludf.DUMMYFUNCTION("""COMPUTED_VALUE"""),"PR046")</f>
        <v>PR046</v>
      </c>
      <c r="H173" s="2" t="str">
        <f>IFERROR(__xludf.DUMMYFUNCTION("""COMPUTED_VALUE"""),"VD019")</f>
        <v>VD019</v>
      </c>
      <c r="I173" s="2">
        <f>IFERROR(__xludf.DUMMYFUNCTION("""COMPUTED_VALUE"""),20.0)</f>
        <v>20</v>
      </c>
      <c r="J173" s="2">
        <f>IFERROR(__xludf.DUMMYFUNCTION("""COMPUTED_VALUE"""),6725.68)</f>
        <v>6725.68</v>
      </c>
      <c r="K173" s="2">
        <f>IFERROR(__xludf.DUMMYFUNCTION("""COMPUTED_VALUE"""),6725.68)</f>
        <v>6725.68</v>
      </c>
    </row>
    <row r="174">
      <c r="A174" s="2">
        <f>IFERROR(__xludf.DUMMYFUNCTION("""COMPUTED_VALUE"""),1000.0)</f>
        <v>1000</v>
      </c>
      <c r="B174" s="2">
        <f>IFERROR(__xludf.DUMMYFUNCTION("""COMPUTED_VALUE"""),183589.0)</f>
        <v>183589</v>
      </c>
      <c r="C174" s="2">
        <f>IFERROR(__xludf.DUMMYFUNCTION("""COMPUTED_VALUE"""),2026.0)</f>
        <v>2026</v>
      </c>
      <c r="D174" s="2">
        <f>IFERROR(__xludf.DUMMYFUNCTION("""COMPUTED_VALUE"""),46352.0)</f>
        <v>46352</v>
      </c>
      <c r="E174" s="2" t="str">
        <f>IFERROR(__xludf.DUMMYFUNCTION("""COMPUTED_VALUE"""),"VF")</f>
        <v>VF</v>
      </c>
      <c r="F174" s="2">
        <f>IFERROR(__xludf.DUMMYFUNCTION("""COMPUTED_VALUE"""),1.0)</f>
        <v>1</v>
      </c>
      <c r="G174" s="2" t="str">
        <f>IFERROR(__xludf.DUMMYFUNCTION("""COMPUTED_VALUE"""),"PR047")</f>
        <v>PR047</v>
      </c>
      <c r="H174" s="2" t="str">
        <f>IFERROR(__xludf.DUMMYFUNCTION("""COMPUTED_VALUE"""),"VD046")</f>
        <v>VD046</v>
      </c>
      <c r="I174" s="2">
        <f>IFERROR(__xludf.DUMMYFUNCTION("""COMPUTED_VALUE"""),27.0)</f>
        <v>27</v>
      </c>
      <c r="J174" s="2">
        <f>IFERROR(__xludf.DUMMYFUNCTION("""COMPUTED_VALUE"""),8844.85)</f>
        <v>8844.85</v>
      </c>
      <c r="K174" s="2">
        <f>IFERROR(__xludf.DUMMYFUNCTION("""COMPUTED_VALUE"""),8844.85)</f>
        <v>8844.85</v>
      </c>
    </row>
    <row r="175">
      <c r="A175" s="2">
        <f>IFERROR(__xludf.DUMMYFUNCTION("""COMPUTED_VALUE"""),1000.0)</f>
        <v>1000</v>
      </c>
      <c r="B175" s="2">
        <f>IFERROR(__xludf.DUMMYFUNCTION("""COMPUTED_VALUE"""),183590.0)</f>
        <v>183590</v>
      </c>
      <c r="C175" s="2">
        <f>IFERROR(__xludf.DUMMYFUNCTION("""COMPUTED_VALUE"""),2026.0)</f>
        <v>2026</v>
      </c>
      <c r="D175" s="2">
        <f>IFERROR(__xludf.DUMMYFUNCTION("""COMPUTED_VALUE"""),46352.0)</f>
        <v>46352</v>
      </c>
      <c r="E175" s="2" t="str">
        <f>IFERROR(__xludf.DUMMYFUNCTION("""COMPUTED_VALUE"""),"VF")</f>
        <v>VF</v>
      </c>
      <c r="F175" s="2">
        <f>IFERROR(__xludf.DUMMYFUNCTION("""COMPUTED_VALUE"""),1.0)</f>
        <v>1</v>
      </c>
      <c r="G175" s="2" t="str">
        <f>IFERROR(__xludf.DUMMYFUNCTION("""COMPUTED_VALUE"""),"PR054")</f>
        <v>PR054</v>
      </c>
      <c r="H175" s="2" t="str">
        <f>IFERROR(__xludf.DUMMYFUNCTION("""COMPUTED_VALUE"""),"VD019")</f>
        <v>VD019</v>
      </c>
      <c r="I175" s="2">
        <f>IFERROR(__xludf.DUMMYFUNCTION("""COMPUTED_VALUE"""),18.0)</f>
        <v>18</v>
      </c>
      <c r="J175" s="2">
        <f>IFERROR(__xludf.DUMMYFUNCTION("""COMPUTED_VALUE"""),1077.84)</f>
        <v>1077.84</v>
      </c>
      <c r="K175" s="2">
        <f>IFERROR(__xludf.DUMMYFUNCTION("""COMPUTED_VALUE"""),1077.84)</f>
        <v>1077.84</v>
      </c>
    </row>
    <row r="176">
      <c r="A176" s="2">
        <f>IFERROR(__xludf.DUMMYFUNCTION("""COMPUTED_VALUE"""),1000.0)</f>
        <v>1000</v>
      </c>
      <c r="B176" s="2">
        <f>IFERROR(__xludf.DUMMYFUNCTION("""COMPUTED_VALUE"""),183591.0)</f>
        <v>183591</v>
      </c>
      <c r="C176" s="2">
        <f>IFERROR(__xludf.DUMMYFUNCTION("""COMPUTED_VALUE"""),2026.0)</f>
        <v>2026</v>
      </c>
      <c r="D176" s="2">
        <f>IFERROR(__xludf.DUMMYFUNCTION("""COMPUTED_VALUE"""),46351.0)</f>
        <v>46351</v>
      </c>
      <c r="E176" s="2" t="str">
        <f>IFERROR(__xludf.DUMMYFUNCTION("""COMPUTED_VALUE"""),"VF")</f>
        <v>VF</v>
      </c>
      <c r="F176" s="2">
        <f>IFERROR(__xludf.DUMMYFUNCTION("""COMPUTED_VALUE"""),1.0)</f>
        <v>1</v>
      </c>
      <c r="G176" s="2" t="str">
        <f>IFERROR(__xludf.DUMMYFUNCTION("""COMPUTED_VALUE"""),"PR041")</f>
        <v>PR041</v>
      </c>
      <c r="H176" s="2" t="str">
        <f>IFERROR(__xludf.DUMMYFUNCTION("""COMPUTED_VALUE"""),"VD033")</f>
        <v>VD033</v>
      </c>
      <c r="I176" s="2">
        <f>IFERROR(__xludf.DUMMYFUNCTION("""COMPUTED_VALUE"""),27.0)</f>
        <v>27</v>
      </c>
      <c r="J176" s="2">
        <f>IFERROR(__xludf.DUMMYFUNCTION("""COMPUTED_VALUE"""),1778.76)</f>
        <v>1778.76</v>
      </c>
      <c r="K176" s="2">
        <f>IFERROR(__xludf.DUMMYFUNCTION("""COMPUTED_VALUE"""),1778.76)</f>
        <v>1778.76</v>
      </c>
    </row>
    <row r="177">
      <c r="A177" s="2">
        <f>IFERROR(__xludf.DUMMYFUNCTION("""COMPUTED_VALUE"""),1000.0)</f>
        <v>1000</v>
      </c>
      <c r="B177" s="2">
        <f>IFERROR(__xludf.DUMMYFUNCTION("""COMPUTED_VALUE"""),183592.0)</f>
        <v>183592</v>
      </c>
      <c r="C177" s="2">
        <f>IFERROR(__xludf.DUMMYFUNCTION("""COMPUTED_VALUE"""),2026.0)</f>
        <v>2026</v>
      </c>
      <c r="D177" s="2">
        <f>IFERROR(__xludf.DUMMYFUNCTION("""COMPUTED_VALUE"""),46351.0)</f>
        <v>46351</v>
      </c>
      <c r="E177" s="2" t="str">
        <f>IFERROR(__xludf.DUMMYFUNCTION("""COMPUTED_VALUE"""),"VF")</f>
        <v>VF</v>
      </c>
      <c r="F177" s="2">
        <f>IFERROR(__xludf.DUMMYFUNCTION("""COMPUTED_VALUE"""),1.0)</f>
        <v>1</v>
      </c>
      <c r="G177" s="2" t="str">
        <f>IFERROR(__xludf.DUMMYFUNCTION("""COMPUTED_VALUE"""),"PR024")</f>
        <v>PR024</v>
      </c>
      <c r="H177" s="2" t="str">
        <f>IFERROR(__xludf.DUMMYFUNCTION("""COMPUTED_VALUE"""),"VD018")</f>
        <v>VD018</v>
      </c>
      <c r="I177" s="2">
        <f>IFERROR(__xludf.DUMMYFUNCTION("""COMPUTED_VALUE"""),8.0)</f>
        <v>8</v>
      </c>
      <c r="J177" s="2">
        <f>IFERROR(__xludf.DUMMYFUNCTION("""COMPUTED_VALUE"""),2453.46)</f>
        <v>2453.46</v>
      </c>
      <c r="K177" s="2">
        <f>IFERROR(__xludf.DUMMYFUNCTION("""COMPUTED_VALUE"""),2453.46)</f>
        <v>2453.46</v>
      </c>
    </row>
    <row r="178">
      <c r="A178" s="2">
        <f>IFERROR(__xludf.DUMMYFUNCTION("""COMPUTED_VALUE"""),1000.0)</f>
        <v>1000</v>
      </c>
      <c r="B178" s="2">
        <f>IFERROR(__xludf.DUMMYFUNCTION("""COMPUTED_VALUE"""),183593.0)</f>
        <v>183593</v>
      </c>
      <c r="C178" s="2">
        <f>IFERROR(__xludf.DUMMYFUNCTION("""COMPUTED_VALUE"""),2026.0)</f>
        <v>2026</v>
      </c>
      <c r="D178" s="2">
        <f>IFERROR(__xludf.DUMMYFUNCTION("""COMPUTED_VALUE"""),46351.0)</f>
        <v>46351</v>
      </c>
      <c r="E178" s="2" t="str">
        <f>IFERROR(__xludf.DUMMYFUNCTION("""COMPUTED_VALUE"""),"VF")</f>
        <v>VF</v>
      </c>
      <c r="F178" s="2">
        <f>IFERROR(__xludf.DUMMYFUNCTION("""COMPUTED_VALUE"""),1.0)</f>
        <v>1</v>
      </c>
      <c r="G178" s="2" t="str">
        <f>IFERROR(__xludf.DUMMYFUNCTION("""COMPUTED_VALUE"""),"PR024")</f>
        <v>PR024</v>
      </c>
      <c r="H178" s="2" t="str">
        <f>IFERROR(__xludf.DUMMYFUNCTION("""COMPUTED_VALUE"""),"VD048")</f>
        <v>VD048</v>
      </c>
      <c r="I178" s="2">
        <f>IFERROR(__xludf.DUMMYFUNCTION("""COMPUTED_VALUE"""),15.0)</f>
        <v>15</v>
      </c>
      <c r="J178" s="2">
        <f>IFERROR(__xludf.DUMMYFUNCTION("""COMPUTED_VALUE"""),4678.2)</f>
        <v>4678.2</v>
      </c>
      <c r="K178" s="2">
        <f>IFERROR(__xludf.DUMMYFUNCTION("""COMPUTED_VALUE"""),4678.2)</f>
        <v>4678.2</v>
      </c>
    </row>
    <row r="179">
      <c r="A179" s="2">
        <f>IFERROR(__xludf.DUMMYFUNCTION("""COMPUTED_VALUE"""),1000.0)</f>
        <v>1000</v>
      </c>
      <c r="B179" s="2">
        <f>IFERROR(__xludf.DUMMYFUNCTION("""COMPUTED_VALUE"""),183594.0)</f>
        <v>183594</v>
      </c>
      <c r="C179" s="2">
        <f>IFERROR(__xludf.DUMMYFUNCTION("""COMPUTED_VALUE"""),2026.0)</f>
        <v>2026</v>
      </c>
      <c r="D179" s="2">
        <f>IFERROR(__xludf.DUMMYFUNCTION("""COMPUTED_VALUE"""),46351.0)</f>
        <v>46351</v>
      </c>
      <c r="E179" s="2" t="str">
        <f>IFERROR(__xludf.DUMMYFUNCTION("""COMPUTED_VALUE"""),"VF")</f>
        <v>VF</v>
      </c>
      <c r="F179" s="2">
        <f>IFERROR(__xludf.DUMMYFUNCTION("""COMPUTED_VALUE"""),1.0)</f>
        <v>1</v>
      </c>
      <c r="G179" s="2" t="str">
        <f>IFERROR(__xludf.DUMMYFUNCTION("""COMPUTED_VALUE"""),"PR039")</f>
        <v>PR039</v>
      </c>
      <c r="H179" s="2" t="str">
        <f>IFERROR(__xludf.DUMMYFUNCTION("""COMPUTED_VALUE"""),"VD015")</f>
        <v>VD015</v>
      </c>
      <c r="I179" s="2">
        <f>IFERROR(__xludf.DUMMYFUNCTION("""COMPUTED_VALUE"""),15.0)</f>
        <v>15</v>
      </c>
      <c r="J179" s="2">
        <f>IFERROR(__xludf.DUMMYFUNCTION("""COMPUTED_VALUE"""),2430.9)</f>
        <v>2430.9</v>
      </c>
      <c r="K179" s="2">
        <f>IFERROR(__xludf.DUMMYFUNCTION("""COMPUTED_VALUE"""),2430.9)</f>
        <v>2430.9</v>
      </c>
    </row>
    <row r="180">
      <c r="A180" s="2">
        <f>IFERROR(__xludf.DUMMYFUNCTION("""COMPUTED_VALUE"""),1000.0)</f>
        <v>1000</v>
      </c>
      <c r="B180" s="2">
        <f>IFERROR(__xludf.DUMMYFUNCTION("""COMPUTED_VALUE"""),183595.0)</f>
        <v>183595</v>
      </c>
      <c r="C180" s="2">
        <f>IFERROR(__xludf.DUMMYFUNCTION("""COMPUTED_VALUE"""),2026.0)</f>
        <v>2026</v>
      </c>
      <c r="D180" s="2">
        <f>IFERROR(__xludf.DUMMYFUNCTION("""COMPUTED_VALUE"""),46351.0)</f>
        <v>46351</v>
      </c>
      <c r="E180" s="2" t="str">
        <f>IFERROR(__xludf.DUMMYFUNCTION("""COMPUTED_VALUE"""),"VF")</f>
        <v>VF</v>
      </c>
      <c r="F180" s="2">
        <f>IFERROR(__xludf.DUMMYFUNCTION("""COMPUTED_VALUE"""),1.0)</f>
        <v>1</v>
      </c>
      <c r="G180" s="2" t="str">
        <f>IFERROR(__xludf.DUMMYFUNCTION("""COMPUTED_VALUE"""),"PR032")</f>
        <v>PR032</v>
      </c>
      <c r="H180" s="2" t="str">
        <f>IFERROR(__xludf.DUMMYFUNCTION("""COMPUTED_VALUE"""),"VD016")</f>
        <v>VD016</v>
      </c>
      <c r="I180" s="2">
        <f>IFERROR(__xludf.DUMMYFUNCTION("""COMPUTED_VALUE"""),27.0)</f>
        <v>27</v>
      </c>
      <c r="J180" s="2">
        <f>IFERROR(__xludf.DUMMYFUNCTION("""COMPUTED_VALUE"""),7897.5)</f>
        <v>7897.5</v>
      </c>
      <c r="K180" s="2">
        <f>IFERROR(__xludf.DUMMYFUNCTION("""COMPUTED_VALUE"""),7897.5)</f>
        <v>7897.5</v>
      </c>
    </row>
    <row r="181">
      <c r="A181" s="2">
        <f>IFERROR(__xludf.DUMMYFUNCTION("""COMPUTED_VALUE"""),1000.0)</f>
        <v>1000</v>
      </c>
      <c r="B181" s="2">
        <f>IFERROR(__xludf.DUMMYFUNCTION("""COMPUTED_VALUE"""),183595.0)</f>
        <v>183595</v>
      </c>
      <c r="C181" s="2">
        <f>IFERROR(__xludf.DUMMYFUNCTION("""COMPUTED_VALUE"""),2026.0)</f>
        <v>2026</v>
      </c>
      <c r="D181" s="2">
        <f>IFERROR(__xludf.DUMMYFUNCTION("""COMPUTED_VALUE"""),46351.0)</f>
        <v>46351</v>
      </c>
      <c r="E181" s="2" t="str">
        <f>IFERROR(__xludf.DUMMYFUNCTION("""COMPUTED_VALUE"""),"VF")</f>
        <v>VF</v>
      </c>
      <c r="F181" s="2">
        <f>IFERROR(__xludf.DUMMYFUNCTION("""COMPUTED_VALUE"""),2.0)</f>
        <v>2</v>
      </c>
      <c r="G181" s="2" t="str">
        <f>IFERROR(__xludf.DUMMYFUNCTION("""COMPUTED_VALUE"""),"PR006")</f>
        <v>PR006</v>
      </c>
      <c r="H181" s="2" t="str">
        <f>IFERROR(__xludf.DUMMYFUNCTION("""COMPUTED_VALUE"""),"VD015")</f>
        <v>VD015</v>
      </c>
      <c r="I181" s="2">
        <f>IFERROR(__xludf.DUMMYFUNCTION("""COMPUTED_VALUE"""),24.0)</f>
        <v>24</v>
      </c>
      <c r="J181" s="2">
        <f>IFERROR(__xludf.DUMMYFUNCTION("""COMPUTED_VALUE"""),1139.54)</f>
        <v>1139.54</v>
      </c>
      <c r="K181" s="2">
        <f>IFERROR(__xludf.DUMMYFUNCTION("""COMPUTED_VALUE"""),1139.54)</f>
        <v>1139.54</v>
      </c>
    </row>
    <row r="182">
      <c r="A182" s="2">
        <f>IFERROR(__xludf.DUMMYFUNCTION("""COMPUTED_VALUE"""),2000.0)</f>
        <v>2000</v>
      </c>
      <c r="B182" s="2">
        <f>IFERROR(__xludf.DUMMYFUNCTION("""COMPUTED_VALUE"""),183596.0)</f>
        <v>183596</v>
      </c>
      <c r="C182" s="2">
        <f>IFERROR(__xludf.DUMMYFUNCTION("""COMPUTED_VALUE"""),2026.0)</f>
        <v>2026</v>
      </c>
      <c r="D182" s="2">
        <f>IFERROR(__xludf.DUMMYFUNCTION("""COMPUTED_VALUE"""),46351.0)</f>
        <v>46351</v>
      </c>
      <c r="E182" s="2" t="str">
        <f>IFERROR(__xludf.DUMMYFUNCTION("""COMPUTED_VALUE"""),"VF")</f>
        <v>VF</v>
      </c>
      <c r="F182" s="2">
        <f>IFERROR(__xludf.DUMMYFUNCTION("""COMPUTED_VALUE"""),1.0)</f>
        <v>1</v>
      </c>
      <c r="G182" s="2" t="str">
        <f>IFERROR(__xludf.DUMMYFUNCTION("""COMPUTED_VALUE"""),"PR006")</f>
        <v>PR006</v>
      </c>
      <c r="H182" s="2" t="str">
        <f>IFERROR(__xludf.DUMMYFUNCTION("""COMPUTED_VALUE"""),"VD035")</f>
        <v>VD035</v>
      </c>
      <c r="I182" s="2">
        <f>IFERROR(__xludf.DUMMYFUNCTION("""COMPUTED_VALUE"""),30.0)</f>
        <v>30</v>
      </c>
      <c r="J182" s="2">
        <f>IFERROR(__xludf.DUMMYFUNCTION("""COMPUTED_VALUE"""),1340.64)</f>
        <v>1340.64</v>
      </c>
      <c r="K182" s="2">
        <f>IFERROR(__xludf.DUMMYFUNCTION("""COMPUTED_VALUE"""),1340.64)</f>
        <v>1340.64</v>
      </c>
    </row>
    <row r="183">
      <c r="A183" s="2">
        <f>IFERROR(__xludf.DUMMYFUNCTION("""COMPUTED_VALUE"""),1000.0)</f>
        <v>1000</v>
      </c>
      <c r="B183" s="2">
        <f>IFERROR(__xludf.DUMMYFUNCTION("""COMPUTED_VALUE"""),183597.0)</f>
        <v>183597</v>
      </c>
      <c r="C183" s="2">
        <f>IFERROR(__xludf.DUMMYFUNCTION("""COMPUTED_VALUE"""),2026.0)</f>
        <v>2026</v>
      </c>
      <c r="D183" s="2">
        <f>IFERROR(__xludf.DUMMYFUNCTION("""COMPUTED_VALUE"""),46350.0)</f>
        <v>46350</v>
      </c>
      <c r="E183" s="2" t="str">
        <f>IFERROR(__xludf.DUMMYFUNCTION("""COMPUTED_VALUE"""),"VF")</f>
        <v>VF</v>
      </c>
      <c r="F183" s="2">
        <f>IFERROR(__xludf.DUMMYFUNCTION("""COMPUTED_VALUE"""),1.0)</f>
        <v>1</v>
      </c>
      <c r="G183" s="2" t="str">
        <f>IFERROR(__xludf.DUMMYFUNCTION("""COMPUTED_VALUE"""),"PR051")</f>
        <v>PR051</v>
      </c>
      <c r="H183" s="2" t="str">
        <f>IFERROR(__xludf.DUMMYFUNCTION("""COMPUTED_VALUE"""),"VD024")</f>
        <v>VD024</v>
      </c>
      <c r="I183" s="2">
        <f>IFERROR(__xludf.DUMMYFUNCTION("""COMPUTED_VALUE"""),30.0)</f>
        <v>30</v>
      </c>
      <c r="J183" s="2">
        <f>IFERROR(__xludf.DUMMYFUNCTION("""COMPUTED_VALUE"""),1135.05)</f>
        <v>1135.05</v>
      </c>
      <c r="K183" s="2">
        <f>IFERROR(__xludf.DUMMYFUNCTION("""COMPUTED_VALUE"""),1135.05)</f>
        <v>1135.05</v>
      </c>
    </row>
    <row r="184">
      <c r="A184" s="2">
        <f>IFERROR(__xludf.DUMMYFUNCTION("""COMPUTED_VALUE"""),1000.0)</f>
        <v>1000</v>
      </c>
      <c r="B184" s="2">
        <f>IFERROR(__xludf.DUMMYFUNCTION("""COMPUTED_VALUE"""),183597.0)</f>
        <v>183597</v>
      </c>
      <c r="C184" s="2">
        <f>IFERROR(__xludf.DUMMYFUNCTION("""COMPUTED_VALUE"""),2026.0)</f>
        <v>2026</v>
      </c>
      <c r="D184" s="2">
        <f>IFERROR(__xludf.DUMMYFUNCTION("""COMPUTED_VALUE"""),46350.0)</f>
        <v>46350</v>
      </c>
      <c r="E184" s="2" t="str">
        <f>IFERROR(__xludf.DUMMYFUNCTION("""COMPUTED_VALUE"""),"VF")</f>
        <v>VF</v>
      </c>
      <c r="F184" s="2">
        <f>IFERROR(__xludf.DUMMYFUNCTION("""COMPUTED_VALUE"""),2.0)</f>
        <v>2</v>
      </c>
      <c r="G184" s="2" t="str">
        <f>IFERROR(__xludf.DUMMYFUNCTION("""COMPUTED_VALUE"""),"PR047")</f>
        <v>PR047</v>
      </c>
      <c r="H184" s="2" t="str">
        <f>IFERROR(__xludf.DUMMYFUNCTION("""COMPUTED_VALUE"""),"VD019")</f>
        <v>VD019</v>
      </c>
      <c r="I184" s="2">
        <f>IFERROR(__xludf.DUMMYFUNCTION("""COMPUTED_VALUE"""),27.0)</f>
        <v>27</v>
      </c>
      <c r="J184" s="2">
        <f>IFERROR(__xludf.DUMMYFUNCTION("""COMPUTED_VALUE"""),9157.94)</f>
        <v>9157.94</v>
      </c>
      <c r="K184" s="2">
        <f>IFERROR(__xludf.DUMMYFUNCTION("""COMPUTED_VALUE"""),9157.94)</f>
        <v>9157.94</v>
      </c>
    </row>
    <row r="185">
      <c r="A185" s="2">
        <f>IFERROR(__xludf.DUMMYFUNCTION("""COMPUTED_VALUE"""),1000.0)</f>
        <v>1000</v>
      </c>
      <c r="B185" s="2">
        <f>IFERROR(__xludf.DUMMYFUNCTION("""COMPUTED_VALUE"""),183598.0)</f>
        <v>183598</v>
      </c>
      <c r="C185" s="2">
        <f>IFERROR(__xludf.DUMMYFUNCTION("""COMPUTED_VALUE"""),2026.0)</f>
        <v>2026</v>
      </c>
      <c r="D185" s="2">
        <f>IFERROR(__xludf.DUMMYFUNCTION("""COMPUTED_VALUE"""),46350.0)</f>
        <v>46350</v>
      </c>
      <c r="E185" s="2" t="str">
        <f>IFERROR(__xludf.DUMMYFUNCTION("""COMPUTED_VALUE"""),"VF")</f>
        <v>VF</v>
      </c>
      <c r="F185" s="2">
        <f>IFERROR(__xludf.DUMMYFUNCTION("""COMPUTED_VALUE"""),1.0)</f>
        <v>1</v>
      </c>
      <c r="G185" s="2" t="str">
        <f>IFERROR(__xludf.DUMMYFUNCTION("""COMPUTED_VALUE"""),"PR006")</f>
        <v>PR006</v>
      </c>
      <c r="H185" s="2" t="str">
        <f>IFERROR(__xludf.DUMMYFUNCTION("""COMPUTED_VALUE"""),"VD030")</f>
        <v>VD030</v>
      </c>
      <c r="I185" s="2">
        <f>IFERROR(__xludf.DUMMYFUNCTION("""COMPUTED_VALUE"""),9.0)</f>
        <v>9</v>
      </c>
      <c r="J185" s="2">
        <f>IFERROR(__xludf.DUMMYFUNCTION("""COMPUTED_VALUE"""),395.01)</f>
        <v>395.01</v>
      </c>
      <c r="K185" s="2">
        <f>IFERROR(__xludf.DUMMYFUNCTION("""COMPUTED_VALUE"""),395.01)</f>
        <v>395.01</v>
      </c>
    </row>
    <row r="186">
      <c r="A186" s="2">
        <f>IFERROR(__xludf.DUMMYFUNCTION("""COMPUTED_VALUE"""),1000.0)</f>
        <v>1000</v>
      </c>
      <c r="B186" s="2">
        <f>IFERROR(__xludf.DUMMYFUNCTION("""COMPUTED_VALUE"""),183599.0)</f>
        <v>183599</v>
      </c>
      <c r="C186" s="2">
        <f>IFERROR(__xludf.DUMMYFUNCTION("""COMPUTED_VALUE"""),2026.0)</f>
        <v>2026</v>
      </c>
      <c r="D186" s="2">
        <f>IFERROR(__xludf.DUMMYFUNCTION("""COMPUTED_VALUE"""),46350.0)</f>
        <v>46350</v>
      </c>
      <c r="E186" s="2" t="str">
        <f>IFERROR(__xludf.DUMMYFUNCTION("""COMPUTED_VALUE"""),"VF")</f>
        <v>VF</v>
      </c>
      <c r="F186" s="2">
        <f>IFERROR(__xludf.DUMMYFUNCTION("""COMPUTED_VALUE"""),1.0)</f>
        <v>1</v>
      </c>
      <c r="G186" s="2" t="str">
        <f>IFERROR(__xludf.DUMMYFUNCTION("""COMPUTED_VALUE"""),"PR050")</f>
        <v>PR050</v>
      </c>
      <c r="H186" s="2" t="str">
        <f>IFERROR(__xludf.DUMMYFUNCTION("""COMPUTED_VALUE"""),"VD016")</f>
        <v>VD016</v>
      </c>
      <c r="I186" s="2">
        <f>IFERROR(__xludf.DUMMYFUNCTION("""COMPUTED_VALUE"""),27.0)</f>
        <v>27</v>
      </c>
      <c r="J186" s="2">
        <f>IFERROR(__xludf.DUMMYFUNCTION("""COMPUTED_VALUE"""),1030.43)</f>
        <v>1030.43</v>
      </c>
      <c r="K186" s="2">
        <f>IFERROR(__xludf.DUMMYFUNCTION("""COMPUTED_VALUE"""),1030.43)</f>
        <v>1030.43</v>
      </c>
    </row>
    <row r="187">
      <c r="A187" s="2">
        <f>IFERROR(__xludf.DUMMYFUNCTION("""COMPUTED_VALUE"""),1000.0)</f>
        <v>1000</v>
      </c>
      <c r="B187" s="2">
        <f>IFERROR(__xludf.DUMMYFUNCTION("""COMPUTED_VALUE"""),183600.0)</f>
        <v>183600</v>
      </c>
      <c r="C187" s="2">
        <f>IFERROR(__xludf.DUMMYFUNCTION("""COMPUTED_VALUE"""),2026.0)</f>
        <v>2026</v>
      </c>
      <c r="D187" s="2">
        <f>IFERROR(__xludf.DUMMYFUNCTION("""COMPUTED_VALUE"""),46350.0)</f>
        <v>46350</v>
      </c>
      <c r="E187" s="2" t="str">
        <f>IFERROR(__xludf.DUMMYFUNCTION("""COMPUTED_VALUE"""),"VF")</f>
        <v>VF</v>
      </c>
      <c r="F187" s="2">
        <f>IFERROR(__xludf.DUMMYFUNCTION("""COMPUTED_VALUE"""),1.0)</f>
        <v>1</v>
      </c>
      <c r="G187" s="2" t="str">
        <f>IFERROR(__xludf.DUMMYFUNCTION("""COMPUTED_VALUE"""),"PR019")</f>
        <v>PR019</v>
      </c>
      <c r="H187" s="2" t="str">
        <f>IFERROR(__xludf.DUMMYFUNCTION("""COMPUTED_VALUE"""),"VD042")</f>
        <v>VD042</v>
      </c>
      <c r="I187" s="2">
        <f>IFERROR(__xludf.DUMMYFUNCTION("""COMPUTED_VALUE"""),18.0)</f>
        <v>18</v>
      </c>
      <c r="J187" s="2">
        <f>IFERROR(__xludf.DUMMYFUNCTION("""COMPUTED_VALUE"""),1014.97)</f>
        <v>1014.97</v>
      </c>
      <c r="K187" s="2">
        <f>IFERROR(__xludf.DUMMYFUNCTION("""COMPUTED_VALUE"""),1014.97)</f>
        <v>1014.97</v>
      </c>
    </row>
    <row r="188">
      <c r="A188" s="2">
        <f>IFERROR(__xludf.DUMMYFUNCTION("""COMPUTED_VALUE"""),1000.0)</f>
        <v>1000</v>
      </c>
      <c r="B188" s="2">
        <f>IFERROR(__xludf.DUMMYFUNCTION("""COMPUTED_VALUE"""),183601.0)</f>
        <v>183601</v>
      </c>
      <c r="C188" s="2">
        <f>IFERROR(__xludf.DUMMYFUNCTION("""COMPUTED_VALUE"""),2026.0)</f>
        <v>2026</v>
      </c>
      <c r="D188" s="2">
        <f>IFERROR(__xludf.DUMMYFUNCTION("""COMPUTED_VALUE"""),46350.0)</f>
        <v>46350</v>
      </c>
      <c r="E188" s="2" t="str">
        <f>IFERROR(__xludf.DUMMYFUNCTION("""COMPUTED_VALUE"""),"VF")</f>
        <v>VF</v>
      </c>
      <c r="F188" s="2">
        <f>IFERROR(__xludf.DUMMYFUNCTION("""COMPUTED_VALUE"""),1.0)</f>
        <v>1</v>
      </c>
      <c r="G188" s="2" t="str">
        <f>IFERROR(__xludf.DUMMYFUNCTION("""COMPUTED_VALUE"""),"PR044")</f>
        <v>PR044</v>
      </c>
      <c r="H188" s="2" t="str">
        <f>IFERROR(__xludf.DUMMYFUNCTION("""COMPUTED_VALUE"""),"VD011")</f>
        <v>VD011</v>
      </c>
      <c r="I188" s="2">
        <f>IFERROR(__xludf.DUMMYFUNCTION("""COMPUTED_VALUE"""),27.0)</f>
        <v>27</v>
      </c>
      <c r="J188" s="2">
        <f>IFERROR(__xludf.DUMMYFUNCTION("""COMPUTED_VALUE"""),2153.25)</f>
        <v>2153.25</v>
      </c>
      <c r="K188" s="2">
        <f>IFERROR(__xludf.DUMMYFUNCTION("""COMPUTED_VALUE"""),2153.25)</f>
        <v>2153.25</v>
      </c>
    </row>
    <row r="189">
      <c r="A189" s="2">
        <f>IFERROR(__xludf.DUMMYFUNCTION("""COMPUTED_VALUE"""),1000.0)</f>
        <v>1000</v>
      </c>
      <c r="B189" s="2">
        <f>IFERROR(__xludf.DUMMYFUNCTION("""COMPUTED_VALUE"""),183602.0)</f>
        <v>183602</v>
      </c>
      <c r="C189" s="2">
        <f>IFERROR(__xludf.DUMMYFUNCTION("""COMPUTED_VALUE"""),2026.0)</f>
        <v>2026</v>
      </c>
      <c r="D189" s="2">
        <f>IFERROR(__xludf.DUMMYFUNCTION("""COMPUTED_VALUE"""),46350.0)</f>
        <v>46350</v>
      </c>
      <c r="E189" s="2" t="str">
        <f>IFERROR(__xludf.DUMMYFUNCTION("""COMPUTED_VALUE"""),"VF")</f>
        <v>VF</v>
      </c>
      <c r="F189" s="2">
        <f>IFERROR(__xludf.DUMMYFUNCTION("""COMPUTED_VALUE"""),1.0)</f>
        <v>1</v>
      </c>
      <c r="G189" s="2" t="str">
        <f>IFERROR(__xludf.DUMMYFUNCTION("""COMPUTED_VALUE"""),"PR017")</f>
        <v>PR017</v>
      </c>
      <c r="H189" s="2" t="str">
        <f>IFERROR(__xludf.DUMMYFUNCTION("""COMPUTED_VALUE"""),"VD019")</f>
        <v>VD019</v>
      </c>
      <c r="I189" s="2">
        <f>IFERROR(__xludf.DUMMYFUNCTION("""COMPUTED_VALUE"""),18.0)</f>
        <v>18</v>
      </c>
      <c r="J189" s="2">
        <f>IFERROR(__xludf.DUMMYFUNCTION("""COMPUTED_VALUE"""),613.55)</f>
        <v>613.55</v>
      </c>
      <c r="K189" s="2">
        <f>IFERROR(__xludf.DUMMYFUNCTION("""COMPUTED_VALUE"""),613.55)</f>
        <v>613.55</v>
      </c>
    </row>
    <row r="190">
      <c r="A190" s="2">
        <f>IFERROR(__xludf.DUMMYFUNCTION("""COMPUTED_VALUE"""),2000.0)</f>
        <v>2000</v>
      </c>
      <c r="B190" s="2">
        <f>IFERROR(__xludf.DUMMYFUNCTION("""COMPUTED_VALUE"""),183603.0)</f>
        <v>183603</v>
      </c>
      <c r="C190" s="2">
        <f>IFERROR(__xludf.DUMMYFUNCTION("""COMPUTED_VALUE"""),2026.0)</f>
        <v>2026</v>
      </c>
      <c r="D190" s="2">
        <f>IFERROR(__xludf.DUMMYFUNCTION("""COMPUTED_VALUE"""),46349.0)</f>
        <v>46349</v>
      </c>
      <c r="E190" s="2" t="str">
        <f>IFERROR(__xludf.DUMMYFUNCTION("""COMPUTED_VALUE"""),"VF")</f>
        <v>VF</v>
      </c>
      <c r="F190" s="2">
        <f>IFERROR(__xludf.DUMMYFUNCTION("""COMPUTED_VALUE"""),1.0)</f>
        <v>1</v>
      </c>
      <c r="G190" s="2" t="str">
        <f>IFERROR(__xludf.DUMMYFUNCTION("""COMPUTED_VALUE"""),"PR004")</f>
        <v>PR004</v>
      </c>
      <c r="H190" s="2" t="str">
        <f>IFERROR(__xludf.DUMMYFUNCTION("""COMPUTED_VALUE"""),"VD033")</f>
        <v>VD033</v>
      </c>
      <c r="I190" s="2">
        <f>IFERROR(__xludf.DUMMYFUNCTION("""COMPUTED_VALUE"""),24.0)</f>
        <v>24</v>
      </c>
      <c r="J190" s="2">
        <f>IFERROR(__xludf.DUMMYFUNCTION("""COMPUTED_VALUE"""),4141.2)</f>
        <v>4141.2</v>
      </c>
      <c r="K190" s="2">
        <f>IFERROR(__xludf.DUMMYFUNCTION("""COMPUTED_VALUE"""),4141.2)</f>
        <v>4141.2</v>
      </c>
    </row>
    <row r="191">
      <c r="A191" s="2">
        <f>IFERROR(__xludf.DUMMYFUNCTION("""COMPUTED_VALUE"""),2000.0)</f>
        <v>2000</v>
      </c>
      <c r="B191" s="2">
        <f>IFERROR(__xludf.DUMMYFUNCTION("""COMPUTED_VALUE"""),183604.0)</f>
        <v>183604</v>
      </c>
      <c r="C191" s="2">
        <f>IFERROR(__xludf.DUMMYFUNCTION("""COMPUTED_VALUE"""),2026.0)</f>
        <v>2026</v>
      </c>
      <c r="D191" s="2">
        <f>IFERROR(__xludf.DUMMYFUNCTION("""COMPUTED_VALUE"""),46349.0)</f>
        <v>46349</v>
      </c>
      <c r="E191" s="2" t="str">
        <f>IFERROR(__xludf.DUMMYFUNCTION("""COMPUTED_VALUE"""),"VF")</f>
        <v>VF</v>
      </c>
      <c r="F191" s="2">
        <f>IFERROR(__xludf.DUMMYFUNCTION("""COMPUTED_VALUE"""),1.0)</f>
        <v>1</v>
      </c>
      <c r="G191" s="2" t="str">
        <f>IFERROR(__xludf.DUMMYFUNCTION("""COMPUTED_VALUE"""),"PR059")</f>
        <v>PR059</v>
      </c>
      <c r="H191" s="2" t="str">
        <f>IFERROR(__xludf.DUMMYFUNCTION("""COMPUTED_VALUE"""),"VD028")</f>
        <v>VD028</v>
      </c>
      <c r="I191" s="2">
        <f>IFERROR(__xludf.DUMMYFUNCTION("""COMPUTED_VALUE"""),12.0)</f>
        <v>12</v>
      </c>
      <c r="J191" s="2">
        <f>IFERROR(__xludf.DUMMYFUNCTION("""COMPUTED_VALUE"""),2527.2)</f>
        <v>2527.2</v>
      </c>
      <c r="K191" s="2">
        <f>IFERROR(__xludf.DUMMYFUNCTION("""COMPUTED_VALUE"""),2527.2)</f>
        <v>2527.2</v>
      </c>
    </row>
    <row r="192">
      <c r="A192" s="2">
        <f>IFERROR(__xludf.DUMMYFUNCTION("""COMPUTED_VALUE"""),2000.0)</f>
        <v>2000</v>
      </c>
      <c r="B192" s="2">
        <f>IFERROR(__xludf.DUMMYFUNCTION("""COMPUTED_VALUE"""),183605.0)</f>
        <v>183605</v>
      </c>
      <c r="C192" s="2">
        <f>IFERROR(__xludf.DUMMYFUNCTION("""COMPUTED_VALUE"""),2026.0)</f>
        <v>2026</v>
      </c>
      <c r="D192" s="2">
        <f>IFERROR(__xludf.DUMMYFUNCTION("""COMPUTED_VALUE"""),46349.0)</f>
        <v>46349</v>
      </c>
      <c r="E192" s="2" t="str">
        <f>IFERROR(__xludf.DUMMYFUNCTION("""COMPUTED_VALUE"""),"VF")</f>
        <v>VF</v>
      </c>
      <c r="F192" s="2">
        <f>IFERROR(__xludf.DUMMYFUNCTION("""COMPUTED_VALUE"""),1.0)</f>
        <v>1</v>
      </c>
      <c r="G192" s="2" t="str">
        <f>IFERROR(__xludf.DUMMYFUNCTION("""COMPUTED_VALUE"""),"PR003")</f>
        <v>PR003</v>
      </c>
      <c r="H192" s="2" t="str">
        <f>IFERROR(__xludf.DUMMYFUNCTION("""COMPUTED_VALUE"""),"VD040")</f>
        <v>VD040</v>
      </c>
      <c r="I192" s="2">
        <f>IFERROR(__xludf.DUMMYFUNCTION("""COMPUTED_VALUE"""),16.0)</f>
        <v>16</v>
      </c>
      <c r="J192" s="2">
        <f>IFERROR(__xludf.DUMMYFUNCTION("""COMPUTED_VALUE"""),1247.84)</f>
        <v>1247.84</v>
      </c>
      <c r="K192" s="2">
        <f>IFERROR(__xludf.DUMMYFUNCTION("""COMPUTED_VALUE"""),1247.84)</f>
        <v>1247.84</v>
      </c>
    </row>
    <row r="193">
      <c r="A193" s="2">
        <f>IFERROR(__xludf.DUMMYFUNCTION("""COMPUTED_VALUE"""),2000.0)</f>
        <v>2000</v>
      </c>
      <c r="B193" s="2">
        <f>IFERROR(__xludf.DUMMYFUNCTION("""COMPUTED_VALUE"""),183606.0)</f>
        <v>183606</v>
      </c>
      <c r="C193" s="2">
        <f>IFERROR(__xludf.DUMMYFUNCTION("""COMPUTED_VALUE"""),2026.0)</f>
        <v>2026</v>
      </c>
      <c r="D193" s="2">
        <f>IFERROR(__xludf.DUMMYFUNCTION("""COMPUTED_VALUE"""),46348.0)</f>
        <v>46348</v>
      </c>
      <c r="E193" s="2" t="str">
        <f>IFERROR(__xludf.DUMMYFUNCTION("""COMPUTED_VALUE"""),"VF")</f>
        <v>VF</v>
      </c>
      <c r="F193" s="2">
        <f>IFERROR(__xludf.DUMMYFUNCTION("""COMPUTED_VALUE"""),1.0)</f>
        <v>1</v>
      </c>
      <c r="G193" s="2" t="str">
        <f>IFERROR(__xludf.DUMMYFUNCTION("""COMPUTED_VALUE"""),"PR055")</f>
        <v>PR055</v>
      </c>
      <c r="H193" s="2" t="str">
        <f>IFERROR(__xludf.DUMMYFUNCTION("""COMPUTED_VALUE"""),"VD018")</f>
        <v>VD018</v>
      </c>
      <c r="I193" s="2">
        <f>IFERROR(__xludf.DUMMYFUNCTION("""COMPUTED_VALUE"""),14.0)</f>
        <v>14</v>
      </c>
      <c r="J193" s="2">
        <f>IFERROR(__xludf.DUMMYFUNCTION("""COMPUTED_VALUE"""),1485.15)</f>
        <v>1485.15</v>
      </c>
      <c r="K193" s="2">
        <f>IFERROR(__xludf.DUMMYFUNCTION("""COMPUTED_VALUE"""),1485.15)</f>
        <v>1485.15</v>
      </c>
    </row>
    <row r="194">
      <c r="A194" s="2">
        <f>IFERROR(__xludf.DUMMYFUNCTION("""COMPUTED_VALUE"""),2000.0)</f>
        <v>2000</v>
      </c>
      <c r="B194" s="2">
        <f>IFERROR(__xludf.DUMMYFUNCTION("""COMPUTED_VALUE"""),183607.0)</f>
        <v>183607</v>
      </c>
      <c r="C194" s="2">
        <f>IFERROR(__xludf.DUMMYFUNCTION("""COMPUTED_VALUE"""),2026.0)</f>
        <v>2026</v>
      </c>
      <c r="D194" s="2">
        <f>IFERROR(__xludf.DUMMYFUNCTION("""COMPUTED_VALUE"""),46348.0)</f>
        <v>46348</v>
      </c>
      <c r="E194" s="2" t="str">
        <f>IFERROR(__xludf.DUMMYFUNCTION("""COMPUTED_VALUE"""),"VF")</f>
        <v>VF</v>
      </c>
      <c r="F194" s="2">
        <f>IFERROR(__xludf.DUMMYFUNCTION("""COMPUTED_VALUE"""),1.0)</f>
        <v>1</v>
      </c>
      <c r="G194" s="2" t="str">
        <f>IFERROR(__xludf.DUMMYFUNCTION("""COMPUTED_VALUE"""),"PR041")</f>
        <v>PR041</v>
      </c>
      <c r="H194" s="2" t="str">
        <f>IFERROR(__xludf.DUMMYFUNCTION("""COMPUTED_VALUE"""),"VD031")</f>
        <v>VD031</v>
      </c>
      <c r="I194" s="2">
        <f>IFERROR(__xludf.DUMMYFUNCTION("""COMPUTED_VALUE"""),21.0)</f>
        <v>21</v>
      </c>
      <c r="J194" s="2">
        <f>IFERROR(__xludf.DUMMYFUNCTION("""COMPUTED_VALUE"""),1314.31)</f>
        <v>1314.31</v>
      </c>
      <c r="K194" s="2">
        <f>IFERROR(__xludf.DUMMYFUNCTION("""COMPUTED_VALUE"""),1314.31)</f>
        <v>1314.31</v>
      </c>
    </row>
    <row r="195">
      <c r="A195" s="2">
        <f>IFERROR(__xludf.DUMMYFUNCTION("""COMPUTED_VALUE"""),1000.0)</f>
        <v>1000</v>
      </c>
      <c r="B195" s="2">
        <f>IFERROR(__xludf.DUMMYFUNCTION("""COMPUTED_VALUE"""),183608.0)</f>
        <v>183608</v>
      </c>
      <c r="C195" s="2">
        <f>IFERROR(__xludf.DUMMYFUNCTION("""COMPUTED_VALUE"""),2026.0)</f>
        <v>2026</v>
      </c>
      <c r="D195" s="2">
        <f>IFERROR(__xludf.DUMMYFUNCTION("""COMPUTED_VALUE"""),46348.0)</f>
        <v>46348</v>
      </c>
      <c r="E195" s="2" t="str">
        <f>IFERROR(__xludf.DUMMYFUNCTION("""COMPUTED_VALUE"""),"VF")</f>
        <v>VF</v>
      </c>
      <c r="F195" s="2">
        <f>IFERROR(__xludf.DUMMYFUNCTION("""COMPUTED_VALUE"""),1.0)</f>
        <v>1</v>
      </c>
      <c r="G195" s="2" t="str">
        <f>IFERROR(__xludf.DUMMYFUNCTION("""COMPUTED_VALUE"""),"PR056")</f>
        <v>PR056</v>
      </c>
      <c r="H195" s="2" t="str">
        <f>IFERROR(__xludf.DUMMYFUNCTION("""COMPUTED_VALUE"""),"VD040")</f>
        <v>VD040</v>
      </c>
      <c r="I195" s="2">
        <f>IFERROR(__xludf.DUMMYFUNCTION("""COMPUTED_VALUE"""),16.0)</f>
        <v>16</v>
      </c>
      <c r="J195" s="2">
        <f>IFERROR(__xludf.DUMMYFUNCTION("""COMPUTED_VALUE"""),1639.78)</f>
        <v>1639.78</v>
      </c>
      <c r="K195" s="2">
        <f>IFERROR(__xludf.DUMMYFUNCTION("""COMPUTED_VALUE"""),1639.78)</f>
        <v>1639.78</v>
      </c>
    </row>
    <row r="196">
      <c r="A196" s="2">
        <f>IFERROR(__xludf.DUMMYFUNCTION("""COMPUTED_VALUE"""),1000.0)</f>
        <v>1000</v>
      </c>
      <c r="B196" s="2">
        <f>IFERROR(__xludf.DUMMYFUNCTION("""COMPUTED_VALUE"""),183609.0)</f>
        <v>183609</v>
      </c>
      <c r="C196" s="2">
        <f>IFERROR(__xludf.DUMMYFUNCTION("""COMPUTED_VALUE"""),2026.0)</f>
        <v>2026</v>
      </c>
      <c r="D196" s="2">
        <f>IFERROR(__xludf.DUMMYFUNCTION("""COMPUTED_VALUE"""),46348.0)</f>
        <v>46348</v>
      </c>
      <c r="E196" s="2" t="str">
        <f>IFERROR(__xludf.DUMMYFUNCTION("""COMPUTED_VALUE"""),"VF")</f>
        <v>VF</v>
      </c>
      <c r="F196" s="2">
        <f>IFERROR(__xludf.DUMMYFUNCTION("""COMPUTED_VALUE"""),1.0)</f>
        <v>1</v>
      </c>
      <c r="G196" s="2" t="str">
        <f>IFERROR(__xludf.DUMMYFUNCTION("""COMPUTED_VALUE"""),"PR038")</f>
        <v>PR038</v>
      </c>
      <c r="H196" s="2" t="str">
        <f>IFERROR(__xludf.DUMMYFUNCTION("""COMPUTED_VALUE"""),"VD028")</f>
        <v>VD028</v>
      </c>
      <c r="I196" s="2">
        <f>IFERROR(__xludf.DUMMYFUNCTION("""COMPUTED_VALUE"""),24.0)</f>
        <v>24</v>
      </c>
      <c r="J196" s="2">
        <f>IFERROR(__xludf.DUMMYFUNCTION("""COMPUTED_VALUE"""),3772.56)</f>
        <v>3772.56</v>
      </c>
      <c r="K196" s="2">
        <f>IFERROR(__xludf.DUMMYFUNCTION("""COMPUTED_VALUE"""),3772.56)</f>
        <v>3772.56</v>
      </c>
    </row>
    <row r="197">
      <c r="A197" s="2">
        <f>IFERROR(__xludf.DUMMYFUNCTION("""COMPUTED_VALUE"""),1000.0)</f>
        <v>1000</v>
      </c>
      <c r="B197" s="2">
        <f>IFERROR(__xludf.DUMMYFUNCTION("""COMPUTED_VALUE"""),183610.0)</f>
        <v>183610</v>
      </c>
      <c r="C197" s="2">
        <f>IFERROR(__xludf.DUMMYFUNCTION("""COMPUTED_VALUE"""),2026.0)</f>
        <v>2026</v>
      </c>
      <c r="D197" s="2">
        <f>IFERROR(__xludf.DUMMYFUNCTION("""COMPUTED_VALUE"""),46348.0)</f>
        <v>46348</v>
      </c>
      <c r="E197" s="2" t="str">
        <f>IFERROR(__xludf.DUMMYFUNCTION("""COMPUTED_VALUE"""),"VF")</f>
        <v>VF</v>
      </c>
      <c r="F197" s="2">
        <f>IFERROR(__xludf.DUMMYFUNCTION("""COMPUTED_VALUE"""),1.0)</f>
        <v>1</v>
      </c>
      <c r="G197" s="2" t="str">
        <f>IFERROR(__xludf.DUMMYFUNCTION("""COMPUTED_VALUE"""),"PR022")</f>
        <v>PR022</v>
      </c>
      <c r="H197" s="2" t="str">
        <f>IFERROR(__xludf.DUMMYFUNCTION("""COMPUTED_VALUE"""),"VD045")</f>
        <v>VD045</v>
      </c>
      <c r="I197" s="2">
        <f>IFERROR(__xludf.DUMMYFUNCTION("""COMPUTED_VALUE"""),21.0)</f>
        <v>21</v>
      </c>
      <c r="J197" s="2">
        <f>IFERROR(__xludf.DUMMYFUNCTION("""COMPUTED_VALUE"""),7371.0)</f>
        <v>7371</v>
      </c>
      <c r="K197" s="2">
        <f>IFERROR(__xludf.DUMMYFUNCTION("""COMPUTED_VALUE"""),7371.0)</f>
        <v>7371</v>
      </c>
    </row>
    <row r="198">
      <c r="A198" s="2">
        <f>IFERROR(__xludf.DUMMYFUNCTION("""COMPUTED_VALUE"""),1000.0)</f>
        <v>1000</v>
      </c>
      <c r="B198" s="2">
        <f>IFERROR(__xludf.DUMMYFUNCTION("""COMPUTED_VALUE"""),183610.0)</f>
        <v>183610</v>
      </c>
      <c r="C198" s="2">
        <f>IFERROR(__xludf.DUMMYFUNCTION("""COMPUTED_VALUE"""),2026.0)</f>
        <v>2026</v>
      </c>
      <c r="D198" s="2">
        <f>IFERROR(__xludf.DUMMYFUNCTION("""COMPUTED_VALUE"""),46348.0)</f>
        <v>46348</v>
      </c>
      <c r="E198" s="2" t="str">
        <f>IFERROR(__xludf.DUMMYFUNCTION("""COMPUTED_VALUE"""),"VF")</f>
        <v>VF</v>
      </c>
      <c r="F198" s="2">
        <f>IFERROR(__xludf.DUMMYFUNCTION("""COMPUTED_VALUE"""),2.0)</f>
        <v>2</v>
      </c>
      <c r="G198" s="2" t="str">
        <f>IFERROR(__xludf.DUMMYFUNCTION("""COMPUTED_VALUE"""),"PR023")</f>
        <v>PR023</v>
      </c>
      <c r="H198" s="2" t="str">
        <f>IFERROR(__xludf.DUMMYFUNCTION("""COMPUTED_VALUE"""),"VD024")</f>
        <v>VD024</v>
      </c>
      <c r="I198" s="2">
        <f>IFERROR(__xludf.DUMMYFUNCTION("""COMPUTED_VALUE"""),14.0)</f>
        <v>14</v>
      </c>
      <c r="J198" s="2">
        <f>IFERROR(__xludf.DUMMYFUNCTION("""COMPUTED_VALUE"""),4093.36)</f>
        <v>4093.36</v>
      </c>
      <c r="K198" s="2">
        <f>IFERROR(__xludf.DUMMYFUNCTION("""COMPUTED_VALUE"""),4093.36)</f>
        <v>4093.36</v>
      </c>
    </row>
    <row r="199">
      <c r="A199" s="2">
        <f>IFERROR(__xludf.DUMMYFUNCTION("""COMPUTED_VALUE"""),2000.0)</f>
        <v>2000</v>
      </c>
      <c r="B199" s="2">
        <f>IFERROR(__xludf.DUMMYFUNCTION("""COMPUTED_VALUE"""),183611.0)</f>
        <v>183611</v>
      </c>
      <c r="C199" s="2">
        <f>IFERROR(__xludf.DUMMYFUNCTION("""COMPUTED_VALUE"""),2026.0)</f>
        <v>2026</v>
      </c>
      <c r="D199" s="2">
        <f>IFERROR(__xludf.DUMMYFUNCTION("""COMPUTED_VALUE"""),46348.0)</f>
        <v>46348</v>
      </c>
      <c r="E199" s="2" t="str">
        <f>IFERROR(__xludf.DUMMYFUNCTION("""COMPUTED_VALUE"""),"VF")</f>
        <v>VF</v>
      </c>
      <c r="F199" s="2">
        <f>IFERROR(__xludf.DUMMYFUNCTION("""COMPUTED_VALUE"""),1.0)</f>
        <v>1</v>
      </c>
      <c r="G199" s="2" t="str">
        <f>IFERROR(__xludf.DUMMYFUNCTION("""COMPUTED_VALUE"""),"PR053")</f>
        <v>PR053</v>
      </c>
      <c r="H199" s="2" t="str">
        <f>IFERROR(__xludf.DUMMYFUNCTION("""COMPUTED_VALUE"""),"VD019")</f>
        <v>VD019</v>
      </c>
      <c r="I199" s="2">
        <f>IFERROR(__xludf.DUMMYFUNCTION("""COMPUTED_VALUE"""),21.0)</f>
        <v>21</v>
      </c>
      <c r="J199" s="2">
        <f>IFERROR(__xludf.DUMMYFUNCTION("""COMPUTED_VALUE"""),1152.69)</f>
        <v>1152.69</v>
      </c>
      <c r="K199" s="2">
        <f>IFERROR(__xludf.DUMMYFUNCTION("""COMPUTED_VALUE"""),1152.69)</f>
        <v>1152.69</v>
      </c>
    </row>
    <row r="200">
      <c r="A200" s="2">
        <f>IFERROR(__xludf.DUMMYFUNCTION("""COMPUTED_VALUE"""),2000.0)</f>
        <v>2000</v>
      </c>
      <c r="B200" s="2">
        <f>IFERROR(__xludf.DUMMYFUNCTION("""COMPUTED_VALUE"""),183611.0)</f>
        <v>183611</v>
      </c>
      <c r="C200" s="2">
        <f>IFERROR(__xludf.DUMMYFUNCTION("""COMPUTED_VALUE"""),2026.0)</f>
        <v>2026</v>
      </c>
      <c r="D200" s="2">
        <f>IFERROR(__xludf.DUMMYFUNCTION("""COMPUTED_VALUE"""),46347.0)</f>
        <v>46347</v>
      </c>
      <c r="E200" s="2" t="str">
        <f>IFERROR(__xludf.DUMMYFUNCTION("""COMPUTED_VALUE"""),"VF")</f>
        <v>VF</v>
      </c>
      <c r="F200" s="2">
        <f>IFERROR(__xludf.DUMMYFUNCTION("""COMPUTED_VALUE"""),2.0)</f>
        <v>2</v>
      </c>
      <c r="G200" s="2" t="str">
        <f>IFERROR(__xludf.DUMMYFUNCTION("""COMPUTED_VALUE"""),"PR046")</f>
        <v>PR046</v>
      </c>
      <c r="H200" s="2" t="str">
        <f>IFERROR(__xludf.DUMMYFUNCTION("""COMPUTED_VALUE"""),"VD047")</f>
        <v>VD047</v>
      </c>
      <c r="I200" s="2">
        <f>IFERROR(__xludf.DUMMYFUNCTION("""COMPUTED_VALUE"""),16.0)</f>
        <v>16</v>
      </c>
      <c r="J200" s="2">
        <f>IFERROR(__xludf.DUMMYFUNCTION("""COMPUTED_VALUE"""),5566.08)</f>
        <v>5566.08</v>
      </c>
      <c r="K200" s="2">
        <f>IFERROR(__xludf.DUMMYFUNCTION("""COMPUTED_VALUE"""),5566.08)</f>
        <v>5566.08</v>
      </c>
    </row>
    <row r="201">
      <c r="A201" s="2">
        <f>IFERROR(__xludf.DUMMYFUNCTION("""COMPUTED_VALUE"""),1000.0)</f>
        <v>1000</v>
      </c>
      <c r="B201" s="2">
        <f>IFERROR(__xludf.DUMMYFUNCTION("""COMPUTED_VALUE"""),183612.0)</f>
        <v>183612</v>
      </c>
      <c r="C201" s="2">
        <f>IFERROR(__xludf.DUMMYFUNCTION("""COMPUTED_VALUE"""),2026.0)</f>
        <v>2026</v>
      </c>
      <c r="D201" s="2">
        <f>IFERROR(__xludf.DUMMYFUNCTION("""COMPUTED_VALUE"""),46347.0)</f>
        <v>46347</v>
      </c>
      <c r="E201" s="2" t="str">
        <f>IFERROR(__xludf.DUMMYFUNCTION("""COMPUTED_VALUE"""),"VF")</f>
        <v>VF</v>
      </c>
      <c r="F201" s="2">
        <f>IFERROR(__xludf.DUMMYFUNCTION("""COMPUTED_VALUE"""),1.0)</f>
        <v>1</v>
      </c>
      <c r="G201" s="2" t="str">
        <f>IFERROR(__xludf.DUMMYFUNCTION("""COMPUTED_VALUE"""),"PR048")</f>
        <v>PR048</v>
      </c>
      <c r="H201" s="2" t="str">
        <f>IFERROR(__xludf.DUMMYFUNCTION("""COMPUTED_VALUE"""),"VD027")</f>
        <v>VD027</v>
      </c>
      <c r="I201" s="2">
        <f>IFERROR(__xludf.DUMMYFUNCTION("""COMPUTED_VALUE"""),27.0)</f>
        <v>27</v>
      </c>
      <c r="J201" s="2">
        <f>IFERROR(__xludf.DUMMYFUNCTION("""COMPUTED_VALUE"""),9392.76)</f>
        <v>9392.76</v>
      </c>
      <c r="K201" s="2">
        <f>IFERROR(__xludf.DUMMYFUNCTION("""COMPUTED_VALUE"""),9392.76)</f>
        <v>9392.76</v>
      </c>
    </row>
    <row r="202">
      <c r="A202" s="2">
        <f>IFERROR(__xludf.DUMMYFUNCTION("""COMPUTED_VALUE"""),1000.0)</f>
        <v>1000</v>
      </c>
      <c r="B202" s="2">
        <f>IFERROR(__xludf.DUMMYFUNCTION("""COMPUTED_VALUE"""),183612.0)</f>
        <v>183612</v>
      </c>
      <c r="C202" s="2">
        <f>IFERROR(__xludf.DUMMYFUNCTION("""COMPUTED_VALUE"""),2026.0)</f>
        <v>2026</v>
      </c>
      <c r="D202" s="2">
        <f>IFERROR(__xludf.DUMMYFUNCTION("""COMPUTED_VALUE"""),46346.0)</f>
        <v>46346</v>
      </c>
      <c r="E202" s="2" t="str">
        <f>IFERROR(__xludf.DUMMYFUNCTION("""COMPUTED_VALUE"""),"VF")</f>
        <v>VF</v>
      </c>
      <c r="F202" s="2">
        <f>IFERROR(__xludf.DUMMYFUNCTION("""COMPUTED_VALUE"""),2.0)</f>
        <v>2</v>
      </c>
      <c r="G202" s="2" t="str">
        <f>IFERROR(__xludf.DUMMYFUNCTION("""COMPUTED_VALUE"""),"PR055")</f>
        <v>PR055</v>
      </c>
      <c r="H202" s="2" t="str">
        <f>IFERROR(__xludf.DUMMYFUNCTION("""COMPUTED_VALUE"""),"VD033")</f>
        <v>VD033</v>
      </c>
      <c r="I202" s="2">
        <f>IFERROR(__xludf.DUMMYFUNCTION("""COMPUTED_VALUE"""),14.0)</f>
        <v>14</v>
      </c>
      <c r="J202" s="2">
        <f>IFERROR(__xludf.DUMMYFUNCTION("""COMPUTED_VALUE"""),1397.05)</f>
        <v>1397.05</v>
      </c>
      <c r="K202" s="2">
        <f>IFERROR(__xludf.DUMMYFUNCTION("""COMPUTED_VALUE"""),1397.05)</f>
        <v>1397.05</v>
      </c>
    </row>
    <row r="203">
      <c r="A203" s="2">
        <f>IFERROR(__xludf.DUMMYFUNCTION("""COMPUTED_VALUE"""),1000.0)</f>
        <v>1000</v>
      </c>
      <c r="B203" s="2">
        <f>IFERROR(__xludf.DUMMYFUNCTION("""COMPUTED_VALUE"""),183613.0)</f>
        <v>183613</v>
      </c>
      <c r="C203" s="2">
        <f>IFERROR(__xludf.DUMMYFUNCTION("""COMPUTED_VALUE"""),2026.0)</f>
        <v>2026</v>
      </c>
      <c r="D203" s="2">
        <f>IFERROR(__xludf.DUMMYFUNCTION("""COMPUTED_VALUE"""),46346.0)</f>
        <v>46346</v>
      </c>
      <c r="E203" s="2" t="str">
        <f>IFERROR(__xludf.DUMMYFUNCTION("""COMPUTED_VALUE"""),"VF")</f>
        <v>VF</v>
      </c>
      <c r="F203" s="2">
        <f>IFERROR(__xludf.DUMMYFUNCTION("""COMPUTED_VALUE"""),1.0)</f>
        <v>1</v>
      </c>
      <c r="G203" s="2" t="str">
        <f>IFERROR(__xludf.DUMMYFUNCTION("""COMPUTED_VALUE"""),"PR017")</f>
        <v>PR017</v>
      </c>
      <c r="H203" s="2" t="str">
        <f>IFERROR(__xludf.DUMMYFUNCTION("""COMPUTED_VALUE"""),"VD036")</f>
        <v>VD036</v>
      </c>
      <c r="I203" s="2">
        <f>IFERROR(__xludf.DUMMYFUNCTION("""COMPUTED_VALUE"""),21.0)</f>
        <v>21</v>
      </c>
      <c r="J203" s="2">
        <f>IFERROR(__xludf.DUMMYFUNCTION("""COMPUTED_VALUE"""),753.48)</f>
        <v>753.48</v>
      </c>
      <c r="K203" s="2">
        <f>IFERROR(__xludf.DUMMYFUNCTION("""COMPUTED_VALUE"""),753.48)</f>
        <v>753.48</v>
      </c>
    </row>
    <row r="204">
      <c r="A204" s="2">
        <f>IFERROR(__xludf.DUMMYFUNCTION("""COMPUTED_VALUE"""),2000.0)</f>
        <v>2000</v>
      </c>
      <c r="B204" s="2">
        <f>IFERROR(__xludf.DUMMYFUNCTION("""COMPUTED_VALUE"""),183613.0)</f>
        <v>183613</v>
      </c>
      <c r="C204" s="2">
        <f>IFERROR(__xludf.DUMMYFUNCTION("""COMPUTED_VALUE"""),2026.0)</f>
        <v>2026</v>
      </c>
      <c r="D204" s="2">
        <f>IFERROR(__xludf.DUMMYFUNCTION("""COMPUTED_VALUE"""),46346.0)</f>
        <v>46346</v>
      </c>
      <c r="E204" s="2" t="str">
        <f>IFERROR(__xludf.DUMMYFUNCTION("""COMPUTED_VALUE"""),"VF")</f>
        <v>VF</v>
      </c>
      <c r="F204" s="2">
        <f>IFERROR(__xludf.DUMMYFUNCTION("""COMPUTED_VALUE"""),2.0)</f>
        <v>2</v>
      </c>
      <c r="G204" s="2" t="str">
        <f>IFERROR(__xludf.DUMMYFUNCTION("""COMPUTED_VALUE"""),"PR029")</f>
        <v>PR029</v>
      </c>
      <c r="H204" s="2" t="str">
        <f>IFERROR(__xludf.DUMMYFUNCTION("""COMPUTED_VALUE"""),"VD035")</f>
        <v>VD035</v>
      </c>
      <c r="I204" s="2">
        <f>IFERROR(__xludf.DUMMYFUNCTION("""COMPUTED_VALUE"""),12.0)</f>
        <v>12</v>
      </c>
      <c r="J204" s="2">
        <f>IFERROR(__xludf.DUMMYFUNCTION("""COMPUTED_VALUE"""),3610.8)</f>
        <v>3610.8</v>
      </c>
      <c r="K204" s="2">
        <f>IFERROR(__xludf.DUMMYFUNCTION("""COMPUTED_VALUE"""),3610.8)</f>
        <v>3610.8</v>
      </c>
    </row>
    <row r="205">
      <c r="A205" s="2">
        <f>IFERROR(__xludf.DUMMYFUNCTION("""COMPUTED_VALUE"""),2000.0)</f>
        <v>2000</v>
      </c>
      <c r="B205" s="2">
        <f>IFERROR(__xludf.DUMMYFUNCTION("""COMPUTED_VALUE"""),183614.0)</f>
        <v>183614</v>
      </c>
      <c r="C205" s="2">
        <f>IFERROR(__xludf.DUMMYFUNCTION("""COMPUTED_VALUE"""),2026.0)</f>
        <v>2026</v>
      </c>
      <c r="D205" s="2">
        <f>IFERROR(__xludf.DUMMYFUNCTION("""COMPUTED_VALUE"""),46346.0)</f>
        <v>46346</v>
      </c>
      <c r="E205" s="2" t="str">
        <f>IFERROR(__xludf.DUMMYFUNCTION("""COMPUTED_VALUE"""),"VF")</f>
        <v>VF</v>
      </c>
      <c r="F205" s="2">
        <f>IFERROR(__xludf.DUMMYFUNCTION("""COMPUTED_VALUE"""),1.0)</f>
        <v>1</v>
      </c>
      <c r="G205" s="2" t="str">
        <f>IFERROR(__xludf.DUMMYFUNCTION("""COMPUTED_VALUE"""),"PR005")</f>
        <v>PR005</v>
      </c>
      <c r="H205" s="2" t="str">
        <f>IFERROR(__xludf.DUMMYFUNCTION("""COMPUTED_VALUE"""),"VD037")</f>
        <v>VD037</v>
      </c>
      <c r="I205" s="2">
        <f>IFERROR(__xludf.DUMMYFUNCTION("""COMPUTED_VALUE"""),20.0)</f>
        <v>20</v>
      </c>
      <c r="J205" s="2">
        <f>IFERROR(__xludf.DUMMYFUNCTION("""COMPUTED_VALUE"""),6185.62)</f>
        <v>6185.62</v>
      </c>
      <c r="K205" s="2">
        <f>IFERROR(__xludf.DUMMYFUNCTION("""COMPUTED_VALUE"""),6185.62)</f>
        <v>6185.62</v>
      </c>
    </row>
    <row r="206">
      <c r="A206" s="2">
        <f>IFERROR(__xludf.DUMMYFUNCTION("""COMPUTED_VALUE"""),2000.0)</f>
        <v>2000</v>
      </c>
      <c r="B206" s="2">
        <f>IFERROR(__xludf.DUMMYFUNCTION("""COMPUTED_VALUE"""),183615.0)</f>
        <v>183615</v>
      </c>
      <c r="C206" s="2">
        <f>IFERROR(__xludf.DUMMYFUNCTION("""COMPUTED_VALUE"""),2026.0)</f>
        <v>2026</v>
      </c>
      <c r="D206" s="2">
        <f>IFERROR(__xludf.DUMMYFUNCTION("""COMPUTED_VALUE"""),46346.0)</f>
        <v>46346</v>
      </c>
      <c r="E206" s="2" t="str">
        <f>IFERROR(__xludf.DUMMYFUNCTION("""COMPUTED_VALUE"""),"VF")</f>
        <v>VF</v>
      </c>
      <c r="F206" s="2">
        <f>IFERROR(__xludf.DUMMYFUNCTION("""COMPUTED_VALUE"""),1.0)</f>
        <v>1</v>
      </c>
      <c r="G206" s="2" t="str">
        <f>IFERROR(__xludf.DUMMYFUNCTION("""COMPUTED_VALUE"""),"PR058")</f>
        <v>PR058</v>
      </c>
      <c r="H206" s="2" t="str">
        <f>IFERROR(__xludf.DUMMYFUNCTION("""COMPUTED_VALUE"""),"VD048")</f>
        <v>VD048</v>
      </c>
      <c r="I206" s="2">
        <f>IFERROR(__xludf.DUMMYFUNCTION("""COMPUTED_VALUE"""),15.0)</f>
        <v>15</v>
      </c>
      <c r="J206" s="2">
        <f>IFERROR(__xludf.DUMMYFUNCTION("""COMPUTED_VALUE"""),3105.0)</f>
        <v>3105</v>
      </c>
      <c r="K206" s="2">
        <f>IFERROR(__xludf.DUMMYFUNCTION("""COMPUTED_VALUE"""),3105.0)</f>
        <v>3105</v>
      </c>
    </row>
    <row r="207">
      <c r="A207" s="2">
        <f>IFERROR(__xludf.DUMMYFUNCTION("""COMPUTED_VALUE"""),1000.0)</f>
        <v>1000</v>
      </c>
      <c r="B207" s="2">
        <f>IFERROR(__xludf.DUMMYFUNCTION("""COMPUTED_VALUE"""),183616.0)</f>
        <v>183616</v>
      </c>
      <c r="C207" s="2">
        <f>IFERROR(__xludf.DUMMYFUNCTION("""COMPUTED_VALUE"""),2026.0)</f>
        <v>2026</v>
      </c>
      <c r="D207" s="2">
        <f>IFERROR(__xludf.DUMMYFUNCTION("""COMPUTED_VALUE"""),46346.0)</f>
        <v>46346</v>
      </c>
      <c r="E207" s="2" t="str">
        <f>IFERROR(__xludf.DUMMYFUNCTION("""COMPUTED_VALUE"""),"VF")</f>
        <v>VF</v>
      </c>
      <c r="F207" s="2">
        <f>IFERROR(__xludf.DUMMYFUNCTION("""COMPUTED_VALUE"""),1.0)</f>
        <v>1</v>
      </c>
      <c r="G207" s="2" t="str">
        <f>IFERROR(__xludf.DUMMYFUNCTION("""COMPUTED_VALUE"""),"PR025")</f>
        <v>PR025</v>
      </c>
      <c r="H207" s="2" t="str">
        <f>IFERROR(__xludf.DUMMYFUNCTION("""COMPUTED_VALUE"""),"VD035")</f>
        <v>VD035</v>
      </c>
      <c r="I207" s="2">
        <f>IFERROR(__xludf.DUMMYFUNCTION("""COMPUTED_VALUE"""),12.0)</f>
        <v>12</v>
      </c>
      <c r="J207" s="2">
        <f>IFERROR(__xludf.DUMMYFUNCTION("""COMPUTED_VALUE"""),4102.63)</f>
        <v>4102.63</v>
      </c>
      <c r="K207" s="2">
        <f>IFERROR(__xludf.DUMMYFUNCTION("""COMPUTED_VALUE"""),4102.63)</f>
        <v>4102.63</v>
      </c>
    </row>
    <row r="208">
      <c r="A208" s="2">
        <f>IFERROR(__xludf.DUMMYFUNCTION("""COMPUTED_VALUE"""),1000.0)</f>
        <v>1000</v>
      </c>
      <c r="B208" s="2">
        <f>IFERROR(__xludf.DUMMYFUNCTION("""COMPUTED_VALUE"""),183617.0)</f>
        <v>183617</v>
      </c>
      <c r="C208" s="2">
        <f>IFERROR(__xludf.DUMMYFUNCTION("""COMPUTED_VALUE"""),2026.0)</f>
        <v>2026</v>
      </c>
      <c r="D208" s="2">
        <f>IFERROR(__xludf.DUMMYFUNCTION("""COMPUTED_VALUE"""),46346.0)</f>
        <v>46346</v>
      </c>
      <c r="E208" s="2" t="str">
        <f>IFERROR(__xludf.DUMMYFUNCTION("""COMPUTED_VALUE"""),"VF")</f>
        <v>VF</v>
      </c>
      <c r="F208" s="2">
        <f>IFERROR(__xludf.DUMMYFUNCTION("""COMPUTED_VALUE"""),1.0)</f>
        <v>1</v>
      </c>
      <c r="G208" s="2" t="str">
        <f>IFERROR(__xludf.DUMMYFUNCTION("""COMPUTED_VALUE"""),"PR042")</f>
        <v>PR042</v>
      </c>
      <c r="H208" s="2" t="str">
        <f>IFERROR(__xludf.DUMMYFUNCTION("""COMPUTED_VALUE"""),"VD017")</f>
        <v>VD017</v>
      </c>
      <c r="I208" s="2">
        <f>IFERROR(__xludf.DUMMYFUNCTION("""COMPUTED_VALUE"""),3.0)</f>
        <v>3</v>
      </c>
      <c r="J208" s="2">
        <f>IFERROR(__xludf.DUMMYFUNCTION("""COMPUTED_VALUE"""),197.64)</f>
        <v>197.64</v>
      </c>
      <c r="K208" s="2">
        <f>IFERROR(__xludf.DUMMYFUNCTION("""COMPUTED_VALUE"""),197.64)</f>
        <v>197.64</v>
      </c>
    </row>
    <row r="209">
      <c r="A209" s="2">
        <f>IFERROR(__xludf.DUMMYFUNCTION("""COMPUTED_VALUE"""),2000.0)</f>
        <v>2000</v>
      </c>
      <c r="B209" s="2">
        <f>IFERROR(__xludf.DUMMYFUNCTION("""COMPUTED_VALUE"""),183617.0)</f>
        <v>183617</v>
      </c>
      <c r="C209" s="2">
        <f>IFERROR(__xludf.DUMMYFUNCTION("""COMPUTED_VALUE"""),2026.0)</f>
        <v>2026</v>
      </c>
      <c r="D209" s="2">
        <f>IFERROR(__xludf.DUMMYFUNCTION("""COMPUTED_VALUE"""),46346.0)</f>
        <v>46346</v>
      </c>
      <c r="E209" s="2" t="str">
        <f>IFERROR(__xludf.DUMMYFUNCTION("""COMPUTED_VALUE"""),"VF")</f>
        <v>VF</v>
      </c>
      <c r="F209" s="2">
        <f>IFERROR(__xludf.DUMMYFUNCTION("""COMPUTED_VALUE"""),2.0)</f>
        <v>2</v>
      </c>
      <c r="G209" s="2" t="str">
        <f>IFERROR(__xludf.DUMMYFUNCTION("""COMPUTED_VALUE"""),"PR046")</f>
        <v>PR046</v>
      </c>
      <c r="H209" s="2" t="str">
        <f>IFERROR(__xludf.DUMMYFUNCTION("""COMPUTED_VALUE"""),"VD039")</f>
        <v>VD039</v>
      </c>
      <c r="I209" s="2">
        <f>IFERROR(__xludf.DUMMYFUNCTION("""COMPUTED_VALUE"""),15.0)</f>
        <v>15</v>
      </c>
      <c r="J209" s="2">
        <f>IFERROR(__xludf.DUMMYFUNCTION("""COMPUTED_VALUE"""),4870.32)</f>
        <v>4870.32</v>
      </c>
      <c r="K209" s="2">
        <f>IFERROR(__xludf.DUMMYFUNCTION("""COMPUTED_VALUE"""),4870.32)</f>
        <v>4870.32</v>
      </c>
    </row>
    <row r="210">
      <c r="A210" s="2">
        <f>IFERROR(__xludf.DUMMYFUNCTION("""COMPUTED_VALUE"""),1000.0)</f>
        <v>1000</v>
      </c>
      <c r="B210" s="2">
        <f>IFERROR(__xludf.DUMMYFUNCTION("""COMPUTED_VALUE"""),183618.0)</f>
        <v>183618</v>
      </c>
      <c r="C210" s="2">
        <f>IFERROR(__xludf.DUMMYFUNCTION("""COMPUTED_VALUE"""),2026.0)</f>
        <v>2026</v>
      </c>
      <c r="D210" s="2">
        <f>IFERROR(__xludf.DUMMYFUNCTION("""COMPUTED_VALUE"""),46345.0)</f>
        <v>46345</v>
      </c>
      <c r="E210" s="2" t="str">
        <f>IFERROR(__xludf.DUMMYFUNCTION("""COMPUTED_VALUE"""),"VF")</f>
        <v>VF</v>
      </c>
      <c r="F210" s="2">
        <f>IFERROR(__xludf.DUMMYFUNCTION("""COMPUTED_VALUE"""),1.0)</f>
        <v>1</v>
      </c>
      <c r="G210" s="2" t="str">
        <f>IFERROR(__xludf.DUMMYFUNCTION("""COMPUTED_VALUE"""),"PR006")</f>
        <v>PR006</v>
      </c>
      <c r="H210" s="2" t="str">
        <f>IFERROR(__xludf.DUMMYFUNCTION("""COMPUTED_VALUE"""),"VD044")</f>
        <v>VD044</v>
      </c>
      <c r="I210" s="2">
        <f>IFERROR(__xludf.DUMMYFUNCTION("""COMPUTED_VALUE"""),27.0)</f>
        <v>27</v>
      </c>
      <c r="J210" s="2">
        <f>IFERROR(__xludf.DUMMYFUNCTION("""COMPUTED_VALUE"""),1238.9)</f>
        <v>1238.9</v>
      </c>
      <c r="K210" s="2">
        <f>IFERROR(__xludf.DUMMYFUNCTION("""COMPUTED_VALUE"""),1238.9)</f>
        <v>1238.9</v>
      </c>
    </row>
    <row r="211">
      <c r="A211" s="2">
        <f>IFERROR(__xludf.DUMMYFUNCTION("""COMPUTED_VALUE"""),1000.0)</f>
        <v>1000</v>
      </c>
      <c r="B211" s="2">
        <f>IFERROR(__xludf.DUMMYFUNCTION("""COMPUTED_VALUE"""),183619.0)</f>
        <v>183619</v>
      </c>
      <c r="C211" s="2">
        <f>IFERROR(__xludf.DUMMYFUNCTION("""COMPUTED_VALUE"""),2026.0)</f>
        <v>2026</v>
      </c>
      <c r="D211" s="2">
        <f>IFERROR(__xludf.DUMMYFUNCTION("""COMPUTED_VALUE"""),46345.0)</f>
        <v>46345</v>
      </c>
      <c r="E211" s="2" t="str">
        <f>IFERROR(__xludf.DUMMYFUNCTION("""COMPUTED_VALUE"""),"VF")</f>
        <v>VF</v>
      </c>
      <c r="F211" s="2">
        <f>IFERROR(__xludf.DUMMYFUNCTION("""COMPUTED_VALUE"""),1.0)</f>
        <v>1</v>
      </c>
      <c r="G211" s="2" t="str">
        <f>IFERROR(__xludf.DUMMYFUNCTION("""COMPUTED_VALUE"""),"PR053")</f>
        <v>PR053</v>
      </c>
      <c r="H211" s="2" t="str">
        <f>IFERROR(__xludf.DUMMYFUNCTION("""COMPUTED_VALUE"""),"VD047")</f>
        <v>VD047</v>
      </c>
      <c r="I211" s="2">
        <f>IFERROR(__xludf.DUMMYFUNCTION("""COMPUTED_VALUE"""),12.0)</f>
        <v>12</v>
      </c>
      <c r="J211" s="2">
        <f>IFERROR(__xludf.DUMMYFUNCTION("""COMPUTED_VALUE"""),676.64)</f>
        <v>676.64</v>
      </c>
      <c r="K211" s="2">
        <f>IFERROR(__xludf.DUMMYFUNCTION("""COMPUTED_VALUE"""),676.64)</f>
        <v>676.64</v>
      </c>
    </row>
    <row r="212">
      <c r="A212" s="2">
        <f>IFERROR(__xludf.DUMMYFUNCTION("""COMPUTED_VALUE"""),1000.0)</f>
        <v>1000</v>
      </c>
      <c r="B212" s="2">
        <f>IFERROR(__xludf.DUMMYFUNCTION("""COMPUTED_VALUE"""),183619.0)</f>
        <v>183619</v>
      </c>
      <c r="C212" s="2">
        <f>IFERROR(__xludf.DUMMYFUNCTION("""COMPUTED_VALUE"""),2026.0)</f>
        <v>2026</v>
      </c>
      <c r="D212" s="2">
        <f>IFERROR(__xludf.DUMMYFUNCTION("""COMPUTED_VALUE"""),46344.0)</f>
        <v>46344</v>
      </c>
      <c r="E212" s="2" t="str">
        <f>IFERROR(__xludf.DUMMYFUNCTION("""COMPUTED_VALUE"""),"VF")</f>
        <v>VF</v>
      </c>
      <c r="F212" s="2">
        <f>IFERROR(__xludf.DUMMYFUNCTION("""COMPUTED_VALUE"""),2.0)</f>
        <v>2</v>
      </c>
      <c r="G212" s="2" t="str">
        <f>IFERROR(__xludf.DUMMYFUNCTION("""COMPUTED_VALUE"""),"PR042")</f>
        <v>PR042</v>
      </c>
      <c r="H212" s="2" t="str">
        <f>IFERROR(__xludf.DUMMYFUNCTION("""COMPUTED_VALUE"""),"VD018")</f>
        <v>VD018</v>
      </c>
      <c r="I212" s="2">
        <f>IFERROR(__xludf.DUMMYFUNCTION("""COMPUTED_VALUE"""),8.0)</f>
        <v>8</v>
      </c>
      <c r="J212" s="2">
        <f>IFERROR(__xludf.DUMMYFUNCTION("""COMPUTED_VALUE"""),491.9)</f>
        <v>491.9</v>
      </c>
      <c r="K212" s="2">
        <f>IFERROR(__xludf.DUMMYFUNCTION("""COMPUTED_VALUE"""),491.9)</f>
        <v>491.9</v>
      </c>
    </row>
    <row r="213">
      <c r="A213" s="2">
        <f>IFERROR(__xludf.DUMMYFUNCTION("""COMPUTED_VALUE"""),2000.0)</f>
        <v>2000</v>
      </c>
      <c r="B213" s="2">
        <f>IFERROR(__xludf.DUMMYFUNCTION("""COMPUTED_VALUE"""),183619.0)</f>
        <v>183619</v>
      </c>
      <c r="C213" s="2">
        <f>IFERROR(__xludf.DUMMYFUNCTION("""COMPUTED_VALUE"""),2026.0)</f>
        <v>2026</v>
      </c>
      <c r="D213" s="2">
        <f>IFERROR(__xludf.DUMMYFUNCTION("""COMPUTED_VALUE"""),46344.0)</f>
        <v>46344</v>
      </c>
      <c r="E213" s="2" t="str">
        <f>IFERROR(__xludf.DUMMYFUNCTION("""COMPUTED_VALUE"""),"VF")</f>
        <v>VF</v>
      </c>
      <c r="F213" s="2">
        <f>IFERROR(__xludf.DUMMYFUNCTION("""COMPUTED_VALUE"""),3.0)</f>
        <v>3</v>
      </c>
      <c r="G213" s="2" t="str">
        <f>IFERROR(__xludf.DUMMYFUNCTION("""COMPUTED_VALUE"""),"PR002")</f>
        <v>PR002</v>
      </c>
      <c r="H213" s="2" t="str">
        <f>IFERROR(__xludf.DUMMYFUNCTION("""COMPUTED_VALUE"""),"VD034")</f>
        <v>VD034</v>
      </c>
      <c r="I213" s="2">
        <f>IFERROR(__xludf.DUMMYFUNCTION("""COMPUTED_VALUE"""),3.0)</f>
        <v>3</v>
      </c>
      <c r="J213" s="2">
        <f>IFERROR(__xludf.DUMMYFUNCTION("""COMPUTED_VALUE"""),245.35)</f>
        <v>245.35</v>
      </c>
      <c r="K213" s="2">
        <f>IFERROR(__xludf.DUMMYFUNCTION("""COMPUTED_VALUE"""),245.35)</f>
        <v>245.35</v>
      </c>
    </row>
    <row r="214">
      <c r="A214" s="2">
        <f>IFERROR(__xludf.DUMMYFUNCTION("""COMPUTED_VALUE"""),1000.0)</f>
        <v>1000</v>
      </c>
      <c r="B214" s="2">
        <f>IFERROR(__xludf.DUMMYFUNCTION("""COMPUTED_VALUE"""),183620.0)</f>
        <v>183620</v>
      </c>
      <c r="C214" s="2">
        <f>IFERROR(__xludf.DUMMYFUNCTION("""COMPUTED_VALUE"""),2026.0)</f>
        <v>2026</v>
      </c>
      <c r="D214" s="2">
        <f>IFERROR(__xludf.DUMMYFUNCTION("""COMPUTED_VALUE"""),46344.0)</f>
        <v>46344</v>
      </c>
      <c r="E214" s="2" t="str">
        <f>IFERROR(__xludf.DUMMYFUNCTION("""COMPUTED_VALUE"""),"VF")</f>
        <v>VF</v>
      </c>
      <c r="F214" s="2">
        <f>IFERROR(__xludf.DUMMYFUNCTION("""COMPUTED_VALUE"""),1.0)</f>
        <v>1</v>
      </c>
      <c r="G214" s="2" t="str">
        <f>IFERROR(__xludf.DUMMYFUNCTION("""COMPUTED_VALUE"""),"PR016")</f>
        <v>PR016</v>
      </c>
      <c r="H214" s="2" t="str">
        <f>IFERROR(__xludf.DUMMYFUNCTION("""COMPUTED_VALUE"""),"VD019")</f>
        <v>VD019</v>
      </c>
      <c r="I214" s="2">
        <f>IFERROR(__xludf.DUMMYFUNCTION("""COMPUTED_VALUE"""),16.0)</f>
        <v>16</v>
      </c>
      <c r="J214" s="2">
        <f>IFERROR(__xludf.DUMMYFUNCTION("""COMPUTED_VALUE"""),472.42)</f>
        <v>472.42</v>
      </c>
      <c r="K214" s="2">
        <f>IFERROR(__xludf.DUMMYFUNCTION("""COMPUTED_VALUE"""),472.42)</f>
        <v>472.42</v>
      </c>
    </row>
    <row r="215">
      <c r="A215" s="2">
        <f>IFERROR(__xludf.DUMMYFUNCTION("""COMPUTED_VALUE"""),1000.0)</f>
        <v>1000</v>
      </c>
      <c r="B215" s="2">
        <f>IFERROR(__xludf.DUMMYFUNCTION("""COMPUTED_VALUE"""),183621.0)</f>
        <v>183621</v>
      </c>
      <c r="C215" s="2">
        <f>IFERROR(__xludf.DUMMYFUNCTION("""COMPUTED_VALUE"""),2026.0)</f>
        <v>2026</v>
      </c>
      <c r="D215" s="2">
        <f>IFERROR(__xludf.DUMMYFUNCTION("""COMPUTED_VALUE"""),46344.0)</f>
        <v>46344</v>
      </c>
      <c r="E215" s="2" t="str">
        <f>IFERROR(__xludf.DUMMYFUNCTION("""COMPUTED_VALUE"""),"VF")</f>
        <v>VF</v>
      </c>
      <c r="F215" s="2">
        <f>IFERROR(__xludf.DUMMYFUNCTION("""COMPUTED_VALUE"""),1.0)</f>
        <v>1</v>
      </c>
      <c r="G215" s="2" t="str">
        <f>IFERROR(__xludf.DUMMYFUNCTION("""COMPUTED_VALUE"""),"PR055")</f>
        <v>PR055</v>
      </c>
      <c r="H215" s="2" t="str">
        <f>IFERROR(__xludf.DUMMYFUNCTION("""COMPUTED_VALUE"""),"VD029")</f>
        <v>VD029</v>
      </c>
      <c r="I215" s="2">
        <f>IFERROR(__xludf.DUMMYFUNCTION("""COMPUTED_VALUE"""),2.0)</f>
        <v>2</v>
      </c>
      <c r="J215" s="2">
        <f>IFERROR(__xludf.DUMMYFUNCTION("""COMPUTED_VALUE"""),213.96)</f>
        <v>213.96</v>
      </c>
      <c r="K215" s="2">
        <f>IFERROR(__xludf.DUMMYFUNCTION("""COMPUTED_VALUE"""),213.96)</f>
        <v>213.96</v>
      </c>
    </row>
    <row r="216">
      <c r="A216" s="2">
        <f>IFERROR(__xludf.DUMMYFUNCTION("""COMPUTED_VALUE"""),1000.0)</f>
        <v>1000</v>
      </c>
      <c r="B216" s="2">
        <f>IFERROR(__xludf.DUMMYFUNCTION("""COMPUTED_VALUE"""),183621.0)</f>
        <v>183621</v>
      </c>
      <c r="C216" s="2">
        <f>IFERROR(__xludf.DUMMYFUNCTION("""COMPUTED_VALUE"""),2026.0)</f>
        <v>2026</v>
      </c>
      <c r="D216" s="2">
        <f>IFERROR(__xludf.DUMMYFUNCTION("""COMPUTED_VALUE"""),46344.0)</f>
        <v>46344</v>
      </c>
      <c r="E216" s="2" t="str">
        <f>IFERROR(__xludf.DUMMYFUNCTION("""COMPUTED_VALUE"""),"VF")</f>
        <v>VF</v>
      </c>
      <c r="F216" s="2">
        <f>IFERROR(__xludf.DUMMYFUNCTION("""COMPUTED_VALUE"""),2.0)</f>
        <v>2</v>
      </c>
      <c r="G216" s="2" t="str">
        <f>IFERROR(__xludf.DUMMYFUNCTION("""COMPUTED_VALUE"""),"PR057")</f>
        <v>PR057</v>
      </c>
      <c r="H216" s="2" t="str">
        <f>IFERROR(__xludf.DUMMYFUNCTION("""COMPUTED_VALUE"""),"VD037")</f>
        <v>VD037</v>
      </c>
      <c r="I216" s="2">
        <f>IFERROR(__xludf.DUMMYFUNCTION("""COMPUTED_VALUE"""),3.0)</f>
        <v>3</v>
      </c>
      <c r="J216" s="2">
        <f>IFERROR(__xludf.DUMMYFUNCTION("""COMPUTED_VALUE"""),315.55)</f>
        <v>315.55</v>
      </c>
      <c r="K216" s="2">
        <f>IFERROR(__xludf.DUMMYFUNCTION("""COMPUTED_VALUE"""),315.55)</f>
        <v>315.55</v>
      </c>
    </row>
    <row r="217">
      <c r="A217" s="2">
        <f>IFERROR(__xludf.DUMMYFUNCTION("""COMPUTED_VALUE"""),1000.0)</f>
        <v>1000</v>
      </c>
      <c r="B217" s="2">
        <f>IFERROR(__xludf.DUMMYFUNCTION("""COMPUTED_VALUE"""),183622.0)</f>
        <v>183622</v>
      </c>
      <c r="C217" s="2">
        <f>IFERROR(__xludf.DUMMYFUNCTION("""COMPUTED_VALUE"""),2026.0)</f>
        <v>2026</v>
      </c>
      <c r="D217" s="2">
        <f>IFERROR(__xludf.DUMMYFUNCTION("""COMPUTED_VALUE"""),46344.0)</f>
        <v>46344</v>
      </c>
      <c r="E217" s="2" t="str">
        <f>IFERROR(__xludf.DUMMYFUNCTION("""COMPUTED_VALUE"""),"VF")</f>
        <v>VF</v>
      </c>
      <c r="F217" s="2">
        <f>IFERROR(__xludf.DUMMYFUNCTION("""COMPUTED_VALUE"""),1.0)</f>
        <v>1</v>
      </c>
      <c r="G217" s="2" t="str">
        <f>IFERROR(__xludf.DUMMYFUNCTION("""COMPUTED_VALUE"""),"PR011")</f>
        <v>PR011</v>
      </c>
      <c r="H217" s="2" t="str">
        <f>IFERROR(__xludf.DUMMYFUNCTION("""COMPUTED_VALUE"""),"VD030")</f>
        <v>VD030</v>
      </c>
      <c r="I217" s="2">
        <f>IFERROR(__xludf.DUMMYFUNCTION("""COMPUTED_VALUE"""),7.0)</f>
        <v>7</v>
      </c>
      <c r="J217" s="2">
        <f>IFERROR(__xludf.DUMMYFUNCTION("""COMPUTED_VALUE"""),380.83)</f>
        <v>380.83</v>
      </c>
      <c r="K217" s="2">
        <f>IFERROR(__xludf.DUMMYFUNCTION("""COMPUTED_VALUE"""),380.83)</f>
        <v>380.83</v>
      </c>
    </row>
    <row r="218">
      <c r="A218" s="2">
        <f>IFERROR(__xludf.DUMMYFUNCTION("""COMPUTED_VALUE"""),1000.0)</f>
        <v>1000</v>
      </c>
      <c r="B218" s="2">
        <f>IFERROR(__xludf.DUMMYFUNCTION("""COMPUTED_VALUE"""),183623.0)</f>
        <v>183623</v>
      </c>
      <c r="C218" s="2">
        <f>IFERROR(__xludf.DUMMYFUNCTION("""COMPUTED_VALUE"""),2026.0)</f>
        <v>2026</v>
      </c>
      <c r="D218" s="2">
        <f>IFERROR(__xludf.DUMMYFUNCTION("""COMPUTED_VALUE"""),46344.0)</f>
        <v>46344</v>
      </c>
      <c r="E218" s="2" t="str">
        <f>IFERROR(__xludf.DUMMYFUNCTION("""COMPUTED_VALUE"""),"VF")</f>
        <v>VF</v>
      </c>
      <c r="F218" s="2">
        <f>IFERROR(__xludf.DUMMYFUNCTION("""COMPUTED_VALUE"""),1.0)</f>
        <v>1</v>
      </c>
      <c r="G218" s="2" t="str">
        <f>IFERROR(__xludf.DUMMYFUNCTION("""COMPUTED_VALUE"""),"PR006")</f>
        <v>PR006</v>
      </c>
      <c r="H218" s="2" t="str">
        <f>IFERROR(__xludf.DUMMYFUNCTION("""COMPUTED_VALUE"""),"VD047")</f>
        <v>VD047</v>
      </c>
      <c r="I218" s="2">
        <f>IFERROR(__xludf.DUMMYFUNCTION("""COMPUTED_VALUE"""),16.0)</f>
        <v>16</v>
      </c>
      <c r="J218" s="2">
        <f>IFERROR(__xludf.DUMMYFUNCTION("""COMPUTED_VALUE"""),766.08)</f>
        <v>766.08</v>
      </c>
      <c r="K218" s="2">
        <f>IFERROR(__xludf.DUMMYFUNCTION("""COMPUTED_VALUE"""),766.08)</f>
        <v>766.08</v>
      </c>
    </row>
    <row r="219">
      <c r="A219" s="2">
        <f>IFERROR(__xludf.DUMMYFUNCTION("""COMPUTED_VALUE"""),1000.0)</f>
        <v>1000</v>
      </c>
      <c r="B219" s="2">
        <f>IFERROR(__xludf.DUMMYFUNCTION("""COMPUTED_VALUE"""),183623.0)</f>
        <v>183623</v>
      </c>
      <c r="C219" s="2">
        <f>IFERROR(__xludf.DUMMYFUNCTION("""COMPUTED_VALUE"""),2026.0)</f>
        <v>2026</v>
      </c>
      <c r="D219" s="2">
        <f>IFERROR(__xludf.DUMMYFUNCTION("""COMPUTED_VALUE"""),46343.0)</f>
        <v>46343</v>
      </c>
      <c r="E219" s="2" t="str">
        <f>IFERROR(__xludf.DUMMYFUNCTION("""COMPUTED_VALUE"""),"VF")</f>
        <v>VF</v>
      </c>
      <c r="F219" s="2">
        <f>IFERROR(__xludf.DUMMYFUNCTION("""COMPUTED_VALUE"""),2.0)</f>
        <v>2</v>
      </c>
      <c r="G219" s="2" t="str">
        <f>IFERROR(__xludf.DUMMYFUNCTION("""COMPUTED_VALUE"""),"PR019")</f>
        <v>PR019</v>
      </c>
      <c r="H219" s="2" t="str">
        <f>IFERROR(__xludf.DUMMYFUNCTION("""COMPUTED_VALUE"""),"VD034")</f>
        <v>VD034</v>
      </c>
      <c r="I219" s="2">
        <f>IFERROR(__xludf.DUMMYFUNCTION("""COMPUTED_VALUE"""),12.0)</f>
        <v>12</v>
      </c>
      <c r="J219" s="2">
        <f>IFERROR(__xludf.DUMMYFUNCTION("""COMPUTED_VALUE"""),670.66)</f>
        <v>670.66</v>
      </c>
      <c r="K219" s="2">
        <f>IFERROR(__xludf.DUMMYFUNCTION("""COMPUTED_VALUE"""),670.66)</f>
        <v>670.66</v>
      </c>
    </row>
    <row r="220">
      <c r="A220" s="2">
        <f>IFERROR(__xludf.DUMMYFUNCTION("""COMPUTED_VALUE"""),1000.0)</f>
        <v>1000</v>
      </c>
      <c r="B220" s="2">
        <f>IFERROR(__xludf.DUMMYFUNCTION("""COMPUTED_VALUE"""),183624.0)</f>
        <v>183624</v>
      </c>
      <c r="C220" s="2">
        <f>IFERROR(__xludf.DUMMYFUNCTION("""COMPUTED_VALUE"""),2026.0)</f>
        <v>2026</v>
      </c>
      <c r="D220" s="2">
        <f>IFERROR(__xludf.DUMMYFUNCTION("""COMPUTED_VALUE"""),46343.0)</f>
        <v>46343</v>
      </c>
      <c r="E220" s="2" t="str">
        <f>IFERROR(__xludf.DUMMYFUNCTION("""COMPUTED_VALUE"""),"VF")</f>
        <v>VF</v>
      </c>
      <c r="F220" s="2">
        <f>IFERROR(__xludf.DUMMYFUNCTION("""COMPUTED_VALUE"""),1.0)</f>
        <v>1</v>
      </c>
      <c r="G220" s="2" t="str">
        <f>IFERROR(__xludf.DUMMYFUNCTION("""COMPUTED_VALUE"""),"PR006")</f>
        <v>PR006</v>
      </c>
      <c r="H220" s="2" t="str">
        <f>IFERROR(__xludf.DUMMYFUNCTION("""COMPUTED_VALUE"""),"VD037")</f>
        <v>VD037</v>
      </c>
      <c r="I220" s="2">
        <f>IFERROR(__xludf.DUMMYFUNCTION("""COMPUTED_VALUE"""),10.0)</f>
        <v>10</v>
      </c>
      <c r="J220" s="2">
        <f>IFERROR(__xludf.DUMMYFUNCTION("""COMPUTED_VALUE"""),462.84)</f>
        <v>462.84</v>
      </c>
      <c r="K220" s="2">
        <f>IFERROR(__xludf.DUMMYFUNCTION("""COMPUTED_VALUE"""),462.84)</f>
        <v>462.84</v>
      </c>
    </row>
    <row r="221">
      <c r="A221" s="2">
        <f>IFERROR(__xludf.DUMMYFUNCTION("""COMPUTED_VALUE"""),1000.0)</f>
        <v>1000</v>
      </c>
      <c r="B221" s="2">
        <f>IFERROR(__xludf.DUMMYFUNCTION("""COMPUTED_VALUE"""),183625.0)</f>
        <v>183625</v>
      </c>
      <c r="C221" s="2">
        <f>IFERROR(__xludf.DUMMYFUNCTION("""COMPUTED_VALUE"""),2026.0)</f>
        <v>2026</v>
      </c>
      <c r="D221" s="2">
        <f>IFERROR(__xludf.DUMMYFUNCTION("""COMPUTED_VALUE"""),46343.0)</f>
        <v>46343</v>
      </c>
      <c r="E221" s="2" t="str">
        <f>IFERROR(__xludf.DUMMYFUNCTION("""COMPUTED_VALUE"""),"VF")</f>
        <v>VF</v>
      </c>
      <c r="F221" s="2">
        <f>IFERROR(__xludf.DUMMYFUNCTION("""COMPUTED_VALUE"""),1.0)</f>
        <v>1</v>
      </c>
      <c r="G221" s="2" t="str">
        <f>IFERROR(__xludf.DUMMYFUNCTION("""COMPUTED_VALUE"""),"PR026")</f>
        <v>PR026</v>
      </c>
      <c r="H221" s="2" t="str">
        <f>IFERROR(__xludf.DUMMYFUNCTION("""COMPUTED_VALUE"""),"VD032")</f>
        <v>VD032</v>
      </c>
      <c r="I221" s="2">
        <f>IFERROR(__xludf.DUMMYFUNCTION("""COMPUTED_VALUE"""),6.0)</f>
        <v>6</v>
      </c>
      <c r="J221" s="2">
        <f>IFERROR(__xludf.DUMMYFUNCTION("""COMPUTED_VALUE"""),2393.32)</f>
        <v>2393.32</v>
      </c>
      <c r="K221" s="2">
        <f>IFERROR(__xludf.DUMMYFUNCTION("""COMPUTED_VALUE"""),2393.32)</f>
        <v>2393.32</v>
      </c>
    </row>
    <row r="222">
      <c r="A222" s="2">
        <f>IFERROR(__xludf.DUMMYFUNCTION("""COMPUTED_VALUE"""),1000.0)</f>
        <v>1000</v>
      </c>
      <c r="B222" s="2">
        <f>IFERROR(__xludf.DUMMYFUNCTION("""COMPUTED_VALUE"""),183626.0)</f>
        <v>183626</v>
      </c>
      <c r="C222" s="2">
        <f>IFERROR(__xludf.DUMMYFUNCTION("""COMPUTED_VALUE"""),2026.0)</f>
        <v>2026</v>
      </c>
      <c r="D222" s="2">
        <f>IFERROR(__xludf.DUMMYFUNCTION("""COMPUTED_VALUE"""),46343.0)</f>
        <v>46343</v>
      </c>
      <c r="E222" s="2" t="str">
        <f>IFERROR(__xludf.DUMMYFUNCTION("""COMPUTED_VALUE"""),"VF")</f>
        <v>VF</v>
      </c>
      <c r="F222" s="2">
        <f>IFERROR(__xludf.DUMMYFUNCTION("""COMPUTED_VALUE"""),1.0)</f>
        <v>1</v>
      </c>
      <c r="G222" s="2" t="str">
        <f>IFERROR(__xludf.DUMMYFUNCTION("""COMPUTED_VALUE"""),"PR058")</f>
        <v>PR058</v>
      </c>
      <c r="H222" s="2" t="str">
        <f>IFERROR(__xludf.DUMMYFUNCTION("""COMPUTED_VALUE"""),"VD027")</f>
        <v>VD027</v>
      </c>
      <c r="I222" s="2">
        <f>IFERROR(__xludf.DUMMYFUNCTION("""COMPUTED_VALUE"""),2.0)</f>
        <v>2</v>
      </c>
      <c r="J222" s="2">
        <f>IFERROR(__xludf.DUMMYFUNCTION("""COMPUTED_VALUE"""),417.6)</f>
        <v>417.6</v>
      </c>
      <c r="K222" s="2">
        <f>IFERROR(__xludf.DUMMYFUNCTION("""COMPUTED_VALUE"""),417.6)</f>
        <v>417.6</v>
      </c>
    </row>
    <row r="223">
      <c r="A223" s="2">
        <f>IFERROR(__xludf.DUMMYFUNCTION("""COMPUTED_VALUE"""),1000.0)</f>
        <v>1000</v>
      </c>
      <c r="B223" s="2">
        <f>IFERROR(__xludf.DUMMYFUNCTION("""COMPUTED_VALUE"""),183627.0)</f>
        <v>183627</v>
      </c>
      <c r="C223" s="2">
        <f>IFERROR(__xludf.DUMMYFUNCTION("""COMPUTED_VALUE"""),2026.0)</f>
        <v>2026</v>
      </c>
      <c r="D223" s="2">
        <f>IFERROR(__xludf.DUMMYFUNCTION("""COMPUTED_VALUE"""),46342.0)</f>
        <v>46342</v>
      </c>
      <c r="E223" s="2" t="str">
        <f>IFERROR(__xludf.DUMMYFUNCTION("""COMPUTED_VALUE"""),"VF")</f>
        <v>VF</v>
      </c>
      <c r="F223" s="2">
        <f>IFERROR(__xludf.DUMMYFUNCTION("""COMPUTED_VALUE"""),1.0)</f>
        <v>1</v>
      </c>
      <c r="G223" s="2" t="str">
        <f>IFERROR(__xludf.DUMMYFUNCTION("""COMPUTED_VALUE"""),"PR013")</f>
        <v>PR013</v>
      </c>
      <c r="H223" s="2" t="str">
        <f>IFERROR(__xludf.DUMMYFUNCTION("""COMPUTED_VALUE"""),"VD011")</f>
        <v>VD011</v>
      </c>
      <c r="I223" s="2">
        <f>IFERROR(__xludf.DUMMYFUNCTION("""COMPUTED_VALUE"""),15.0)</f>
        <v>15</v>
      </c>
      <c r="J223" s="2">
        <f>IFERROR(__xludf.DUMMYFUNCTION("""COMPUTED_VALUE"""),712.22)</f>
        <v>712.22</v>
      </c>
      <c r="K223" s="2">
        <f>IFERROR(__xludf.DUMMYFUNCTION("""COMPUTED_VALUE"""),712.22)</f>
        <v>712.22</v>
      </c>
    </row>
    <row r="224">
      <c r="A224" s="2">
        <f>IFERROR(__xludf.DUMMYFUNCTION("""COMPUTED_VALUE"""),1000.0)</f>
        <v>1000</v>
      </c>
      <c r="B224" s="2">
        <f>IFERROR(__xludf.DUMMYFUNCTION("""COMPUTED_VALUE"""),183628.0)</f>
        <v>183628</v>
      </c>
      <c r="C224" s="2">
        <f>IFERROR(__xludf.DUMMYFUNCTION("""COMPUTED_VALUE"""),2026.0)</f>
        <v>2026</v>
      </c>
      <c r="D224" s="2">
        <f>IFERROR(__xludf.DUMMYFUNCTION("""COMPUTED_VALUE"""),46342.0)</f>
        <v>46342</v>
      </c>
      <c r="E224" s="2" t="str">
        <f>IFERROR(__xludf.DUMMYFUNCTION("""COMPUTED_VALUE"""),"VF")</f>
        <v>VF</v>
      </c>
      <c r="F224" s="2">
        <f>IFERROR(__xludf.DUMMYFUNCTION("""COMPUTED_VALUE"""),1.0)</f>
        <v>1</v>
      </c>
      <c r="G224" s="2" t="str">
        <f>IFERROR(__xludf.DUMMYFUNCTION("""COMPUTED_VALUE"""),"PR058")</f>
        <v>PR058</v>
      </c>
      <c r="H224" s="2" t="str">
        <f>IFERROR(__xludf.DUMMYFUNCTION("""COMPUTED_VALUE"""),"VD017")</f>
        <v>VD017</v>
      </c>
      <c r="I224" s="2">
        <f>IFERROR(__xludf.DUMMYFUNCTION("""COMPUTED_VALUE"""),7.0)</f>
        <v>7</v>
      </c>
      <c r="J224" s="2">
        <f>IFERROR(__xludf.DUMMYFUNCTION("""COMPUTED_VALUE"""),1486.8)</f>
        <v>1486.8</v>
      </c>
      <c r="K224" s="2">
        <f>IFERROR(__xludf.DUMMYFUNCTION("""COMPUTED_VALUE"""),1486.8)</f>
        <v>1486.8</v>
      </c>
    </row>
    <row r="225">
      <c r="A225" s="2">
        <f>IFERROR(__xludf.DUMMYFUNCTION("""COMPUTED_VALUE"""),1000.0)</f>
        <v>1000</v>
      </c>
      <c r="B225" s="2">
        <f>IFERROR(__xludf.DUMMYFUNCTION("""COMPUTED_VALUE"""),183629.0)</f>
        <v>183629</v>
      </c>
      <c r="C225" s="2">
        <f>IFERROR(__xludf.DUMMYFUNCTION("""COMPUTED_VALUE"""),2026.0)</f>
        <v>2026</v>
      </c>
      <c r="D225" s="2">
        <f>IFERROR(__xludf.DUMMYFUNCTION("""COMPUTED_VALUE"""),46341.0)</f>
        <v>46341</v>
      </c>
      <c r="E225" s="2" t="str">
        <f>IFERROR(__xludf.DUMMYFUNCTION("""COMPUTED_VALUE"""),"VF")</f>
        <v>VF</v>
      </c>
      <c r="F225" s="2">
        <f>IFERROR(__xludf.DUMMYFUNCTION("""COMPUTED_VALUE"""),1.0)</f>
        <v>1</v>
      </c>
      <c r="G225" s="2" t="str">
        <f>IFERROR(__xludf.DUMMYFUNCTION("""COMPUTED_VALUE"""),"PR030")</f>
        <v>PR030</v>
      </c>
      <c r="H225" s="2" t="str">
        <f>IFERROR(__xludf.DUMMYFUNCTION("""COMPUTED_VALUE"""),"VD036")</f>
        <v>VD036</v>
      </c>
      <c r="I225" s="2">
        <f>IFERROR(__xludf.DUMMYFUNCTION("""COMPUTED_VALUE"""),9.0)</f>
        <v>9</v>
      </c>
      <c r="J225" s="2">
        <f>IFERROR(__xludf.DUMMYFUNCTION("""COMPUTED_VALUE"""),2689.97)</f>
        <v>2689.97</v>
      </c>
      <c r="K225" s="2">
        <f>IFERROR(__xludf.DUMMYFUNCTION("""COMPUTED_VALUE"""),2689.97)</f>
        <v>2689.97</v>
      </c>
    </row>
    <row r="226">
      <c r="A226" s="2">
        <f>IFERROR(__xludf.DUMMYFUNCTION("""COMPUTED_VALUE"""),1000.0)</f>
        <v>1000</v>
      </c>
      <c r="B226" s="2">
        <f>IFERROR(__xludf.DUMMYFUNCTION("""COMPUTED_VALUE"""),183630.0)</f>
        <v>183630</v>
      </c>
      <c r="C226" s="2">
        <f>IFERROR(__xludf.DUMMYFUNCTION("""COMPUTED_VALUE"""),2026.0)</f>
        <v>2026</v>
      </c>
      <c r="D226" s="2">
        <f>IFERROR(__xludf.DUMMYFUNCTION("""COMPUTED_VALUE"""),46341.0)</f>
        <v>46341</v>
      </c>
      <c r="E226" s="2" t="str">
        <f>IFERROR(__xludf.DUMMYFUNCTION("""COMPUTED_VALUE"""),"VF")</f>
        <v>VF</v>
      </c>
      <c r="F226" s="2">
        <f>IFERROR(__xludf.DUMMYFUNCTION("""COMPUTED_VALUE"""),1.0)</f>
        <v>1</v>
      </c>
      <c r="G226" s="2" t="str">
        <f>IFERROR(__xludf.DUMMYFUNCTION("""COMPUTED_VALUE"""),"PR015")</f>
        <v>PR015</v>
      </c>
      <c r="H226" s="2" t="str">
        <f>IFERROR(__xludf.DUMMYFUNCTION("""COMPUTED_VALUE"""),"VD049")</f>
        <v>VD049</v>
      </c>
      <c r="I226" s="2">
        <f>IFERROR(__xludf.DUMMYFUNCTION("""COMPUTED_VALUE"""),30.0)</f>
        <v>30</v>
      </c>
      <c r="J226" s="2">
        <f>IFERROR(__xludf.DUMMYFUNCTION("""COMPUTED_VALUE"""),1415.25)</f>
        <v>1415.25</v>
      </c>
      <c r="K226" s="2">
        <f>IFERROR(__xludf.DUMMYFUNCTION("""COMPUTED_VALUE"""),1415.25)</f>
        <v>1415.25</v>
      </c>
    </row>
    <row r="227">
      <c r="A227" s="2">
        <f>IFERROR(__xludf.DUMMYFUNCTION("""COMPUTED_VALUE"""),1000.0)</f>
        <v>1000</v>
      </c>
      <c r="B227" s="2">
        <f>IFERROR(__xludf.DUMMYFUNCTION("""COMPUTED_VALUE"""),183630.0)</f>
        <v>183630</v>
      </c>
      <c r="C227" s="2">
        <f>IFERROR(__xludf.DUMMYFUNCTION("""COMPUTED_VALUE"""),2026.0)</f>
        <v>2026</v>
      </c>
      <c r="D227" s="2">
        <f>IFERROR(__xludf.DUMMYFUNCTION("""COMPUTED_VALUE"""),46341.0)</f>
        <v>46341</v>
      </c>
      <c r="E227" s="2" t="str">
        <f>IFERROR(__xludf.DUMMYFUNCTION("""COMPUTED_VALUE"""),"VF")</f>
        <v>VF</v>
      </c>
      <c r="F227" s="2">
        <f>IFERROR(__xludf.DUMMYFUNCTION("""COMPUTED_VALUE"""),2.0)</f>
        <v>2</v>
      </c>
      <c r="G227" s="2" t="str">
        <f>IFERROR(__xludf.DUMMYFUNCTION("""COMPUTED_VALUE"""),"PR001")</f>
        <v>PR001</v>
      </c>
      <c r="H227" s="2" t="str">
        <f>IFERROR(__xludf.DUMMYFUNCTION("""COMPUTED_VALUE"""),"VD013")</f>
        <v>VD013</v>
      </c>
      <c r="I227" s="2">
        <f>IFERROR(__xludf.DUMMYFUNCTION("""COMPUTED_VALUE"""),16.0)</f>
        <v>16</v>
      </c>
      <c r="J227" s="2">
        <f>IFERROR(__xludf.DUMMYFUNCTION("""COMPUTED_VALUE"""),1254.74)</f>
        <v>1254.74</v>
      </c>
      <c r="K227" s="2">
        <f>IFERROR(__xludf.DUMMYFUNCTION("""COMPUTED_VALUE"""),1254.74)</f>
        <v>1254.74</v>
      </c>
    </row>
    <row r="228">
      <c r="A228" s="2">
        <f>IFERROR(__xludf.DUMMYFUNCTION("""COMPUTED_VALUE"""),1000.0)</f>
        <v>1000</v>
      </c>
      <c r="B228" s="2">
        <f>IFERROR(__xludf.DUMMYFUNCTION("""COMPUTED_VALUE"""),183630.0)</f>
        <v>183630</v>
      </c>
      <c r="C228" s="2">
        <f>IFERROR(__xludf.DUMMYFUNCTION("""COMPUTED_VALUE"""),2026.0)</f>
        <v>2026</v>
      </c>
      <c r="D228" s="2">
        <f>IFERROR(__xludf.DUMMYFUNCTION("""COMPUTED_VALUE"""),46341.0)</f>
        <v>46341</v>
      </c>
      <c r="E228" s="2" t="str">
        <f>IFERROR(__xludf.DUMMYFUNCTION("""COMPUTED_VALUE"""),"VF")</f>
        <v>VF</v>
      </c>
      <c r="F228" s="2">
        <f>IFERROR(__xludf.DUMMYFUNCTION("""COMPUTED_VALUE"""),3.0)</f>
        <v>3</v>
      </c>
      <c r="G228" s="2" t="str">
        <f>IFERROR(__xludf.DUMMYFUNCTION("""COMPUTED_VALUE"""),"PR053")</f>
        <v>PR053</v>
      </c>
      <c r="H228" s="2" t="str">
        <f>IFERROR(__xludf.DUMMYFUNCTION("""COMPUTED_VALUE"""),"VD012")</f>
        <v>VD012</v>
      </c>
      <c r="I228" s="2">
        <f>IFERROR(__xludf.DUMMYFUNCTION("""COMPUTED_VALUE"""),3.0)</f>
        <v>3</v>
      </c>
      <c r="J228" s="2">
        <f>IFERROR(__xludf.DUMMYFUNCTION("""COMPUTED_VALUE"""),166.17)</f>
        <v>166.17</v>
      </c>
      <c r="K228" s="2">
        <f>IFERROR(__xludf.DUMMYFUNCTION("""COMPUTED_VALUE"""),166.17)</f>
        <v>166.17</v>
      </c>
    </row>
    <row r="229">
      <c r="A229" s="2">
        <f>IFERROR(__xludf.DUMMYFUNCTION("""COMPUTED_VALUE"""),1000.0)</f>
        <v>1000</v>
      </c>
      <c r="B229" s="2">
        <f>IFERROR(__xludf.DUMMYFUNCTION("""COMPUTED_VALUE"""),183631.0)</f>
        <v>183631</v>
      </c>
      <c r="C229" s="2">
        <f>IFERROR(__xludf.DUMMYFUNCTION("""COMPUTED_VALUE"""),2026.0)</f>
        <v>2026</v>
      </c>
      <c r="D229" s="2">
        <f>IFERROR(__xludf.DUMMYFUNCTION("""COMPUTED_VALUE"""),46341.0)</f>
        <v>46341</v>
      </c>
      <c r="E229" s="2" t="str">
        <f>IFERROR(__xludf.DUMMYFUNCTION("""COMPUTED_VALUE"""),"VF")</f>
        <v>VF</v>
      </c>
      <c r="F229" s="2">
        <f>IFERROR(__xludf.DUMMYFUNCTION("""COMPUTED_VALUE"""),1.0)</f>
        <v>1</v>
      </c>
      <c r="G229" s="2" t="str">
        <f>IFERROR(__xludf.DUMMYFUNCTION("""COMPUTED_VALUE"""),"PR041")</f>
        <v>PR041</v>
      </c>
      <c r="H229" s="2" t="str">
        <f>IFERROR(__xludf.DUMMYFUNCTION("""COMPUTED_VALUE"""),"VD037")</f>
        <v>VD037</v>
      </c>
      <c r="I229" s="2">
        <f>IFERROR(__xludf.DUMMYFUNCTION("""COMPUTED_VALUE"""),2.0)</f>
        <v>2</v>
      </c>
      <c r="J229" s="2">
        <f>IFERROR(__xludf.DUMMYFUNCTION("""COMPUTED_VALUE"""),122.98)</f>
        <v>122.98</v>
      </c>
      <c r="K229" s="2">
        <f>IFERROR(__xludf.DUMMYFUNCTION("""COMPUTED_VALUE"""),122.98)</f>
        <v>122.98</v>
      </c>
    </row>
    <row r="230">
      <c r="A230" s="2">
        <f>IFERROR(__xludf.DUMMYFUNCTION("""COMPUTED_VALUE"""),1000.0)</f>
        <v>1000</v>
      </c>
      <c r="B230" s="2">
        <f>IFERROR(__xludf.DUMMYFUNCTION("""COMPUTED_VALUE"""),183631.0)</f>
        <v>183631</v>
      </c>
      <c r="C230" s="2">
        <f>IFERROR(__xludf.DUMMYFUNCTION("""COMPUTED_VALUE"""),2026.0)</f>
        <v>2026</v>
      </c>
      <c r="D230" s="2">
        <f>IFERROR(__xludf.DUMMYFUNCTION("""COMPUTED_VALUE"""),46340.0)</f>
        <v>46340</v>
      </c>
      <c r="E230" s="2" t="str">
        <f>IFERROR(__xludf.DUMMYFUNCTION("""COMPUTED_VALUE"""),"VF")</f>
        <v>VF</v>
      </c>
      <c r="F230" s="2">
        <f>IFERROR(__xludf.DUMMYFUNCTION("""COMPUTED_VALUE"""),2.0)</f>
        <v>2</v>
      </c>
      <c r="G230" s="2" t="str">
        <f>IFERROR(__xludf.DUMMYFUNCTION("""COMPUTED_VALUE"""),"PR002")</f>
        <v>PR002</v>
      </c>
      <c r="H230" s="2" t="str">
        <f>IFERROR(__xludf.DUMMYFUNCTION("""COMPUTED_VALUE"""),"VD047")</f>
        <v>VD047</v>
      </c>
      <c r="I230" s="2">
        <f>IFERROR(__xludf.DUMMYFUNCTION("""COMPUTED_VALUE"""),2.0)</f>
        <v>2</v>
      </c>
      <c r="J230" s="2">
        <f>IFERROR(__xludf.DUMMYFUNCTION("""COMPUTED_VALUE"""),153.78)</f>
        <v>153.78</v>
      </c>
      <c r="K230" s="2">
        <f>IFERROR(__xludf.DUMMYFUNCTION("""COMPUTED_VALUE"""),153.78)</f>
        <v>153.78</v>
      </c>
    </row>
    <row r="231">
      <c r="A231" s="2">
        <f>IFERROR(__xludf.DUMMYFUNCTION("""COMPUTED_VALUE"""),1000.0)</f>
        <v>1000</v>
      </c>
      <c r="B231" s="2">
        <f>IFERROR(__xludf.DUMMYFUNCTION("""COMPUTED_VALUE"""),183631.0)</f>
        <v>183631</v>
      </c>
      <c r="C231" s="2">
        <f>IFERROR(__xludf.DUMMYFUNCTION("""COMPUTED_VALUE"""),2026.0)</f>
        <v>2026</v>
      </c>
      <c r="D231" s="2">
        <f>IFERROR(__xludf.DUMMYFUNCTION("""COMPUTED_VALUE"""),46340.0)</f>
        <v>46340</v>
      </c>
      <c r="E231" s="2" t="str">
        <f>IFERROR(__xludf.DUMMYFUNCTION("""COMPUTED_VALUE"""),"VF")</f>
        <v>VF</v>
      </c>
      <c r="F231" s="2">
        <f>IFERROR(__xludf.DUMMYFUNCTION("""COMPUTED_VALUE"""),3.0)</f>
        <v>3</v>
      </c>
      <c r="G231" s="2" t="str">
        <f>IFERROR(__xludf.DUMMYFUNCTION("""COMPUTED_VALUE"""),"PR021")</f>
        <v>PR021</v>
      </c>
      <c r="H231" s="2" t="str">
        <f>IFERROR(__xludf.DUMMYFUNCTION("""COMPUTED_VALUE"""),"VD039")</f>
        <v>VD039</v>
      </c>
      <c r="I231" s="2">
        <f>IFERROR(__xludf.DUMMYFUNCTION("""COMPUTED_VALUE"""),27.0)</f>
        <v>27</v>
      </c>
      <c r="J231" s="2">
        <f>IFERROR(__xludf.DUMMYFUNCTION("""COMPUTED_VALUE"""),9241.48)</f>
        <v>9241.48</v>
      </c>
      <c r="K231" s="2">
        <f>IFERROR(__xludf.DUMMYFUNCTION("""COMPUTED_VALUE"""),9241.48)</f>
        <v>9241.48</v>
      </c>
    </row>
    <row r="232">
      <c r="A232" s="2">
        <f>IFERROR(__xludf.DUMMYFUNCTION("""COMPUTED_VALUE"""),2000.0)</f>
        <v>2000</v>
      </c>
      <c r="B232" s="2">
        <f>IFERROR(__xludf.DUMMYFUNCTION("""COMPUTED_VALUE"""),183631.0)</f>
        <v>183631</v>
      </c>
      <c r="C232" s="2">
        <f>IFERROR(__xludf.DUMMYFUNCTION("""COMPUTED_VALUE"""),2026.0)</f>
        <v>2026</v>
      </c>
      <c r="D232" s="2">
        <f>IFERROR(__xludf.DUMMYFUNCTION("""COMPUTED_VALUE"""),46339.0)</f>
        <v>46339</v>
      </c>
      <c r="E232" s="2" t="str">
        <f>IFERROR(__xludf.DUMMYFUNCTION("""COMPUTED_VALUE"""),"VF")</f>
        <v>VF</v>
      </c>
      <c r="F232" s="2">
        <f>IFERROR(__xludf.DUMMYFUNCTION("""COMPUTED_VALUE"""),4.0)</f>
        <v>4</v>
      </c>
      <c r="G232" s="2" t="str">
        <f>IFERROR(__xludf.DUMMYFUNCTION("""COMPUTED_VALUE"""),"PR035")</f>
        <v>PR035</v>
      </c>
      <c r="H232" s="2" t="str">
        <f>IFERROR(__xludf.DUMMYFUNCTION("""COMPUTED_VALUE"""),"VD026")</f>
        <v>VD026</v>
      </c>
      <c r="I232" s="2">
        <f>IFERROR(__xludf.DUMMYFUNCTION("""COMPUTED_VALUE"""),6.0)</f>
        <v>6</v>
      </c>
      <c r="J232" s="2">
        <f>IFERROR(__xludf.DUMMYFUNCTION("""COMPUTED_VALUE"""),608.72)</f>
        <v>608.72</v>
      </c>
      <c r="K232" s="2">
        <f>IFERROR(__xludf.DUMMYFUNCTION("""COMPUTED_VALUE"""),608.72)</f>
        <v>608.72</v>
      </c>
    </row>
    <row r="233">
      <c r="A233" s="2">
        <f>IFERROR(__xludf.DUMMYFUNCTION("""COMPUTED_VALUE"""),1000.0)</f>
        <v>1000</v>
      </c>
      <c r="B233" s="2">
        <f>IFERROR(__xludf.DUMMYFUNCTION("""COMPUTED_VALUE"""),183631.0)</f>
        <v>183631</v>
      </c>
      <c r="C233" s="2">
        <f>IFERROR(__xludf.DUMMYFUNCTION("""COMPUTED_VALUE"""),2026.0)</f>
        <v>2026</v>
      </c>
      <c r="D233" s="2">
        <f>IFERROR(__xludf.DUMMYFUNCTION("""COMPUTED_VALUE"""),46339.0)</f>
        <v>46339</v>
      </c>
      <c r="E233" s="2" t="str">
        <f>IFERROR(__xludf.DUMMYFUNCTION("""COMPUTED_VALUE"""),"VF")</f>
        <v>VF</v>
      </c>
      <c r="F233" s="2">
        <f>IFERROR(__xludf.DUMMYFUNCTION("""COMPUTED_VALUE"""),5.0)</f>
        <v>5</v>
      </c>
      <c r="G233" s="2" t="str">
        <f>IFERROR(__xludf.DUMMYFUNCTION("""COMPUTED_VALUE"""),"PR008")</f>
        <v>PR008</v>
      </c>
      <c r="H233" s="2" t="str">
        <f>IFERROR(__xludf.DUMMYFUNCTION("""COMPUTED_VALUE"""),"VD036")</f>
        <v>VD036</v>
      </c>
      <c r="I233" s="2">
        <f>IFERROR(__xludf.DUMMYFUNCTION("""COMPUTED_VALUE"""),6.0)</f>
        <v>6</v>
      </c>
      <c r="J233" s="2">
        <f>IFERROR(__xludf.DUMMYFUNCTION("""COMPUTED_VALUE"""),593.34)</f>
        <v>593.34</v>
      </c>
      <c r="K233" s="2">
        <f>IFERROR(__xludf.DUMMYFUNCTION("""COMPUTED_VALUE"""),593.34)</f>
        <v>593.34</v>
      </c>
    </row>
    <row r="234">
      <c r="A234" s="2">
        <f>IFERROR(__xludf.DUMMYFUNCTION("""COMPUTED_VALUE"""),2000.0)</f>
        <v>2000</v>
      </c>
      <c r="B234" s="2">
        <f>IFERROR(__xludf.DUMMYFUNCTION("""COMPUTED_VALUE"""),183631.0)</f>
        <v>183631</v>
      </c>
      <c r="C234" s="2">
        <f>IFERROR(__xludf.DUMMYFUNCTION("""COMPUTED_VALUE"""),2026.0)</f>
        <v>2026</v>
      </c>
      <c r="D234" s="2">
        <f>IFERROR(__xludf.DUMMYFUNCTION("""COMPUTED_VALUE"""),46339.0)</f>
        <v>46339</v>
      </c>
      <c r="E234" s="2" t="str">
        <f>IFERROR(__xludf.DUMMYFUNCTION("""COMPUTED_VALUE"""),"VF")</f>
        <v>VF</v>
      </c>
      <c r="F234" s="2">
        <f>IFERROR(__xludf.DUMMYFUNCTION("""COMPUTED_VALUE"""),6.0)</f>
        <v>6</v>
      </c>
      <c r="G234" s="2" t="str">
        <f>IFERROR(__xludf.DUMMYFUNCTION("""COMPUTED_VALUE"""),"PR045")</f>
        <v>PR045</v>
      </c>
      <c r="H234" s="2" t="str">
        <f>IFERROR(__xludf.DUMMYFUNCTION("""COMPUTED_VALUE"""),"VD045")</f>
        <v>VD045</v>
      </c>
      <c r="I234" s="2">
        <f>IFERROR(__xludf.DUMMYFUNCTION("""COMPUTED_VALUE"""),6.0)</f>
        <v>6</v>
      </c>
      <c r="J234" s="2">
        <f>IFERROR(__xludf.DUMMYFUNCTION("""COMPUTED_VALUE"""),513.3)</f>
        <v>513.3</v>
      </c>
      <c r="K234" s="2">
        <f>IFERROR(__xludf.DUMMYFUNCTION("""COMPUTED_VALUE"""),513.3)</f>
        <v>513.3</v>
      </c>
    </row>
    <row r="235">
      <c r="A235" s="2">
        <f>IFERROR(__xludf.DUMMYFUNCTION("""COMPUTED_VALUE"""),2000.0)</f>
        <v>2000</v>
      </c>
      <c r="B235" s="2">
        <f>IFERROR(__xludf.DUMMYFUNCTION("""COMPUTED_VALUE"""),183632.0)</f>
        <v>183632</v>
      </c>
      <c r="C235" s="2">
        <f>IFERROR(__xludf.DUMMYFUNCTION("""COMPUTED_VALUE"""),2026.0)</f>
        <v>2026</v>
      </c>
      <c r="D235" s="2">
        <f>IFERROR(__xludf.DUMMYFUNCTION("""COMPUTED_VALUE"""),46338.0)</f>
        <v>46338</v>
      </c>
      <c r="E235" s="2" t="str">
        <f>IFERROR(__xludf.DUMMYFUNCTION("""COMPUTED_VALUE"""),"VF")</f>
        <v>VF</v>
      </c>
      <c r="F235" s="2">
        <f>IFERROR(__xludf.DUMMYFUNCTION("""COMPUTED_VALUE"""),1.0)</f>
        <v>1</v>
      </c>
      <c r="G235" s="2" t="str">
        <f>IFERROR(__xludf.DUMMYFUNCTION("""COMPUTED_VALUE"""),"PR037")</f>
        <v>PR037</v>
      </c>
      <c r="H235" s="2" t="str">
        <f>IFERROR(__xludf.DUMMYFUNCTION("""COMPUTED_VALUE"""),"VD021")</f>
        <v>VD021</v>
      </c>
      <c r="I235" s="2">
        <f>IFERROR(__xludf.DUMMYFUNCTION("""COMPUTED_VALUE"""),9.0)</f>
        <v>9</v>
      </c>
      <c r="J235" s="2">
        <f>IFERROR(__xludf.DUMMYFUNCTION("""COMPUTED_VALUE"""),1398.6)</f>
        <v>1398.6</v>
      </c>
      <c r="K235" s="2">
        <f>IFERROR(__xludf.DUMMYFUNCTION("""COMPUTED_VALUE"""),1398.6)</f>
        <v>1398.6</v>
      </c>
    </row>
    <row r="236">
      <c r="A236" s="2">
        <f>IFERROR(__xludf.DUMMYFUNCTION("""COMPUTED_VALUE"""),1000.0)</f>
        <v>1000</v>
      </c>
      <c r="B236" s="2">
        <f>IFERROR(__xludf.DUMMYFUNCTION("""COMPUTED_VALUE"""),183633.0)</f>
        <v>183633</v>
      </c>
      <c r="C236" s="2">
        <f>IFERROR(__xludf.DUMMYFUNCTION("""COMPUTED_VALUE"""),2026.0)</f>
        <v>2026</v>
      </c>
      <c r="D236" s="2">
        <f>IFERROR(__xludf.DUMMYFUNCTION("""COMPUTED_VALUE"""),46338.0)</f>
        <v>46338</v>
      </c>
      <c r="E236" s="2" t="str">
        <f>IFERROR(__xludf.DUMMYFUNCTION("""COMPUTED_VALUE"""),"VF")</f>
        <v>VF</v>
      </c>
      <c r="F236" s="2">
        <f>IFERROR(__xludf.DUMMYFUNCTION("""COMPUTED_VALUE"""),1.0)</f>
        <v>1</v>
      </c>
      <c r="G236" s="2" t="str">
        <f>IFERROR(__xludf.DUMMYFUNCTION("""COMPUTED_VALUE"""),"PR016")</f>
        <v>PR016</v>
      </c>
      <c r="H236" s="2" t="str">
        <f>IFERROR(__xludf.DUMMYFUNCTION("""COMPUTED_VALUE"""),"VD041")</f>
        <v>VD041</v>
      </c>
      <c r="I236" s="2">
        <f>IFERROR(__xludf.DUMMYFUNCTION("""COMPUTED_VALUE"""),2.0)</f>
        <v>2</v>
      </c>
      <c r="J236" s="2">
        <f>IFERROR(__xludf.DUMMYFUNCTION("""COMPUTED_VALUE"""),57.5)</f>
        <v>57.5</v>
      </c>
      <c r="K236" s="2">
        <f>IFERROR(__xludf.DUMMYFUNCTION("""COMPUTED_VALUE"""),57.5)</f>
        <v>57.5</v>
      </c>
    </row>
    <row r="237">
      <c r="A237" s="2">
        <f>IFERROR(__xludf.DUMMYFUNCTION("""COMPUTED_VALUE"""),1000.0)</f>
        <v>1000</v>
      </c>
      <c r="B237" s="2">
        <f>IFERROR(__xludf.DUMMYFUNCTION("""COMPUTED_VALUE"""),183634.0)</f>
        <v>183634</v>
      </c>
      <c r="C237" s="2">
        <f>IFERROR(__xludf.DUMMYFUNCTION("""COMPUTED_VALUE"""),2026.0)</f>
        <v>2026</v>
      </c>
      <c r="D237" s="2">
        <f>IFERROR(__xludf.DUMMYFUNCTION("""COMPUTED_VALUE"""),46338.0)</f>
        <v>46338</v>
      </c>
      <c r="E237" s="2" t="str">
        <f>IFERROR(__xludf.DUMMYFUNCTION("""COMPUTED_VALUE"""),"VF")</f>
        <v>VF</v>
      </c>
      <c r="F237" s="2">
        <f>IFERROR(__xludf.DUMMYFUNCTION("""COMPUTED_VALUE"""),1.0)</f>
        <v>1</v>
      </c>
      <c r="G237" s="2" t="str">
        <f>IFERROR(__xludf.DUMMYFUNCTION("""COMPUTED_VALUE"""),"PR053")</f>
        <v>PR053</v>
      </c>
      <c r="H237" s="2" t="str">
        <f>IFERROR(__xludf.DUMMYFUNCTION("""COMPUTED_VALUE"""),"VD013")</f>
        <v>VD013</v>
      </c>
      <c r="I237" s="2">
        <f>IFERROR(__xludf.DUMMYFUNCTION("""COMPUTED_VALUE"""),21.0)</f>
        <v>21</v>
      </c>
      <c r="J237" s="2">
        <f>IFERROR(__xludf.DUMMYFUNCTION("""COMPUTED_VALUE"""),1247.0)</f>
        <v>1247</v>
      </c>
      <c r="K237" s="2">
        <f>IFERROR(__xludf.DUMMYFUNCTION("""COMPUTED_VALUE"""),1247.0)</f>
        <v>1247</v>
      </c>
    </row>
    <row r="238">
      <c r="A238" s="2">
        <f>IFERROR(__xludf.DUMMYFUNCTION("""COMPUTED_VALUE"""),1000.0)</f>
        <v>1000</v>
      </c>
      <c r="B238" s="2">
        <f>IFERROR(__xludf.DUMMYFUNCTION("""COMPUTED_VALUE"""),183634.0)</f>
        <v>183634</v>
      </c>
      <c r="C238" s="2">
        <f>IFERROR(__xludf.DUMMYFUNCTION("""COMPUTED_VALUE"""),2026.0)</f>
        <v>2026</v>
      </c>
      <c r="D238" s="2">
        <f>IFERROR(__xludf.DUMMYFUNCTION("""COMPUTED_VALUE"""),46338.0)</f>
        <v>46338</v>
      </c>
      <c r="E238" s="2" t="str">
        <f>IFERROR(__xludf.DUMMYFUNCTION("""COMPUTED_VALUE"""),"VF")</f>
        <v>VF</v>
      </c>
      <c r="F238" s="2">
        <f>IFERROR(__xludf.DUMMYFUNCTION("""COMPUTED_VALUE"""),2.0)</f>
        <v>2</v>
      </c>
      <c r="G238" s="2" t="str">
        <f>IFERROR(__xludf.DUMMYFUNCTION("""COMPUTED_VALUE"""),"PR001")</f>
        <v>PR001</v>
      </c>
      <c r="H238" s="2" t="str">
        <f>IFERROR(__xludf.DUMMYFUNCTION("""COMPUTED_VALUE"""),"VD019")</f>
        <v>VD019</v>
      </c>
      <c r="I238" s="2">
        <f>IFERROR(__xludf.DUMMYFUNCTION("""COMPUTED_VALUE"""),21.0)</f>
        <v>21</v>
      </c>
      <c r="J238" s="2">
        <f>IFERROR(__xludf.DUMMYFUNCTION("""COMPUTED_VALUE"""),1577.65)</f>
        <v>1577.65</v>
      </c>
      <c r="K238" s="2">
        <f>IFERROR(__xludf.DUMMYFUNCTION("""COMPUTED_VALUE"""),1577.65)</f>
        <v>1577.65</v>
      </c>
    </row>
    <row r="239">
      <c r="A239" s="2">
        <f>IFERROR(__xludf.DUMMYFUNCTION("""COMPUTED_VALUE"""),1000.0)</f>
        <v>1000</v>
      </c>
      <c r="B239" s="2">
        <f>IFERROR(__xludf.DUMMYFUNCTION("""COMPUTED_VALUE"""),183635.0)</f>
        <v>183635</v>
      </c>
      <c r="C239" s="2">
        <f>IFERROR(__xludf.DUMMYFUNCTION("""COMPUTED_VALUE"""),2026.0)</f>
        <v>2026</v>
      </c>
      <c r="D239" s="2">
        <f>IFERROR(__xludf.DUMMYFUNCTION("""COMPUTED_VALUE"""),46338.0)</f>
        <v>46338</v>
      </c>
      <c r="E239" s="2" t="str">
        <f>IFERROR(__xludf.DUMMYFUNCTION("""COMPUTED_VALUE"""),"VF")</f>
        <v>VF</v>
      </c>
      <c r="F239" s="2">
        <f>IFERROR(__xludf.DUMMYFUNCTION("""COMPUTED_VALUE"""),1.0)</f>
        <v>1</v>
      </c>
      <c r="G239" s="2" t="str">
        <f>IFERROR(__xludf.DUMMYFUNCTION("""COMPUTED_VALUE"""),"PR052")</f>
        <v>PR052</v>
      </c>
      <c r="H239" s="2" t="str">
        <f>IFERROR(__xludf.DUMMYFUNCTION("""COMPUTED_VALUE"""),"VD032")</f>
        <v>VD032</v>
      </c>
      <c r="I239" s="2">
        <f>IFERROR(__xludf.DUMMYFUNCTION("""COMPUTED_VALUE"""),2.0)</f>
        <v>2</v>
      </c>
      <c r="J239" s="2">
        <f>IFERROR(__xludf.DUMMYFUNCTION("""COMPUTED_VALUE"""),114.77)</f>
        <v>114.77</v>
      </c>
      <c r="K239" s="2">
        <f>IFERROR(__xludf.DUMMYFUNCTION("""COMPUTED_VALUE"""),114.77)</f>
        <v>114.77</v>
      </c>
    </row>
    <row r="240">
      <c r="A240" s="2">
        <f>IFERROR(__xludf.DUMMYFUNCTION("""COMPUTED_VALUE"""),1000.0)</f>
        <v>1000</v>
      </c>
      <c r="B240" s="2">
        <f>IFERROR(__xludf.DUMMYFUNCTION("""COMPUTED_VALUE"""),183636.0)</f>
        <v>183636</v>
      </c>
      <c r="C240" s="2">
        <f>IFERROR(__xludf.DUMMYFUNCTION("""COMPUTED_VALUE"""),2026.0)</f>
        <v>2026</v>
      </c>
      <c r="D240" s="2">
        <f>IFERROR(__xludf.DUMMYFUNCTION("""COMPUTED_VALUE"""),46338.0)</f>
        <v>46338</v>
      </c>
      <c r="E240" s="2" t="str">
        <f>IFERROR(__xludf.DUMMYFUNCTION("""COMPUTED_VALUE"""),"VF")</f>
        <v>VF</v>
      </c>
      <c r="F240" s="2">
        <f>IFERROR(__xludf.DUMMYFUNCTION("""COMPUTED_VALUE"""),1.0)</f>
        <v>1</v>
      </c>
      <c r="G240" s="2" t="str">
        <f>IFERROR(__xludf.DUMMYFUNCTION("""COMPUTED_VALUE"""),"PR027")</f>
        <v>PR027</v>
      </c>
      <c r="H240" s="2" t="str">
        <f>IFERROR(__xludf.DUMMYFUNCTION("""COMPUTED_VALUE"""),"VD018")</f>
        <v>VD018</v>
      </c>
      <c r="I240" s="2">
        <f>IFERROR(__xludf.DUMMYFUNCTION("""COMPUTED_VALUE"""),8.0)</f>
        <v>8</v>
      </c>
      <c r="J240" s="2">
        <f>IFERROR(__xludf.DUMMYFUNCTION("""COMPUTED_VALUE"""),1056.0)</f>
        <v>1056</v>
      </c>
      <c r="K240" s="2">
        <f>IFERROR(__xludf.DUMMYFUNCTION("""COMPUTED_VALUE"""),1056.0)</f>
        <v>1056</v>
      </c>
    </row>
    <row r="241">
      <c r="A241" s="2">
        <f>IFERROR(__xludf.DUMMYFUNCTION("""COMPUTED_VALUE"""),1000.0)</f>
        <v>1000</v>
      </c>
      <c r="B241" s="2">
        <f>IFERROR(__xludf.DUMMYFUNCTION("""COMPUTED_VALUE"""),183637.0)</f>
        <v>183637</v>
      </c>
      <c r="C241" s="2">
        <f>IFERROR(__xludf.DUMMYFUNCTION("""COMPUTED_VALUE"""),2026.0)</f>
        <v>2026</v>
      </c>
      <c r="D241" s="2">
        <f>IFERROR(__xludf.DUMMYFUNCTION("""COMPUTED_VALUE"""),46338.0)</f>
        <v>46338</v>
      </c>
      <c r="E241" s="2" t="str">
        <f>IFERROR(__xludf.DUMMYFUNCTION("""COMPUTED_VALUE"""),"VF")</f>
        <v>VF</v>
      </c>
      <c r="F241" s="2">
        <f>IFERROR(__xludf.DUMMYFUNCTION("""COMPUTED_VALUE"""),1.0)</f>
        <v>1</v>
      </c>
      <c r="G241" s="2" t="str">
        <f>IFERROR(__xludf.DUMMYFUNCTION("""COMPUTED_VALUE"""),"PR049")</f>
        <v>PR049</v>
      </c>
      <c r="H241" s="2" t="str">
        <f>IFERROR(__xludf.DUMMYFUNCTION("""COMPUTED_VALUE"""),"VD013")</f>
        <v>VD013</v>
      </c>
      <c r="I241" s="2">
        <f>IFERROR(__xludf.DUMMYFUNCTION("""COMPUTED_VALUE"""),14.0)</f>
        <v>14</v>
      </c>
      <c r="J241" s="2">
        <f>IFERROR(__xludf.DUMMYFUNCTION("""COMPUTED_VALUE"""),515.87)</f>
        <v>515.87</v>
      </c>
      <c r="K241" s="2">
        <f>IFERROR(__xludf.DUMMYFUNCTION("""COMPUTED_VALUE"""),515.87)</f>
        <v>515.87</v>
      </c>
    </row>
    <row r="242">
      <c r="A242" s="2">
        <f>IFERROR(__xludf.DUMMYFUNCTION("""COMPUTED_VALUE"""),1000.0)</f>
        <v>1000</v>
      </c>
      <c r="B242" s="2">
        <f>IFERROR(__xludf.DUMMYFUNCTION("""COMPUTED_VALUE"""),183638.0)</f>
        <v>183638</v>
      </c>
      <c r="C242" s="2">
        <f>IFERROR(__xludf.DUMMYFUNCTION("""COMPUTED_VALUE"""),2026.0)</f>
        <v>2026</v>
      </c>
      <c r="D242" s="2">
        <f>IFERROR(__xludf.DUMMYFUNCTION("""COMPUTED_VALUE"""),46337.0)</f>
        <v>46337</v>
      </c>
      <c r="E242" s="2" t="str">
        <f>IFERROR(__xludf.DUMMYFUNCTION("""COMPUTED_VALUE"""),"VF")</f>
        <v>VF</v>
      </c>
      <c r="F242" s="2">
        <f>IFERROR(__xludf.DUMMYFUNCTION("""COMPUTED_VALUE"""),1.0)</f>
        <v>1</v>
      </c>
      <c r="G242" s="2" t="str">
        <f>IFERROR(__xludf.DUMMYFUNCTION("""COMPUTED_VALUE"""),"PR021")</f>
        <v>PR021</v>
      </c>
      <c r="H242" s="2" t="str">
        <f>IFERROR(__xludf.DUMMYFUNCTION("""COMPUTED_VALUE"""),"VD035")</f>
        <v>VD035</v>
      </c>
      <c r="I242" s="2">
        <f>IFERROR(__xludf.DUMMYFUNCTION("""COMPUTED_VALUE"""),7.0)</f>
        <v>7</v>
      </c>
      <c r="J242" s="2">
        <f>IFERROR(__xludf.DUMMYFUNCTION("""COMPUTED_VALUE"""),2417.14)</f>
        <v>2417.14</v>
      </c>
      <c r="K242" s="2">
        <f>IFERROR(__xludf.DUMMYFUNCTION("""COMPUTED_VALUE"""),2417.14)</f>
        <v>2417.14</v>
      </c>
    </row>
    <row r="243">
      <c r="A243" s="2">
        <f>IFERROR(__xludf.DUMMYFUNCTION("""COMPUTED_VALUE"""),1000.0)</f>
        <v>1000</v>
      </c>
      <c r="B243" s="2">
        <f>IFERROR(__xludf.DUMMYFUNCTION("""COMPUTED_VALUE"""),183639.0)</f>
        <v>183639</v>
      </c>
      <c r="C243" s="2">
        <f>IFERROR(__xludf.DUMMYFUNCTION("""COMPUTED_VALUE"""),2026.0)</f>
        <v>2026</v>
      </c>
      <c r="D243" s="2">
        <f>IFERROR(__xludf.DUMMYFUNCTION("""COMPUTED_VALUE"""),46337.0)</f>
        <v>46337</v>
      </c>
      <c r="E243" s="2" t="str">
        <f>IFERROR(__xludf.DUMMYFUNCTION("""COMPUTED_VALUE"""),"VF")</f>
        <v>VF</v>
      </c>
      <c r="F243" s="2">
        <f>IFERROR(__xludf.DUMMYFUNCTION("""COMPUTED_VALUE"""),1.0)</f>
        <v>1</v>
      </c>
      <c r="G243" s="2" t="str">
        <f>IFERROR(__xludf.DUMMYFUNCTION("""COMPUTED_VALUE"""),"PR055")</f>
        <v>PR055</v>
      </c>
      <c r="H243" s="2" t="str">
        <f>IFERROR(__xludf.DUMMYFUNCTION("""COMPUTED_VALUE"""),"VD030")</f>
        <v>VD030</v>
      </c>
      <c r="I243" s="2">
        <f>IFERROR(__xludf.DUMMYFUNCTION("""COMPUTED_VALUE"""),10.0)</f>
        <v>10</v>
      </c>
      <c r="J243" s="2">
        <f>IFERROR(__xludf.DUMMYFUNCTION("""COMPUTED_VALUE"""),1024.86)</f>
        <v>1024.86</v>
      </c>
      <c r="K243" s="2">
        <f>IFERROR(__xludf.DUMMYFUNCTION("""COMPUTED_VALUE"""),1024.86)</f>
        <v>1024.86</v>
      </c>
    </row>
    <row r="244">
      <c r="A244" s="2">
        <f>IFERROR(__xludf.DUMMYFUNCTION("""COMPUTED_VALUE"""),2000.0)</f>
        <v>2000</v>
      </c>
      <c r="B244" s="2">
        <f>IFERROR(__xludf.DUMMYFUNCTION("""COMPUTED_VALUE"""),183640.0)</f>
        <v>183640</v>
      </c>
      <c r="C244" s="2">
        <f>IFERROR(__xludf.DUMMYFUNCTION("""COMPUTED_VALUE"""),2026.0)</f>
        <v>2026</v>
      </c>
      <c r="D244" s="2">
        <f>IFERROR(__xludf.DUMMYFUNCTION("""COMPUTED_VALUE"""),46337.0)</f>
        <v>46337</v>
      </c>
      <c r="E244" s="2" t="str">
        <f>IFERROR(__xludf.DUMMYFUNCTION("""COMPUTED_VALUE"""),"VF")</f>
        <v>VF</v>
      </c>
      <c r="F244" s="2">
        <f>IFERROR(__xludf.DUMMYFUNCTION("""COMPUTED_VALUE"""),1.0)</f>
        <v>1</v>
      </c>
      <c r="G244" s="2" t="str">
        <f>IFERROR(__xludf.DUMMYFUNCTION("""COMPUTED_VALUE"""),"PR022")</f>
        <v>PR022</v>
      </c>
      <c r="H244" s="2" t="str">
        <f>IFERROR(__xludf.DUMMYFUNCTION("""COMPUTED_VALUE"""),"VD022")</f>
        <v>VD022</v>
      </c>
      <c r="I244" s="2">
        <f>IFERROR(__xludf.DUMMYFUNCTION("""COMPUTED_VALUE"""),8.0)</f>
        <v>8</v>
      </c>
      <c r="J244" s="2">
        <f>IFERROR(__xludf.DUMMYFUNCTION("""COMPUTED_VALUE"""),2712.0)</f>
        <v>2712</v>
      </c>
      <c r="K244" s="2">
        <f>IFERROR(__xludf.DUMMYFUNCTION("""COMPUTED_VALUE"""),2712.0)</f>
        <v>2712</v>
      </c>
    </row>
    <row r="245">
      <c r="A245" s="2">
        <f>IFERROR(__xludf.DUMMYFUNCTION("""COMPUTED_VALUE"""),1000.0)</f>
        <v>1000</v>
      </c>
      <c r="B245" s="2">
        <f>IFERROR(__xludf.DUMMYFUNCTION("""COMPUTED_VALUE"""),183641.0)</f>
        <v>183641</v>
      </c>
      <c r="C245" s="2">
        <f>IFERROR(__xludf.DUMMYFUNCTION("""COMPUTED_VALUE"""),2026.0)</f>
        <v>2026</v>
      </c>
      <c r="D245" s="2">
        <f>IFERROR(__xludf.DUMMYFUNCTION("""COMPUTED_VALUE"""),46337.0)</f>
        <v>46337</v>
      </c>
      <c r="E245" s="2" t="str">
        <f>IFERROR(__xludf.DUMMYFUNCTION("""COMPUTED_VALUE"""),"VF")</f>
        <v>VF</v>
      </c>
      <c r="F245" s="2">
        <f>IFERROR(__xludf.DUMMYFUNCTION("""COMPUTED_VALUE"""),1.0)</f>
        <v>1</v>
      </c>
      <c r="G245" s="2" t="str">
        <f>IFERROR(__xludf.DUMMYFUNCTION("""COMPUTED_VALUE"""),"PR043")</f>
        <v>PR043</v>
      </c>
      <c r="H245" s="2" t="str">
        <f>IFERROR(__xludf.DUMMYFUNCTION("""COMPUTED_VALUE"""),"VD037")</f>
        <v>VD037</v>
      </c>
      <c r="I245" s="2">
        <f>IFERROR(__xludf.DUMMYFUNCTION("""COMPUTED_VALUE"""),27.0)</f>
        <v>27</v>
      </c>
      <c r="J245" s="2">
        <f>IFERROR(__xludf.DUMMYFUNCTION("""COMPUTED_VALUE"""),2349.0)</f>
        <v>2349</v>
      </c>
      <c r="K245" s="2">
        <f>IFERROR(__xludf.DUMMYFUNCTION("""COMPUTED_VALUE"""),2349.0)</f>
        <v>2349</v>
      </c>
    </row>
    <row r="246">
      <c r="A246" s="2">
        <f>IFERROR(__xludf.DUMMYFUNCTION("""COMPUTED_VALUE"""),1000.0)</f>
        <v>1000</v>
      </c>
      <c r="B246" s="2">
        <f>IFERROR(__xludf.DUMMYFUNCTION("""COMPUTED_VALUE"""),183641.0)</f>
        <v>183641</v>
      </c>
      <c r="C246" s="2">
        <f>IFERROR(__xludf.DUMMYFUNCTION("""COMPUTED_VALUE"""),2026.0)</f>
        <v>2026</v>
      </c>
      <c r="D246" s="2">
        <f>IFERROR(__xludf.DUMMYFUNCTION("""COMPUTED_VALUE"""),46337.0)</f>
        <v>46337</v>
      </c>
      <c r="E246" s="2" t="str">
        <f>IFERROR(__xludf.DUMMYFUNCTION("""COMPUTED_VALUE"""),"VF")</f>
        <v>VF</v>
      </c>
      <c r="F246" s="2">
        <f>IFERROR(__xludf.DUMMYFUNCTION("""COMPUTED_VALUE"""),2.0)</f>
        <v>2</v>
      </c>
      <c r="G246" s="2" t="str">
        <f>IFERROR(__xludf.DUMMYFUNCTION("""COMPUTED_VALUE"""),"PR008")</f>
        <v>PR008</v>
      </c>
      <c r="H246" s="2" t="str">
        <f>IFERROR(__xludf.DUMMYFUNCTION("""COMPUTED_VALUE"""),"VD023")</f>
        <v>VD023</v>
      </c>
      <c r="I246" s="2">
        <f>IFERROR(__xludf.DUMMYFUNCTION("""COMPUTED_VALUE"""),6.0)</f>
        <v>6</v>
      </c>
      <c r="J246" s="2">
        <f>IFERROR(__xludf.DUMMYFUNCTION("""COMPUTED_VALUE"""),593.34)</f>
        <v>593.34</v>
      </c>
      <c r="K246" s="2">
        <f>IFERROR(__xludf.DUMMYFUNCTION("""COMPUTED_VALUE"""),593.34)</f>
        <v>593.34</v>
      </c>
    </row>
    <row r="247">
      <c r="A247" s="2">
        <f>IFERROR(__xludf.DUMMYFUNCTION("""COMPUTED_VALUE"""),1000.0)</f>
        <v>1000</v>
      </c>
      <c r="B247" s="2">
        <f>IFERROR(__xludf.DUMMYFUNCTION("""COMPUTED_VALUE"""),183641.0)</f>
        <v>183641</v>
      </c>
      <c r="C247" s="2">
        <f>IFERROR(__xludf.DUMMYFUNCTION("""COMPUTED_VALUE"""),2026.0)</f>
        <v>2026</v>
      </c>
      <c r="D247" s="2">
        <f>IFERROR(__xludf.DUMMYFUNCTION("""COMPUTED_VALUE"""),46337.0)</f>
        <v>46337</v>
      </c>
      <c r="E247" s="2" t="str">
        <f>IFERROR(__xludf.DUMMYFUNCTION("""COMPUTED_VALUE"""),"VF")</f>
        <v>VF</v>
      </c>
      <c r="F247" s="2">
        <f>IFERROR(__xludf.DUMMYFUNCTION("""COMPUTED_VALUE"""),3.0)</f>
        <v>3</v>
      </c>
      <c r="G247" s="2" t="str">
        <f>IFERROR(__xludf.DUMMYFUNCTION("""COMPUTED_VALUE"""),"PR004")</f>
        <v>PR004</v>
      </c>
      <c r="H247" s="2" t="str">
        <f>IFERROR(__xludf.DUMMYFUNCTION("""COMPUTED_VALUE"""),"VD017")</f>
        <v>VD017</v>
      </c>
      <c r="I247" s="2">
        <f>IFERROR(__xludf.DUMMYFUNCTION("""COMPUTED_VALUE"""),3.0)</f>
        <v>3</v>
      </c>
      <c r="J247" s="2">
        <f>IFERROR(__xludf.DUMMYFUNCTION("""COMPUTED_VALUE"""),491.55)</f>
        <v>491.55</v>
      </c>
      <c r="K247" s="2">
        <f>IFERROR(__xludf.DUMMYFUNCTION("""COMPUTED_VALUE"""),491.55)</f>
        <v>491.55</v>
      </c>
    </row>
    <row r="248">
      <c r="A248" s="2">
        <f>IFERROR(__xludf.DUMMYFUNCTION("""COMPUTED_VALUE"""),1000.0)</f>
        <v>1000</v>
      </c>
      <c r="B248" s="2">
        <f>IFERROR(__xludf.DUMMYFUNCTION("""COMPUTED_VALUE"""),183642.0)</f>
        <v>183642</v>
      </c>
      <c r="C248" s="2">
        <f>IFERROR(__xludf.DUMMYFUNCTION("""COMPUTED_VALUE"""),2026.0)</f>
        <v>2026</v>
      </c>
      <c r="D248" s="2">
        <f>IFERROR(__xludf.DUMMYFUNCTION("""COMPUTED_VALUE"""),46337.0)</f>
        <v>46337</v>
      </c>
      <c r="E248" s="2" t="str">
        <f>IFERROR(__xludf.DUMMYFUNCTION("""COMPUTED_VALUE"""),"VF")</f>
        <v>VF</v>
      </c>
      <c r="F248" s="2">
        <f>IFERROR(__xludf.DUMMYFUNCTION("""COMPUTED_VALUE"""),1.0)</f>
        <v>1</v>
      </c>
      <c r="G248" s="2" t="str">
        <f>IFERROR(__xludf.DUMMYFUNCTION("""COMPUTED_VALUE"""),"PR012")</f>
        <v>PR012</v>
      </c>
      <c r="H248" s="2" t="str">
        <f>IFERROR(__xludf.DUMMYFUNCTION("""COMPUTED_VALUE"""),"VD039")</f>
        <v>VD039</v>
      </c>
      <c r="I248" s="2">
        <f>IFERROR(__xludf.DUMMYFUNCTION("""COMPUTED_VALUE"""),2.0)</f>
        <v>2</v>
      </c>
      <c r="J248" s="2">
        <f>IFERROR(__xludf.DUMMYFUNCTION("""COMPUTED_VALUE"""),113.45)</f>
        <v>113.45</v>
      </c>
      <c r="K248" s="2">
        <f>IFERROR(__xludf.DUMMYFUNCTION("""COMPUTED_VALUE"""),113.45)</f>
        <v>113.45</v>
      </c>
    </row>
    <row r="249">
      <c r="A249" s="2">
        <f>IFERROR(__xludf.DUMMYFUNCTION("""COMPUTED_VALUE"""),1000.0)</f>
        <v>1000</v>
      </c>
      <c r="B249" s="2">
        <f>IFERROR(__xludf.DUMMYFUNCTION("""COMPUTED_VALUE"""),183643.0)</f>
        <v>183643</v>
      </c>
      <c r="C249" s="2">
        <f>IFERROR(__xludf.DUMMYFUNCTION("""COMPUTED_VALUE"""),2026.0)</f>
        <v>2026</v>
      </c>
      <c r="D249" s="2">
        <f>IFERROR(__xludf.DUMMYFUNCTION("""COMPUTED_VALUE"""),46337.0)</f>
        <v>46337</v>
      </c>
      <c r="E249" s="2" t="str">
        <f>IFERROR(__xludf.DUMMYFUNCTION("""COMPUTED_VALUE"""),"VF")</f>
        <v>VF</v>
      </c>
      <c r="F249" s="2">
        <f>IFERROR(__xludf.DUMMYFUNCTION("""COMPUTED_VALUE"""),1.0)</f>
        <v>1</v>
      </c>
      <c r="G249" s="2" t="str">
        <f>IFERROR(__xludf.DUMMYFUNCTION("""COMPUTED_VALUE"""),"PR024")</f>
        <v>PR024</v>
      </c>
      <c r="H249" s="2" t="str">
        <f>IFERROR(__xludf.DUMMYFUNCTION("""COMPUTED_VALUE"""),"VD032")</f>
        <v>VD032</v>
      </c>
      <c r="I249" s="2">
        <f>IFERROR(__xludf.DUMMYFUNCTION("""COMPUTED_VALUE"""),18.0)</f>
        <v>18</v>
      </c>
      <c r="J249" s="2">
        <f>IFERROR(__xludf.DUMMYFUNCTION("""COMPUTED_VALUE"""),5192.8)</f>
        <v>5192.8</v>
      </c>
      <c r="K249" s="2">
        <f>IFERROR(__xludf.DUMMYFUNCTION("""COMPUTED_VALUE"""),5192.8)</f>
        <v>5192.8</v>
      </c>
    </row>
    <row r="250">
      <c r="A250" s="2">
        <f>IFERROR(__xludf.DUMMYFUNCTION("""COMPUTED_VALUE"""),1000.0)</f>
        <v>1000</v>
      </c>
      <c r="B250" s="2">
        <f>IFERROR(__xludf.DUMMYFUNCTION("""COMPUTED_VALUE"""),183643.0)</f>
        <v>183643</v>
      </c>
      <c r="C250" s="2">
        <f>IFERROR(__xludf.DUMMYFUNCTION("""COMPUTED_VALUE"""),2026.0)</f>
        <v>2026</v>
      </c>
      <c r="D250" s="2">
        <f>IFERROR(__xludf.DUMMYFUNCTION("""COMPUTED_VALUE"""),46337.0)</f>
        <v>46337</v>
      </c>
      <c r="E250" s="2" t="str">
        <f>IFERROR(__xludf.DUMMYFUNCTION("""COMPUTED_VALUE"""),"VF")</f>
        <v>VF</v>
      </c>
      <c r="F250" s="2">
        <f>IFERROR(__xludf.DUMMYFUNCTION("""COMPUTED_VALUE"""),2.0)</f>
        <v>2</v>
      </c>
      <c r="G250" s="2" t="str">
        <f>IFERROR(__xludf.DUMMYFUNCTION("""COMPUTED_VALUE"""),"PR047")</f>
        <v>PR047</v>
      </c>
      <c r="H250" s="2" t="str">
        <f>IFERROR(__xludf.DUMMYFUNCTION("""COMPUTED_VALUE"""),"VD045")</f>
        <v>VD045</v>
      </c>
      <c r="I250" s="2">
        <f>IFERROR(__xludf.DUMMYFUNCTION("""COMPUTED_VALUE"""),8.0)</f>
        <v>8</v>
      </c>
      <c r="J250" s="2">
        <f>IFERROR(__xludf.DUMMYFUNCTION("""COMPUTED_VALUE"""),2736.66)</f>
        <v>2736.66</v>
      </c>
      <c r="K250" s="2">
        <f>IFERROR(__xludf.DUMMYFUNCTION("""COMPUTED_VALUE"""),2736.66)</f>
        <v>2736.66</v>
      </c>
    </row>
    <row r="251">
      <c r="A251" s="2">
        <f>IFERROR(__xludf.DUMMYFUNCTION("""COMPUTED_VALUE"""),1000.0)</f>
        <v>1000</v>
      </c>
      <c r="B251" s="2">
        <f>IFERROR(__xludf.DUMMYFUNCTION("""COMPUTED_VALUE"""),183643.0)</f>
        <v>183643</v>
      </c>
      <c r="C251" s="2">
        <f>IFERROR(__xludf.DUMMYFUNCTION("""COMPUTED_VALUE"""),2026.0)</f>
        <v>2026</v>
      </c>
      <c r="D251" s="2">
        <f>IFERROR(__xludf.DUMMYFUNCTION("""COMPUTED_VALUE"""),46337.0)</f>
        <v>46337</v>
      </c>
      <c r="E251" s="2" t="str">
        <f>IFERROR(__xludf.DUMMYFUNCTION("""COMPUTED_VALUE"""),"VF")</f>
        <v>VF</v>
      </c>
      <c r="F251" s="2">
        <f>IFERROR(__xludf.DUMMYFUNCTION("""COMPUTED_VALUE"""),3.0)</f>
        <v>3</v>
      </c>
      <c r="G251" s="2" t="str">
        <f>IFERROR(__xludf.DUMMYFUNCTION("""COMPUTED_VALUE"""),"PR030")</f>
        <v>PR030</v>
      </c>
      <c r="H251" s="2" t="str">
        <f>IFERROR(__xludf.DUMMYFUNCTION("""COMPUTED_VALUE"""),"VD022")</f>
        <v>VD022</v>
      </c>
      <c r="I251" s="2">
        <f>IFERROR(__xludf.DUMMYFUNCTION("""COMPUTED_VALUE"""),6.0)</f>
        <v>6</v>
      </c>
      <c r="J251" s="2">
        <f>IFERROR(__xludf.DUMMYFUNCTION("""COMPUTED_VALUE"""),1730.93)</f>
        <v>1730.93</v>
      </c>
      <c r="K251" s="2">
        <f>IFERROR(__xludf.DUMMYFUNCTION("""COMPUTED_VALUE"""),1730.93)</f>
        <v>1730.93</v>
      </c>
    </row>
    <row r="252">
      <c r="A252" s="2">
        <f>IFERROR(__xludf.DUMMYFUNCTION("""COMPUTED_VALUE"""),2000.0)</f>
        <v>2000</v>
      </c>
      <c r="B252" s="2">
        <f>IFERROR(__xludf.DUMMYFUNCTION("""COMPUTED_VALUE"""),183643.0)</f>
        <v>183643</v>
      </c>
      <c r="C252" s="2">
        <f>IFERROR(__xludf.DUMMYFUNCTION("""COMPUTED_VALUE"""),2026.0)</f>
        <v>2026</v>
      </c>
      <c r="D252" s="2">
        <f>IFERROR(__xludf.DUMMYFUNCTION("""COMPUTED_VALUE"""),46336.0)</f>
        <v>46336</v>
      </c>
      <c r="E252" s="2" t="str">
        <f>IFERROR(__xludf.DUMMYFUNCTION("""COMPUTED_VALUE"""),"VF")</f>
        <v>VF</v>
      </c>
      <c r="F252" s="2">
        <f>IFERROR(__xludf.DUMMYFUNCTION("""COMPUTED_VALUE"""),4.0)</f>
        <v>4</v>
      </c>
      <c r="G252" s="2" t="str">
        <f>IFERROR(__xludf.DUMMYFUNCTION("""COMPUTED_VALUE"""),"PR006")</f>
        <v>PR006</v>
      </c>
      <c r="H252" s="2" t="str">
        <f>IFERROR(__xludf.DUMMYFUNCTION("""COMPUTED_VALUE"""),"VD032")</f>
        <v>VD032</v>
      </c>
      <c r="I252" s="2">
        <f>IFERROR(__xludf.DUMMYFUNCTION("""COMPUTED_VALUE"""),7.0)</f>
        <v>7</v>
      </c>
      <c r="J252" s="2">
        <f>IFERROR(__xludf.DUMMYFUNCTION("""COMPUTED_VALUE"""),318.4)</f>
        <v>318.4</v>
      </c>
      <c r="K252" s="2">
        <f>IFERROR(__xludf.DUMMYFUNCTION("""COMPUTED_VALUE"""),318.4)</f>
        <v>318.4</v>
      </c>
    </row>
    <row r="253">
      <c r="A253" s="2">
        <f>IFERROR(__xludf.DUMMYFUNCTION("""COMPUTED_VALUE"""),1000.0)</f>
        <v>1000</v>
      </c>
      <c r="B253" s="2">
        <f>IFERROR(__xludf.DUMMYFUNCTION("""COMPUTED_VALUE"""),183644.0)</f>
        <v>183644</v>
      </c>
      <c r="C253" s="2">
        <f>IFERROR(__xludf.DUMMYFUNCTION("""COMPUTED_VALUE"""),2026.0)</f>
        <v>2026</v>
      </c>
      <c r="D253" s="2">
        <f>IFERROR(__xludf.DUMMYFUNCTION("""COMPUTED_VALUE"""),46336.0)</f>
        <v>46336</v>
      </c>
      <c r="E253" s="2" t="str">
        <f>IFERROR(__xludf.DUMMYFUNCTION("""COMPUTED_VALUE"""),"VF")</f>
        <v>VF</v>
      </c>
      <c r="F253" s="2">
        <f>IFERROR(__xludf.DUMMYFUNCTION("""COMPUTED_VALUE"""),1.0)</f>
        <v>1</v>
      </c>
      <c r="G253" s="2" t="str">
        <f>IFERROR(__xludf.DUMMYFUNCTION("""COMPUTED_VALUE"""),"PR032")</f>
        <v>PR032</v>
      </c>
      <c r="H253" s="2" t="str">
        <f>IFERROR(__xludf.DUMMYFUNCTION("""COMPUTED_VALUE"""),"VD014")</f>
        <v>VD014</v>
      </c>
      <c r="I253" s="2">
        <f>IFERROR(__xludf.DUMMYFUNCTION("""COMPUTED_VALUE"""),6.0)</f>
        <v>6</v>
      </c>
      <c r="J253" s="2">
        <f>IFERROR(__xludf.DUMMYFUNCTION("""COMPUTED_VALUE"""),1800.0)</f>
        <v>1800</v>
      </c>
      <c r="K253" s="2">
        <f>IFERROR(__xludf.DUMMYFUNCTION("""COMPUTED_VALUE"""),1800.0)</f>
        <v>1800</v>
      </c>
    </row>
    <row r="254">
      <c r="A254" s="2">
        <f>IFERROR(__xludf.DUMMYFUNCTION("""COMPUTED_VALUE"""),1000.0)</f>
        <v>1000</v>
      </c>
      <c r="B254" s="2">
        <f>IFERROR(__xludf.DUMMYFUNCTION("""COMPUTED_VALUE"""),183644.0)</f>
        <v>183644</v>
      </c>
      <c r="C254" s="2">
        <f>IFERROR(__xludf.DUMMYFUNCTION("""COMPUTED_VALUE"""),2026.0)</f>
        <v>2026</v>
      </c>
      <c r="D254" s="2">
        <f>IFERROR(__xludf.DUMMYFUNCTION("""COMPUTED_VALUE"""),46336.0)</f>
        <v>46336</v>
      </c>
      <c r="E254" s="2" t="str">
        <f>IFERROR(__xludf.DUMMYFUNCTION("""COMPUTED_VALUE"""),"VF")</f>
        <v>VF</v>
      </c>
      <c r="F254" s="2">
        <f>IFERROR(__xludf.DUMMYFUNCTION("""COMPUTED_VALUE"""),2.0)</f>
        <v>2</v>
      </c>
      <c r="G254" s="2" t="str">
        <f>IFERROR(__xludf.DUMMYFUNCTION("""COMPUTED_VALUE"""),"PR031")</f>
        <v>PR031</v>
      </c>
      <c r="H254" s="2" t="str">
        <f>IFERROR(__xludf.DUMMYFUNCTION("""COMPUTED_VALUE"""),"VD038")</f>
        <v>VD038</v>
      </c>
      <c r="I254" s="2">
        <f>IFERROR(__xludf.DUMMYFUNCTION("""COMPUTED_VALUE"""),16.0)</f>
        <v>16</v>
      </c>
      <c r="J254" s="2">
        <f>IFERROR(__xludf.DUMMYFUNCTION("""COMPUTED_VALUE"""),4664.8)</f>
        <v>4664.8</v>
      </c>
      <c r="K254" s="2">
        <f>IFERROR(__xludf.DUMMYFUNCTION("""COMPUTED_VALUE"""),4664.8)</f>
        <v>4664.8</v>
      </c>
    </row>
    <row r="255">
      <c r="A255" s="2">
        <f>IFERROR(__xludf.DUMMYFUNCTION("""COMPUTED_VALUE"""),1000.0)</f>
        <v>1000</v>
      </c>
      <c r="B255" s="2">
        <f>IFERROR(__xludf.DUMMYFUNCTION("""COMPUTED_VALUE"""),183645.0)</f>
        <v>183645</v>
      </c>
      <c r="C255" s="2">
        <f>IFERROR(__xludf.DUMMYFUNCTION("""COMPUTED_VALUE"""),2026.0)</f>
        <v>2026</v>
      </c>
      <c r="D255" s="2">
        <f>IFERROR(__xludf.DUMMYFUNCTION("""COMPUTED_VALUE"""),46335.0)</f>
        <v>46335</v>
      </c>
      <c r="E255" s="2" t="str">
        <f>IFERROR(__xludf.DUMMYFUNCTION("""COMPUTED_VALUE"""),"VF")</f>
        <v>VF</v>
      </c>
      <c r="F255" s="2">
        <f>IFERROR(__xludf.DUMMYFUNCTION("""COMPUTED_VALUE"""),1.0)</f>
        <v>1</v>
      </c>
      <c r="G255" s="2" t="str">
        <f>IFERROR(__xludf.DUMMYFUNCTION("""COMPUTED_VALUE"""),"PR029")</f>
        <v>PR029</v>
      </c>
      <c r="H255" s="2" t="str">
        <f>IFERROR(__xludf.DUMMYFUNCTION("""COMPUTED_VALUE"""),"VD027")</f>
        <v>VD027</v>
      </c>
      <c r="I255" s="2">
        <f>IFERROR(__xludf.DUMMYFUNCTION("""COMPUTED_VALUE"""),8.0)</f>
        <v>8</v>
      </c>
      <c r="J255" s="2">
        <f>IFERROR(__xludf.DUMMYFUNCTION("""COMPUTED_VALUE"""),2427.6)</f>
        <v>2427.6</v>
      </c>
      <c r="K255" s="2">
        <f>IFERROR(__xludf.DUMMYFUNCTION("""COMPUTED_VALUE"""),2427.6)</f>
        <v>2427.6</v>
      </c>
    </row>
    <row r="256">
      <c r="A256" s="2">
        <f>IFERROR(__xludf.DUMMYFUNCTION("""COMPUTED_VALUE"""),2000.0)</f>
        <v>2000</v>
      </c>
      <c r="B256" s="2">
        <f>IFERROR(__xludf.DUMMYFUNCTION("""COMPUTED_VALUE"""),183646.0)</f>
        <v>183646</v>
      </c>
      <c r="C256" s="2">
        <f>IFERROR(__xludf.DUMMYFUNCTION("""COMPUTED_VALUE"""),2026.0)</f>
        <v>2026</v>
      </c>
      <c r="D256" s="2">
        <f>IFERROR(__xludf.DUMMYFUNCTION("""COMPUTED_VALUE"""),46335.0)</f>
        <v>46335</v>
      </c>
      <c r="E256" s="2" t="str">
        <f>IFERROR(__xludf.DUMMYFUNCTION("""COMPUTED_VALUE"""),"VF")</f>
        <v>VF</v>
      </c>
      <c r="F256" s="2">
        <f>IFERROR(__xludf.DUMMYFUNCTION("""COMPUTED_VALUE"""),1.0)</f>
        <v>1</v>
      </c>
      <c r="G256" s="2" t="str">
        <f>IFERROR(__xludf.DUMMYFUNCTION("""COMPUTED_VALUE"""),"PR021")</f>
        <v>PR021</v>
      </c>
      <c r="H256" s="2" t="str">
        <f>IFERROR(__xludf.DUMMYFUNCTION("""COMPUTED_VALUE"""),"VD011")</f>
        <v>VD011</v>
      </c>
      <c r="I256" s="2">
        <f>IFERROR(__xludf.DUMMYFUNCTION("""COMPUTED_VALUE"""),5.0)</f>
        <v>5</v>
      </c>
      <c r="J256" s="2">
        <f>IFERROR(__xludf.DUMMYFUNCTION("""COMPUTED_VALUE"""),1696.24)</f>
        <v>1696.24</v>
      </c>
      <c r="K256" s="2">
        <f>IFERROR(__xludf.DUMMYFUNCTION("""COMPUTED_VALUE"""),1696.24)</f>
        <v>1696.24</v>
      </c>
    </row>
    <row r="257">
      <c r="A257" s="2">
        <f>IFERROR(__xludf.DUMMYFUNCTION("""COMPUTED_VALUE"""),1000.0)</f>
        <v>1000</v>
      </c>
      <c r="B257" s="2">
        <f>IFERROR(__xludf.DUMMYFUNCTION("""COMPUTED_VALUE"""),183647.0)</f>
        <v>183647</v>
      </c>
      <c r="C257" s="2">
        <f>IFERROR(__xludf.DUMMYFUNCTION("""COMPUTED_VALUE"""),2026.0)</f>
        <v>2026</v>
      </c>
      <c r="D257" s="2">
        <f>IFERROR(__xludf.DUMMYFUNCTION("""COMPUTED_VALUE"""),46335.0)</f>
        <v>46335</v>
      </c>
      <c r="E257" s="2" t="str">
        <f>IFERROR(__xludf.DUMMYFUNCTION("""COMPUTED_VALUE"""),"VF")</f>
        <v>VF</v>
      </c>
      <c r="F257" s="2">
        <f>IFERROR(__xludf.DUMMYFUNCTION("""COMPUTED_VALUE"""),1.0)</f>
        <v>1</v>
      </c>
      <c r="G257" s="2" t="str">
        <f>IFERROR(__xludf.DUMMYFUNCTION("""COMPUTED_VALUE"""),"PR039")</f>
        <v>PR039</v>
      </c>
      <c r="H257" s="2" t="str">
        <f>IFERROR(__xludf.DUMMYFUNCTION("""COMPUTED_VALUE"""),"VD017")</f>
        <v>VD017</v>
      </c>
      <c r="I257" s="2">
        <f>IFERROR(__xludf.DUMMYFUNCTION("""COMPUTED_VALUE"""),6.0)</f>
        <v>6</v>
      </c>
      <c r="J257" s="2">
        <f>IFERROR(__xludf.DUMMYFUNCTION("""COMPUTED_VALUE"""),1033.68)</f>
        <v>1033.68</v>
      </c>
      <c r="K257" s="2">
        <f>IFERROR(__xludf.DUMMYFUNCTION("""COMPUTED_VALUE"""),1033.68)</f>
        <v>1033.68</v>
      </c>
    </row>
    <row r="258">
      <c r="A258" s="2">
        <f>IFERROR(__xludf.DUMMYFUNCTION("""COMPUTED_VALUE"""),2000.0)</f>
        <v>2000</v>
      </c>
      <c r="B258" s="2">
        <f>IFERROR(__xludf.DUMMYFUNCTION("""COMPUTED_VALUE"""),183648.0)</f>
        <v>183648</v>
      </c>
      <c r="C258" s="2">
        <f>IFERROR(__xludf.DUMMYFUNCTION("""COMPUTED_VALUE"""),2026.0)</f>
        <v>2026</v>
      </c>
      <c r="D258" s="2">
        <f>IFERROR(__xludf.DUMMYFUNCTION("""COMPUTED_VALUE"""),46335.0)</f>
        <v>46335</v>
      </c>
      <c r="E258" s="2" t="str">
        <f>IFERROR(__xludf.DUMMYFUNCTION("""COMPUTED_VALUE"""),"VF")</f>
        <v>VF</v>
      </c>
      <c r="F258" s="2">
        <f>IFERROR(__xludf.DUMMYFUNCTION("""COMPUTED_VALUE"""),1.0)</f>
        <v>1</v>
      </c>
      <c r="G258" s="2" t="str">
        <f>IFERROR(__xludf.DUMMYFUNCTION("""COMPUTED_VALUE"""),"PR024")</f>
        <v>PR024</v>
      </c>
      <c r="H258" s="2" t="str">
        <f>IFERROR(__xludf.DUMMYFUNCTION("""COMPUTED_VALUE"""),"VD021")</f>
        <v>VD021</v>
      </c>
      <c r="I258" s="2">
        <f>IFERROR(__xludf.DUMMYFUNCTION("""COMPUTED_VALUE"""),12.0)</f>
        <v>12</v>
      </c>
      <c r="J258" s="2">
        <f>IFERROR(__xludf.DUMMYFUNCTION("""COMPUTED_VALUE"""),3617.81)</f>
        <v>3617.81</v>
      </c>
      <c r="K258" s="2">
        <f>IFERROR(__xludf.DUMMYFUNCTION("""COMPUTED_VALUE"""),3617.81)</f>
        <v>3617.81</v>
      </c>
    </row>
    <row r="259">
      <c r="A259" s="2">
        <f>IFERROR(__xludf.DUMMYFUNCTION("""COMPUTED_VALUE"""),1000.0)</f>
        <v>1000</v>
      </c>
      <c r="B259" s="2">
        <f>IFERROR(__xludf.DUMMYFUNCTION("""COMPUTED_VALUE"""),183649.0)</f>
        <v>183649</v>
      </c>
      <c r="C259" s="2">
        <f>IFERROR(__xludf.DUMMYFUNCTION("""COMPUTED_VALUE"""),2026.0)</f>
        <v>2026</v>
      </c>
      <c r="D259" s="2">
        <f>IFERROR(__xludf.DUMMYFUNCTION("""COMPUTED_VALUE"""),46334.0)</f>
        <v>46334</v>
      </c>
      <c r="E259" s="2" t="str">
        <f>IFERROR(__xludf.DUMMYFUNCTION("""COMPUTED_VALUE"""),"VF")</f>
        <v>VF</v>
      </c>
      <c r="F259" s="2">
        <f>IFERROR(__xludf.DUMMYFUNCTION("""COMPUTED_VALUE"""),1.0)</f>
        <v>1</v>
      </c>
      <c r="G259" s="2" t="str">
        <f>IFERROR(__xludf.DUMMYFUNCTION("""COMPUTED_VALUE"""),"PR039")</f>
        <v>PR039</v>
      </c>
      <c r="H259" s="2" t="str">
        <f>IFERROR(__xludf.DUMMYFUNCTION("""COMPUTED_VALUE"""),"VD042")</f>
        <v>VD042</v>
      </c>
      <c r="I259" s="2">
        <f>IFERROR(__xludf.DUMMYFUNCTION("""COMPUTED_VALUE"""),14.0)</f>
        <v>14</v>
      </c>
      <c r="J259" s="2">
        <f>IFERROR(__xludf.DUMMYFUNCTION("""COMPUTED_VALUE"""),2289.28)</f>
        <v>2289.28</v>
      </c>
      <c r="K259" s="2">
        <f>IFERROR(__xludf.DUMMYFUNCTION("""COMPUTED_VALUE"""),2289.28)</f>
        <v>2289.28</v>
      </c>
    </row>
    <row r="260">
      <c r="A260" s="2">
        <f>IFERROR(__xludf.DUMMYFUNCTION("""COMPUTED_VALUE"""),1000.0)</f>
        <v>1000</v>
      </c>
      <c r="B260" s="2">
        <f>IFERROR(__xludf.DUMMYFUNCTION("""COMPUTED_VALUE"""),183650.0)</f>
        <v>183650</v>
      </c>
      <c r="C260" s="2">
        <f>IFERROR(__xludf.DUMMYFUNCTION("""COMPUTED_VALUE"""),2026.0)</f>
        <v>2026</v>
      </c>
      <c r="D260" s="2">
        <f>IFERROR(__xludf.DUMMYFUNCTION("""COMPUTED_VALUE"""),46334.0)</f>
        <v>46334</v>
      </c>
      <c r="E260" s="2" t="str">
        <f>IFERROR(__xludf.DUMMYFUNCTION("""COMPUTED_VALUE"""),"VF")</f>
        <v>VF</v>
      </c>
      <c r="F260" s="2">
        <f>IFERROR(__xludf.DUMMYFUNCTION("""COMPUTED_VALUE"""),1.0)</f>
        <v>1</v>
      </c>
      <c r="G260" s="2" t="str">
        <f>IFERROR(__xludf.DUMMYFUNCTION("""COMPUTED_VALUE"""),"PR050")</f>
        <v>PR050</v>
      </c>
      <c r="H260" s="2" t="str">
        <f>IFERROR(__xludf.DUMMYFUNCTION("""COMPUTED_VALUE"""),"VD042")</f>
        <v>VD042</v>
      </c>
      <c r="I260" s="2">
        <f>IFERROR(__xludf.DUMMYFUNCTION("""COMPUTED_VALUE"""),8.0)</f>
        <v>8</v>
      </c>
      <c r="J260" s="2">
        <f>IFERROR(__xludf.DUMMYFUNCTION("""COMPUTED_VALUE"""),313.21)</f>
        <v>313.21</v>
      </c>
      <c r="K260" s="2">
        <f>IFERROR(__xludf.DUMMYFUNCTION("""COMPUTED_VALUE"""),313.21)</f>
        <v>313.21</v>
      </c>
    </row>
    <row r="261">
      <c r="A261" s="2">
        <f>IFERROR(__xludf.DUMMYFUNCTION("""COMPUTED_VALUE"""),1000.0)</f>
        <v>1000</v>
      </c>
      <c r="B261" s="2">
        <f>IFERROR(__xludf.DUMMYFUNCTION("""COMPUTED_VALUE"""),183650.0)</f>
        <v>183650</v>
      </c>
      <c r="C261" s="2">
        <f>IFERROR(__xludf.DUMMYFUNCTION("""COMPUTED_VALUE"""),2026.0)</f>
        <v>2026</v>
      </c>
      <c r="D261" s="2">
        <f>IFERROR(__xludf.DUMMYFUNCTION("""COMPUTED_VALUE"""),46334.0)</f>
        <v>46334</v>
      </c>
      <c r="E261" s="2" t="str">
        <f>IFERROR(__xludf.DUMMYFUNCTION("""COMPUTED_VALUE"""),"VF")</f>
        <v>VF</v>
      </c>
      <c r="F261" s="2">
        <f>IFERROR(__xludf.DUMMYFUNCTION("""COMPUTED_VALUE"""),2.0)</f>
        <v>2</v>
      </c>
      <c r="G261" s="2" t="str">
        <f>IFERROR(__xludf.DUMMYFUNCTION("""COMPUTED_VALUE"""),"PR032")</f>
        <v>PR032</v>
      </c>
      <c r="H261" s="2" t="str">
        <f>IFERROR(__xludf.DUMMYFUNCTION("""COMPUTED_VALUE"""),"VD036")</f>
        <v>VD036</v>
      </c>
      <c r="I261" s="2">
        <f>IFERROR(__xludf.DUMMYFUNCTION("""COMPUTED_VALUE"""),30.0)</f>
        <v>30</v>
      </c>
      <c r="J261" s="2">
        <f>IFERROR(__xludf.DUMMYFUNCTION("""COMPUTED_VALUE"""),8925.0)</f>
        <v>8925</v>
      </c>
      <c r="K261" s="2">
        <f>IFERROR(__xludf.DUMMYFUNCTION("""COMPUTED_VALUE"""),8925.0)</f>
        <v>8925</v>
      </c>
    </row>
    <row r="262">
      <c r="A262" s="2">
        <f>IFERROR(__xludf.DUMMYFUNCTION("""COMPUTED_VALUE"""),1000.0)</f>
        <v>1000</v>
      </c>
      <c r="B262" s="2">
        <f>IFERROR(__xludf.DUMMYFUNCTION("""COMPUTED_VALUE"""),183651.0)</f>
        <v>183651</v>
      </c>
      <c r="C262" s="2">
        <f>IFERROR(__xludf.DUMMYFUNCTION("""COMPUTED_VALUE"""),2026.0)</f>
        <v>2026</v>
      </c>
      <c r="D262" s="2">
        <f>IFERROR(__xludf.DUMMYFUNCTION("""COMPUTED_VALUE"""),46334.0)</f>
        <v>46334</v>
      </c>
      <c r="E262" s="2" t="str">
        <f>IFERROR(__xludf.DUMMYFUNCTION("""COMPUTED_VALUE"""),"VF")</f>
        <v>VF</v>
      </c>
      <c r="F262" s="2">
        <f>IFERROR(__xludf.DUMMYFUNCTION("""COMPUTED_VALUE"""),1.0)</f>
        <v>1</v>
      </c>
      <c r="G262" s="2" t="str">
        <f>IFERROR(__xludf.DUMMYFUNCTION("""COMPUTED_VALUE"""),"PR047")</f>
        <v>PR047</v>
      </c>
      <c r="H262" s="2" t="str">
        <f>IFERROR(__xludf.DUMMYFUNCTION("""COMPUTED_VALUE"""),"VD027")</f>
        <v>VD027</v>
      </c>
      <c r="I262" s="2">
        <f>IFERROR(__xludf.DUMMYFUNCTION("""COMPUTED_VALUE"""),8.0)</f>
        <v>8</v>
      </c>
      <c r="J262" s="2">
        <f>IFERROR(__xludf.DUMMYFUNCTION("""COMPUTED_VALUE"""),2481.54)</f>
        <v>2481.54</v>
      </c>
      <c r="K262" s="2">
        <f>IFERROR(__xludf.DUMMYFUNCTION("""COMPUTED_VALUE"""),2481.54)</f>
        <v>2481.54</v>
      </c>
    </row>
    <row r="263">
      <c r="A263" s="2">
        <f>IFERROR(__xludf.DUMMYFUNCTION("""COMPUTED_VALUE"""),1000.0)</f>
        <v>1000</v>
      </c>
      <c r="B263" s="2">
        <f>IFERROR(__xludf.DUMMYFUNCTION("""COMPUTED_VALUE"""),183652.0)</f>
        <v>183652</v>
      </c>
      <c r="C263" s="2">
        <f>IFERROR(__xludf.DUMMYFUNCTION("""COMPUTED_VALUE"""),2026.0)</f>
        <v>2026</v>
      </c>
      <c r="D263" s="2">
        <f>IFERROR(__xludf.DUMMYFUNCTION("""COMPUTED_VALUE"""),46334.0)</f>
        <v>46334</v>
      </c>
      <c r="E263" s="2" t="str">
        <f>IFERROR(__xludf.DUMMYFUNCTION("""COMPUTED_VALUE"""),"VF")</f>
        <v>VF</v>
      </c>
      <c r="F263" s="2">
        <f>IFERROR(__xludf.DUMMYFUNCTION("""COMPUTED_VALUE"""),1.0)</f>
        <v>1</v>
      </c>
      <c r="G263" s="2" t="str">
        <f>IFERROR(__xludf.DUMMYFUNCTION("""COMPUTED_VALUE"""),"PR016")</f>
        <v>PR016</v>
      </c>
      <c r="H263" s="2" t="str">
        <f>IFERROR(__xludf.DUMMYFUNCTION("""COMPUTED_VALUE"""),"VD023")</f>
        <v>VD023</v>
      </c>
      <c r="I263" s="2">
        <f>IFERROR(__xludf.DUMMYFUNCTION("""COMPUTED_VALUE"""),18.0)</f>
        <v>18</v>
      </c>
      <c r="J263" s="2">
        <f>IFERROR(__xludf.DUMMYFUNCTION("""COMPUTED_VALUE"""),470.86)</f>
        <v>470.86</v>
      </c>
      <c r="K263" s="2">
        <f>IFERROR(__xludf.DUMMYFUNCTION("""COMPUTED_VALUE"""),470.86)</f>
        <v>470.86</v>
      </c>
    </row>
    <row r="264">
      <c r="A264" s="2">
        <f>IFERROR(__xludf.DUMMYFUNCTION("""COMPUTED_VALUE"""),1000.0)</f>
        <v>1000</v>
      </c>
      <c r="B264" s="2">
        <f>IFERROR(__xludf.DUMMYFUNCTION("""COMPUTED_VALUE"""),183653.0)</f>
        <v>183653</v>
      </c>
      <c r="C264" s="2">
        <f>IFERROR(__xludf.DUMMYFUNCTION("""COMPUTED_VALUE"""),2026.0)</f>
        <v>2026</v>
      </c>
      <c r="D264" s="2">
        <f>IFERROR(__xludf.DUMMYFUNCTION("""COMPUTED_VALUE"""),46334.0)</f>
        <v>46334</v>
      </c>
      <c r="E264" s="2" t="str">
        <f>IFERROR(__xludf.DUMMYFUNCTION("""COMPUTED_VALUE"""),"VF")</f>
        <v>VF</v>
      </c>
      <c r="F264" s="2">
        <f>IFERROR(__xludf.DUMMYFUNCTION("""COMPUTED_VALUE"""),1.0)</f>
        <v>1</v>
      </c>
      <c r="G264" s="2" t="str">
        <f>IFERROR(__xludf.DUMMYFUNCTION("""COMPUTED_VALUE"""),"PR029")</f>
        <v>PR029</v>
      </c>
      <c r="H264" s="2" t="str">
        <f>IFERROR(__xludf.DUMMYFUNCTION("""COMPUTED_VALUE"""),"VD033")</f>
        <v>VD033</v>
      </c>
      <c r="I264" s="2">
        <f>IFERROR(__xludf.DUMMYFUNCTION("""COMPUTED_VALUE"""),16.0)</f>
        <v>16</v>
      </c>
      <c r="J264" s="2">
        <f>IFERROR(__xludf.DUMMYFUNCTION("""COMPUTED_VALUE"""),4161.6)</f>
        <v>4161.6</v>
      </c>
      <c r="K264" s="2">
        <f>IFERROR(__xludf.DUMMYFUNCTION("""COMPUTED_VALUE"""),4161.6)</f>
        <v>4161.6</v>
      </c>
    </row>
    <row r="265">
      <c r="A265" s="2">
        <f>IFERROR(__xludf.DUMMYFUNCTION("""COMPUTED_VALUE"""),1000.0)</f>
        <v>1000</v>
      </c>
      <c r="B265" s="2">
        <f>IFERROR(__xludf.DUMMYFUNCTION("""COMPUTED_VALUE"""),183654.0)</f>
        <v>183654</v>
      </c>
      <c r="C265" s="2">
        <f>IFERROR(__xludf.DUMMYFUNCTION("""COMPUTED_VALUE"""),2026.0)</f>
        <v>2026</v>
      </c>
      <c r="D265" s="2">
        <f>IFERROR(__xludf.DUMMYFUNCTION("""COMPUTED_VALUE"""),46334.0)</f>
        <v>46334</v>
      </c>
      <c r="E265" s="2" t="str">
        <f>IFERROR(__xludf.DUMMYFUNCTION("""COMPUTED_VALUE"""),"VF")</f>
        <v>VF</v>
      </c>
      <c r="F265" s="2">
        <f>IFERROR(__xludf.DUMMYFUNCTION("""COMPUTED_VALUE"""),1.0)</f>
        <v>1</v>
      </c>
      <c r="G265" s="2" t="str">
        <f>IFERROR(__xludf.DUMMYFUNCTION("""COMPUTED_VALUE"""),"PR050")</f>
        <v>PR050</v>
      </c>
      <c r="H265" s="2" t="str">
        <f>IFERROR(__xludf.DUMMYFUNCTION("""COMPUTED_VALUE"""),"VD036")</f>
        <v>VD036</v>
      </c>
      <c r="I265" s="2">
        <f>IFERROR(__xludf.DUMMYFUNCTION("""COMPUTED_VALUE"""),10.0)</f>
        <v>10</v>
      </c>
      <c r="J265" s="2">
        <f>IFERROR(__xludf.DUMMYFUNCTION("""COMPUTED_VALUE"""),345.45)</f>
        <v>345.45</v>
      </c>
      <c r="K265" s="2">
        <f>IFERROR(__xludf.DUMMYFUNCTION("""COMPUTED_VALUE"""),345.45)</f>
        <v>345.45</v>
      </c>
    </row>
    <row r="266">
      <c r="A266" s="2">
        <f>IFERROR(__xludf.DUMMYFUNCTION("""COMPUTED_VALUE"""),1000.0)</f>
        <v>1000</v>
      </c>
      <c r="B266" s="2">
        <f>IFERROR(__xludf.DUMMYFUNCTION("""COMPUTED_VALUE"""),183654.0)</f>
        <v>183654</v>
      </c>
      <c r="C266" s="2">
        <f>IFERROR(__xludf.DUMMYFUNCTION("""COMPUTED_VALUE"""),2026.0)</f>
        <v>2026</v>
      </c>
      <c r="D266" s="2">
        <f>IFERROR(__xludf.DUMMYFUNCTION("""COMPUTED_VALUE"""),46334.0)</f>
        <v>46334</v>
      </c>
      <c r="E266" s="2" t="str">
        <f>IFERROR(__xludf.DUMMYFUNCTION("""COMPUTED_VALUE"""),"VF")</f>
        <v>VF</v>
      </c>
      <c r="F266" s="2">
        <f>IFERROR(__xludf.DUMMYFUNCTION("""COMPUTED_VALUE"""),2.0)</f>
        <v>2</v>
      </c>
      <c r="G266" s="2" t="str">
        <f>IFERROR(__xludf.DUMMYFUNCTION("""COMPUTED_VALUE"""),"PR045")</f>
        <v>PR045</v>
      </c>
      <c r="H266" s="2" t="str">
        <f>IFERROR(__xludf.DUMMYFUNCTION("""COMPUTED_VALUE"""),"VD045")</f>
        <v>VD045</v>
      </c>
      <c r="I266" s="2">
        <f>IFERROR(__xludf.DUMMYFUNCTION("""COMPUTED_VALUE"""),3.0)</f>
        <v>3</v>
      </c>
      <c r="J266" s="2">
        <f>IFERROR(__xludf.DUMMYFUNCTION("""COMPUTED_VALUE"""),237.08)</f>
        <v>237.08</v>
      </c>
      <c r="K266" s="2">
        <f>IFERROR(__xludf.DUMMYFUNCTION("""COMPUTED_VALUE"""),237.08)</f>
        <v>237.08</v>
      </c>
    </row>
    <row r="267">
      <c r="A267" s="2">
        <f>IFERROR(__xludf.DUMMYFUNCTION("""COMPUTED_VALUE"""),1000.0)</f>
        <v>1000</v>
      </c>
      <c r="B267" s="2">
        <f>IFERROR(__xludf.DUMMYFUNCTION("""COMPUTED_VALUE"""),183654.0)</f>
        <v>183654</v>
      </c>
      <c r="C267" s="2">
        <f>IFERROR(__xludf.DUMMYFUNCTION("""COMPUTED_VALUE"""),2026.0)</f>
        <v>2026</v>
      </c>
      <c r="D267" s="2">
        <f>IFERROR(__xludf.DUMMYFUNCTION("""COMPUTED_VALUE"""),46334.0)</f>
        <v>46334</v>
      </c>
      <c r="E267" s="2" t="str">
        <f>IFERROR(__xludf.DUMMYFUNCTION("""COMPUTED_VALUE"""),"VF")</f>
        <v>VF</v>
      </c>
      <c r="F267" s="2">
        <f>IFERROR(__xludf.DUMMYFUNCTION("""COMPUTED_VALUE"""),3.0)</f>
        <v>3</v>
      </c>
      <c r="G267" s="2" t="str">
        <f>IFERROR(__xludf.DUMMYFUNCTION("""COMPUTED_VALUE"""),"PR053")</f>
        <v>PR053</v>
      </c>
      <c r="H267" s="2" t="str">
        <f>IFERROR(__xludf.DUMMYFUNCTION("""COMPUTED_VALUE"""),"VD022")</f>
        <v>VD022</v>
      </c>
      <c r="I267" s="2">
        <f>IFERROR(__xludf.DUMMYFUNCTION("""COMPUTED_VALUE"""),10.0)</f>
        <v>10</v>
      </c>
      <c r="J267" s="2">
        <f>IFERROR(__xludf.DUMMYFUNCTION("""COMPUTED_VALUE"""),543.91)</f>
        <v>543.91</v>
      </c>
      <c r="K267" s="2">
        <f>IFERROR(__xludf.DUMMYFUNCTION("""COMPUTED_VALUE"""),543.91)</f>
        <v>543.91</v>
      </c>
    </row>
    <row r="268">
      <c r="A268" s="2">
        <f>IFERROR(__xludf.DUMMYFUNCTION("""COMPUTED_VALUE"""),1000.0)</f>
        <v>1000</v>
      </c>
      <c r="B268" s="2">
        <f>IFERROR(__xludf.DUMMYFUNCTION("""COMPUTED_VALUE"""),183655.0)</f>
        <v>183655</v>
      </c>
      <c r="C268" s="2">
        <f>IFERROR(__xludf.DUMMYFUNCTION("""COMPUTED_VALUE"""),2026.0)</f>
        <v>2026</v>
      </c>
      <c r="D268" s="2">
        <f>IFERROR(__xludf.DUMMYFUNCTION("""COMPUTED_VALUE"""),46334.0)</f>
        <v>46334</v>
      </c>
      <c r="E268" s="2" t="str">
        <f>IFERROR(__xludf.DUMMYFUNCTION("""COMPUTED_VALUE"""),"VF")</f>
        <v>VF</v>
      </c>
      <c r="F268" s="2">
        <f>IFERROR(__xludf.DUMMYFUNCTION("""COMPUTED_VALUE"""),1.0)</f>
        <v>1</v>
      </c>
      <c r="G268" s="2" t="str">
        <f>IFERROR(__xludf.DUMMYFUNCTION("""COMPUTED_VALUE"""),"PR042")</f>
        <v>PR042</v>
      </c>
      <c r="H268" s="2" t="str">
        <f>IFERROR(__xludf.DUMMYFUNCTION("""COMPUTED_VALUE"""),"VD020")</f>
        <v>VD020</v>
      </c>
      <c r="I268" s="2">
        <f>IFERROR(__xludf.DUMMYFUNCTION("""COMPUTED_VALUE"""),3.0)</f>
        <v>3</v>
      </c>
      <c r="J268" s="2">
        <f>IFERROR(__xludf.DUMMYFUNCTION("""COMPUTED_VALUE"""),167.99)</f>
        <v>167.99</v>
      </c>
      <c r="K268" s="2">
        <f>IFERROR(__xludf.DUMMYFUNCTION("""COMPUTED_VALUE"""),167.99)</f>
        <v>167.99</v>
      </c>
    </row>
    <row r="269">
      <c r="A269" s="2">
        <f>IFERROR(__xludf.DUMMYFUNCTION("""COMPUTED_VALUE"""),1000.0)</f>
        <v>1000</v>
      </c>
      <c r="B269" s="2">
        <f>IFERROR(__xludf.DUMMYFUNCTION("""COMPUTED_VALUE"""),183656.0)</f>
        <v>183656</v>
      </c>
      <c r="C269" s="2">
        <f>IFERROR(__xludf.DUMMYFUNCTION("""COMPUTED_VALUE"""),2026.0)</f>
        <v>2026</v>
      </c>
      <c r="D269" s="2">
        <f>IFERROR(__xludf.DUMMYFUNCTION("""COMPUTED_VALUE"""),46333.0)</f>
        <v>46333</v>
      </c>
      <c r="E269" s="2" t="str">
        <f>IFERROR(__xludf.DUMMYFUNCTION("""COMPUTED_VALUE"""),"VF")</f>
        <v>VF</v>
      </c>
      <c r="F269" s="2">
        <f>IFERROR(__xludf.DUMMYFUNCTION("""COMPUTED_VALUE"""),1.0)</f>
        <v>1</v>
      </c>
      <c r="G269" s="2" t="str">
        <f>IFERROR(__xludf.DUMMYFUNCTION("""COMPUTED_VALUE"""),"PR049")</f>
        <v>PR049</v>
      </c>
      <c r="H269" s="2" t="str">
        <f>IFERROR(__xludf.DUMMYFUNCTION("""COMPUTED_VALUE"""),"VD019")</f>
        <v>VD019</v>
      </c>
      <c r="I269" s="2">
        <f>IFERROR(__xludf.DUMMYFUNCTION("""COMPUTED_VALUE"""),4.0)</f>
        <v>4</v>
      </c>
      <c r="J269" s="2">
        <f>IFERROR(__xludf.DUMMYFUNCTION("""COMPUTED_VALUE"""),132.92)</f>
        <v>132.92</v>
      </c>
      <c r="K269" s="2">
        <f>IFERROR(__xludf.DUMMYFUNCTION("""COMPUTED_VALUE"""),132.92)</f>
        <v>132.92</v>
      </c>
    </row>
    <row r="270">
      <c r="A270" s="2">
        <f>IFERROR(__xludf.DUMMYFUNCTION("""COMPUTED_VALUE"""),1000.0)</f>
        <v>1000</v>
      </c>
      <c r="B270" s="2">
        <f>IFERROR(__xludf.DUMMYFUNCTION("""COMPUTED_VALUE"""),183656.0)</f>
        <v>183656</v>
      </c>
      <c r="C270" s="2">
        <f>IFERROR(__xludf.DUMMYFUNCTION("""COMPUTED_VALUE"""),2026.0)</f>
        <v>2026</v>
      </c>
      <c r="D270" s="2">
        <f>IFERROR(__xludf.DUMMYFUNCTION("""COMPUTED_VALUE"""),46333.0)</f>
        <v>46333</v>
      </c>
      <c r="E270" s="2" t="str">
        <f>IFERROR(__xludf.DUMMYFUNCTION("""COMPUTED_VALUE"""),"VF")</f>
        <v>VF</v>
      </c>
      <c r="F270" s="2">
        <f>IFERROR(__xludf.DUMMYFUNCTION("""COMPUTED_VALUE"""),2.0)</f>
        <v>2</v>
      </c>
      <c r="G270" s="2" t="str">
        <f>IFERROR(__xludf.DUMMYFUNCTION("""COMPUTED_VALUE"""),"PR045")</f>
        <v>PR045</v>
      </c>
      <c r="H270" s="2" t="str">
        <f>IFERROR(__xludf.DUMMYFUNCTION("""COMPUTED_VALUE"""),"VD015")</f>
        <v>VD015</v>
      </c>
      <c r="I270" s="2">
        <f>IFERROR(__xludf.DUMMYFUNCTION("""COMPUTED_VALUE"""),18.0)</f>
        <v>18</v>
      </c>
      <c r="J270" s="2">
        <f>IFERROR(__xludf.DUMMYFUNCTION("""COMPUTED_VALUE"""),1357.2)</f>
        <v>1357.2</v>
      </c>
      <c r="K270" s="2">
        <f>IFERROR(__xludf.DUMMYFUNCTION("""COMPUTED_VALUE"""),1357.2)</f>
        <v>1357.2</v>
      </c>
    </row>
    <row r="271">
      <c r="A271" s="2">
        <f>IFERROR(__xludf.DUMMYFUNCTION("""COMPUTED_VALUE"""),1000.0)</f>
        <v>1000</v>
      </c>
      <c r="B271" s="2">
        <f>IFERROR(__xludf.DUMMYFUNCTION("""COMPUTED_VALUE"""),183657.0)</f>
        <v>183657</v>
      </c>
      <c r="C271" s="2">
        <f>IFERROR(__xludf.DUMMYFUNCTION("""COMPUTED_VALUE"""),2026.0)</f>
        <v>2026</v>
      </c>
      <c r="D271" s="2">
        <f>IFERROR(__xludf.DUMMYFUNCTION("""COMPUTED_VALUE"""),46333.0)</f>
        <v>46333</v>
      </c>
      <c r="E271" s="2" t="str">
        <f>IFERROR(__xludf.DUMMYFUNCTION("""COMPUTED_VALUE"""),"VF")</f>
        <v>VF</v>
      </c>
      <c r="F271" s="2">
        <f>IFERROR(__xludf.DUMMYFUNCTION("""COMPUTED_VALUE"""),1.0)</f>
        <v>1</v>
      </c>
      <c r="G271" s="2" t="str">
        <f>IFERROR(__xludf.DUMMYFUNCTION("""COMPUTED_VALUE"""),"PR037")</f>
        <v>PR037</v>
      </c>
      <c r="H271" s="2" t="str">
        <f>IFERROR(__xludf.DUMMYFUNCTION("""COMPUTED_VALUE"""),"VD029")</f>
        <v>VD029</v>
      </c>
      <c r="I271" s="2">
        <f>IFERROR(__xludf.DUMMYFUNCTION("""COMPUTED_VALUE"""),6.0)</f>
        <v>6</v>
      </c>
      <c r="J271" s="2">
        <f>IFERROR(__xludf.DUMMYFUNCTION("""COMPUTED_VALUE"""),915.6)</f>
        <v>915.6</v>
      </c>
      <c r="K271" s="2">
        <f>IFERROR(__xludf.DUMMYFUNCTION("""COMPUTED_VALUE"""),915.6)</f>
        <v>915.6</v>
      </c>
    </row>
    <row r="272">
      <c r="A272" s="2">
        <f>IFERROR(__xludf.DUMMYFUNCTION("""COMPUTED_VALUE"""),2000.0)</f>
        <v>2000</v>
      </c>
      <c r="B272" s="2">
        <f>IFERROR(__xludf.DUMMYFUNCTION("""COMPUTED_VALUE"""),183658.0)</f>
        <v>183658</v>
      </c>
      <c r="C272" s="2">
        <f>IFERROR(__xludf.DUMMYFUNCTION("""COMPUTED_VALUE"""),2026.0)</f>
        <v>2026</v>
      </c>
      <c r="D272" s="2">
        <f>IFERROR(__xludf.DUMMYFUNCTION("""COMPUTED_VALUE"""),46333.0)</f>
        <v>46333</v>
      </c>
      <c r="E272" s="2" t="str">
        <f>IFERROR(__xludf.DUMMYFUNCTION("""COMPUTED_VALUE"""),"VF")</f>
        <v>VF</v>
      </c>
      <c r="F272" s="2">
        <f>IFERROR(__xludf.DUMMYFUNCTION("""COMPUTED_VALUE"""),1.0)</f>
        <v>1</v>
      </c>
      <c r="G272" s="2" t="str">
        <f>IFERROR(__xludf.DUMMYFUNCTION("""COMPUTED_VALUE"""),"PR021")</f>
        <v>PR021</v>
      </c>
      <c r="H272" s="2" t="str">
        <f>IFERROR(__xludf.DUMMYFUNCTION("""COMPUTED_VALUE"""),"VD017")</f>
        <v>VD017</v>
      </c>
      <c r="I272" s="2">
        <f>IFERROR(__xludf.DUMMYFUNCTION("""COMPUTED_VALUE"""),10.0)</f>
        <v>10</v>
      </c>
      <c r="J272" s="2">
        <f>IFERROR(__xludf.DUMMYFUNCTION("""COMPUTED_VALUE"""),3331.9)</f>
        <v>3331.9</v>
      </c>
      <c r="K272" s="2">
        <f>IFERROR(__xludf.DUMMYFUNCTION("""COMPUTED_VALUE"""),3331.9)</f>
        <v>3331.9</v>
      </c>
    </row>
    <row r="273">
      <c r="A273" s="2">
        <f>IFERROR(__xludf.DUMMYFUNCTION("""COMPUTED_VALUE"""),1000.0)</f>
        <v>1000</v>
      </c>
      <c r="B273" s="2">
        <f>IFERROR(__xludf.DUMMYFUNCTION("""COMPUTED_VALUE"""),183658.0)</f>
        <v>183658</v>
      </c>
      <c r="C273" s="2">
        <f>IFERROR(__xludf.DUMMYFUNCTION("""COMPUTED_VALUE"""),2026.0)</f>
        <v>2026</v>
      </c>
      <c r="D273" s="2">
        <f>IFERROR(__xludf.DUMMYFUNCTION("""COMPUTED_VALUE"""),46333.0)</f>
        <v>46333</v>
      </c>
      <c r="E273" s="2" t="str">
        <f>IFERROR(__xludf.DUMMYFUNCTION("""COMPUTED_VALUE"""),"VF")</f>
        <v>VF</v>
      </c>
      <c r="F273" s="2">
        <f>IFERROR(__xludf.DUMMYFUNCTION("""COMPUTED_VALUE"""),2.0)</f>
        <v>2</v>
      </c>
      <c r="G273" s="2" t="str">
        <f>IFERROR(__xludf.DUMMYFUNCTION("""COMPUTED_VALUE"""),"PR034")</f>
        <v>PR034</v>
      </c>
      <c r="H273" s="2" t="str">
        <f>IFERROR(__xludf.DUMMYFUNCTION("""COMPUTED_VALUE"""),"VD045")</f>
        <v>VD045</v>
      </c>
      <c r="I273" s="2">
        <f>IFERROR(__xludf.DUMMYFUNCTION("""COMPUTED_VALUE"""),8.0)</f>
        <v>8</v>
      </c>
      <c r="J273" s="2">
        <f>IFERROR(__xludf.DUMMYFUNCTION("""COMPUTED_VALUE"""),719.2)</f>
        <v>719.2</v>
      </c>
      <c r="K273" s="2">
        <f>IFERROR(__xludf.DUMMYFUNCTION("""COMPUTED_VALUE"""),719.2)</f>
        <v>719.2</v>
      </c>
    </row>
    <row r="274">
      <c r="A274" s="2">
        <f>IFERROR(__xludf.DUMMYFUNCTION("""COMPUTED_VALUE"""),1000.0)</f>
        <v>1000</v>
      </c>
      <c r="B274" s="2">
        <f>IFERROR(__xludf.DUMMYFUNCTION("""COMPUTED_VALUE"""),183659.0)</f>
        <v>183659</v>
      </c>
      <c r="C274" s="2">
        <f>IFERROR(__xludf.DUMMYFUNCTION("""COMPUTED_VALUE"""),2026.0)</f>
        <v>2026</v>
      </c>
      <c r="D274" s="2">
        <f>IFERROR(__xludf.DUMMYFUNCTION("""COMPUTED_VALUE"""),46333.0)</f>
        <v>46333</v>
      </c>
      <c r="E274" s="2" t="str">
        <f>IFERROR(__xludf.DUMMYFUNCTION("""COMPUTED_VALUE"""),"VF")</f>
        <v>VF</v>
      </c>
      <c r="F274" s="2">
        <f>IFERROR(__xludf.DUMMYFUNCTION("""COMPUTED_VALUE"""),1.0)</f>
        <v>1</v>
      </c>
      <c r="G274" s="2" t="str">
        <f>IFERROR(__xludf.DUMMYFUNCTION("""COMPUTED_VALUE"""),"PR047")</f>
        <v>PR047</v>
      </c>
      <c r="H274" s="2" t="str">
        <f>IFERROR(__xludf.DUMMYFUNCTION("""COMPUTED_VALUE"""),"VD041")</f>
        <v>VD041</v>
      </c>
      <c r="I274" s="2">
        <f>IFERROR(__xludf.DUMMYFUNCTION("""COMPUTED_VALUE"""),8.0)</f>
        <v>8</v>
      </c>
      <c r="J274" s="2">
        <f>IFERROR(__xludf.DUMMYFUNCTION("""COMPUTED_VALUE"""),2388.78)</f>
        <v>2388.78</v>
      </c>
      <c r="K274" s="2">
        <f>IFERROR(__xludf.DUMMYFUNCTION("""COMPUTED_VALUE"""),2388.78)</f>
        <v>2388.78</v>
      </c>
    </row>
    <row r="275">
      <c r="A275" s="2">
        <f>IFERROR(__xludf.DUMMYFUNCTION("""COMPUTED_VALUE"""),2000.0)</f>
        <v>2000</v>
      </c>
      <c r="B275" s="2">
        <f>IFERROR(__xludf.DUMMYFUNCTION("""COMPUTED_VALUE"""),183659.0)</f>
        <v>183659</v>
      </c>
      <c r="C275" s="2">
        <f>IFERROR(__xludf.DUMMYFUNCTION("""COMPUTED_VALUE"""),2026.0)</f>
        <v>2026</v>
      </c>
      <c r="D275" s="2">
        <f>IFERROR(__xludf.DUMMYFUNCTION("""COMPUTED_VALUE"""),46332.0)</f>
        <v>46332</v>
      </c>
      <c r="E275" s="2" t="str">
        <f>IFERROR(__xludf.DUMMYFUNCTION("""COMPUTED_VALUE"""),"VF")</f>
        <v>VF</v>
      </c>
      <c r="F275" s="2">
        <f>IFERROR(__xludf.DUMMYFUNCTION("""COMPUTED_VALUE"""),2.0)</f>
        <v>2</v>
      </c>
      <c r="G275" s="2" t="str">
        <f>IFERROR(__xludf.DUMMYFUNCTION("""COMPUTED_VALUE"""),"PR025")</f>
        <v>PR025</v>
      </c>
      <c r="H275" s="2" t="str">
        <f>IFERROR(__xludf.DUMMYFUNCTION("""COMPUTED_VALUE"""),"VD033")</f>
        <v>VD033</v>
      </c>
      <c r="I275" s="2">
        <f>IFERROR(__xludf.DUMMYFUNCTION("""COMPUTED_VALUE"""),4.0)</f>
        <v>4</v>
      </c>
      <c r="J275" s="2">
        <f>IFERROR(__xludf.DUMMYFUNCTION("""COMPUTED_VALUE"""),1295.57)</f>
        <v>1295.57</v>
      </c>
      <c r="K275" s="2">
        <f>IFERROR(__xludf.DUMMYFUNCTION("""COMPUTED_VALUE"""),1295.57)</f>
        <v>1295.57</v>
      </c>
    </row>
    <row r="276">
      <c r="A276" s="2">
        <f>IFERROR(__xludf.DUMMYFUNCTION("""COMPUTED_VALUE"""),1000.0)</f>
        <v>1000</v>
      </c>
      <c r="B276" s="2">
        <f>IFERROR(__xludf.DUMMYFUNCTION("""COMPUTED_VALUE"""),183660.0)</f>
        <v>183660</v>
      </c>
      <c r="C276" s="2">
        <f>IFERROR(__xludf.DUMMYFUNCTION("""COMPUTED_VALUE"""),2026.0)</f>
        <v>2026</v>
      </c>
      <c r="D276" s="2">
        <f>IFERROR(__xludf.DUMMYFUNCTION("""COMPUTED_VALUE"""),46332.0)</f>
        <v>46332</v>
      </c>
      <c r="E276" s="2" t="str">
        <f>IFERROR(__xludf.DUMMYFUNCTION("""COMPUTED_VALUE"""),"VF")</f>
        <v>VF</v>
      </c>
      <c r="F276" s="2">
        <f>IFERROR(__xludf.DUMMYFUNCTION("""COMPUTED_VALUE"""),1.0)</f>
        <v>1</v>
      </c>
      <c r="G276" s="2" t="str">
        <f>IFERROR(__xludf.DUMMYFUNCTION("""COMPUTED_VALUE"""),"PR056")</f>
        <v>PR056</v>
      </c>
      <c r="H276" s="2" t="str">
        <f>IFERROR(__xludf.DUMMYFUNCTION("""COMPUTED_VALUE"""),"VD025")</f>
        <v>VD025</v>
      </c>
      <c r="I276" s="2">
        <f>IFERROR(__xludf.DUMMYFUNCTION("""COMPUTED_VALUE"""),30.0)</f>
        <v>30</v>
      </c>
      <c r="J276" s="2">
        <f>IFERROR(__xludf.DUMMYFUNCTION("""COMPUTED_VALUE"""),2697.0)</f>
        <v>2697</v>
      </c>
      <c r="K276" s="2">
        <f>IFERROR(__xludf.DUMMYFUNCTION("""COMPUTED_VALUE"""),2697.0)</f>
        <v>2697</v>
      </c>
    </row>
    <row r="277">
      <c r="A277" s="2">
        <f>IFERROR(__xludf.DUMMYFUNCTION("""COMPUTED_VALUE"""),1000.0)</f>
        <v>1000</v>
      </c>
      <c r="B277" s="2">
        <f>IFERROR(__xludf.DUMMYFUNCTION("""COMPUTED_VALUE"""),183661.0)</f>
        <v>183661</v>
      </c>
      <c r="C277" s="2">
        <f>IFERROR(__xludf.DUMMYFUNCTION("""COMPUTED_VALUE"""),2026.0)</f>
        <v>2026</v>
      </c>
      <c r="D277" s="2">
        <f>IFERROR(__xludf.DUMMYFUNCTION("""COMPUTED_VALUE"""),46332.0)</f>
        <v>46332</v>
      </c>
      <c r="E277" s="2" t="str">
        <f>IFERROR(__xludf.DUMMYFUNCTION("""COMPUTED_VALUE"""),"VF")</f>
        <v>VF</v>
      </c>
      <c r="F277" s="2">
        <f>IFERROR(__xludf.DUMMYFUNCTION("""COMPUTED_VALUE"""),1.0)</f>
        <v>1</v>
      </c>
      <c r="G277" s="2" t="str">
        <f>IFERROR(__xludf.DUMMYFUNCTION("""COMPUTED_VALUE"""),"PR017")</f>
        <v>PR017</v>
      </c>
      <c r="H277" s="2" t="str">
        <f>IFERROR(__xludf.DUMMYFUNCTION("""COMPUTED_VALUE"""),"VD014")</f>
        <v>VD014</v>
      </c>
      <c r="I277" s="2">
        <f>IFERROR(__xludf.DUMMYFUNCTION("""COMPUTED_VALUE"""),10.0)</f>
        <v>10</v>
      </c>
      <c r="J277" s="2">
        <f>IFERROR(__xludf.DUMMYFUNCTION("""COMPUTED_VALUE"""),310.96)</f>
        <v>310.96</v>
      </c>
      <c r="K277" s="2">
        <f>IFERROR(__xludf.DUMMYFUNCTION("""COMPUTED_VALUE"""),310.96)</f>
        <v>310.96</v>
      </c>
    </row>
    <row r="278">
      <c r="A278" s="2">
        <f>IFERROR(__xludf.DUMMYFUNCTION("""COMPUTED_VALUE"""),2000.0)</f>
        <v>2000</v>
      </c>
      <c r="B278" s="2">
        <f>IFERROR(__xludf.DUMMYFUNCTION("""COMPUTED_VALUE"""),183661.0)</f>
        <v>183661</v>
      </c>
      <c r="C278" s="2">
        <f>IFERROR(__xludf.DUMMYFUNCTION("""COMPUTED_VALUE"""),2026.0)</f>
        <v>2026</v>
      </c>
      <c r="D278" s="2">
        <f>IFERROR(__xludf.DUMMYFUNCTION("""COMPUTED_VALUE"""),46332.0)</f>
        <v>46332</v>
      </c>
      <c r="E278" s="2" t="str">
        <f>IFERROR(__xludf.DUMMYFUNCTION("""COMPUTED_VALUE"""),"VF")</f>
        <v>VF</v>
      </c>
      <c r="F278" s="2">
        <f>IFERROR(__xludf.DUMMYFUNCTION("""COMPUTED_VALUE"""),2.0)</f>
        <v>2</v>
      </c>
      <c r="G278" s="2" t="str">
        <f>IFERROR(__xludf.DUMMYFUNCTION("""COMPUTED_VALUE"""),"PR057")</f>
        <v>PR057</v>
      </c>
      <c r="H278" s="2" t="str">
        <f>IFERROR(__xludf.DUMMYFUNCTION("""COMPUTED_VALUE"""),"VD025")</f>
        <v>VD025</v>
      </c>
      <c r="I278" s="2">
        <f>IFERROR(__xludf.DUMMYFUNCTION("""COMPUTED_VALUE"""),3.0)</f>
        <v>3</v>
      </c>
      <c r="J278" s="2">
        <f>IFERROR(__xludf.DUMMYFUNCTION("""COMPUTED_VALUE"""),269.7)</f>
        <v>269.7</v>
      </c>
      <c r="K278" s="2">
        <f>IFERROR(__xludf.DUMMYFUNCTION("""COMPUTED_VALUE"""),269.7)</f>
        <v>269.7</v>
      </c>
    </row>
    <row r="279">
      <c r="A279" s="2">
        <f>IFERROR(__xludf.DUMMYFUNCTION("""COMPUTED_VALUE"""),1000.0)</f>
        <v>1000</v>
      </c>
      <c r="B279" s="2">
        <f>IFERROR(__xludf.DUMMYFUNCTION("""COMPUTED_VALUE"""),183662.0)</f>
        <v>183662</v>
      </c>
      <c r="C279" s="2">
        <f>IFERROR(__xludf.DUMMYFUNCTION("""COMPUTED_VALUE"""),2026.0)</f>
        <v>2026</v>
      </c>
      <c r="D279" s="2">
        <f>IFERROR(__xludf.DUMMYFUNCTION("""COMPUTED_VALUE"""),46332.0)</f>
        <v>46332</v>
      </c>
      <c r="E279" s="2" t="str">
        <f>IFERROR(__xludf.DUMMYFUNCTION("""COMPUTED_VALUE"""),"VF")</f>
        <v>VF</v>
      </c>
      <c r="F279" s="2">
        <f>IFERROR(__xludf.DUMMYFUNCTION("""COMPUTED_VALUE"""),1.0)</f>
        <v>1</v>
      </c>
      <c r="G279" s="2" t="str">
        <f>IFERROR(__xludf.DUMMYFUNCTION("""COMPUTED_VALUE"""),"PR033")</f>
        <v>PR033</v>
      </c>
      <c r="H279" s="2" t="str">
        <f>IFERROR(__xludf.DUMMYFUNCTION("""COMPUTED_VALUE"""),"VD016")</f>
        <v>VD016</v>
      </c>
      <c r="I279" s="2">
        <f>IFERROR(__xludf.DUMMYFUNCTION("""COMPUTED_VALUE"""),3.0)</f>
        <v>3</v>
      </c>
      <c r="J279" s="2">
        <f>IFERROR(__xludf.DUMMYFUNCTION("""COMPUTED_VALUE"""),818.69)</f>
        <v>818.69</v>
      </c>
      <c r="K279" s="2">
        <f>IFERROR(__xludf.DUMMYFUNCTION("""COMPUTED_VALUE"""),818.69)</f>
        <v>818.69</v>
      </c>
    </row>
    <row r="280">
      <c r="A280" s="2">
        <f>IFERROR(__xludf.DUMMYFUNCTION("""COMPUTED_VALUE"""),1000.0)</f>
        <v>1000</v>
      </c>
      <c r="B280" s="2">
        <f>IFERROR(__xludf.DUMMYFUNCTION("""COMPUTED_VALUE"""),183662.0)</f>
        <v>183662</v>
      </c>
      <c r="C280" s="2">
        <f>IFERROR(__xludf.DUMMYFUNCTION("""COMPUTED_VALUE"""),2026.0)</f>
        <v>2026</v>
      </c>
      <c r="D280" s="2">
        <f>IFERROR(__xludf.DUMMYFUNCTION("""COMPUTED_VALUE"""),46331.0)</f>
        <v>46331</v>
      </c>
      <c r="E280" s="2" t="str">
        <f>IFERROR(__xludf.DUMMYFUNCTION("""COMPUTED_VALUE"""),"VF")</f>
        <v>VF</v>
      </c>
      <c r="F280" s="2">
        <f>IFERROR(__xludf.DUMMYFUNCTION("""COMPUTED_VALUE"""),2.0)</f>
        <v>2</v>
      </c>
      <c r="G280" s="2" t="str">
        <f>IFERROR(__xludf.DUMMYFUNCTION("""COMPUTED_VALUE"""),"PR029")</f>
        <v>PR029</v>
      </c>
      <c r="H280" s="2" t="str">
        <f>IFERROR(__xludf.DUMMYFUNCTION("""COMPUTED_VALUE"""),"VD038")</f>
        <v>VD038</v>
      </c>
      <c r="I280" s="2">
        <f>IFERROR(__xludf.DUMMYFUNCTION("""COMPUTED_VALUE"""),3.0)</f>
        <v>3</v>
      </c>
      <c r="J280" s="2">
        <f>IFERROR(__xludf.DUMMYFUNCTION("""COMPUTED_VALUE"""),818.55)</f>
        <v>818.55</v>
      </c>
      <c r="K280" s="2">
        <f>IFERROR(__xludf.DUMMYFUNCTION("""COMPUTED_VALUE"""),818.55)</f>
        <v>818.55</v>
      </c>
    </row>
    <row r="281">
      <c r="A281" s="2">
        <f>IFERROR(__xludf.DUMMYFUNCTION("""COMPUTED_VALUE"""),1000.0)</f>
        <v>1000</v>
      </c>
      <c r="B281" s="2">
        <f>IFERROR(__xludf.DUMMYFUNCTION("""COMPUTED_VALUE"""),183663.0)</f>
        <v>183663</v>
      </c>
      <c r="C281" s="2">
        <f>IFERROR(__xludf.DUMMYFUNCTION("""COMPUTED_VALUE"""),2026.0)</f>
        <v>2026</v>
      </c>
      <c r="D281" s="2">
        <f>IFERROR(__xludf.DUMMYFUNCTION("""COMPUTED_VALUE"""),46331.0)</f>
        <v>46331</v>
      </c>
      <c r="E281" s="2" t="str">
        <f>IFERROR(__xludf.DUMMYFUNCTION("""COMPUTED_VALUE"""),"VF")</f>
        <v>VF</v>
      </c>
      <c r="F281" s="2">
        <f>IFERROR(__xludf.DUMMYFUNCTION("""COMPUTED_VALUE"""),1.0)</f>
        <v>1</v>
      </c>
      <c r="G281" s="2" t="str">
        <f>IFERROR(__xludf.DUMMYFUNCTION("""COMPUTED_VALUE"""),"PR060")</f>
        <v>PR060</v>
      </c>
      <c r="H281" s="2" t="str">
        <f>IFERROR(__xludf.DUMMYFUNCTION("""COMPUTED_VALUE"""),"VD039")</f>
        <v>VD039</v>
      </c>
      <c r="I281" s="2">
        <f>IFERROR(__xludf.DUMMYFUNCTION("""COMPUTED_VALUE"""),7.0)</f>
        <v>7</v>
      </c>
      <c r="J281" s="2">
        <f>IFERROR(__xludf.DUMMYFUNCTION("""COMPUTED_VALUE"""),1386.0)</f>
        <v>1386</v>
      </c>
      <c r="K281" s="2">
        <f>IFERROR(__xludf.DUMMYFUNCTION("""COMPUTED_VALUE"""),1386.0)</f>
        <v>1386</v>
      </c>
    </row>
    <row r="282">
      <c r="A282" s="2">
        <f>IFERROR(__xludf.DUMMYFUNCTION("""COMPUTED_VALUE"""),1000.0)</f>
        <v>1000</v>
      </c>
      <c r="B282" s="2">
        <f>IFERROR(__xludf.DUMMYFUNCTION("""COMPUTED_VALUE"""),183663.0)</f>
        <v>183663</v>
      </c>
      <c r="C282" s="2">
        <f>IFERROR(__xludf.DUMMYFUNCTION("""COMPUTED_VALUE"""),2026.0)</f>
        <v>2026</v>
      </c>
      <c r="D282" s="2">
        <f>IFERROR(__xludf.DUMMYFUNCTION("""COMPUTED_VALUE"""),46331.0)</f>
        <v>46331</v>
      </c>
      <c r="E282" s="2" t="str">
        <f>IFERROR(__xludf.DUMMYFUNCTION("""COMPUTED_VALUE"""),"VF")</f>
        <v>VF</v>
      </c>
      <c r="F282" s="2">
        <f>IFERROR(__xludf.DUMMYFUNCTION("""COMPUTED_VALUE"""),2.0)</f>
        <v>2</v>
      </c>
      <c r="G282" s="2" t="str">
        <f>IFERROR(__xludf.DUMMYFUNCTION("""COMPUTED_VALUE"""),"PR031")</f>
        <v>PR031</v>
      </c>
      <c r="H282" s="2" t="str">
        <f>IFERROR(__xludf.DUMMYFUNCTION("""COMPUTED_VALUE"""),"VD029")</f>
        <v>VD029</v>
      </c>
      <c r="I282" s="2">
        <f>IFERROR(__xludf.DUMMYFUNCTION("""COMPUTED_VALUE"""),6.0)</f>
        <v>6</v>
      </c>
      <c r="J282" s="2">
        <f>IFERROR(__xludf.DUMMYFUNCTION("""COMPUTED_VALUE"""),1484.7)</f>
        <v>1484.7</v>
      </c>
      <c r="K282" s="2">
        <f>IFERROR(__xludf.DUMMYFUNCTION("""COMPUTED_VALUE"""),1484.7)</f>
        <v>1484.7</v>
      </c>
    </row>
    <row r="283">
      <c r="A283" s="2">
        <f>IFERROR(__xludf.DUMMYFUNCTION("""COMPUTED_VALUE"""),1000.0)</f>
        <v>1000</v>
      </c>
      <c r="B283" s="2">
        <f>IFERROR(__xludf.DUMMYFUNCTION("""COMPUTED_VALUE"""),183664.0)</f>
        <v>183664</v>
      </c>
      <c r="C283" s="2">
        <f>IFERROR(__xludf.DUMMYFUNCTION("""COMPUTED_VALUE"""),2026.0)</f>
        <v>2026</v>
      </c>
      <c r="D283" s="2">
        <f>IFERROR(__xludf.DUMMYFUNCTION("""COMPUTED_VALUE"""),46330.0)</f>
        <v>46330</v>
      </c>
      <c r="E283" s="2" t="str">
        <f>IFERROR(__xludf.DUMMYFUNCTION("""COMPUTED_VALUE"""),"VF")</f>
        <v>VF</v>
      </c>
      <c r="F283" s="2">
        <f>IFERROR(__xludf.DUMMYFUNCTION("""COMPUTED_VALUE"""),1.0)</f>
        <v>1</v>
      </c>
      <c r="G283" s="2" t="str">
        <f>IFERROR(__xludf.DUMMYFUNCTION("""COMPUTED_VALUE"""),"PR038")</f>
        <v>PR038</v>
      </c>
      <c r="H283" s="2" t="str">
        <f>IFERROR(__xludf.DUMMYFUNCTION("""COMPUTED_VALUE"""),"VD036")</f>
        <v>VD036</v>
      </c>
      <c r="I283" s="2">
        <f>IFERROR(__xludf.DUMMYFUNCTION("""COMPUTED_VALUE"""),21.0)</f>
        <v>21</v>
      </c>
      <c r="J283" s="2">
        <f>IFERROR(__xludf.DUMMYFUNCTION("""COMPUTED_VALUE"""),3240.97)</f>
        <v>3240.97</v>
      </c>
      <c r="K283" s="2">
        <f>IFERROR(__xludf.DUMMYFUNCTION("""COMPUTED_VALUE"""),3240.97)</f>
        <v>3240.97</v>
      </c>
    </row>
    <row r="284">
      <c r="A284" s="2">
        <f>IFERROR(__xludf.DUMMYFUNCTION("""COMPUTED_VALUE"""),1000.0)</f>
        <v>1000</v>
      </c>
      <c r="B284" s="2">
        <f>IFERROR(__xludf.DUMMYFUNCTION("""COMPUTED_VALUE"""),183665.0)</f>
        <v>183665</v>
      </c>
      <c r="C284" s="2">
        <f>IFERROR(__xludf.DUMMYFUNCTION("""COMPUTED_VALUE"""),2026.0)</f>
        <v>2026</v>
      </c>
      <c r="D284" s="2">
        <f>IFERROR(__xludf.DUMMYFUNCTION("""COMPUTED_VALUE"""),46330.0)</f>
        <v>46330</v>
      </c>
      <c r="E284" s="2" t="str">
        <f>IFERROR(__xludf.DUMMYFUNCTION("""COMPUTED_VALUE"""),"VF")</f>
        <v>VF</v>
      </c>
      <c r="F284" s="2">
        <f>IFERROR(__xludf.DUMMYFUNCTION("""COMPUTED_VALUE"""),1.0)</f>
        <v>1</v>
      </c>
      <c r="G284" s="2" t="str">
        <f>IFERROR(__xludf.DUMMYFUNCTION("""COMPUTED_VALUE"""),"PR054")</f>
        <v>PR054</v>
      </c>
      <c r="H284" s="2" t="str">
        <f>IFERROR(__xludf.DUMMYFUNCTION("""COMPUTED_VALUE"""),"VD041")</f>
        <v>VD041</v>
      </c>
      <c r="I284" s="2">
        <f>IFERROR(__xludf.DUMMYFUNCTION("""COMPUTED_VALUE"""),10.0)</f>
        <v>10</v>
      </c>
      <c r="J284" s="2">
        <f>IFERROR(__xludf.DUMMYFUNCTION("""COMPUTED_VALUE"""),499.0)</f>
        <v>499</v>
      </c>
      <c r="K284" s="2">
        <f>IFERROR(__xludf.DUMMYFUNCTION("""COMPUTED_VALUE"""),499.0)</f>
        <v>499</v>
      </c>
    </row>
    <row r="285">
      <c r="A285" s="2">
        <f>IFERROR(__xludf.DUMMYFUNCTION("""COMPUTED_VALUE"""),1000.0)</f>
        <v>1000</v>
      </c>
      <c r="B285" s="2">
        <f>IFERROR(__xludf.DUMMYFUNCTION("""COMPUTED_VALUE"""),183666.0)</f>
        <v>183666</v>
      </c>
      <c r="C285" s="2">
        <f>IFERROR(__xludf.DUMMYFUNCTION("""COMPUTED_VALUE"""),2026.0)</f>
        <v>2026</v>
      </c>
      <c r="D285" s="2">
        <f>IFERROR(__xludf.DUMMYFUNCTION("""COMPUTED_VALUE"""),46330.0)</f>
        <v>46330</v>
      </c>
      <c r="E285" s="2" t="str">
        <f>IFERROR(__xludf.DUMMYFUNCTION("""COMPUTED_VALUE"""),"VF")</f>
        <v>VF</v>
      </c>
      <c r="F285" s="2">
        <f>IFERROR(__xludf.DUMMYFUNCTION("""COMPUTED_VALUE"""),1.0)</f>
        <v>1</v>
      </c>
      <c r="G285" s="2" t="str">
        <f>IFERROR(__xludf.DUMMYFUNCTION("""COMPUTED_VALUE"""),"PR022")</f>
        <v>PR022</v>
      </c>
      <c r="H285" s="2" t="str">
        <f>IFERROR(__xludf.DUMMYFUNCTION("""COMPUTED_VALUE"""),"VD045")</f>
        <v>VD045</v>
      </c>
      <c r="I285" s="2">
        <f>IFERROR(__xludf.DUMMYFUNCTION("""COMPUTED_VALUE"""),1.0)</f>
        <v>1</v>
      </c>
      <c r="J285" s="2">
        <f>IFERROR(__xludf.DUMMYFUNCTION("""COMPUTED_VALUE"""),306.0)</f>
        <v>306</v>
      </c>
      <c r="K285" s="2">
        <f>IFERROR(__xludf.DUMMYFUNCTION("""COMPUTED_VALUE"""),306.0)</f>
        <v>306</v>
      </c>
    </row>
    <row r="286">
      <c r="A286" s="2">
        <f>IFERROR(__xludf.DUMMYFUNCTION("""COMPUTED_VALUE"""),2000.0)</f>
        <v>2000</v>
      </c>
      <c r="B286" s="2">
        <f>IFERROR(__xludf.DUMMYFUNCTION("""COMPUTED_VALUE"""),183667.0)</f>
        <v>183667</v>
      </c>
      <c r="C286" s="2">
        <f>IFERROR(__xludf.DUMMYFUNCTION("""COMPUTED_VALUE"""),2026.0)</f>
        <v>2026</v>
      </c>
      <c r="D286" s="2">
        <f>IFERROR(__xludf.DUMMYFUNCTION("""COMPUTED_VALUE"""),46329.0)</f>
        <v>46329</v>
      </c>
      <c r="E286" s="2" t="str">
        <f>IFERROR(__xludf.DUMMYFUNCTION("""COMPUTED_VALUE"""),"VF")</f>
        <v>VF</v>
      </c>
      <c r="F286" s="2">
        <f>IFERROR(__xludf.DUMMYFUNCTION("""COMPUTED_VALUE"""),1.0)</f>
        <v>1</v>
      </c>
      <c r="G286" s="2" t="str">
        <f>IFERROR(__xludf.DUMMYFUNCTION("""COMPUTED_VALUE"""),"PR034")</f>
        <v>PR034</v>
      </c>
      <c r="H286" s="2" t="str">
        <f>IFERROR(__xludf.DUMMYFUNCTION("""COMPUTED_VALUE"""),"VD033")</f>
        <v>VD033</v>
      </c>
      <c r="I286" s="2">
        <f>IFERROR(__xludf.DUMMYFUNCTION("""COMPUTED_VALUE"""),18.0)</f>
        <v>18</v>
      </c>
      <c r="J286" s="2">
        <f>IFERROR(__xludf.DUMMYFUNCTION("""COMPUTED_VALUE"""),1747.66)</f>
        <v>1747.66</v>
      </c>
      <c r="K286" s="2">
        <f>IFERROR(__xludf.DUMMYFUNCTION("""COMPUTED_VALUE"""),1747.66)</f>
        <v>1747.66</v>
      </c>
    </row>
    <row r="287">
      <c r="A287" s="2">
        <f>IFERROR(__xludf.DUMMYFUNCTION("""COMPUTED_VALUE"""),1000.0)</f>
        <v>1000</v>
      </c>
      <c r="B287" s="2">
        <f>IFERROR(__xludf.DUMMYFUNCTION("""COMPUTED_VALUE"""),183668.0)</f>
        <v>183668</v>
      </c>
      <c r="C287" s="2">
        <f>IFERROR(__xludf.DUMMYFUNCTION("""COMPUTED_VALUE"""),2026.0)</f>
        <v>2026</v>
      </c>
      <c r="D287" s="2">
        <f>IFERROR(__xludf.DUMMYFUNCTION("""COMPUTED_VALUE"""),46329.0)</f>
        <v>46329</v>
      </c>
      <c r="E287" s="2" t="str">
        <f>IFERROR(__xludf.DUMMYFUNCTION("""COMPUTED_VALUE"""),"VF")</f>
        <v>VF</v>
      </c>
      <c r="F287" s="2">
        <f>IFERROR(__xludf.DUMMYFUNCTION("""COMPUTED_VALUE"""),1.0)</f>
        <v>1</v>
      </c>
      <c r="G287" s="2" t="str">
        <f>IFERROR(__xludf.DUMMYFUNCTION("""COMPUTED_VALUE"""),"PR010")</f>
        <v>PR010</v>
      </c>
      <c r="H287" s="2" t="str">
        <f>IFERROR(__xludf.DUMMYFUNCTION("""COMPUTED_VALUE"""),"VD034")</f>
        <v>VD034</v>
      </c>
      <c r="I287" s="2">
        <f>IFERROR(__xludf.DUMMYFUNCTION("""COMPUTED_VALUE"""),12.0)</f>
        <v>12</v>
      </c>
      <c r="J287" s="2">
        <f>IFERROR(__xludf.DUMMYFUNCTION("""COMPUTED_VALUE"""),538.8)</f>
        <v>538.8</v>
      </c>
      <c r="K287" s="2">
        <f>IFERROR(__xludf.DUMMYFUNCTION("""COMPUTED_VALUE"""),538.8)</f>
        <v>538.8</v>
      </c>
    </row>
    <row r="288">
      <c r="A288" s="2">
        <f>IFERROR(__xludf.DUMMYFUNCTION("""COMPUTED_VALUE"""),2000.0)</f>
        <v>2000</v>
      </c>
      <c r="B288" s="2">
        <f>IFERROR(__xludf.DUMMYFUNCTION("""COMPUTED_VALUE"""),183668.0)</f>
        <v>183668</v>
      </c>
      <c r="C288" s="2">
        <f>IFERROR(__xludf.DUMMYFUNCTION("""COMPUTED_VALUE"""),2026.0)</f>
        <v>2026</v>
      </c>
      <c r="D288" s="2">
        <f>IFERROR(__xludf.DUMMYFUNCTION("""COMPUTED_VALUE"""),46329.0)</f>
        <v>46329</v>
      </c>
      <c r="E288" s="2" t="str">
        <f>IFERROR(__xludf.DUMMYFUNCTION("""COMPUTED_VALUE"""),"VF")</f>
        <v>VF</v>
      </c>
      <c r="F288" s="2">
        <f>IFERROR(__xludf.DUMMYFUNCTION("""COMPUTED_VALUE"""),2.0)</f>
        <v>2</v>
      </c>
      <c r="G288" s="2" t="str">
        <f>IFERROR(__xludf.DUMMYFUNCTION("""COMPUTED_VALUE"""),"PR058")</f>
        <v>PR058</v>
      </c>
      <c r="H288" s="2" t="str">
        <f>IFERROR(__xludf.DUMMYFUNCTION("""COMPUTED_VALUE"""),"VD031")</f>
        <v>VD031</v>
      </c>
      <c r="I288" s="2">
        <f>IFERROR(__xludf.DUMMYFUNCTION("""COMPUTED_VALUE"""),10.0)</f>
        <v>10</v>
      </c>
      <c r="J288" s="2">
        <f>IFERROR(__xludf.DUMMYFUNCTION("""COMPUTED_VALUE"""),1890.0)</f>
        <v>1890</v>
      </c>
      <c r="K288" s="2">
        <f>IFERROR(__xludf.DUMMYFUNCTION("""COMPUTED_VALUE"""),1890.0)</f>
        <v>1890</v>
      </c>
    </row>
    <row r="289">
      <c r="A289" s="2">
        <f>IFERROR(__xludf.DUMMYFUNCTION("""COMPUTED_VALUE"""),2000.0)</f>
        <v>2000</v>
      </c>
      <c r="B289" s="2">
        <f>IFERROR(__xludf.DUMMYFUNCTION("""COMPUTED_VALUE"""),183668.0)</f>
        <v>183668</v>
      </c>
      <c r="C289" s="2">
        <f>IFERROR(__xludf.DUMMYFUNCTION("""COMPUTED_VALUE"""),2026.0)</f>
        <v>2026</v>
      </c>
      <c r="D289" s="2">
        <f>IFERROR(__xludf.DUMMYFUNCTION("""COMPUTED_VALUE"""),46329.0)</f>
        <v>46329</v>
      </c>
      <c r="E289" s="2" t="str">
        <f>IFERROR(__xludf.DUMMYFUNCTION("""COMPUTED_VALUE"""),"VF")</f>
        <v>VF</v>
      </c>
      <c r="F289" s="2">
        <f>IFERROR(__xludf.DUMMYFUNCTION("""COMPUTED_VALUE"""),3.0)</f>
        <v>3</v>
      </c>
      <c r="G289" s="2" t="str">
        <f>IFERROR(__xludf.DUMMYFUNCTION("""COMPUTED_VALUE"""),"PR012")</f>
        <v>PR012</v>
      </c>
      <c r="H289" s="2" t="str">
        <f>IFERROR(__xludf.DUMMYFUNCTION("""COMPUTED_VALUE"""),"VD015")</f>
        <v>VD015</v>
      </c>
      <c r="I289" s="2">
        <f>IFERROR(__xludf.DUMMYFUNCTION("""COMPUTED_VALUE"""),2.0)</f>
        <v>2</v>
      </c>
      <c r="J289" s="2">
        <f>IFERROR(__xludf.DUMMYFUNCTION("""COMPUTED_VALUE"""),103.67)</f>
        <v>103.67</v>
      </c>
      <c r="K289" s="2">
        <f>IFERROR(__xludf.DUMMYFUNCTION("""COMPUTED_VALUE"""),103.67)</f>
        <v>103.67</v>
      </c>
    </row>
    <row r="290">
      <c r="A290" s="2">
        <f>IFERROR(__xludf.DUMMYFUNCTION("""COMPUTED_VALUE"""),1000.0)</f>
        <v>1000</v>
      </c>
      <c r="B290" s="2">
        <f>IFERROR(__xludf.DUMMYFUNCTION("""COMPUTED_VALUE"""),183669.0)</f>
        <v>183669</v>
      </c>
      <c r="C290" s="2">
        <f>IFERROR(__xludf.DUMMYFUNCTION("""COMPUTED_VALUE"""),2026.0)</f>
        <v>2026</v>
      </c>
      <c r="D290" s="2">
        <f>IFERROR(__xludf.DUMMYFUNCTION("""COMPUTED_VALUE"""),46329.0)</f>
        <v>46329</v>
      </c>
      <c r="E290" s="2" t="str">
        <f>IFERROR(__xludf.DUMMYFUNCTION("""COMPUTED_VALUE"""),"VF")</f>
        <v>VF</v>
      </c>
      <c r="F290" s="2">
        <f>IFERROR(__xludf.DUMMYFUNCTION("""COMPUTED_VALUE"""),1.0)</f>
        <v>1</v>
      </c>
      <c r="G290" s="2" t="str">
        <f>IFERROR(__xludf.DUMMYFUNCTION("""COMPUTED_VALUE"""),"PR004")</f>
        <v>PR004</v>
      </c>
      <c r="H290" s="2" t="str">
        <f>IFERROR(__xludf.DUMMYFUNCTION("""COMPUTED_VALUE"""),"VD031")</f>
        <v>VD031</v>
      </c>
      <c r="I290" s="2">
        <f>IFERROR(__xludf.DUMMYFUNCTION("""COMPUTED_VALUE"""),1.0)</f>
        <v>1</v>
      </c>
      <c r="J290" s="2">
        <f>IFERROR(__xludf.DUMMYFUNCTION("""COMPUTED_VALUE"""),149.35)</f>
        <v>149.35</v>
      </c>
      <c r="K290" s="2">
        <f>IFERROR(__xludf.DUMMYFUNCTION("""COMPUTED_VALUE"""),149.35)</f>
        <v>149.35</v>
      </c>
    </row>
    <row r="291">
      <c r="A291" s="2">
        <f>IFERROR(__xludf.DUMMYFUNCTION("""COMPUTED_VALUE"""),1000.0)</f>
        <v>1000</v>
      </c>
      <c r="B291" s="2">
        <f>IFERROR(__xludf.DUMMYFUNCTION("""COMPUTED_VALUE"""),183670.0)</f>
        <v>183670</v>
      </c>
      <c r="C291" s="2">
        <f>IFERROR(__xludf.DUMMYFUNCTION("""COMPUTED_VALUE"""),2026.0)</f>
        <v>2026</v>
      </c>
      <c r="D291" s="2">
        <f>IFERROR(__xludf.DUMMYFUNCTION("""COMPUTED_VALUE"""),46329.0)</f>
        <v>46329</v>
      </c>
      <c r="E291" s="2" t="str">
        <f>IFERROR(__xludf.DUMMYFUNCTION("""COMPUTED_VALUE"""),"VF")</f>
        <v>VF</v>
      </c>
      <c r="F291" s="2">
        <f>IFERROR(__xludf.DUMMYFUNCTION("""COMPUTED_VALUE"""),1.0)</f>
        <v>1</v>
      </c>
      <c r="G291" s="2" t="str">
        <f>IFERROR(__xludf.DUMMYFUNCTION("""COMPUTED_VALUE"""),"PR027")</f>
        <v>PR027</v>
      </c>
      <c r="H291" s="2" t="str">
        <f>IFERROR(__xludf.DUMMYFUNCTION("""COMPUTED_VALUE"""),"VD030")</f>
        <v>VD030</v>
      </c>
      <c r="I291" s="2">
        <f>IFERROR(__xludf.DUMMYFUNCTION("""COMPUTED_VALUE"""),6.0)</f>
        <v>6</v>
      </c>
      <c r="J291" s="2">
        <f>IFERROR(__xludf.DUMMYFUNCTION("""COMPUTED_VALUE"""),770.4)</f>
        <v>770.4</v>
      </c>
      <c r="K291" s="2">
        <f>IFERROR(__xludf.DUMMYFUNCTION("""COMPUTED_VALUE"""),770.4)</f>
        <v>770.4</v>
      </c>
    </row>
    <row r="292">
      <c r="A292" s="2">
        <f>IFERROR(__xludf.DUMMYFUNCTION("""COMPUTED_VALUE"""),1000.0)</f>
        <v>1000</v>
      </c>
      <c r="B292" s="2">
        <f>IFERROR(__xludf.DUMMYFUNCTION("""COMPUTED_VALUE"""),183671.0)</f>
        <v>183671</v>
      </c>
      <c r="C292" s="2">
        <f>IFERROR(__xludf.DUMMYFUNCTION("""COMPUTED_VALUE"""),2026.0)</f>
        <v>2026</v>
      </c>
      <c r="D292" s="2">
        <f>IFERROR(__xludf.DUMMYFUNCTION("""COMPUTED_VALUE"""),46329.0)</f>
        <v>46329</v>
      </c>
      <c r="E292" s="2" t="str">
        <f>IFERROR(__xludf.DUMMYFUNCTION("""COMPUTED_VALUE"""),"VF")</f>
        <v>VF</v>
      </c>
      <c r="F292" s="2">
        <f>IFERROR(__xludf.DUMMYFUNCTION("""COMPUTED_VALUE"""),1.0)</f>
        <v>1</v>
      </c>
      <c r="G292" s="2" t="str">
        <f>IFERROR(__xludf.DUMMYFUNCTION("""COMPUTED_VALUE"""),"PR020")</f>
        <v>PR020</v>
      </c>
      <c r="H292" s="2" t="str">
        <f>IFERROR(__xludf.DUMMYFUNCTION("""COMPUTED_VALUE"""),"VD032")</f>
        <v>VD032</v>
      </c>
      <c r="I292" s="2">
        <f>IFERROR(__xludf.DUMMYFUNCTION("""COMPUTED_VALUE"""),18.0)</f>
        <v>18</v>
      </c>
      <c r="J292" s="2">
        <f>IFERROR(__xludf.DUMMYFUNCTION("""COMPUTED_VALUE"""),5668.11)</f>
        <v>5668.11</v>
      </c>
      <c r="K292" s="2">
        <f>IFERROR(__xludf.DUMMYFUNCTION("""COMPUTED_VALUE"""),5668.11)</f>
        <v>5668.11</v>
      </c>
    </row>
    <row r="293">
      <c r="A293" s="2">
        <f>IFERROR(__xludf.DUMMYFUNCTION("""COMPUTED_VALUE"""),1000.0)</f>
        <v>1000</v>
      </c>
      <c r="B293" s="2">
        <f>IFERROR(__xludf.DUMMYFUNCTION("""COMPUTED_VALUE"""),183671.0)</f>
        <v>183671</v>
      </c>
      <c r="C293" s="2">
        <f>IFERROR(__xludf.DUMMYFUNCTION("""COMPUTED_VALUE"""),2026.0)</f>
        <v>2026</v>
      </c>
      <c r="D293" s="2">
        <f>IFERROR(__xludf.DUMMYFUNCTION("""COMPUTED_VALUE"""),46329.0)</f>
        <v>46329</v>
      </c>
      <c r="E293" s="2" t="str">
        <f>IFERROR(__xludf.DUMMYFUNCTION("""COMPUTED_VALUE"""),"VF")</f>
        <v>VF</v>
      </c>
      <c r="F293" s="2">
        <f>IFERROR(__xludf.DUMMYFUNCTION("""COMPUTED_VALUE"""),2.0)</f>
        <v>2</v>
      </c>
      <c r="G293" s="2" t="str">
        <f>IFERROR(__xludf.DUMMYFUNCTION("""COMPUTED_VALUE"""),"PR016")</f>
        <v>PR016</v>
      </c>
      <c r="H293" s="2" t="str">
        <f>IFERROR(__xludf.DUMMYFUNCTION("""COMPUTED_VALUE"""),"VD032")</f>
        <v>VD032</v>
      </c>
      <c r="I293" s="2">
        <f>IFERROR(__xludf.DUMMYFUNCTION("""COMPUTED_VALUE"""),12.0)</f>
        <v>12</v>
      </c>
      <c r="J293" s="2">
        <f>IFERROR(__xludf.DUMMYFUNCTION("""COMPUTED_VALUE"""),320.12)</f>
        <v>320.12</v>
      </c>
      <c r="K293" s="2">
        <f>IFERROR(__xludf.DUMMYFUNCTION("""COMPUTED_VALUE"""),320.12)</f>
        <v>320.12</v>
      </c>
    </row>
    <row r="294">
      <c r="A294" s="2">
        <f>IFERROR(__xludf.DUMMYFUNCTION("""COMPUTED_VALUE"""),1000.0)</f>
        <v>1000</v>
      </c>
      <c r="B294" s="2">
        <f>IFERROR(__xludf.DUMMYFUNCTION("""COMPUTED_VALUE"""),183671.0)</f>
        <v>183671</v>
      </c>
      <c r="C294" s="2">
        <f>IFERROR(__xludf.DUMMYFUNCTION("""COMPUTED_VALUE"""),2026.0)</f>
        <v>2026</v>
      </c>
      <c r="D294" s="2">
        <f>IFERROR(__xludf.DUMMYFUNCTION("""COMPUTED_VALUE"""),46329.0)</f>
        <v>46329</v>
      </c>
      <c r="E294" s="2" t="str">
        <f>IFERROR(__xludf.DUMMYFUNCTION("""COMPUTED_VALUE"""),"VF")</f>
        <v>VF</v>
      </c>
      <c r="F294" s="2">
        <f>IFERROR(__xludf.DUMMYFUNCTION("""COMPUTED_VALUE"""),3.0)</f>
        <v>3</v>
      </c>
      <c r="G294" s="2" t="str">
        <f>IFERROR(__xludf.DUMMYFUNCTION("""COMPUTED_VALUE"""),"PR056")</f>
        <v>PR056</v>
      </c>
      <c r="H294" s="2" t="str">
        <f>IFERROR(__xludf.DUMMYFUNCTION("""COMPUTED_VALUE"""),"VD015")</f>
        <v>VD015</v>
      </c>
      <c r="I294" s="2">
        <f>IFERROR(__xludf.DUMMYFUNCTION("""COMPUTED_VALUE"""),1.0)</f>
        <v>1</v>
      </c>
      <c r="J294" s="2">
        <f>IFERROR(__xludf.DUMMYFUNCTION("""COMPUTED_VALUE"""),96.19)</f>
        <v>96.19</v>
      </c>
      <c r="K294" s="2">
        <f>IFERROR(__xludf.DUMMYFUNCTION("""COMPUTED_VALUE"""),96.19)</f>
        <v>96.19</v>
      </c>
    </row>
    <row r="295">
      <c r="A295" s="2">
        <f>IFERROR(__xludf.DUMMYFUNCTION("""COMPUTED_VALUE"""),1000.0)</f>
        <v>1000</v>
      </c>
      <c r="B295" s="2">
        <f>IFERROR(__xludf.DUMMYFUNCTION("""COMPUTED_VALUE"""),183672.0)</f>
        <v>183672</v>
      </c>
      <c r="C295" s="2">
        <f>IFERROR(__xludf.DUMMYFUNCTION("""COMPUTED_VALUE"""),2026.0)</f>
        <v>2026</v>
      </c>
      <c r="D295" s="2">
        <f>IFERROR(__xludf.DUMMYFUNCTION("""COMPUTED_VALUE"""),46329.0)</f>
        <v>46329</v>
      </c>
      <c r="E295" s="2" t="str">
        <f>IFERROR(__xludf.DUMMYFUNCTION("""COMPUTED_VALUE"""),"VF")</f>
        <v>VF</v>
      </c>
      <c r="F295" s="2">
        <f>IFERROR(__xludf.DUMMYFUNCTION("""COMPUTED_VALUE"""),1.0)</f>
        <v>1</v>
      </c>
      <c r="G295" s="2" t="str">
        <f>IFERROR(__xludf.DUMMYFUNCTION("""COMPUTED_VALUE"""),"PR017")</f>
        <v>PR017</v>
      </c>
      <c r="H295" s="2" t="str">
        <f>IFERROR(__xludf.DUMMYFUNCTION("""COMPUTED_VALUE"""),"VD016")</f>
        <v>VD016</v>
      </c>
      <c r="I295" s="2">
        <f>IFERROR(__xludf.DUMMYFUNCTION("""COMPUTED_VALUE"""),8.0)</f>
        <v>8</v>
      </c>
      <c r="J295" s="2">
        <f>IFERROR(__xludf.DUMMYFUNCTION("""COMPUTED_VALUE"""),241.59)</f>
        <v>241.59</v>
      </c>
      <c r="K295" s="2">
        <f>IFERROR(__xludf.DUMMYFUNCTION("""COMPUTED_VALUE"""),241.59)</f>
        <v>241.59</v>
      </c>
    </row>
    <row r="296">
      <c r="A296" s="2">
        <f>IFERROR(__xludf.DUMMYFUNCTION("""COMPUTED_VALUE"""),1000.0)</f>
        <v>1000</v>
      </c>
      <c r="B296" s="2">
        <f>IFERROR(__xludf.DUMMYFUNCTION("""COMPUTED_VALUE"""),183672.0)</f>
        <v>183672</v>
      </c>
      <c r="C296" s="2">
        <f>IFERROR(__xludf.DUMMYFUNCTION("""COMPUTED_VALUE"""),2026.0)</f>
        <v>2026</v>
      </c>
      <c r="D296" s="2">
        <f>IFERROR(__xludf.DUMMYFUNCTION("""COMPUTED_VALUE"""),46329.0)</f>
        <v>46329</v>
      </c>
      <c r="E296" s="2" t="str">
        <f>IFERROR(__xludf.DUMMYFUNCTION("""COMPUTED_VALUE"""),"VF")</f>
        <v>VF</v>
      </c>
      <c r="F296" s="2">
        <f>IFERROR(__xludf.DUMMYFUNCTION("""COMPUTED_VALUE"""),2.0)</f>
        <v>2</v>
      </c>
      <c r="G296" s="2" t="str">
        <f>IFERROR(__xludf.DUMMYFUNCTION("""COMPUTED_VALUE"""),"PR001")</f>
        <v>PR001</v>
      </c>
      <c r="H296" s="2" t="str">
        <f>IFERROR(__xludf.DUMMYFUNCTION("""COMPUTED_VALUE"""),"VD044")</f>
        <v>VD044</v>
      </c>
      <c r="I296" s="2">
        <f>IFERROR(__xludf.DUMMYFUNCTION("""COMPUTED_VALUE"""),6.0)</f>
        <v>6</v>
      </c>
      <c r="J296" s="2">
        <f>IFERROR(__xludf.DUMMYFUNCTION("""COMPUTED_VALUE"""),403.31)</f>
        <v>403.31</v>
      </c>
      <c r="K296" s="2">
        <f>IFERROR(__xludf.DUMMYFUNCTION("""COMPUTED_VALUE"""),403.31)</f>
        <v>403.31</v>
      </c>
    </row>
    <row r="297">
      <c r="A297" s="2">
        <f>IFERROR(__xludf.DUMMYFUNCTION("""COMPUTED_VALUE"""),1000.0)</f>
        <v>1000</v>
      </c>
      <c r="B297" s="2">
        <f>IFERROR(__xludf.DUMMYFUNCTION("""COMPUTED_VALUE"""),183673.0)</f>
        <v>183673</v>
      </c>
      <c r="C297" s="2">
        <f>IFERROR(__xludf.DUMMYFUNCTION("""COMPUTED_VALUE"""),2026.0)</f>
        <v>2026</v>
      </c>
      <c r="D297" s="2">
        <f>IFERROR(__xludf.DUMMYFUNCTION("""COMPUTED_VALUE"""),46328.0)</f>
        <v>46328</v>
      </c>
      <c r="E297" s="2" t="str">
        <f>IFERROR(__xludf.DUMMYFUNCTION("""COMPUTED_VALUE"""),"VF")</f>
        <v>VF</v>
      </c>
      <c r="F297" s="2">
        <f>IFERROR(__xludf.DUMMYFUNCTION("""COMPUTED_VALUE"""),1.0)</f>
        <v>1</v>
      </c>
      <c r="G297" s="2" t="str">
        <f>IFERROR(__xludf.DUMMYFUNCTION("""COMPUTED_VALUE"""),"PR059")</f>
        <v>PR059</v>
      </c>
      <c r="H297" s="2" t="str">
        <f>IFERROR(__xludf.DUMMYFUNCTION("""COMPUTED_VALUE"""),"VD042")</f>
        <v>VD042</v>
      </c>
      <c r="I297" s="2">
        <f>IFERROR(__xludf.DUMMYFUNCTION("""COMPUTED_VALUE"""),21.0)</f>
        <v>21</v>
      </c>
      <c r="J297" s="2">
        <f>IFERROR(__xludf.DUMMYFUNCTION("""COMPUTED_VALUE"""),3817.8)</f>
        <v>3817.8</v>
      </c>
      <c r="K297" s="2">
        <f>IFERROR(__xludf.DUMMYFUNCTION("""COMPUTED_VALUE"""),3817.8)</f>
        <v>3817.8</v>
      </c>
    </row>
    <row r="298">
      <c r="A298" s="2">
        <f>IFERROR(__xludf.DUMMYFUNCTION("""COMPUTED_VALUE"""),1000.0)</f>
        <v>1000</v>
      </c>
      <c r="B298" s="2">
        <f>IFERROR(__xludf.DUMMYFUNCTION("""COMPUTED_VALUE"""),183673.0)</f>
        <v>183673</v>
      </c>
      <c r="C298" s="2">
        <f>IFERROR(__xludf.DUMMYFUNCTION("""COMPUTED_VALUE"""),2026.0)</f>
        <v>2026</v>
      </c>
      <c r="D298" s="2">
        <f>IFERROR(__xludf.DUMMYFUNCTION("""COMPUTED_VALUE"""),46328.0)</f>
        <v>46328</v>
      </c>
      <c r="E298" s="2" t="str">
        <f>IFERROR(__xludf.DUMMYFUNCTION("""COMPUTED_VALUE"""),"VF")</f>
        <v>VF</v>
      </c>
      <c r="F298" s="2">
        <f>IFERROR(__xludf.DUMMYFUNCTION("""COMPUTED_VALUE"""),2.0)</f>
        <v>2</v>
      </c>
      <c r="G298" s="2" t="str">
        <f>IFERROR(__xludf.DUMMYFUNCTION("""COMPUTED_VALUE"""),"PR039")</f>
        <v>PR039</v>
      </c>
      <c r="H298" s="2" t="str">
        <f>IFERROR(__xludf.DUMMYFUNCTION("""COMPUTED_VALUE"""),"VD013")</f>
        <v>VD013</v>
      </c>
      <c r="I298" s="2">
        <f>IFERROR(__xludf.DUMMYFUNCTION("""COMPUTED_VALUE"""),3.0)</f>
        <v>3</v>
      </c>
      <c r="J298" s="2">
        <f>IFERROR(__xludf.DUMMYFUNCTION("""COMPUTED_VALUE"""),438.0)</f>
        <v>438</v>
      </c>
      <c r="K298" s="2">
        <f>IFERROR(__xludf.DUMMYFUNCTION("""COMPUTED_VALUE"""),438.0)</f>
        <v>438</v>
      </c>
    </row>
    <row r="299">
      <c r="A299" s="2">
        <f>IFERROR(__xludf.DUMMYFUNCTION("""COMPUTED_VALUE"""),1000.0)</f>
        <v>1000</v>
      </c>
      <c r="B299" s="2">
        <f>IFERROR(__xludf.DUMMYFUNCTION("""COMPUTED_VALUE"""),183674.0)</f>
        <v>183674</v>
      </c>
      <c r="C299" s="2">
        <f>IFERROR(__xludf.DUMMYFUNCTION("""COMPUTED_VALUE"""),2026.0)</f>
        <v>2026</v>
      </c>
      <c r="D299" s="2">
        <f>IFERROR(__xludf.DUMMYFUNCTION("""COMPUTED_VALUE"""),46328.0)</f>
        <v>46328</v>
      </c>
      <c r="E299" s="2" t="str">
        <f>IFERROR(__xludf.DUMMYFUNCTION("""COMPUTED_VALUE"""),"VF")</f>
        <v>VF</v>
      </c>
      <c r="F299" s="2">
        <f>IFERROR(__xludf.DUMMYFUNCTION("""COMPUTED_VALUE"""),1.0)</f>
        <v>1</v>
      </c>
      <c r="G299" s="2" t="str">
        <f>IFERROR(__xludf.DUMMYFUNCTION("""COMPUTED_VALUE"""),"PR035")</f>
        <v>PR035</v>
      </c>
      <c r="H299" s="2" t="str">
        <f>IFERROR(__xludf.DUMMYFUNCTION("""COMPUTED_VALUE"""),"VD011")</f>
        <v>VD011</v>
      </c>
      <c r="I299" s="2">
        <f>IFERROR(__xludf.DUMMYFUNCTION("""COMPUTED_VALUE"""),4.0)</f>
        <v>4</v>
      </c>
      <c r="J299" s="2">
        <f>IFERROR(__xludf.DUMMYFUNCTION("""COMPUTED_VALUE"""),383.88)</f>
        <v>383.88</v>
      </c>
      <c r="K299" s="2">
        <f>IFERROR(__xludf.DUMMYFUNCTION("""COMPUTED_VALUE"""),383.88)</f>
        <v>383.88</v>
      </c>
    </row>
    <row r="300">
      <c r="A300" s="2">
        <f>IFERROR(__xludf.DUMMYFUNCTION("""COMPUTED_VALUE"""),1000.0)</f>
        <v>1000</v>
      </c>
      <c r="B300" s="2">
        <f>IFERROR(__xludf.DUMMYFUNCTION("""COMPUTED_VALUE"""),183675.0)</f>
        <v>183675</v>
      </c>
      <c r="C300" s="2">
        <f>IFERROR(__xludf.DUMMYFUNCTION("""COMPUTED_VALUE"""),2026.0)</f>
        <v>2026</v>
      </c>
      <c r="D300" s="2">
        <f>IFERROR(__xludf.DUMMYFUNCTION("""COMPUTED_VALUE"""),46328.0)</f>
        <v>46328</v>
      </c>
      <c r="E300" s="2" t="str">
        <f>IFERROR(__xludf.DUMMYFUNCTION("""COMPUTED_VALUE"""),"VF")</f>
        <v>VF</v>
      </c>
      <c r="F300" s="2">
        <f>IFERROR(__xludf.DUMMYFUNCTION("""COMPUTED_VALUE"""),1.0)</f>
        <v>1</v>
      </c>
      <c r="G300" s="2" t="str">
        <f>IFERROR(__xludf.DUMMYFUNCTION("""COMPUTED_VALUE"""),"PR051")</f>
        <v>PR051</v>
      </c>
      <c r="H300" s="2" t="str">
        <f>IFERROR(__xludf.DUMMYFUNCTION("""COMPUTED_VALUE"""),"VD041")</f>
        <v>VD041</v>
      </c>
      <c r="I300" s="2">
        <f>IFERROR(__xludf.DUMMYFUNCTION("""COMPUTED_VALUE"""),30.0)</f>
        <v>30</v>
      </c>
      <c r="J300" s="2">
        <f>IFERROR(__xludf.DUMMYFUNCTION("""COMPUTED_VALUE"""),1026.48)</f>
        <v>1026.48</v>
      </c>
      <c r="K300" s="2">
        <f>IFERROR(__xludf.DUMMYFUNCTION("""COMPUTED_VALUE"""),1026.48)</f>
        <v>1026.48</v>
      </c>
    </row>
    <row r="301">
      <c r="A301" s="2">
        <f>IFERROR(__xludf.DUMMYFUNCTION("""COMPUTED_VALUE"""),2000.0)</f>
        <v>2000</v>
      </c>
      <c r="B301" s="2">
        <f>IFERROR(__xludf.DUMMYFUNCTION("""COMPUTED_VALUE"""),183676.0)</f>
        <v>183676</v>
      </c>
      <c r="C301" s="2">
        <f>IFERROR(__xludf.DUMMYFUNCTION("""COMPUTED_VALUE"""),2026.0)</f>
        <v>2026</v>
      </c>
      <c r="D301" s="2">
        <f>IFERROR(__xludf.DUMMYFUNCTION("""COMPUTED_VALUE"""),46328.0)</f>
        <v>46328</v>
      </c>
      <c r="E301" s="2" t="str">
        <f>IFERROR(__xludf.DUMMYFUNCTION("""COMPUTED_VALUE"""),"VF")</f>
        <v>VF</v>
      </c>
      <c r="F301" s="2">
        <f>IFERROR(__xludf.DUMMYFUNCTION("""COMPUTED_VALUE"""),1.0)</f>
        <v>1</v>
      </c>
      <c r="G301" s="2" t="str">
        <f>IFERROR(__xludf.DUMMYFUNCTION("""COMPUTED_VALUE"""),"PR047")</f>
        <v>PR047</v>
      </c>
      <c r="H301" s="2" t="str">
        <f>IFERROR(__xludf.DUMMYFUNCTION("""COMPUTED_VALUE"""),"VD034")</f>
        <v>VD034</v>
      </c>
      <c r="I301" s="2">
        <f>IFERROR(__xludf.DUMMYFUNCTION("""COMPUTED_VALUE"""),6.0)</f>
        <v>6</v>
      </c>
      <c r="J301" s="2">
        <f>IFERROR(__xludf.DUMMYFUNCTION("""COMPUTED_VALUE"""),1774.19)</f>
        <v>1774.19</v>
      </c>
      <c r="K301" s="2">
        <f>IFERROR(__xludf.DUMMYFUNCTION("""COMPUTED_VALUE"""),1774.19)</f>
        <v>1774.19</v>
      </c>
    </row>
    <row r="302">
      <c r="A302" s="2">
        <f>IFERROR(__xludf.DUMMYFUNCTION("""COMPUTED_VALUE"""),2000.0)</f>
        <v>2000</v>
      </c>
      <c r="B302" s="2">
        <f>IFERROR(__xludf.DUMMYFUNCTION("""COMPUTED_VALUE"""),183676.0)</f>
        <v>183676</v>
      </c>
      <c r="C302" s="2">
        <f>IFERROR(__xludf.DUMMYFUNCTION("""COMPUTED_VALUE"""),2026.0)</f>
        <v>2026</v>
      </c>
      <c r="D302" s="2">
        <f>IFERROR(__xludf.DUMMYFUNCTION("""COMPUTED_VALUE"""),46328.0)</f>
        <v>46328</v>
      </c>
      <c r="E302" s="2" t="str">
        <f>IFERROR(__xludf.DUMMYFUNCTION("""COMPUTED_VALUE"""),"VF")</f>
        <v>VF</v>
      </c>
      <c r="F302" s="2">
        <f>IFERROR(__xludf.DUMMYFUNCTION("""COMPUTED_VALUE"""),2.0)</f>
        <v>2</v>
      </c>
      <c r="G302" s="2" t="str">
        <f>IFERROR(__xludf.DUMMYFUNCTION("""COMPUTED_VALUE"""),"PR008")</f>
        <v>PR008</v>
      </c>
      <c r="H302" s="2" t="str">
        <f>IFERROR(__xludf.DUMMYFUNCTION("""COMPUTED_VALUE"""),"VD025")</f>
        <v>VD025</v>
      </c>
      <c r="I302" s="2">
        <f>IFERROR(__xludf.DUMMYFUNCTION("""COMPUTED_VALUE"""),12.0)</f>
        <v>12</v>
      </c>
      <c r="J302" s="2">
        <f>IFERROR(__xludf.DUMMYFUNCTION("""COMPUTED_VALUE"""),1121.95)</f>
        <v>1121.95</v>
      </c>
      <c r="K302" s="2">
        <f>IFERROR(__xludf.DUMMYFUNCTION("""COMPUTED_VALUE"""),1121.95)</f>
        <v>1121.95</v>
      </c>
    </row>
    <row r="303">
      <c r="A303" s="2">
        <f>IFERROR(__xludf.DUMMYFUNCTION("""COMPUTED_VALUE"""),2000.0)</f>
        <v>2000</v>
      </c>
      <c r="B303" s="2">
        <f>IFERROR(__xludf.DUMMYFUNCTION("""COMPUTED_VALUE"""),183676.0)</f>
        <v>183676</v>
      </c>
      <c r="C303" s="2">
        <f>IFERROR(__xludf.DUMMYFUNCTION("""COMPUTED_VALUE"""),2026.0)</f>
        <v>2026</v>
      </c>
      <c r="D303" s="2">
        <f>IFERROR(__xludf.DUMMYFUNCTION("""COMPUTED_VALUE"""),46327.0)</f>
        <v>46327</v>
      </c>
      <c r="E303" s="2" t="str">
        <f>IFERROR(__xludf.DUMMYFUNCTION("""COMPUTED_VALUE"""),"VF")</f>
        <v>VF</v>
      </c>
      <c r="F303" s="2">
        <f>IFERROR(__xludf.DUMMYFUNCTION("""COMPUTED_VALUE"""),3.0)</f>
        <v>3</v>
      </c>
      <c r="G303" s="2" t="str">
        <f>IFERROR(__xludf.DUMMYFUNCTION("""COMPUTED_VALUE"""),"PR045")</f>
        <v>PR045</v>
      </c>
      <c r="H303" s="2" t="str">
        <f>IFERROR(__xludf.DUMMYFUNCTION("""COMPUTED_VALUE"""),"VD035")</f>
        <v>VD035</v>
      </c>
      <c r="I303" s="2">
        <f>IFERROR(__xludf.DUMMYFUNCTION("""COMPUTED_VALUE"""),8.0)</f>
        <v>8</v>
      </c>
      <c r="J303" s="2">
        <f>IFERROR(__xludf.DUMMYFUNCTION("""COMPUTED_VALUE"""),609.0)</f>
        <v>609</v>
      </c>
      <c r="K303" s="2">
        <f>IFERROR(__xludf.DUMMYFUNCTION("""COMPUTED_VALUE"""),609.0)</f>
        <v>609</v>
      </c>
    </row>
    <row r="304">
      <c r="A304" s="2">
        <f>IFERROR(__xludf.DUMMYFUNCTION("""COMPUTED_VALUE"""),1000.0)</f>
        <v>1000</v>
      </c>
      <c r="B304" s="2">
        <f>IFERROR(__xludf.DUMMYFUNCTION("""COMPUTED_VALUE"""),183677.0)</f>
        <v>183677</v>
      </c>
      <c r="C304" s="2">
        <f>IFERROR(__xludf.DUMMYFUNCTION("""COMPUTED_VALUE"""),2026.0)</f>
        <v>2026</v>
      </c>
      <c r="D304" s="2">
        <f>IFERROR(__xludf.DUMMYFUNCTION("""COMPUTED_VALUE"""),46327.0)</f>
        <v>46327</v>
      </c>
      <c r="E304" s="2" t="str">
        <f>IFERROR(__xludf.DUMMYFUNCTION("""COMPUTED_VALUE"""),"VF")</f>
        <v>VF</v>
      </c>
      <c r="F304" s="2">
        <f>IFERROR(__xludf.DUMMYFUNCTION("""COMPUTED_VALUE"""),1.0)</f>
        <v>1</v>
      </c>
      <c r="G304" s="2" t="str">
        <f>IFERROR(__xludf.DUMMYFUNCTION("""COMPUTED_VALUE"""),"PR029")</f>
        <v>PR029</v>
      </c>
      <c r="H304" s="2" t="str">
        <f>IFERROR(__xludf.DUMMYFUNCTION("""COMPUTED_VALUE"""),"VD043")</f>
        <v>VD043</v>
      </c>
      <c r="I304" s="2">
        <f>IFERROR(__xludf.DUMMYFUNCTION("""COMPUTED_VALUE"""),21.0)</f>
        <v>21</v>
      </c>
      <c r="J304" s="2">
        <f>IFERROR(__xludf.DUMMYFUNCTION("""COMPUTED_VALUE"""),5462.1)</f>
        <v>5462.1</v>
      </c>
      <c r="K304" s="2">
        <f>IFERROR(__xludf.DUMMYFUNCTION("""COMPUTED_VALUE"""),5462.1)</f>
        <v>5462.1</v>
      </c>
    </row>
    <row r="305">
      <c r="A305" s="2">
        <f>IFERROR(__xludf.DUMMYFUNCTION("""COMPUTED_VALUE"""),2000.0)</f>
        <v>2000</v>
      </c>
      <c r="B305" s="2">
        <f>IFERROR(__xludf.DUMMYFUNCTION("""COMPUTED_VALUE"""),183678.0)</f>
        <v>183678</v>
      </c>
      <c r="C305" s="2">
        <f>IFERROR(__xludf.DUMMYFUNCTION("""COMPUTED_VALUE"""),2026.0)</f>
        <v>2026</v>
      </c>
      <c r="D305" s="2">
        <f>IFERROR(__xludf.DUMMYFUNCTION("""COMPUTED_VALUE"""),46327.0)</f>
        <v>46327</v>
      </c>
      <c r="E305" s="2" t="str">
        <f>IFERROR(__xludf.DUMMYFUNCTION("""COMPUTED_VALUE"""),"VF")</f>
        <v>VF</v>
      </c>
      <c r="F305" s="2">
        <f>IFERROR(__xludf.DUMMYFUNCTION("""COMPUTED_VALUE"""),1.0)</f>
        <v>1</v>
      </c>
      <c r="G305" s="2" t="str">
        <f>IFERROR(__xludf.DUMMYFUNCTION("""COMPUTED_VALUE"""),"PR054")</f>
        <v>PR054</v>
      </c>
      <c r="H305" s="2" t="str">
        <f>IFERROR(__xludf.DUMMYFUNCTION("""COMPUTED_VALUE"""),"VD015")</f>
        <v>VD015</v>
      </c>
      <c r="I305" s="2">
        <f>IFERROR(__xludf.DUMMYFUNCTION("""COMPUTED_VALUE"""),2.0)</f>
        <v>2</v>
      </c>
      <c r="J305" s="2">
        <f>IFERROR(__xludf.DUMMYFUNCTION("""COMPUTED_VALUE"""),105.79)</f>
        <v>105.79</v>
      </c>
      <c r="K305" s="2">
        <f>IFERROR(__xludf.DUMMYFUNCTION("""COMPUTED_VALUE"""),105.79)</f>
        <v>105.79</v>
      </c>
    </row>
    <row r="306">
      <c r="A306" s="2">
        <f>IFERROR(__xludf.DUMMYFUNCTION("""COMPUTED_VALUE"""),1000.0)</f>
        <v>1000</v>
      </c>
      <c r="B306" s="2">
        <f>IFERROR(__xludf.DUMMYFUNCTION("""COMPUTED_VALUE"""),183679.0)</f>
        <v>183679</v>
      </c>
      <c r="C306" s="2">
        <f>IFERROR(__xludf.DUMMYFUNCTION("""COMPUTED_VALUE"""),2026.0)</f>
        <v>2026</v>
      </c>
      <c r="D306" s="2">
        <f>IFERROR(__xludf.DUMMYFUNCTION("""COMPUTED_VALUE"""),46327.0)</f>
        <v>46327</v>
      </c>
      <c r="E306" s="2" t="str">
        <f>IFERROR(__xludf.DUMMYFUNCTION("""COMPUTED_VALUE"""),"VF")</f>
        <v>VF</v>
      </c>
      <c r="F306" s="2">
        <f>IFERROR(__xludf.DUMMYFUNCTION("""COMPUTED_VALUE"""),1.0)</f>
        <v>1</v>
      </c>
      <c r="G306" s="2" t="str">
        <f>IFERROR(__xludf.DUMMYFUNCTION("""COMPUTED_VALUE"""),"PR033")</f>
        <v>PR033</v>
      </c>
      <c r="H306" s="2" t="str">
        <f>IFERROR(__xludf.DUMMYFUNCTION("""COMPUTED_VALUE"""),"VD025")</f>
        <v>VD025</v>
      </c>
      <c r="I306" s="2">
        <f>IFERROR(__xludf.DUMMYFUNCTION("""COMPUTED_VALUE"""),4.0)</f>
        <v>4</v>
      </c>
      <c r="J306" s="2">
        <f>IFERROR(__xludf.DUMMYFUNCTION("""COMPUTED_VALUE"""),1133.16)</f>
        <v>1133.16</v>
      </c>
      <c r="K306" s="2">
        <f>IFERROR(__xludf.DUMMYFUNCTION("""COMPUTED_VALUE"""),1133.16)</f>
        <v>1133.16</v>
      </c>
    </row>
    <row r="307">
      <c r="A307" s="2">
        <f>IFERROR(__xludf.DUMMYFUNCTION("""COMPUTED_VALUE"""),1000.0)</f>
        <v>1000</v>
      </c>
      <c r="B307" s="2">
        <f>IFERROR(__xludf.DUMMYFUNCTION("""COMPUTED_VALUE"""),183680.0)</f>
        <v>183680</v>
      </c>
      <c r="C307" s="2">
        <f>IFERROR(__xludf.DUMMYFUNCTION("""COMPUTED_VALUE"""),2026.0)</f>
        <v>2026</v>
      </c>
      <c r="D307" s="2">
        <f>IFERROR(__xludf.DUMMYFUNCTION("""COMPUTED_VALUE"""),46326.0)</f>
        <v>46326</v>
      </c>
      <c r="E307" s="2" t="str">
        <f>IFERROR(__xludf.DUMMYFUNCTION("""COMPUTED_VALUE"""),"VF")</f>
        <v>VF</v>
      </c>
      <c r="F307" s="2">
        <f>IFERROR(__xludf.DUMMYFUNCTION("""COMPUTED_VALUE"""),1.0)</f>
        <v>1</v>
      </c>
      <c r="G307" s="2" t="str">
        <f>IFERROR(__xludf.DUMMYFUNCTION("""COMPUTED_VALUE"""),"PR001")</f>
        <v>PR001</v>
      </c>
      <c r="H307" s="2" t="str">
        <f>IFERROR(__xludf.DUMMYFUNCTION("""COMPUTED_VALUE"""),"VD021")</f>
        <v>VD021</v>
      </c>
      <c r="I307" s="2">
        <f>IFERROR(__xludf.DUMMYFUNCTION("""COMPUTED_VALUE"""),6.0)</f>
        <v>6</v>
      </c>
      <c r="J307" s="2">
        <f>IFERROR(__xludf.DUMMYFUNCTION("""COMPUTED_VALUE"""),430.99)</f>
        <v>430.99</v>
      </c>
      <c r="K307" s="2">
        <f>IFERROR(__xludf.DUMMYFUNCTION("""COMPUTED_VALUE"""),430.99)</f>
        <v>430.99</v>
      </c>
    </row>
    <row r="308">
      <c r="A308" s="2">
        <f>IFERROR(__xludf.DUMMYFUNCTION("""COMPUTED_VALUE"""),1000.0)</f>
        <v>1000</v>
      </c>
      <c r="B308" s="2">
        <f>IFERROR(__xludf.DUMMYFUNCTION("""COMPUTED_VALUE"""),183681.0)</f>
        <v>183681</v>
      </c>
      <c r="C308" s="2">
        <f>IFERROR(__xludf.DUMMYFUNCTION("""COMPUTED_VALUE"""),2026.0)</f>
        <v>2026</v>
      </c>
      <c r="D308" s="2">
        <f>IFERROR(__xludf.DUMMYFUNCTION("""COMPUTED_VALUE"""),46326.0)</f>
        <v>46326</v>
      </c>
      <c r="E308" s="2" t="str">
        <f>IFERROR(__xludf.DUMMYFUNCTION("""COMPUTED_VALUE"""),"VF")</f>
        <v>VF</v>
      </c>
      <c r="F308" s="2">
        <f>IFERROR(__xludf.DUMMYFUNCTION("""COMPUTED_VALUE"""),1.0)</f>
        <v>1</v>
      </c>
      <c r="G308" s="2" t="str">
        <f>IFERROR(__xludf.DUMMYFUNCTION("""COMPUTED_VALUE"""),"PR010")</f>
        <v>PR010</v>
      </c>
      <c r="H308" s="2" t="str">
        <f>IFERROR(__xludf.DUMMYFUNCTION("""COMPUTED_VALUE"""),"VD029")</f>
        <v>VD029</v>
      </c>
      <c r="I308" s="2">
        <f>IFERROR(__xludf.DUMMYFUNCTION("""COMPUTED_VALUE"""),3.0)</f>
        <v>3</v>
      </c>
      <c r="J308" s="2">
        <f>IFERROR(__xludf.DUMMYFUNCTION("""COMPUTED_VALUE"""),134.7)</f>
        <v>134.7</v>
      </c>
      <c r="K308" s="2">
        <f>IFERROR(__xludf.DUMMYFUNCTION("""COMPUTED_VALUE"""),134.7)</f>
        <v>134.7</v>
      </c>
    </row>
    <row r="309">
      <c r="A309" s="2">
        <f>IFERROR(__xludf.DUMMYFUNCTION("""COMPUTED_VALUE"""),1000.0)</f>
        <v>1000</v>
      </c>
      <c r="B309" s="2">
        <f>IFERROR(__xludf.DUMMYFUNCTION("""COMPUTED_VALUE"""),183681.0)</f>
        <v>183681</v>
      </c>
      <c r="C309" s="2">
        <f>IFERROR(__xludf.DUMMYFUNCTION("""COMPUTED_VALUE"""),2026.0)</f>
        <v>2026</v>
      </c>
      <c r="D309" s="2">
        <f>IFERROR(__xludf.DUMMYFUNCTION("""COMPUTED_VALUE"""),46326.0)</f>
        <v>46326</v>
      </c>
      <c r="E309" s="2" t="str">
        <f>IFERROR(__xludf.DUMMYFUNCTION("""COMPUTED_VALUE"""),"VF")</f>
        <v>VF</v>
      </c>
      <c r="F309" s="2">
        <f>IFERROR(__xludf.DUMMYFUNCTION("""COMPUTED_VALUE"""),2.0)</f>
        <v>2</v>
      </c>
      <c r="G309" s="2" t="str">
        <f>IFERROR(__xludf.DUMMYFUNCTION("""COMPUTED_VALUE"""),"PR005")</f>
        <v>PR005</v>
      </c>
      <c r="H309" s="2" t="str">
        <f>IFERROR(__xludf.DUMMYFUNCTION("""COMPUTED_VALUE"""),"VD038")</f>
        <v>VD038</v>
      </c>
      <c r="I309" s="2">
        <f>IFERROR(__xludf.DUMMYFUNCTION("""COMPUTED_VALUE"""),10.0)</f>
        <v>10</v>
      </c>
      <c r="J309" s="2">
        <f>IFERROR(__xludf.DUMMYFUNCTION("""COMPUTED_VALUE"""),2728.95)</f>
        <v>2728.95</v>
      </c>
      <c r="K309" s="2">
        <f>IFERROR(__xludf.DUMMYFUNCTION("""COMPUTED_VALUE"""),2728.95)</f>
        <v>2728.95</v>
      </c>
    </row>
    <row r="310">
      <c r="A310" s="2">
        <f>IFERROR(__xludf.DUMMYFUNCTION("""COMPUTED_VALUE"""),1000.0)</f>
        <v>1000</v>
      </c>
      <c r="B310" s="2">
        <f>IFERROR(__xludf.DUMMYFUNCTION("""COMPUTED_VALUE"""),183682.0)</f>
        <v>183682</v>
      </c>
      <c r="C310" s="2">
        <f>IFERROR(__xludf.DUMMYFUNCTION("""COMPUTED_VALUE"""),2026.0)</f>
        <v>2026</v>
      </c>
      <c r="D310" s="2">
        <f>IFERROR(__xludf.DUMMYFUNCTION("""COMPUTED_VALUE"""),46326.0)</f>
        <v>46326</v>
      </c>
      <c r="E310" s="2" t="str">
        <f>IFERROR(__xludf.DUMMYFUNCTION("""COMPUTED_VALUE"""),"VF")</f>
        <v>VF</v>
      </c>
      <c r="F310" s="2">
        <f>IFERROR(__xludf.DUMMYFUNCTION("""COMPUTED_VALUE"""),1.0)</f>
        <v>1</v>
      </c>
      <c r="G310" s="2" t="str">
        <f>IFERROR(__xludf.DUMMYFUNCTION("""COMPUTED_VALUE"""),"PR040")</f>
        <v>PR040</v>
      </c>
      <c r="H310" s="2" t="str">
        <f>IFERROR(__xludf.DUMMYFUNCTION("""COMPUTED_VALUE"""),"VD045")</f>
        <v>VD045</v>
      </c>
      <c r="I310" s="2">
        <f>IFERROR(__xludf.DUMMYFUNCTION("""COMPUTED_VALUE"""),21.0)</f>
        <v>21</v>
      </c>
      <c r="J310" s="2">
        <f>IFERROR(__xludf.DUMMYFUNCTION("""COMPUTED_VALUE"""),1543.5)</f>
        <v>1543.5</v>
      </c>
      <c r="K310" s="2">
        <f>IFERROR(__xludf.DUMMYFUNCTION("""COMPUTED_VALUE"""),1543.5)</f>
        <v>1543.5</v>
      </c>
    </row>
    <row r="311">
      <c r="A311" s="2">
        <f>IFERROR(__xludf.DUMMYFUNCTION("""COMPUTED_VALUE"""),1000.0)</f>
        <v>1000</v>
      </c>
      <c r="B311" s="2">
        <f>IFERROR(__xludf.DUMMYFUNCTION("""COMPUTED_VALUE"""),183683.0)</f>
        <v>183683</v>
      </c>
      <c r="C311" s="2">
        <f>IFERROR(__xludf.DUMMYFUNCTION("""COMPUTED_VALUE"""),2026.0)</f>
        <v>2026</v>
      </c>
      <c r="D311" s="2">
        <f>IFERROR(__xludf.DUMMYFUNCTION("""COMPUTED_VALUE"""),46326.0)</f>
        <v>46326</v>
      </c>
      <c r="E311" s="2" t="str">
        <f>IFERROR(__xludf.DUMMYFUNCTION("""COMPUTED_VALUE"""),"VF")</f>
        <v>VF</v>
      </c>
      <c r="F311" s="2">
        <f>IFERROR(__xludf.DUMMYFUNCTION("""COMPUTED_VALUE"""),1.0)</f>
        <v>1</v>
      </c>
      <c r="G311" s="2" t="str">
        <f>IFERROR(__xludf.DUMMYFUNCTION("""COMPUTED_VALUE"""),"PR017")</f>
        <v>PR017</v>
      </c>
      <c r="H311" s="2" t="str">
        <f>IFERROR(__xludf.DUMMYFUNCTION("""COMPUTED_VALUE"""),"VD029")</f>
        <v>VD029</v>
      </c>
      <c r="I311" s="2">
        <f>IFERROR(__xludf.DUMMYFUNCTION("""COMPUTED_VALUE"""),27.0)</f>
        <v>27</v>
      </c>
      <c r="J311" s="2">
        <f>IFERROR(__xludf.DUMMYFUNCTION("""COMPUTED_VALUE"""),815.37)</f>
        <v>815.37</v>
      </c>
      <c r="K311" s="2">
        <f>IFERROR(__xludf.DUMMYFUNCTION("""COMPUTED_VALUE"""),815.37)</f>
        <v>815.37</v>
      </c>
    </row>
    <row r="312">
      <c r="A312" s="2">
        <f>IFERROR(__xludf.DUMMYFUNCTION("""COMPUTED_VALUE"""),1000.0)</f>
        <v>1000</v>
      </c>
      <c r="B312" s="2">
        <f>IFERROR(__xludf.DUMMYFUNCTION("""COMPUTED_VALUE"""),183683.0)</f>
        <v>183683</v>
      </c>
      <c r="C312" s="2">
        <f>IFERROR(__xludf.DUMMYFUNCTION("""COMPUTED_VALUE"""),2026.0)</f>
        <v>2026</v>
      </c>
      <c r="D312" s="2">
        <f>IFERROR(__xludf.DUMMYFUNCTION("""COMPUTED_VALUE"""),46326.0)</f>
        <v>46326</v>
      </c>
      <c r="E312" s="2" t="str">
        <f>IFERROR(__xludf.DUMMYFUNCTION("""COMPUTED_VALUE"""),"VF")</f>
        <v>VF</v>
      </c>
      <c r="F312" s="2">
        <f>IFERROR(__xludf.DUMMYFUNCTION("""COMPUTED_VALUE"""),2.0)</f>
        <v>2</v>
      </c>
      <c r="G312" s="2" t="str">
        <f>IFERROR(__xludf.DUMMYFUNCTION("""COMPUTED_VALUE"""),"PR045")</f>
        <v>PR045</v>
      </c>
      <c r="H312" s="2" t="str">
        <f>IFERROR(__xludf.DUMMYFUNCTION("""COMPUTED_VALUE"""),"VD041")</f>
        <v>VD041</v>
      </c>
      <c r="I312" s="2">
        <f>IFERROR(__xludf.DUMMYFUNCTION("""COMPUTED_VALUE"""),10.0)</f>
        <v>10</v>
      </c>
      <c r="J312" s="2">
        <f>IFERROR(__xludf.DUMMYFUNCTION("""COMPUTED_VALUE"""),768.5)</f>
        <v>768.5</v>
      </c>
      <c r="K312" s="2">
        <f>IFERROR(__xludf.DUMMYFUNCTION("""COMPUTED_VALUE"""),768.5)</f>
        <v>768.5</v>
      </c>
    </row>
    <row r="313">
      <c r="A313" s="2">
        <f>IFERROR(__xludf.DUMMYFUNCTION("""COMPUTED_VALUE"""),1000.0)</f>
        <v>1000</v>
      </c>
      <c r="B313" s="2">
        <f>IFERROR(__xludf.DUMMYFUNCTION("""COMPUTED_VALUE"""),183684.0)</f>
        <v>183684</v>
      </c>
      <c r="C313" s="2">
        <f>IFERROR(__xludf.DUMMYFUNCTION("""COMPUTED_VALUE"""),2026.0)</f>
        <v>2026</v>
      </c>
      <c r="D313" s="2">
        <f>IFERROR(__xludf.DUMMYFUNCTION("""COMPUTED_VALUE"""),46326.0)</f>
        <v>46326</v>
      </c>
      <c r="E313" s="2" t="str">
        <f>IFERROR(__xludf.DUMMYFUNCTION("""COMPUTED_VALUE"""),"VF")</f>
        <v>VF</v>
      </c>
      <c r="F313" s="2">
        <f>IFERROR(__xludf.DUMMYFUNCTION("""COMPUTED_VALUE"""),1.0)</f>
        <v>1</v>
      </c>
      <c r="G313" s="2" t="str">
        <f>IFERROR(__xludf.DUMMYFUNCTION("""COMPUTED_VALUE"""),"PR014")</f>
        <v>PR014</v>
      </c>
      <c r="H313" s="2" t="str">
        <f>IFERROR(__xludf.DUMMYFUNCTION("""COMPUTED_VALUE"""),"VD018")</f>
        <v>VD018</v>
      </c>
      <c r="I313" s="2">
        <f>IFERROR(__xludf.DUMMYFUNCTION("""COMPUTED_VALUE"""),27.0)</f>
        <v>27</v>
      </c>
      <c r="J313" s="2">
        <f>IFERROR(__xludf.DUMMYFUNCTION("""COMPUTED_VALUE"""),1141.94)</f>
        <v>1141.94</v>
      </c>
      <c r="K313" s="2">
        <f>IFERROR(__xludf.DUMMYFUNCTION("""COMPUTED_VALUE"""),1141.94)</f>
        <v>1141.94</v>
      </c>
    </row>
    <row r="314">
      <c r="A314" s="2">
        <f>IFERROR(__xludf.DUMMYFUNCTION("""COMPUTED_VALUE"""),1000.0)</f>
        <v>1000</v>
      </c>
      <c r="B314" s="2">
        <f>IFERROR(__xludf.DUMMYFUNCTION("""COMPUTED_VALUE"""),183685.0)</f>
        <v>183685</v>
      </c>
      <c r="C314" s="2">
        <f>IFERROR(__xludf.DUMMYFUNCTION("""COMPUTED_VALUE"""),2026.0)</f>
        <v>2026</v>
      </c>
      <c r="D314" s="2">
        <f>IFERROR(__xludf.DUMMYFUNCTION("""COMPUTED_VALUE"""),46325.0)</f>
        <v>46325</v>
      </c>
      <c r="E314" s="2" t="str">
        <f>IFERROR(__xludf.DUMMYFUNCTION("""COMPUTED_VALUE"""),"VF")</f>
        <v>VF</v>
      </c>
      <c r="F314" s="2">
        <f>IFERROR(__xludf.DUMMYFUNCTION("""COMPUTED_VALUE"""),1.0)</f>
        <v>1</v>
      </c>
      <c r="G314" s="2" t="str">
        <f>IFERROR(__xludf.DUMMYFUNCTION("""COMPUTED_VALUE"""),"PR028")</f>
        <v>PR028</v>
      </c>
      <c r="H314" s="2" t="str">
        <f>IFERROR(__xludf.DUMMYFUNCTION("""COMPUTED_VALUE"""),"VD015")</f>
        <v>VD015</v>
      </c>
      <c r="I314" s="2">
        <f>IFERROR(__xludf.DUMMYFUNCTION("""COMPUTED_VALUE"""),15.0)</f>
        <v>15</v>
      </c>
      <c r="J314" s="2">
        <f>IFERROR(__xludf.DUMMYFUNCTION("""COMPUTED_VALUE"""),3785.99)</f>
        <v>3785.99</v>
      </c>
      <c r="K314" s="2">
        <f>IFERROR(__xludf.DUMMYFUNCTION("""COMPUTED_VALUE"""),3785.99)</f>
        <v>3785.99</v>
      </c>
    </row>
    <row r="315">
      <c r="A315" s="2">
        <f>IFERROR(__xludf.DUMMYFUNCTION("""COMPUTED_VALUE"""),1000.0)</f>
        <v>1000</v>
      </c>
      <c r="B315" s="2">
        <f>IFERROR(__xludf.DUMMYFUNCTION("""COMPUTED_VALUE"""),183686.0)</f>
        <v>183686</v>
      </c>
      <c r="C315" s="2">
        <f>IFERROR(__xludf.DUMMYFUNCTION("""COMPUTED_VALUE"""),2026.0)</f>
        <v>2026</v>
      </c>
      <c r="D315" s="2">
        <f>IFERROR(__xludf.DUMMYFUNCTION("""COMPUTED_VALUE"""),46325.0)</f>
        <v>46325</v>
      </c>
      <c r="E315" s="2" t="str">
        <f>IFERROR(__xludf.DUMMYFUNCTION("""COMPUTED_VALUE"""),"VF")</f>
        <v>VF</v>
      </c>
      <c r="F315" s="2">
        <f>IFERROR(__xludf.DUMMYFUNCTION("""COMPUTED_VALUE"""),1.0)</f>
        <v>1</v>
      </c>
      <c r="G315" s="2" t="str">
        <f>IFERROR(__xludf.DUMMYFUNCTION("""COMPUTED_VALUE"""),"PR046")</f>
        <v>PR046</v>
      </c>
      <c r="H315" s="2" t="str">
        <f>IFERROR(__xludf.DUMMYFUNCTION("""COMPUTED_VALUE"""),"VD021")</f>
        <v>VD021</v>
      </c>
      <c r="I315" s="2">
        <f>IFERROR(__xludf.DUMMYFUNCTION("""COMPUTED_VALUE"""),14.0)</f>
        <v>14</v>
      </c>
      <c r="J315" s="2">
        <f>IFERROR(__xludf.DUMMYFUNCTION("""COMPUTED_VALUE"""),4180.36)</f>
        <v>4180.36</v>
      </c>
      <c r="K315" s="2">
        <f>IFERROR(__xludf.DUMMYFUNCTION("""COMPUTED_VALUE"""),4180.36)</f>
        <v>4180.36</v>
      </c>
    </row>
    <row r="316">
      <c r="A316" s="2">
        <f>IFERROR(__xludf.DUMMYFUNCTION("""COMPUTED_VALUE"""),1000.0)</f>
        <v>1000</v>
      </c>
      <c r="B316" s="2">
        <f>IFERROR(__xludf.DUMMYFUNCTION("""COMPUTED_VALUE"""),183687.0)</f>
        <v>183687</v>
      </c>
      <c r="C316" s="2">
        <f>IFERROR(__xludf.DUMMYFUNCTION("""COMPUTED_VALUE"""),2026.0)</f>
        <v>2026</v>
      </c>
      <c r="D316" s="2">
        <f>IFERROR(__xludf.DUMMYFUNCTION("""COMPUTED_VALUE"""),46325.0)</f>
        <v>46325</v>
      </c>
      <c r="E316" s="2" t="str">
        <f>IFERROR(__xludf.DUMMYFUNCTION("""COMPUTED_VALUE"""),"VF")</f>
        <v>VF</v>
      </c>
      <c r="F316" s="2">
        <f>IFERROR(__xludf.DUMMYFUNCTION("""COMPUTED_VALUE"""),1.0)</f>
        <v>1</v>
      </c>
      <c r="G316" s="2" t="str">
        <f>IFERROR(__xludf.DUMMYFUNCTION("""COMPUTED_VALUE"""),"PR043")</f>
        <v>PR043</v>
      </c>
      <c r="H316" s="2" t="str">
        <f>IFERROR(__xludf.DUMMYFUNCTION("""COMPUTED_VALUE"""),"VD015")</f>
        <v>VD015</v>
      </c>
      <c r="I316" s="2">
        <f>IFERROR(__xludf.DUMMYFUNCTION("""COMPUTED_VALUE"""),20.0)</f>
        <v>20</v>
      </c>
      <c r="J316" s="2">
        <f>IFERROR(__xludf.DUMMYFUNCTION("""COMPUTED_VALUE"""),1595.0)</f>
        <v>1595</v>
      </c>
      <c r="K316" s="2">
        <f>IFERROR(__xludf.DUMMYFUNCTION("""COMPUTED_VALUE"""),1595.0)</f>
        <v>1595</v>
      </c>
    </row>
    <row r="317">
      <c r="A317" s="2">
        <f>IFERROR(__xludf.DUMMYFUNCTION("""COMPUTED_VALUE"""),1000.0)</f>
        <v>1000</v>
      </c>
      <c r="B317" s="2">
        <f>IFERROR(__xludf.DUMMYFUNCTION("""COMPUTED_VALUE"""),183688.0)</f>
        <v>183688</v>
      </c>
      <c r="C317" s="2">
        <f>IFERROR(__xludf.DUMMYFUNCTION("""COMPUTED_VALUE"""),2026.0)</f>
        <v>2026</v>
      </c>
      <c r="D317" s="2">
        <f>IFERROR(__xludf.DUMMYFUNCTION("""COMPUTED_VALUE"""),46324.0)</f>
        <v>46324</v>
      </c>
      <c r="E317" s="2" t="str">
        <f>IFERROR(__xludf.DUMMYFUNCTION("""COMPUTED_VALUE"""),"VF")</f>
        <v>VF</v>
      </c>
      <c r="F317" s="2">
        <f>IFERROR(__xludf.DUMMYFUNCTION("""COMPUTED_VALUE"""),1.0)</f>
        <v>1</v>
      </c>
      <c r="G317" s="2" t="str">
        <f>IFERROR(__xludf.DUMMYFUNCTION("""COMPUTED_VALUE"""),"PR030")</f>
        <v>PR030</v>
      </c>
      <c r="H317" s="2" t="str">
        <f>IFERROR(__xludf.DUMMYFUNCTION("""COMPUTED_VALUE"""),"VD017")</f>
        <v>VD017</v>
      </c>
      <c r="I317" s="2">
        <f>IFERROR(__xludf.DUMMYFUNCTION("""COMPUTED_VALUE"""),18.0)</f>
        <v>18</v>
      </c>
      <c r="J317" s="2">
        <f>IFERROR(__xludf.DUMMYFUNCTION("""COMPUTED_VALUE"""),4865.33)</f>
        <v>4865.33</v>
      </c>
      <c r="K317" s="2">
        <f>IFERROR(__xludf.DUMMYFUNCTION("""COMPUTED_VALUE"""),4865.33)</f>
        <v>4865.33</v>
      </c>
    </row>
    <row r="318">
      <c r="A318" s="2">
        <f>IFERROR(__xludf.DUMMYFUNCTION("""COMPUTED_VALUE"""),1000.0)</f>
        <v>1000</v>
      </c>
      <c r="B318" s="2">
        <f>IFERROR(__xludf.DUMMYFUNCTION("""COMPUTED_VALUE"""),183688.0)</f>
        <v>183688</v>
      </c>
      <c r="C318" s="2">
        <f>IFERROR(__xludf.DUMMYFUNCTION("""COMPUTED_VALUE"""),2026.0)</f>
        <v>2026</v>
      </c>
      <c r="D318" s="2">
        <f>IFERROR(__xludf.DUMMYFUNCTION("""COMPUTED_VALUE"""),46324.0)</f>
        <v>46324</v>
      </c>
      <c r="E318" s="2" t="str">
        <f>IFERROR(__xludf.DUMMYFUNCTION("""COMPUTED_VALUE"""),"VF")</f>
        <v>VF</v>
      </c>
      <c r="F318" s="2">
        <f>IFERROR(__xludf.DUMMYFUNCTION("""COMPUTED_VALUE"""),2.0)</f>
        <v>2</v>
      </c>
      <c r="G318" s="2" t="str">
        <f>IFERROR(__xludf.DUMMYFUNCTION("""COMPUTED_VALUE"""),"PR047")</f>
        <v>PR047</v>
      </c>
      <c r="H318" s="2" t="str">
        <f>IFERROR(__xludf.DUMMYFUNCTION("""COMPUTED_VALUE"""),"VD024")</f>
        <v>VD024</v>
      </c>
      <c r="I318" s="2">
        <f>IFERROR(__xludf.DUMMYFUNCTION("""COMPUTED_VALUE"""),24.0)</f>
        <v>24</v>
      </c>
      <c r="J318" s="2">
        <f>IFERROR(__xludf.DUMMYFUNCTION("""COMPUTED_VALUE"""),7027.18)</f>
        <v>7027.18</v>
      </c>
      <c r="K318" s="2">
        <f>IFERROR(__xludf.DUMMYFUNCTION("""COMPUTED_VALUE"""),7027.18)</f>
        <v>7027.18</v>
      </c>
    </row>
    <row r="319">
      <c r="A319" s="2">
        <f>IFERROR(__xludf.DUMMYFUNCTION("""COMPUTED_VALUE"""),1000.0)</f>
        <v>1000</v>
      </c>
      <c r="B319" s="2">
        <f>IFERROR(__xludf.DUMMYFUNCTION("""COMPUTED_VALUE"""),183689.0)</f>
        <v>183689</v>
      </c>
      <c r="C319" s="2">
        <f>IFERROR(__xludf.DUMMYFUNCTION("""COMPUTED_VALUE"""),2026.0)</f>
        <v>2026</v>
      </c>
      <c r="D319" s="2">
        <f>IFERROR(__xludf.DUMMYFUNCTION("""COMPUTED_VALUE"""),46324.0)</f>
        <v>46324</v>
      </c>
      <c r="E319" s="2" t="str">
        <f>IFERROR(__xludf.DUMMYFUNCTION("""COMPUTED_VALUE"""),"VF")</f>
        <v>VF</v>
      </c>
      <c r="F319" s="2">
        <f>IFERROR(__xludf.DUMMYFUNCTION("""COMPUTED_VALUE"""),1.0)</f>
        <v>1</v>
      </c>
      <c r="G319" s="2" t="str">
        <f>IFERROR(__xludf.DUMMYFUNCTION("""COMPUTED_VALUE"""),"PR010")</f>
        <v>PR010</v>
      </c>
      <c r="H319" s="2" t="str">
        <f>IFERROR(__xludf.DUMMYFUNCTION("""COMPUTED_VALUE"""),"VD028")</f>
        <v>VD028</v>
      </c>
      <c r="I319" s="2">
        <f>IFERROR(__xludf.DUMMYFUNCTION("""COMPUTED_VALUE"""),2.0)</f>
        <v>2</v>
      </c>
      <c r="J319" s="2">
        <f>IFERROR(__xludf.DUMMYFUNCTION("""COMPUTED_VALUE"""),95.19)</f>
        <v>95.19</v>
      </c>
      <c r="K319" s="2">
        <f>IFERROR(__xludf.DUMMYFUNCTION("""COMPUTED_VALUE"""),95.19)</f>
        <v>95.19</v>
      </c>
    </row>
    <row r="320">
      <c r="A320" s="2">
        <f>IFERROR(__xludf.DUMMYFUNCTION("""COMPUTED_VALUE"""),2000.0)</f>
        <v>2000</v>
      </c>
      <c r="B320" s="2">
        <f>IFERROR(__xludf.DUMMYFUNCTION("""COMPUTED_VALUE"""),183689.0)</f>
        <v>183689</v>
      </c>
      <c r="C320" s="2">
        <f>IFERROR(__xludf.DUMMYFUNCTION("""COMPUTED_VALUE"""),2026.0)</f>
        <v>2026</v>
      </c>
      <c r="D320" s="2">
        <f>IFERROR(__xludf.DUMMYFUNCTION("""COMPUTED_VALUE"""),46324.0)</f>
        <v>46324</v>
      </c>
      <c r="E320" s="2" t="str">
        <f>IFERROR(__xludf.DUMMYFUNCTION("""COMPUTED_VALUE"""),"VF")</f>
        <v>VF</v>
      </c>
      <c r="F320" s="2">
        <f>IFERROR(__xludf.DUMMYFUNCTION("""COMPUTED_VALUE"""),2.0)</f>
        <v>2</v>
      </c>
      <c r="G320" s="2" t="str">
        <f>IFERROR(__xludf.DUMMYFUNCTION("""COMPUTED_VALUE"""),"PR001")</f>
        <v>PR001</v>
      </c>
      <c r="H320" s="2" t="str">
        <f>IFERROR(__xludf.DUMMYFUNCTION("""COMPUTED_VALUE"""),"VD035")</f>
        <v>VD035</v>
      </c>
      <c r="I320" s="2">
        <f>IFERROR(__xludf.DUMMYFUNCTION("""COMPUTED_VALUE"""),1.0)</f>
        <v>1</v>
      </c>
      <c r="J320" s="2">
        <f>IFERROR(__xludf.DUMMYFUNCTION("""COMPUTED_VALUE"""),72.49)</f>
        <v>72.49</v>
      </c>
      <c r="K320" s="2">
        <f>IFERROR(__xludf.DUMMYFUNCTION("""COMPUTED_VALUE"""),72.49)</f>
        <v>72.49</v>
      </c>
    </row>
    <row r="321">
      <c r="A321" s="2">
        <f>IFERROR(__xludf.DUMMYFUNCTION("""COMPUTED_VALUE"""),2000.0)</f>
        <v>2000</v>
      </c>
      <c r="B321" s="2">
        <f>IFERROR(__xludf.DUMMYFUNCTION("""COMPUTED_VALUE"""),183690.0)</f>
        <v>183690</v>
      </c>
      <c r="C321" s="2">
        <f>IFERROR(__xludf.DUMMYFUNCTION("""COMPUTED_VALUE"""),2026.0)</f>
        <v>2026</v>
      </c>
      <c r="D321" s="2">
        <f>IFERROR(__xludf.DUMMYFUNCTION("""COMPUTED_VALUE"""),46323.0)</f>
        <v>46323</v>
      </c>
      <c r="E321" s="2" t="str">
        <f>IFERROR(__xludf.DUMMYFUNCTION("""COMPUTED_VALUE"""),"VF")</f>
        <v>VF</v>
      </c>
      <c r="F321" s="2">
        <f>IFERROR(__xludf.DUMMYFUNCTION("""COMPUTED_VALUE"""),1.0)</f>
        <v>1</v>
      </c>
      <c r="G321" s="2" t="str">
        <f>IFERROR(__xludf.DUMMYFUNCTION("""COMPUTED_VALUE"""),"PR014")</f>
        <v>PR014</v>
      </c>
      <c r="H321" s="2" t="str">
        <f>IFERROR(__xludf.DUMMYFUNCTION("""COMPUTED_VALUE"""),"VD030")</f>
        <v>VD030</v>
      </c>
      <c r="I321" s="2">
        <f>IFERROR(__xludf.DUMMYFUNCTION("""COMPUTED_VALUE"""),9.0)</f>
        <v>9</v>
      </c>
      <c r="J321" s="2">
        <f>IFERROR(__xludf.DUMMYFUNCTION("""COMPUTED_VALUE"""),377.06)</f>
        <v>377.06</v>
      </c>
      <c r="K321" s="2">
        <f>IFERROR(__xludf.DUMMYFUNCTION("""COMPUTED_VALUE"""),377.06)</f>
        <v>377.06</v>
      </c>
    </row>
    <row r="322">
      <c r="A322" s="2">
        <f>IFERROR(__xludf.DUMMYFUNCTION("""COMPUTED_VALUE"""),2000.0)</f>
        <v>2000</v>
      </c>
      <c r="B322" s="2">
        <f>IFERROR(__xludf.DUMMYFUNCTION("""COMPUTED_VALUE"""),183691.0)</f>
        <v>183691</v>
      </c>
      <c r="C322" s="2">
        <f>IFERROR(__xludf.DUMMYFUNCTION("""COMPUTED_VALUE"""),2026.0)</f>
        <v>2026</v>
      </c>
      <c r="D322" s="2">
        <f>IFERROR(__xludf.DUMMYFUNCTION("""COMPUTED_VALUE"""),46323.0)</f>
        <v>46323</v>
      </c>
      <c r="E322" s="2" t="str">
        <f>IFERROR(__xludf.DUMMYFUNCTION("""COMPUTED_VALUE"""),"VF")</f>
        <v>VF</v>
      </c>
      <c r="F322" s="2">
        <f>IFERROR(__xludf.DUMMYFUNCTION("""COMPUTED_VALUE"""),1.0)</f>
        <v>1</v>
      </c>
      <c r="G322" s="2" t="str">
        <f>IFERROR(__xludf.DUMMYFUNCTION("""COMPUTED_VALUE"""),"PR041")</f>
        <v>PR041</v>
      </c>
      <c r="H322" s="2" t="str">
        <f>IFERROR(__xludf.DUMMYFUNCTION("""COMPUTED_VALUE"""),"VD042")</f>
        <v>VD042</v>
      </c>
      <c r="I322" s="2">
        <f>IFERROR(__xludf.DUMMYFUNCTION("""COMPUTED_VALUE"""),2.0)</f>
        <v>2</v>
      </c>
      <c r="J322" s="2">
        <f>IFERROR(__xludf.DUMMYFUNCTION("""COMPUTED_VALUE"""),109.8)</f>
        <v>109.8</v>
      </c>
      <c r="K322" s="2">
        <f>IFERROR(__xludf.DUMMYFUNCTION("""COMPUTED_VALUE"""),109.8)</f>
        <v>109.8</v>
      </c>
    </row>
    <row r="323">
      <c r="A323" s="2">
        <f>IFERROR(__xludf.DUMMYFUNCTION("""COMPUTED_VALUE"""),1000.0)</f>
        <v>1000</v>
      </c>
      <c r="B323" s="2">
        <f>IFERROR(__xludf.DUMMYFUNCTION("""COMPUTED_VALUE"""),183691.0)</f>
        <v>183691</v>
      </c>
      <c r="C323" s="2">
        <f>IFERROR(__xludf.DUMMYFUNCTION("""COMPUTED_VALUE"""),2026.0)</f>
        <v>2026</v>
      </c>
      <c r="D323" s="2">
        <f>IFERROR(__xludf.DUMMYFUNCTION("""COMPUTED_VALUE"""),46323.0)</f>
        <v>46323</v>
      </c>
      <c r="E323" s="2" t="str">
        <f>IFERROR(__xludf.DUMMYFUNCTION("""COMPUTED_VALUE"""),"VF")</f>
        <v>VF</v>
      </c>
      <c r="F323" s="2">
        <f>IFERROR(__xludf.DUMMYFUNCTION("""COMPUTED_VALUE"""),2.0)</f>
        <v>2</v>
      </c>
      <c r="G323" s="2" t="str">
        <f>IFERROR(__xludf.DUMMYFUNCTION("""COMPUTED_VALUE"""),"PR037")</f>
        <v>PR037</v>
      </c>
      <c r="H323" s="2" t="str">
        <f>IFERROR(__xludf.DUMMYFUNCTION("""COMPUTED_VALUE"""),"VD028")</f>
        <v>VD028</v>
      </c>
      <c r="I323" s="2">
        <f>IFERROR(__xludf.DUMMYFUNCTION("""COMPUTED_VALUE"""),8.0)</f>
        <v>8</v>
      </c>
      <c r="J323" s="2">
        <f>IFERROR(__xludf.DUMMYFUNCTION("""COMPUTED_VALUE"""),1187.2)</f>
        <v>1187.2</v>
      </c>
      <c r="K323" s="2">
        <f>IFERROR(__xludf.DUMMYFUNCTION("""COMPUTED_VALUE"""),1187.2)</f>
        <v>1187.2</v>
      </c>
    </row>
    <row r="324">
      <c r="A324" s="2">
        <f>IFERROR(__xludf.DUMMYFUNCTION("""COMPUTED_VALUE"""),1000.0)</f>
        <v>1000</v>
      </c>
      <c r="B324" s="2">
        <f>IFERROR(__xludf.DUMMYFUNCTION("""COMPUTED_VALUE"""),183692.0)</f>
        <v>183692</v>
      </c>
      <c r="C324" s="2">
        <f>IFERROR(__xludf.DUMMYFUNCTION("""COMPUTED_VALUE"""),2026.0)</f>
        <v>2026</v>
      </c>
      <c r="D324" s="2">
        <f>IFERROR(__xludf.DUMMYFUNCTION("""COMPUTED_VALUE"""),46322.0)</f>
        <v>46322</v>
      </c>
      <c r="E324" s="2" t="str">
        <f>IFERROR(__xludf.DUMMYFUNCTION("""COMPUTED_VALUE"""),"VF")</f>
        <v>VF</v>
      </c>
      <c r="F324" s="2">
        <f>IFERROR(__xludf.DUMMYFUNCTION("""COMPUTED_VALUE"""),1.0)</f>
        <v>1</v>
      </c>
      <c r="G324" s="2" t="str">
        <f>IFERROR(__xludf.DUMMYFUNCTION("""COMPUTED_VALUE"""),"PR003")</f>
        <v>PR003</v>
      </c>
      <c r="H324" s="2" t="str">
        <f>IFERROR(__xludf.DUMMYFUNCTION("""COMPUTED_VALUE"""),"VD048")</f>
        <v>VD048</v>
      </c>
      <c r="I324" s="2">
        <f>IFERROR(__xludf.DUMMYFUNCTION("""COMPUTED_VALUE"""),3.0)</f>
        <v>3</v>
      </c>
      <c r="J324" s="2">
        <f>IFERROR(__xludf.DUMMYFUNCTION("""COMPUTED_VALUE"""),227.59)</f>
        <v>227.59</v>
      </c>
      <c r="K324" s="2">
        <f>IFERROR(__xludf.DUMMYFUNCTION("""COMPUTED_VALUE"""),227.59)</f>
        <v>227.59</v>
      </c>
    </row>
    <row r="325">
      <c r="A325" s="2">
        <f>IFERROR(__xludf.DUMMYFUNCTION("""COMPUTED_VALUE"""),1000.0)</f>
        <v>1000</v>
      </c>
      <c r="B325" s="2">
        <f>IFERROR(__xludf.DUMMYFUNCTION("""COMPUTED_VALUE"""),183692.0)</f>
        <v>183692</v>
      </c>
      <c r="C325" s="2">
        <f>IFERROR(__xludf.DUMMYFUNCTION("""COMPUTED_VALUE"""),2026.0)</f>
        <v>2026</v>
      </c>
      <c r="D325" s="2">
        <f>IFERROR(__xludf.DUMMYFUNCTION("""COMPUTED_VALUE"""),46322.0)</f>
        <v>46322</v>
      </c>
      <c r="E325" s="2" t="str">
        <f>IFERROR(__xludf.DUMMYFUNCTION("""COMPUTED_VALUE"""),"VF")</f>
        <v>VF</v>
      </c>
      <c r="F325" s="2">
        <f>IFERROR(__xludf.DUMMYFUNCTION("""COMPUTED_VALUE"""),2.0)</f>
        <v>2</v>
      </c>
      <c r="G325" s="2" t="str">
        <f>IFERROR(__xludf.DUMMYFUNCTION("""COMPUTED_VALUE"""),"PR006")</f>
        <v>PR006</v>
      </c>
      <c r="H325" s="2" t="str">
        <f>IFERROR(__xludf.DUMMYFUNCTION("""COMPUTED_VALUE"""),"VD012")</f>
        <v>VD012</v>
      </c>
      <c r="I325" s="2">
        <f>IFERROR(__xludf.DUMMYFUNCTION("""COMPUTED_VALUE"""),3.0)</f>
        <v>3</v>
      </c>
      <c r="J325" s="2">
        <f>IFERROR(__xludf.DUMMYFUNCTION("""COMPUTED_VALUE"""),122.09)</f>
        <v>122.09</v>
      </c>
      <c r="K325" s="2">
        <f>IFERROR(__xludf.DUMMYFUNCTION("""COMPUTED_VALUE"""),122.09)</f>
        <v>122.09</v>
      </c>
    </row>
    <row r="326">
      <c r="A326" s="2">
        <f>IFERROR(__xludf.DUMMYFUNCTION("""COMPUTED_VALUE"""),1000.0)</f>
        <v>1000</v>
      </c>
      <c r="B326" s="2">
        <f>IFERROR(__xludf.DUMMYFUNCTION("""COMPUTED_VALUE"""),183692.0)</f>
        <v>183692</v>
      </c>
      <c r="C326" s="2">
        <f>IFERROR(__xludf.DUMMYFUNCTION("""COMPUTED_VALUE"""),2026.0)</f>
        <v>2026</v>
      </c>
      <c r="D326" s="2">
        <f>IFERROR(__xludf.DUMMYFUNCTION("""COMPUTED_VALUE"""),46322.0)</f>
        <v>46322</v>
      </c>
      <c r="E326" s="2" t="str">
        <f>IFERROR(__xludf.DUMMYFUNCTION("""COMPUTED_VALUE"""),"VF")</f>
        <v>VF</v>
      </c>
      <c r="F326" s="2">
        <f>IFERROR(__xludf.DUMMYFUNCTION("""COMPUTED_VALUE"""),3.0)</f>
        <v>3</v>
      </c>
      <c r="G326" s="2" t="str">
        <f>IFERROR(__xludf.DUMMYFUNCTION("""COMPUTED_VALUE"""),"PR012")</f>
        <v>PR012</v>
      </c>
      <c r="H326" s="2" t="str">
        <f>IFERROR(__xludf.DUMMYFUNCTION("""COMPUTED_VALUE"""),"VD023")</f>
        <v>VD023</v>
      </c>
      <c r="I326" s="2">
        <f>IFERROR(__xludf.DUMMYFUNCTION("""COMPUTED_VALUE"""),16.0)</f>
        <v>16</v>
      </c>
      <c r="J326" s="2">
        <f>IFERROR(__xludf.DUMMYFUNCTION("""COMPUTED_VALUE"""),805.87)</f>
        <v>805.87</v>
      </c>
      <c r="K326" s="2">
        <f>IFERROR(__xludf.DUMMYFUNCTION("""COMPUTED_VALUE"""),805.87)</f>
        <v>805.87</v>
      </c>
    </row>
    <row r="327">
      <c r="A327" s="2">
        <f>IFERROR(__xludf.DUMMYFUNCTION("""COMPUTED_VALUE"""),1000.0)</f>
        <v>1000</v>
      </c>
      <c r="B327" s="2">
        <f>IFERROR(__xludf.DUMMYFUNCTION("""COMPUTED_VALUE"""),183692.0)</f>
        <v>183692</v>
      </c>
      <c r="C327" s="2">
        <f>IFERROR(__xludf.DUMMYFUNCTION("""COMPUTED_VALUE"""),2026.0)</f>
        <v>2026</v>
      </c>
      <c r="D327" s="2">
        <f>IFERROR(__xludf.DUMMYFUNCTION("""COMPUTED_VALUE"""),46322.0)</f>
        <v>46322</v>
      </c>
      <c r="E327" s="2" t="str">
        <f>IFERROR(__xludf.DUMMYFUNCTION("""COMPUTED_VALUE"""),"VF")</f>
        <v>VF</v>
      </c>
      <c r="F327" s="2">
        <f>IFERROR(__xludf.DUMMYFUNCTION("""COMPUTED_VALUE"""),4.0)</f>
        <v>4</v>
      </c>
      <c r="G327" s="2" t="str">
        <f>IFERROR(__xludf.DUMMYFUNCTION("""COMPUTED_VALUE"""),"PR028")</f>
        <v>PR028</v>
      </c>
      <c r="H327" s="2" t="str">
        <f>IFERROR(__xludf.DUMMYFUNCTION("""COMPUTED_VALUE"""),"VD015")</f>
        <v>VD015</v>
      </c>
      <c r="I327" s="2">
        <f>IFERROR(__xludf.DUMMYFUNCTION("""COMPUTED_VALUE"""),2.0)</f>
        <v>2</v>
      </c>
      <c r="J327" s="2">
        <f>IFERROR(__xludf.DUMMYFUNCTION("""COMPUTED_VALUE"""),549.78)</f>
        <v>549.78</v>
      </c>
      <c r="K327" s="2">
        <f>IFERROR(__xludf.DUMMYFUNCTION("""COMPUTED_VALUE"""),549.78)</f>
        <v>549.78</v>
      </c>
    </row>
    <row r="328">
      <c r="A328" s="2">
        <f>IFERROR(__xludf.DUMMYFUNCTION("""COMPUTED_VALUE"""),1000.0)</f>
        <v>1000</v>
      </c>
      <c r="B328" s="2">
        <f>IFERROR(__xludf.DUMMYFUNCTION("""COMPUTED_VALUE"""),183693.0)</f>
        <v>183693</v>
      </c>
      <c r="C328" s="2">
        <f>IFERROR(__xludf.DUMMYFUNCTION("""COMPUTED_VALUE"""),2026.0)</f>
        <v>2026</v>
      </c>
      <c r="D328" s="2">
        <f>IFERROR(__xludf.DUMMYFUNCTION("""COMPUTED_VALUE"""),46322.0)</f>
        <v>46322</v>
      </c>
      <c r="E328" s="2" t="str">
        <f>IFERROR(__xludf.DUMMYFUNCTION("""COMPUTED_VALUE"""),"VF")</f>
        <v>VF</v>
      </c>
      <c r="F328" s="2">
        <f>IFERROR(__xludf.DUMMYFUNCTION("""COMPUTED_VALUE"""),1.0)</f>
        <v>1</v>
      </c>
      <c r="G328" s="2" t="str">
        <f>IFERROR(__xludf.DUMMYFUNCTION("""COMPUTED_VALUE"""),"PR043")</f>
        <v>PR043</v>
      </c>
      <c r="H328" s="2" t="str">
        <f>IFERROR(__xludf.DUMMYFUNCTION("""COMPUTED_VALUE"""),"VD031")</f>
        <v>VD031</v>
      </c>
      <c r="I328" s="2">
        <f>IFERROR(__xludf.DUMMYFUNCTION("""COMPUTED_VALUE"""),6.0)</f>
        <v>6</v>
      </c>
      <c r="J328" s="2">
        <f>IFERROR(__xludf.DUMMYFUNCTION("""COMPUTED_VALUE"""),443.7)</f>
        <v>443.7</v>
      </c>
      <c r="K328" s="2">
        <f>IFERROR(__xludf.DUMMYFUNCTION("""COMPUTED_VALUE"""),443.7)</f>
        <v>443.7</v>
      </c>
    </row>
    <row r="329">
      <c r="A329" s="2">
        <f>IFERROR(__xludf.DUMMYFUNCTION("""COMPUTED_VALUE"""),1000.0)</f>
        <v>1000</v>
      </c>
      <c r="B329" s="2">
        <f>IFERROR(__xludf.DUMMYFUNCTION("""COMPUTED_VALUE"""),183693.0)</f>
        <v>183693</v>
      </c>
      <c r="C329" s="2">
        <f>IFERROR(__xludf.DUMMYFUNCTION("""COMPUTED_VALUE"""),2026.0)</f>
        <v>2026</v>
      </c>
      <c r="D329" s="2">
        <f>IFERROR(__xludf.DUMMYFUNCTION("""COMPUTED_VALUE"""),46322.0)</f>
        <v>46322</v>
      </c>
      <c r="E329" s="2" t="str">
        <f>IFERROR(__xludf.DUMMYFUNCTION("""COMPUTED_VALUE"""),"VF")</f>
        <v>VF</v>
      </c>
      <c r="F329" s="2">
        <f>IFERROR(__xludf.DUMMYFUNCTION("""COMPUTED_VALUE"""),2.0)</f>
        <v>2</v>
      </c>
      <c r="G329" s="2" t="str">
        <f>IFERROR(__xludf.DUMMYFUNCTION("""COMPUTED_VALUE"""),"PR031")</f>
        <v>PR031</v>
      </c>
      <c r="H329" s="2" t="str">
        <f>IFERROR(__xludf.DUMMYFUNCTION("""COMPUTED_VALUE"""),"VD023")</f>
        <v>VD023</v>
      </c>
      <c r="I329" s="2">
        <f>IFERROR(__xludf.DUMMYFUNCTION("""COMPUTED_VALUE"""),8.0)</f>
        <v>8</v>
      </c>
      <c r="J329" s="2">
        <f>IFERROR(__xludf.DUMMYFUNCTION("""COMPUTED_VALUE"""),1999.2)</f>
        <v>1999.2</v>
      </c>
      <c r="K329" s="2">
        <f>IFERROR(__xludf.DUMMYFUNCTION("""COMPUTED_VALUE"""),1999.2)</f>
        <v>1999.2</v>
      </c>
    </row>
    <row r="330">
      <c r="A330" s="2">
        <f>IFERROR(__xludf.DUMMYFUNCTION("""COMPUTED_VALUE"""),1000.0)</f>
        <v>1000</v>
      </c>
      <c r="B330" s="2">
        <f>IFERROR(__xludf.DUMMYFUNCTION("""COMPUTED_VALUE"""),183694.0)</f>
        <v>183694</v>
      </c>
      <c r="C330" s="2">
        <f>IFERROR(__xludf.DUMMYFUNCTION("""COMPUTED_VALUE"""),2026.0)</f>
        <v>2026</v>
      </c>
      <c r="D330" s="2">
        <f>IFERROR(__xludf.DUMMYFUNCTION("""COMPUTED_VALUE"""),46322.0)</f>
        <v>46322</v>
      </c>
      <c r="E330" s="2" t="str">
        <f>IFERROR(__xludf.DUMMYFUNCTION("""COMPUTED_VALUE"""),"VF")</f>
        <v>VF</v>
      </c>
      <c r="F330" s="2">
        <f>IFERROR(__xludf.DUMMYFUNCTION("""COMPUTED_VALUE"""),1.0)</f>
        <v>1</v>
      </c>
      <c r="G330" s="2" t="str">
        <f>IFERROR(__xludf.DUMMYFUNCTION("""COMPUTED_VALUE"""),"PR005")</f>
        <v>PR005</v>
      </c>
      <c r="H330" s="2" t="str">
        <f>IFERROR(__xludf.DUMMYFUNCTION("""COMPUTED_VALUE"""),"VD030")</f>
        <v>VD030</v>
      </c>
      <c r="I330" s="2">
        <f>IFERROR(__xludf.DUMMYFUNCTION("""COMPUTED_VALUE"""),15.0)</f>
        <v>15</v>
      </c>
      <c r="J330" s="2">
        <f>IFERROR(__xludf.DUMMYFUNCTION("""COMPUTED_VALUE"""),4210.38)</f>
        <v>4210.38</v>
      </c>
      <c r="K330" s="2">
        <f>IFERROR(__xludf.DUMMYFUNCTION("""COMPUTED_VALUE"""),4210.38)</f>
        <v>4210.38</v>
      </c>
    </row>
    <row r="331">
      <c r="A331" s="2">
        <f>IFERROR(__xludf.DUMMYFUNCTION("""COMPUTED_VALUE"""),1000.0)</f>
        <v>1000</v>
      </c>
      <c r="B331" s="2">
        <f>IFERROR(__xludf.DUMMYFUNCTION("""COMPUTED_VALUE"""),183695.0)</f>
        <v>183695</v>
      </c>
      <c r="C331" s="2">
        <f>IFERROR(__xludf.DUMMYFUNCTION("""COMPUTED_VALUE"""),2026.0)</f>
        <v>2026</v>
      </c>
      <c r="D331" s="2">
        <f>IFERROR(__xludf.DUMMYFUNCTION("""COMPUTED_VALUE"""),46322.0)</f>
        <v>46322</v>
      </c>
      <c r="E331" s="2" t="str">
        <f>IFERROR(__xludf.DUMMYFUNCTION("""COMPUTED_VALUE"""),"VF")</f>
        <v>VF</v>
      </c>
      <c r="F331" s="2">
        <f>IFERROR(__xludf.DUMMYFUNCTION("""COMPUTED_VALUE"""),1.0)</f>
        <v>1</v>
      </c>
      <c r="G331" s="2" t="str">
        <f>IFERROR(__xludf.DUMMYFUNCTION("""COMPUTED_VALUE"""),"PR051")</f>
        <v>PR051</v>
      </c>
      <c r="H331" s="2" t="str">
        <f>IFERROR(__xludf.DUMMYFUNCTION("""COMPUTED_VALUE"""),"VD041")</f>
        <v>VD041</v>
      </c>
      <c r="I331" s="2">
        <f>IFERROR(__xludf.DUMMYFUNCTION("""COMPUTED_VALUE"""),5.0)</f>
        <v>5</v>
      </c>
      <c r="J331" s="2">
        <f>IFERROR(__xludf.DUMMYFUNCTION("""COMPUTED_VALUE"""),171.08)</f>
        <v>171.08</v>
      </c>
      <c r="K331" s="2">
        <f>IFERROR(__xludf.DUMMYFUNCTION("""COMPUTED_VALUE"""),171.08)</f>
        <v>171.08</v>
      </c>
    </row>
    <row r="332">
      <c r="A332" s="2">
        <f>IFERROR(__xludf.DUMMYFUNCTION("""COMPUTED_VALUE"""),1000.0)</f>
        <v>1000</v>
      </c>
      <c r="B332" s="2">
        <f>IFERROR(__xludf.DUMMYFUNCTION("""COMPUTED_VALUE"""),183696.0)</f>
        <v>183696</v>
      </c>
      <c r="C332" s="2">
        <f>IFERROR(__xludf.DUMMYFUNCTION("""COMPUTED_VALUE"""),2026.0)</f>
        <v>2026</v>
      </c>
      <c r="D332" s="2">
        <f>IFERROR(__xludf.DUMMYFUNCTION("""COMPUTED_VALUE"""),46322.0)</f>
        <v>46322</v>
      </c>
      <c r="E332" s="2" t="str">
        <f>IFERROR(__xludf.DUMMYFUNCTION("""COMPUTED_VALUE"""),"VF")</f>
        <v>VF</v>
      </c>
      <c r="F332" s="2">
        <f>IFERROR(__xludf.DUMMYFUNCTION("""COMPUTED_VALUE"""),1.0)</f>
        <v>1</v>
      </c>
      <c r="G332" s="2" t="str">
        <f>IFERROR(__xludf.DUMMYFUNCTION("""COMPUTED_VALUE"""),"PR018")</f>
        <v>PR018</v>
      </c>
      <c r="H332" s="2" t="str">
        <f>IFERROR(__xludf.DUMMYFUNCTION("""COMPUTED_VALUE"""),"VD028")</f>
        <v>VD028</v>
      </c>
      <c r="I332" s="2">
        <f>IFERROR(__xludf.DUMMYFUNCTION("""COMPUTED_VALUE"""),12.0)</f>
        <v>12</v>
      </c>
      <c r="J332" s="2">
        <f>IFERROR(__xludf.DUMMYFUNCTION("""COMPUTED_VALUE"""),430.33)</f>
        <v>430.33</v>
      </c>
      <c r="K332" s="2">
        <f>IFERROR(__xludf.DUMMYFUNCTION("""COMPUTED_VALUE"""),430.33)</f>
        <v>430.33</v>
      </c>
    </row>
    <row r="333">
      <c r="A333" s="2">
        <f>IFERROR(__xludf.DUMMYFUNCTION("""COMPUTED_VALUE"""),2000.0)</f>
        <v>2000</v>
      </c>
      <c r="B333" s="2">
        <f>IFERROR(__xludf.DUMMYFUNCTION("""COMPUTED_VALUE"""),183697.0)</f>
        <v>183697</v>
      </c>
      <c r="C333" s="2">
        <f>IFERROR(__xludf.DUMMYFUNCTION("""COMPUTED_VALUE"""),2026.0)</f>
        <v>2026</v>
      </c>
      <c r="D333" s="2">
        <f>IFERROR(__xludf.DUMMYFUNCTION("""COMPUTED_VALUE"""),46322.0)</f>
        <v>46322</v>
      </c>
      <c r="E333" s="2" t="str">
        <f>IFERROR(__xludf.DUMMYFUNCTION("""COMPUTED_VALUE"""),"VF")</f>
        <v>VF</v>
      </c>
      <c r="F333" s="2">
        <f>IFERROR(__xludf.DUMMYFUNCTION("""COMPUTED_VALUE"""),1.0)</f>
        <v>1</v>
      </c>
      <c r="G333" s="2" t="str">
        <f>IFERROR(__xludf.DUMMYFUNCTION("""COMPUTED_VALUE"""),"PR016")</f>
        <v>PR016</v>
      </c>
      <c r="H333" s="2" t="str">
        <f>IFERROR(__xludf.DUMMYFUNCTION("""COMPUTED_VALUE"""),"VD042")</f>
        <v>VD042</v>
      </c>
      <c r="I333" s="2">
        <f>IFERROR(__xludf.DUMMYFUNCTION("""COMPUTED_VALUE"""),5.0)</f>
        <v>5</v>
      </c>
      <c r="J333" s="2">
        <f>IFERROR(__xludf.DUMMYFUNCTION("""COMPUTED_VALUE"""),138.57)</f>
        <v>138.57</v>
      </c>
      <c r="K333" s="2">
        <f>IFERROR(__xludf.DUMMYFUNCTION("""COMPUTED_VALUE"""),138.57)</f>
        <v>138.57</v>
      </c>
    </row>
    <row r="334">
      <c r="A334" s="2">
        <f>IFERROR(__xludf.DUMMYFUNCTION("""COMPUTED_VALUE"""),1000.0)</f>
        <v>1000</v>
      </c>
      <c r="B334" s="2">
        <f>IFERROR(__xludf.DUMMYFUNCTION("""COMPUTED_VALUE"""),183698.0)</f>
        <v>183698</v>
      </c>
      <c r="C334" s="2">
        <f>IFERROR(__xludf.DUMMYFUNCTION("""COMPUTED_VALUE"""),2026.0)</f>
        <v>2026</v>
      </c>
      <c r="D334" s="2">
        <f>IFERROR(__xludf.DUMMYFUNCTION("""COMPUTED_VALUE"""),46322.0)</f>
        <v>46322</v>
      </c>
      <c r="E334" s="2" t="str">
        <f>IFERROR(__xludf.DUMMYFUNCTION("""COMPUTED_VALUE"""),"VF")</f>
        <v>VF</v>
      </c>
      <c r="F334" s="2">
        <f>IFERROR(__xludf.DUMMYFUNCTION("""COMPUTED_VALUE"""),1.0)</f>
        <v>1</v>
      </c>
      <c r="G334" s="2" t="str">
        <f>IFERROR(__xludf.DUMMYFUNCTION("""COMPUTED_VALUE"""),"PR048")</f>
        <v>PR048</v>
      </c>
      <c r="H334" s="2" t="str">
        <f>IFERROR(__xludf.DUMMYFUNCTION("""COMPUTED_VALUE"""),"VD019")</f>
        <v>VD019</v>
      </c>
      <c r="I334" s="2">
        <f>IFERROR(__xludf.DUMMYFUNCTION("""COMPUTED_VALUE"""),2.0)</f>
        <v>2</v>
      </c>
      <c r="J334" s="2">
        <f>IFERROR(__xludf.DUMMYFUNCTION("""COMPUTED_VALUE"""),614.59)</f>
        <v>614.59</v>
      </c>
      <c r="K334" s="2">
        <f>IFERROR(__xludf.DUMMYFUNCTION("""COMPUTED_VALUE"""),614.59)</f>
        <v>614.59</v>
      </c>
    </row>
    <row r="335">
      <c r="A335" s="2">
        <f>IFERROR(__xludf.DUMMYFUNCTION("""COMPUTED_VALUE"""),1000.0)</f>
        <v>1000</v>
      </c>
      <c r="B335" s="2">
        <f>IFERROR(__xludf.DUMMYFUNCTION("""COMPUTED_VALUE"""),183699.0)</f>
        <v>183699</v>
      </c>
      <c r="C335" s="2">
        <f>IFERROR(__xludf.DUMMYFUNCTION("""COMPUTED_VALUE"""),2026.0)</f>
        <v>2026</v>
      </c>
      <c r="D335" s="2">
        <f>IFERROR(__xludf.DUMMYFUNCTION("""COMPUTED_VALUE"""),46322.0)</f>
        <v>46322</v>
      </c>
      <c r="E335" s="2" t="str">
        <f>IFERROR(__xludf.DUMMYFUNCTION("""COMPUTED_VALUE"""),"VF")</f>
        <v>VF</v>
      </c>
      <c r="F335" s="2">
        <f>IFERROR(__xludf.DUMMYFUNCTION("""COMPUTED_VALUE"""),1.0)</f>
        <v>1</v>
      </c>
      <c r="G335" s="2" t="str">
        <f>IFERROR(__xludf.DUMMYFUNCTION("""COMPUTED_VALUE"""),"PR036")</f>
        <v>PR036</v>
      </c>
      <c r="H335" s="2" t="str">
        <f>IFERROR(__xludf.DUMMYFUNCTION("""COMPUTED_VALUE"""),"VD036")</f>
        <v>VD036</v>
      </c>
      <c r="I335" s="2">
        <f>IFERROR(__xludf.DUMMYFUNCTION("""COMPUTED_VALUE"""),16.0)</f>
        <v>16</v>
      </c>
      <c r="J335" s="2">
        <f>IFERROR(__xludf.DUMMYFUNCTION("""COMPUTED_VALUE"""),1630.64)</f>
        <v>1630.64</v>
      </c>
      <c r="K335" s="2">
        <f>IFERROR(__xludf.DUMMYFUNCTION("""COMPUTED_VALUE"""),1630.64)</f>
        <v>1630.64</v>
      </c>
    </row>
    <row r="336">
      <c r="A336" s="2">
        <f>IFERROR(__xludf.DUMMYFUNCTION("""COMPUTED_VALUE"""),1000.0)</f>
        <v>1000</v>
      </c>
      <c r="B336" s="2">
        <f>IFERROR(__xludf.DUMMYFUNCTION("""COMPUTED_VALUE"""),183700.0)</f>
        <v>183700</v>
      </c>
      <c r="C336" s="2">
        <f>IFERROR(__xludf.DUMMYFUNCTION("""COMPUTED_VALUE"""),2026.0)</f>
        <v>2026</v>
      </c>
      <c r="D336" s="2">
        <f>IFERROR(__xludf.DUMMYFUNCTION("""COMPUTED_VALUE"""),46322.0)</f>
        <v>46322</v>
      </c>
      <c r="E336" s="2" t="str">
        <f>IFERROR(__xludf.DUMMYFUNCTION("""COMPUTED_VALUE"""),"VF")</f>
        <v>VF</v>
      </c>
      <c r="F336" s="2">
        <f>IFERROR(__xludf.DUMMYFUNCTION("""COMPUTED_VALUE"""),1.0)</f>
        <v>1</v>
      </c>
      <c r="G336" s="2" t="str">
        <f>IFERROR(__xludf.DUMMYFUNCTION("""COMPUTED_VALUE"""),"PR023")</f>
        <v>PR023</v>
      </c>
      <c r="H336" s="2" t="str">
        <f>IFERROR(__xludf.DUMMYFUNCTION("""COMPUTED_VALUE"""),"VD032")</f>
        <v>VD032</v>
      </c>
      <c r="I336" s="2">
        <f>IFERROR(__xludf.DUMMYFUNCTION("""COMPUTED_VALUE"""),8.0)</f>
        <v>8</v>
      </c>
      <c r="J336" s="2">
        <f>IFERROR(__xludf.DUMMYFUNCTION("""COMPUTED_VALUE"""),2199.12)</f>
        <v>2199.12</v>
      </c>
      <c r="K336" s="2">
        <f>IFERROR(__xludf.DUMMYFUNCTION("""COMPUTED_VALUE"""),2199.12)</f>
        <v>2199.12</v>
      </c>
    </row>
    <row r="337">
      <c r="A337" s="2">
        <f>IFERROR(__xludf.DUMMYFUNCTION("""COMPUTED_VALUE"""),1000.0)</f>
        <v>1000</v>
      </c>
      <c r="B337" s="2">
        <f>IFERROR(__xludf.DUMMYFUNCTION("""COMPUTED_VALUE"""),183701.0)</f>
        <v>183701</v>
      </c>
      <c r="C337" s="2">
        <f>IFERROR(__xludf.DUMMYFUNCTION("""COMPUTED_VALUE"""),2026.0)</f>
        <v>2026</v>
      </c>
      <c r="D337" s="2">
        <f>IFERROR(__xludf.DUMMYFUNCTION("""COMPUTED_VALUE"""),46322.0)</f>
        <v>46322</v>
      </c>
      <c r="E337" s="2" t="str">
        <f>IFERROR(__xludf.DUMMYFUNCTION("""COMPUTED_VALUE"""),"VF")</f>
        <v>VF</v>
      </c>
      <c r="F337" s="2">
        <f>IFERROR(__xludf.DUMMYFUNCTION("""COMPUTED_VALUE"""),1.0)</f>
        <v>1</v>
      </c>
      <c r="G337" s="2" t="str">
        <f>IFERROR(__xludf.DUMMYFUNCTION("""COMPUTED_VALUE"""),"PR038")</f>
        <v>PR038</v>
      </c>
      <c r="H337" s="2" t="str">
        <f>IFERROR(__xludf.DUMMYFUNCTION("""COMPUTED_VALUE"""),"VD032")</f>
        <v>VD032</v>
      </c>
      <c r="I337" s="2">
        <f>IFERROR(__xludf.DUMMYFUNCTION("""COMPUTED_VALUE"""),15.0)</f>
        <v>15</v>
      </c>
      <c r="J337" s="2">
        <f>IFERROR(__xludf.DUMMYFUNCTION("""COMPUTED_VALUE"""),2357.85)</f>
        <v>2357.85</v>
      </c>
      <c r="K337" s="2">
        <f>IFERROR(__xludf.DUMMYFUNCTION("""COMPUTED_VALUE"""),2357.85)</f>
        <v>2357.85</v>
      </c>
    </row>
    <row r="338">
      <c r="A338" s="2">
        <f>IFERROR(__xludf.DUMMYFUNCTION("""COMPUTED_VALUE"""),1000.0)</f>
        <v>1000</v>
      </c>
      <c r="B338" s="2">
        <f>IFERROR(__xludf.DUMMYFUNCTION("""COMPUTED_VALUE"""),183701.0)</f>
        <v>183701</v>
      </c>
      <c r="C338" s="2">
        <f>IFERROR(__xludf.DUMMYFUNCTION("""COMPUTED_VALUE"""),2026.0)</f>
        <v>2026</v>
      </c>
      <c r="D338" s="2">
        <f>IFERROR(__xludf.DUMMYFUNCTION("""COMPUTED_VALUE"""),46321.0)</f>
        <v>46321</v>
      </c>
      <c r="E338" s="2" t="str">
        <f>IFERROR(__xludf.DUMMYFUNCTION("""COMPUTED_VALUE"""),"VF")</f>
        <v>VF</v>
      </c>
      <c r="F338" s="2">
        <f>IFERROR(__xludf.DUMMYFUNCTION("""COMPUTED_VALUE"""),2.0)</f>
        <v>2</v>
      </c>
      <c r="G338" s="2" t="str">
        <f>IFERROR(__xludf.DUMMYFUNCTION("""COMPUTED_VALUE"""),"PR037")</f>
        <v>PR037</v>
      </c>
      <c r="H338" s="2" t="str">
        <f>IFERROR(__xludf.DUMMYFUNCTION("""COMPUTED_VALUE"""),"VD025")</f>
        <v>VD025</v>
      </c>
      <c r="I338" s="2">
        <f>IFERROR(__xludf.DUMMYFUNCTION("""COMPUTED_VALUE"""),27.0)</f>
        <v>27</v>
      </c>
      <c r="J338" s="2">
        <f>IFERROR(__xludf.DUMMYFUNCTION("""COMPUTED_VALUE"""),3780.0)</f>
        <v>3780</v>
      </c>
      <c r="K338" s="2">
        <f>IFERROR(__xludf.DUMMYFUNCTION("""COMPUTED_VALUE"""),3780.0)</f>
        <v>3780</v>
      </c>
    </row>
    <row r="339">
      <c r="A339" s="2">
        <f>IFERROR(__xludf.DUMMYFUNCTION("""COMPUTED_VALUE"""),1000.0)</f>
        <v>1000</v>
      </c>
      <c r="B339" s="2">
        <f>IFERROR(__xludf.DUMMYFUNCTION("""COMPUTED_VALUE"""),183701.0)</f>
        <v>183701</v>
      </c>
      <c r="C339" s="2">
        <f>IFERROR(__xludf.DUMMYFUNCTION("""COMPUTED_VALUE"""),2026.0)</f>
        <v>2026</v>
      </c>
      <c r="D339" s="2">
        <f>IFERROR(__xludf.DUMMYFUNCTION("""COMPUTED_VALUE"""),46321.0)</f>
        <v>46321</v>
      </c>
      <c r="E339" s="2" t="str">
        <f>IFERROR(__xludf.DUMMYFUNCTION("""COMPUTED_VALUE"""),"VF")</f>
        <v>VF</v>
      </c>
      <c r="F339" s="2">
        <f>IFERROR(__xludf.DUMMYFUNCTION("""COMPUTED_VALUE"""),3.0)</f>
        <v>3</v>
      </c>
      <c r="G339" s="2" t="str">
        <f>IFERROR(__xludf.DUMMYFUNCTION("""COMPUTED_VALUE"""),"PR020")</f>
        <v>PR020</v>
      </c>
      <c r="H339" s="2" t="str">
        <f>IFERROR(__xludf.DUMMYFUNCTION("""COMPUTED_VALUE"""),"VD016")</f>
        <v>VD016</v>
      </c>
      <c r="I339" s="2">
        <f>IFERROR(__xludf.DUMMYFUNCTION("""COMPUTED_VALUE"""),12.0)</f>
        <v>12</v>
      </c>
      <c r="J339" s="2">
        <f>IFERROR(__xludf.DUMMYFUNCTION("""COMPUTED_VALUE"""),3778.74)</f>
        <v>3778.74</v>
      </c>
      <c r="K339" s="2">
        <f>IFERROR(__xludf.DUMMYFUNCTION("""COMPUTED_VALUE"""),3778.74)</f>
        <v>3778.74</v>
      </c>
    </row>
    <row r="340">
      <c r="A340" s="2">
        <f>IFERROR(__xludf.DUMMYFUNCTION("""COMPUTED_VALUE"""),2000.0)</f>
        <v>2000</v>
      </c>
      <c r="B340" s="2">
        <f>IFERROR(__xludf.DUMMYFUNCTION("""COMPUTED_VALUE"""),183702.0)</f>
        <v>183702</v>
      </c>
      <c r="C340" s="2">
        <f>IFERROR(__xludf.DUMMYFUNCTION("""COMPUTED_VALUE"""),2026.0)</f>
        <v>2026</v>
      </c>
      <c r="D340" s="2">
        <f>IFERROR(__xludf.DUMMYFUNCTION("""COMPUTED_VALUE"""),46321.0)</f>
        <v>46321</v>
      </c>
      <c r="E340" s="2" t="str">
        <f>IFERROR(__xludf.DUMMYFUNCTION("""COMPUTED_VALUE"""),"VF")</f>
        <v>VF</v>
      </c>
      <c r="F340" s="2">
        <f>IFERROR(__xludf.DUMMYFUNCTION("""COMPUTED_VALUE"""),1.0)</f>
        <v>1</v>
      </c>
      <c r="G340" s="2" t="str">
        <f>IFERROR(__xludf.DUMMYFUNCTION("""COMPUTED_VALUE"""),"PR049")</f>
        <v>PR049</v>
      </c>
      <c r="H340" s="2" t="str">
        <f>IFERROR(__xludf.DUMMYFUNCTION("""COMPUTED_VALUE"""),"VD017")</f>
        <v>VD017</v>
      </c>
      <c r="I340" s="2">
        <f>IFERROR(__xludf.DUMMYFUNCTION("""COMPUTED_VALUE"""),21.0)</f>
        <v>21</v>
      </c>
      <c r="J340" s="2">
        <f>IFERROR(__xludf.DUMMYFUNCTION("""COMPUTED_VALUE"""),753.08)</f>
        <v>753.08</v>
      </c>
      <c r="K340" s="2">
        <f>IFERROR(__xludf.DUMMYFUNCTION("""COMPUTED_VALUE"""),753.08)</f>
        <v>753.08</v>
      </c>
    </row>
    <row r="341">
      <c r="A341" s="2">
        <f>IFERROR(__xludf.DUMMYFUNCTION("""COMPUTED_VALUE"""),1000.0)</f>
        <v>1000</v>
      </c>
      <c r="B341" s="2">
        <f>IFERROR(__xludf.DUMMYFUNCTION("""COMPUTED_VALUE"""),183703.0)</f>
        <v>183703</v>
      </c>
      <c r="C341" s="2">
        <f>IFERROR(__xludf.DUMMYFUNCTION("""COMPUTED_VALUE"""),2026.0)</f>
        <v>2026</v>
      </c>
      <c r="D341" s="2">
        <f>IFERROR(__xludf.DUMMYFUNCTION("""COMPUTED_VALUE"""),46321.0)</f>
        <v>46321</v>
      </c>
      <c r="E341" s="2" t="str">
        <f>IFERROR(__xludf.DUMMYFUNCTION("""COMPUTED_VALUE"""),"VF")</f>
        <v>VF</v>
      </c>
      <c r="F341" s="2">
        <f>IFERROR(__xludf.DUMMYFUNCTION("""COMPUTED_VALUE"""),1.0)</f>
        <v>1</v>
      </c>
      <c r="G341" s="2" t="str">
        <f>IFERROR(__xludf.DUMMYFUNCTION("""COMPUTED_VALUE"""),"PR007")</f>
        <v>PR007</v>
      </c>
      <c r="H341" s="2" t="str">
        <f>IFERROR(__xludf.DUMMYFUNCTION("""COMPUTED_VALUE"""),"VD029")</f>
        <v>VD029</v>
      </c>
      <c r="I341" s="2">
        <f>IFERROR(__xludf.DUMMYFUNCTION("""COMPUTED_VALUE"""),18.0)</f>
        <v>18</v>
      </c>
      <c r="J341" s="2">
        <f>IFERROR(__xludf.DUMMYFUNCTION("""COMPUTED_VALUE"""),1561.66)</f>
        <v>1561.66</v>
      </c>
      <c r="K341" s="2">
        <f>IFERROR(__xludf.DUMMYFUNCTION("""COMPUTED_VALUE"""),1561.66)</f>
        <v>1561.66</v>
      </c>
    </row>
    <row r="342">
      <c r="A342" s="2">
        <f>IFERROR(__xludf.DUMMYFUNCTION("""COMPUTED_VALUE"""),1000.0)</f>
        <v>1000</v>
      </c>
      <c r="B342" s="2">
        <f>IFERROR(__xludf.DUMMYFUNCTION("""COMPUTED_VALUE"""),183704.0)</f>
        <v>183704</v>
      </c>
      <c r="C342" s="2">
        <f>IFERROR(__xludf.DUMMYFUNCTION("""COMPUTED_VALUE"""),2026.0)</f>
        <v>2026</v>
      </c>
      <c r="D342" s="2">
        <f>IFERROR(__xludf.DUMMYFUNCTION("""COMPUTED_VALUE"""),46321.0)</f>
        <v>46321</v>
      </c>
      <c r="E342" s="2" t="str">
        <f>IFERROR(__xludf.DUMMYFUNCTION("""COMPUTED_VALUE"""),"VF")</f>
        <v>VF</v>
      </c>
      <c r="F342" s="2">
        <f>IFERROR(__xludf.DUMMYFUNCTION("""COMPUTED_VALUE"""),1.0)</f>
        <v>1</v>
      </c>
      <c r="G342" s="2" t="str">
        <f>IFERROR(__xludf.DUMMYFUNCTION("""COMPUTED_VALUE"""),"PR056")</f>
        <v>PR056</v>
      </c>
      <c r="H342" s="2" t="str">
        <f>IFERROR(__xludf.DUMMYFUNCTION("""COMPUTED_VALUE"""),"VD043")</f>
        <v>VD043</v>
      </c>
      <c r="I342" s="2">
        <f>IFERROR(__xludf.DUMMYFUNCTION("""COMPUTED_VALUE"""),3.0)</f>
        <v>3</v>
      </c>
      <c r="J342" s="2">
        <f>IFERROR(__xludf.DUMMYFUNCTION("""COMPUTED_VALUE"""),272.4)</f>
        <v>272.4</v>
      </c>
      <c r="K342" s="2">
        <f>IFERROR(__xludf.DUMMYFUNCTION("""COMPUTED_VALUE"""),272.4)</f>
        <v>272.4</v>
      </c>
    </row>
    <row r="343">
      <c r="A343" s="2">
        <f>IFERROR(__xludf.DUMMYFUNCTION("""COMPUTED_VALUE"""),2000.0)</f>
        <v>2000</v>
      </c>
      <c r="B343" s="2">
        <f>IFERROR(__xludf.DUMMYFUNCTION("""COMPUTED_VALUE"""),183704.0)</f>
        <v>183704</v>
      </c>
      <c r="C343" s="2">
        <f>IFERROR(__xludf.DUMMYFUNCTION("""COMPUTED_VALUE"""),2026.0)</f>
        <v>2026</v>
      </c>
      <c r="D343" s="2">
        <f>IFERROR(__xludf.DUMMYFUNCTION("""COMPUTED_VALUE"""),46321.0)</f>
        <v>46321</v>
      </c>
      <c r="E343" s="2" t="str">
        <f>IFERROR(__xludf.DUMMYFUNCTION("""COMPUTED_VALUE"""),"VF")</f>
        <v>VF</v>
      </c>
      <c r="F343" s="2">
        <f>IFERROR(__xludf.DUMMYFUNCTION("""COMPUTED_VALUE"""),2.0)</f>
        <v>2</v>
      </c>
      <c r="G343" s="2" t="str">
        <f>IFERROR(__xludf.DUMMYFUNCTION("""COMPUTED_VALUE"""),"PR019")</f>
        <v>PR019</v>
      </c>
      <c r="H343" s="2" t="str">
        <f>IFERROR(__xludf.DUMMYFUNCTION("""COMPUTED_VALUE"""),"VD039")</f>
        <v>VD039</v>
      </c>
      <c r="I343" s="2">
        <f>IFERROR(__xludf.DUMMYFUNCTION("""COMPUTED_VALUE"""),20.0)</f>
        <v>20</v>
      </c>
      <c r="J343" s="2">
        <f>IFERROR(__xludf.DUMMYFUNCTION("""COMPUTED_VALUE"""),1057.88)</f>
        <v>1057.88</v>
      </c>
      <c r="K343" s="2">
        <f>IFERROR(__xludf.DUMMYFUNCTION("""COMPUTED_VALUE"""),1057.88)</f>
        <v>1057.88</v>
      </c>
    </row>
    <row r="344">
      <c r="A344" s="2">
        <f>IFERROR(__xludf.DUMMYFUNCTION("""COMPUTED_VALUE"""),1000.0)</f>
        <v>1000</v>
      </c>
      <c r="B344" s="2">
        <f>IFERROR(__xludf.DUMMYFUNCTION("""COMPUTED_VALUE"""),183704.0)</f>
        <v>183704</v>
      </c>
      <c r="C344" s="2">
        <f>IFERROR(__xludf.DUMMYFUNCTION("""COMPUTED_VALUE"""),2026.0)</f>
        <v>2026</v>
      </c>
      <c r="D344" s="2">
        <f>IFERROR(__xludf.DUMMYFUNCTION("""COMPUTED_VALUE"""),46321.0)</f>
        <v>46321</v>
      </c>
      <c r="E344" s="2" t="str">
        <f>IFERROR(__xludf.DUMMYFUNCTION("""COMPUTED_VALUE"""),"VF")</f>
        <v>VF</v>
      </c>
      <c r="F344" s="2">
        <f>IFERROR(__xludf.DUMMYFUNCTION("""COMPUTED_VALUE"""),3.0)</f>
        <v>3</v>
      </c>
      <c r="G344" s="2" t="str">
        <f>IFERROR(__xludf.DUMMYFUNCTION("""COMPUTED_VALUE"""),"PR015")</f>
        <v>PR015</v>
      </c>
      <c r="H344" s="2" t="str">
        <f>IFERROR(__xludf.DUMMYFUNCTION("""COMPUTED_VALUE"""),"VD046")</f>
        <v>VD046</v>
      </c>
      <c r="I344" s="2">
        <f>IFERROR(__xludf.DUMMYFUNCTION("""COMPUTED_VALUE"""),3.0)</f>
        <v>3</v>
      </c>
      <c r="J344" s="2">
        <f>IFERROR(__xludf.DUMMYFUNCTION("""COMPUTED_VALUE"""),135.15)</f>
        <v>135.15</v>
      </c>
      <c r="K344" s="2">
        <f>IFERROR(__xludf.DUMMYFUNCTION("""COMPUTED_VALUE"""),135.15)</f>
        <v>135.15</v>
      </c>
    </row>
    <row r="345">
      <c r="A345" s="2">
        <f>IFERROR(__xludf.DUMMYFUNCTION("""COMPUTED_VALUE"""),1000.0)</f>
        <v>1000</v>
      </c>
      <c r="B345" s="2">
        <f>IFERROR(__xludf.DUMMYFUNCTION("""COMPUTED_VALUE"""),183704.0)</f>
        <v>183704</v>
      </c>
      <c r="C345" s="2">
        <f>IFERROR(__xludf.DUMMYFUNCTION("""COMPUTED_VALUE"""),2026.0)</f>
        <v>2026</v>
      </c>
      <c r="D345" s="2">
        <f>IFERROR(__xludf.DUMMYFUNCTION("""COMPUTED_VALUE"""),46321.0)</f>
        <v>46321</v>
      </c>
      <c r="E345" s="2" t="str">
        <f>IFERROR(__xludf.DUMMYFUNCTION("""COMPUTED_VALUE"""),"VF")</f>
        <v>VF</v>
      </c>
      <c r="F345" s="2">
        <f>IFERROR(__xludf.DUMMYFUNCTION("""COMPUTED_VALUE"""),4.0)</f>
        <v>4</v>
      </c>
      <c r="G345" s="2" t="str">
        <f>IFERROR(__xludf.DUMMYFUNCTION("""COMPUTED_VALUE"""),"PR019")</f>
        <v>PR019</v>
      </c>
      <c r="H345" s="2" t="str">
        <f>IFERROR(__xludf.DUMMYFUNCTION("""COMPUTED_VALUE"""),"VD043")</f>
        <v>VD043</v>
      </c>
      <c r="I345" s="2">
        <f>IFERROR(__xludf.DUMMYFUNCTION("""COMPUTED_VALUE"""),21.0)</f>
        <v>21</v>
      </c>
      <c r="J345" s="2">
        <f>IFERROR(__xludf.DUMMYFUNCTION("""COMPUTED_VALUE"""),1100.3)</f>
        <v>1100.3</v>
      </c>
      <c r="K345" s="2">
        <f>IFERROR(__xludf.DUMMYFUNCTION("""COMPUTED_VALUE"""),1100.3)</f>
        <v>1100.3</v>
      </c>
    </row>
    <row r="346">
      <c r="A346" s="2">
        <f>IFERROR(__xludf.DUMMYFUNCTION("""COMPUTED_VALUE"""),1000.0)</f>
        <v>1000</v>
      </c>
      <c r="B346" s="2">
        <f>IFERROR(__xludf.DUMMYFUNCTION("""COMPUTED_VALUE"""),183705.0)</f>
        <v>183705</v>
      </c>
      <c r="C346" s="2">
        <f>IFERROR(__xludf.DUMMYFUNCTION("""COMPUTED_VALUE"""),2026.0)</f>
        <v>2026</v>
      </c>
      <c r="D346" s="2">
        <f>IFERROR(__xludf.DUMMYFUNCTION("""COMPUTED_VALUE"""),46321.0)</f>
        <v>46321</v>
      </c>
      <c r="E346" s="2" t="str">
        <f>IFERROR(__xludf.DUMMYFUNCTION("""COMPUTED_VALUE"""),"VF")</f>
        <v>VF</v>
      </c>
      <c r="F346" s="2">
        <f>IFERROR(__xludf.DUMMYFUNCTION("""COMPUTED_VALUE"""),1.0)</f>
        <v>1</v>
      </c>
      <c r="G346" s="2" t="str">
        <f>IFERROR(__xludf.DUMMYFUNCTION("""COMPUTED_VALUE"""),"PR043")</f>
        <v>PR043</v>
      </c>
      <c r="H346" s="2" t="str">
        <f>IFERROR(__xludf.DUMMYFUNCTION("""COMPUTED_VALUE"""),"VD031")</f>
        <v>VD031</v>
      </c>
      <c r="I346" s="2">
        <f>IFERROR(__xludf.DUMMYFUNCTION("""COMPUTED_VALUE"""),9.0)</f>
        <v>9</v>
      </c>
      <c r="J346" s="2">
        <f>IFERROR(__xludf.DUMMYFUNCTION("""COMPUTED_VALUE"""),698.18)</f>
        <v>698.18</v>
      </c>
      <c r="K346" s="2">
        <f>IFERROR(__xludf.DUMMYFUNCTION("""COMPUTED_VALUE"""),698.18)</f>
        <v>698.18</v>
      </c>
    </row>
    <row r="347">
      <c r="A347" s="2">
        <f>IFERROR(__xludf.DUMMYFUNCTION("""COMPUTED_VALUE"""),2000.0)</f>
        <v>2000</v>
      </c>
      <c r="B347" s="2">
        <f>IFERROR(__xludf.DUMMYFUNCTION("""COMPUTED_VALUE"""),183705.0)</f>
        <v>183705</v>
      </c>
      <c r="C347" s="2">
        <f>IFERROR(__xludf.DUMMYFUNCTION("""COMPUTED_VALUE"""),2026.0)</f>
        <v>2026</v>
      </c>
      <c r="D347" s="2">
        <f>IFERROR(__xludf.DUMMYFUNCTION("""COMPUTED_VALUE"""),46321.0)</f>
        <v>46321</v>
      </c>
      <c r="E347" s="2" t="str">
        <f>IFERROR(__xludf.DUMMYFUNCTION("""COMPUTED_VALUE"""),"VF")</f>
        <v>VF</v>
      </c>
      <c r="F347" s="2">
        <f>IFERROR(__xludf.DUMMYFUNCTION("""COMPUTED_VALUE"""),2.0)</f>
        <v>2</v>
      </c>
      <c r="G347" s="2" t="str">
        <f>IFERROR(__xludf.DUMMYFUNCTION("""COMPUTED_VALUE"""),"PR038")</f>
        <v>PR038</v>
      </c>
      <c r="H347" s="2" t="str">
        <f>IFERROR(__xludf.DUMMYFUNCTION("""COMPUTED_VALUE"""),"VD015")</f>
        <v>VD015</v>
      </c>
      <c r="I347" s="2">
        <f>IFERROR(__xludf.DUMMYFUNCTION("""COMPUTED_VALUE"""),12.0)</f>
        <v>12</v>
      </c>
      <c r="J347" s="2">
        <f>IFERROR(__xludf.DUMMYFUNCTION("""COMPUTED_VALUE"""),1869.13)</f>
        <v>1869.13</v>
      </c>
      <c r="K347" s="2">
        <f>IFERROR(__xludf.DUMMYFUNCTION("""COMPUTED_VALUE"""),1869.13)</f>
        <v>1869.13</v>
      </c>
    </row>
    <row r="348">
      <c r="A348" s="2">
        <f>IFERROR(__xludf.DUMMYFUNCTION("""COMPUTED_VALUE"""),1000.0)</f>
        <v>1000</v>
      </c>
      <c r="B348" s="2">
        <f>IFERROR(__xludf.DUMMYFUNCTION("""COMPUTED_VALUE"""),183706.0)</f>
        <v>183706</v>
      </c>
      <c r="C348" s="2">
        <f>IFERROR(__xludf.DUMMYFUNCTION("""COMPUTED_VALUE"""),2026.0)</f>
        <v>2026</v>
      </c>
      <c r="D348" s="2">
        <f>IFERROR(__xludf.DUMMYFUNCTION("""COMPUTED_VALUE"""),46321.0)</f>
        <v>46321</v>
      </c>
      <c r="E348" s="2" t="str">
        <f>IFERROR(__xludf.DUMMYFUNCTION("""COMPUTED_VALUE"""),"VF")</f>
        <v>VF</v>
      </c>
      <c r="F348" s="2">
        <f>IFERROR(__xludf.DUMMYFUNCTION("""COMPUTED_VALUE"""),1.0)</f>
        <v>1</v>
      </c>
      <c r="G348" s="2" t="str">
        <f>IFERROR(__xludf.DUMMYFUNCTION("""COMPUTED_VALUE"""),"PR050")</f>
        <v>PR050</v>
      </c>
      <c r="H348" s="2" t="str">
        <f>IFERROR(__xludf.DUMMYFUNCTION("""COMPUTED_VALUE"""),"VD042")</f>
        <v>VD042</v>
      </c>
      <c r="I348" s="2">
        <f>IFERROR(__xludf.DUMMYFUNCTION("""COMPUTED_VALUE"""),1.0)</f>
        <v>1</v>
      </c>
      <c r="J348" s="2">
        <f>IFERROR(__xludf.DUMMYFUNCTION("""COMPUTED_VALUE"""),33.89)</f>
        <v>33.89</v>
      </c>
      <c r="K348" s="2">
        <f>IFERROR(__xludf.DUMMYFUNCTION("""COMPUTED_VALUE"""),33.89)</f>
        <v>33.89</v>
      </c>
    </row>
    <row r="349">
      <c r="A349" s="2">
        <f>IFERROR(__xludf.DUMMYFUNCTION("""COMPUTED_VALUE"""),1000.0)</f>
        <v>1000</v>
      </c>
      <c r="B349" s="2">
        <f>IFERROR(__xludf.DUMMYFUNCTION("""COMPUTED_VALUE"""),183707.0)</f>
        <v>183707</v>
      </c>
      <c r="C349" s="2">
        <f>IFERROR(__xludf.DUMMYFUNCTION("""COMPUTED_VALUE"""),2026.0)</f>
        <v>2026</v>
      </c>
      <c r="D349" s="2">
        <f>IFERROR(__xludf.DUMMYFUNCTION("""COMPUTED_VALUE"""),46320.0)</f>
        <v>46320</v>
      </c>
      <c r="E349" s="2" t="str">
        <f>IFERROR(__xludf.DUMMYFUNCTION("""COMPUTED_VALUE"""),"VF")</f>
        <v>VF</v>
      </c>
      <c r="F349" s="2">
        <f>IFERROR(__xludf.DUMMYFUNCTION("""COMPUTED_VALUE"""),1.0)</f>
        <v>1</v>
      </c>
      <c r="G349" s="2" t="str">
        <f>IFERROR(__xludf.DUMMYFUNCTION("""COMPUTED_VALUE"""),"PR005")</f>
        <v>PR005</v>
      </c>
      <c r="H349" s="2" t="str">
        <f>IFERROR(__xludf.DUMMYFUNCTION("""COMPUTED_VALUE"""),"VD022")</f>
        <v>VD022</v>
      </c>
      <c r="I349" s="2">
        <f>IFERROR(__xludf.DUMMYFUNCTION("""COMPUTED_VALUE"""),6.0)</f>
        <v>6</v>
      </c>
      <c r="J349" s="2">
        <f>IFERROR(__xludf.DUMMYFUNCTION("""COMPUTED_VALUE"""),1574.99)</f>
        <v>1574.99</v>
      </c>
      <c r="K349" s="2">
        <f>IFERROR(__xludf.DUMMYFUNCTION("""COMPUTED_VALUE"""),1574.99)</f>
        <v>1574.99</v>
      </c>
    </row>
    <row r="350">
      <c r="A350" s="2">
        <f>IFERROR(__xludf.DUMMYFUNCTION("""COMPUTED_VALUE"""),1000.0)</f>
        <v>1000</v>
      </c>
      <c r="B350" s="2">
        <f>IFERROR(__xludf.DUMMYFUNCTION("""COMPUTED_VALUE"""),183708.0)</f>
        <v>183708</v>
      </c>
      <c r="C350" s="2">
        <f>IFERROR(__xludf.DUMMYFUNCTION("""COMPUTED_VALUE"""),2026.0)</f>
        <v>2026</v>
      </c>
      <c r="D350" s="2">
        <f>IFERROR(__xludf.DUMMYFUNCTION("""COMPUTED_VALUE"""),46320.0)</f>
        <v>46320</v>
      </c>
      <c r="E350" s="2" t="str">
        <f>IFERROR(__xludf.DUMMYFUNCTION("""COMPUTED_VALUE"""),"VF")</f>
        <v>VF</v>
      </c>
      <c r="F350" s="2">
        <f>IFERROR(__xludf.DUMMYFUNCTION("""COMPUTED_VALUE"""),1.0)</f>
        <v>1</v>
      </c>
      <c r="G350" s="2" t="str">
        <f>IFERROR(__xludf.DUMMYFUNCTION("""COMPUTED_VALUE"""),"PR018")</f>
        <v>PR018</v>
      </c>
      <c r="H350" s="2" t="str">
        <f>IFERROR(__xludf.DUMMYFUNCTION("""COMPUTED_VALUE"""),"VD047")</f>
        <v>VD047</v>
      </c>
      <c r="I350" s="2">
        <f>IFERROR(__xludf.DUMMYFUNCTION("""COMPUTED_VALUE"""),6.0)</f>
        <v>6</v>
      </c>
      <c r="J350" s="2">
        <f>IFERROR(__xludf.DUMMYFUNCTION("""COMPUTED_VALUE"""),197.4)</f>
        <v>197.4</v>
      </c>
      <c r="K350" s="2">
        <f>IFERROR(__xludf.DUMMYFUNCTION("""COMPUTED_VALUE"""),197.4)</f>
        <v>197.4</v>
      </c>
    </row>
    <row r="351">
      <c r="A351" s="2">
        <f>IFERROR(__xludf.DUMMYFUNCTION("""COMPUTED_VALUE"""),2000.0)</f>
        <v>2000</v>
      </c>
      <c r="B351" s="2">
        <f>IFERROR(__xludf.DUMMYFUNCTION("""COMPUTED_VALUE"""),183709.0)</f>
        <v>183709</v>
      </c>
      <c r="C351" s="2">
        <f>IFERROR(__xludf.DUMMYFUNCTION("""COMPUTED_VALUE"""),2026.0)</f>
        <v>2026</v>
      </c>
      <c r="D351" s="2">
        <f>IFERROR(__xludf.DUMMYFUNCTION("""COMPUTED_VALUE"""),46319.0)</f>
        <v>46319</v>
      </c>
      <c r="E351" s="2" t="str">
        <f>IFERROR(__xludf.DUMMYFUNCTION("""COMPUTED_VALUE"""),"VF")</f>
        <v>VF</v>
      </c>
      <c r="F351" s="2">
        <f>IFERROR(__xludf.DUMMYFUNCTION("""COMPUTED_VALUE"""),1.0)</f>
        <v>1</v>
      </c>
      <c r="G351" s="2" t="str">
        <f>IFERROR(__xludf.DUMMYFUNCTION("""COMPUTED_VALUE"""),"PR057")</f>
        <v>PR057</v>
      </c>
      <c r="H351" s="2" t="str">
        <f>IFERROR(__xludf.DUMMYFUNCTION("""COMPUTED_VALUE"""),"VD043")</f>
        <v>VD043</v>
      </c>
      <c r="I351" s="2">
        <f>IFERROR(__xludf.DUMMYFUNCTION("""COMPUTED_VALUE"""),1.0)</f>
        <v>1</v>
      </c>
      <c r="J351" s="2">
        <f>IFERROR(__xludf.DUMMYFUNCTION("""COMPUTED_VALUE"""),96.19)</f>
        <v>96.19</v>
      </c>
      <c r="K351" s="2">
        <f>IFERROR(__xludf.DUMMYFUNCTION("""COMPUTED_VALUE"""),96.19)</f>
        <v>96.19</v>
      </c>
    </row>
    <row r="352">
      <c r="A352" s="2">
        <f>IFERROR(__xludf.DUMMYFUNCTION("""COMPUTED_VALUE"""),1000.0)</f>
        <v>1000</v>
      </c>
      <c r="B352" s="2">
        <f>IFERROR(__xludf.DUMMYFUNCTION("""COMPUTED_VALUE"""),183709.0)</f>
        <v>183709</v>
      </c>
      <c r="C352" s="2">
        <f>IFERROR(__xludf.DUMMYFUNCTION("""COMPUTED_VALUE"""),2026.0)</f>
        <v>2026</v>
      </c>
      <c r="D352" s="2">
        <f>IFERROR(__xludf.DUMMYFUNCTION("""COMPUTED_VALUE"""),46319.0)</f>
        <v>46319</v>
      </c>
      <c r="E352" s="2" t="str">
        <f>IFERROR(__xludf.DUMMYFUNCTION("""COMPUTED_VALUE"""),"VF")</f>
        <v>VF</v>
      </c>
      <c r="F352" s="2">
        <f>IFERROR(__xludf.DUMMYFUNCTION("""COMPUTED_VALUE"""),2.0)</f>
        <v>2</v>
      </c>
      <c r="G352" s="2" t="str">
        <f>IFERROR(__xludf.DUMMYFUNCTION("""COMPUTED_VALUE"""),"PR010")</f>
        <v>PR010</v>
      </c>
      <c r="H352" s="2" t="str">
        <f>IFERROR(__xludf.DUMMYFUNCTION("""COMPUTED_VALUE"""),"VD042")</f>
        <v>VD042</v>
      </c>
      <c r="I352" s="2">
        <f>IFERROR(__xludf.DUMMYFUNCTION("""COMPUTED_VALUE"""),16.0)</f>
        <v>16</v>
      </c>
      <c r="J352" s="2">
        <f>IFERROR(__xludf.DUMMYFUNCTION("""COMPUTED_VALUE"""),732.77)</f>
        <v>732.77</v>
      </c>
      <c r="K352" s="2">
        <f>IFERROR(__xludf.DUMMYFUNCTION("""COMPUTED_VALUE"""),732.77)</f>
        <v>732.77</v>
      </c>
    </row>
    <row r="353">
      <c r="A353" s="2">
        <f>IFERROR(__xludf.DUMMYFUNCTION("""COMPUTED_VALUE"""),1000.0)</f>
        <v>1000</v>
      </c>
      <c r="B353" s="2">
        <f>IFERROR(__xludf.DUMMYFUNCTION("""COMPUTED_VALUE"""),183710.0)</f>
        <v>183710</v>
      </c>
      <c r="C353" s="2">
        <f>IFERROR(__xludf.DUMMYFUNCTION("""COMPUTED_VALUE"""),2026.0)</f>
        <v>2026</v>
      </c>
      <c r="D353" s="2">
        <f>IFERROR(__xludf.DUMMYFUNCTION("""COMPUTED_VALUE"""),46319.0)</f>
        <v>46319</v>
      </c>
      <c r="E353" s="2" t="str">
        <f>IFERROR(__xludf.DUMMYFUNCTION("""COMPUTED_VALUE"""),"VF")</f>
        <v>VF</v>
      </c>
      <c r="F353" s="2">
        <f>IFERROR(__xludf.DUMMYFUNCTION("""COMPUTED_VALUE"""),1.0)</f>
        <v>1</v>
      </c>
      <c r="G353" s="2" t="str">
        <f>IFERROR(__xludf.DUMMYFUNCTION("""COMPUTED_VALUE"""),"PR001")</f>
        <v>PR001</v>
      </c>
      <c r="H353" s="2" t="str">
        <f>IFERROR(__xludf.DUMMYFUNCTION("""COMPUTED_VALUE"""),"VD034")</f>
        <v>VD034</v>
      </c>
      <c r="I353" s="2">
        <f>IFERROR(__xludf.DUMMYFUNCTION("""COMPUTED_VALUE"""),6.0)</f>
        <v>6</v>
      </c>
      <c r="J353" s="2">
        <f>IFERROR(__xludf.DUMMYFUNCTION("""COMPUTED_VALUE"""),419.12)</f>
        <v>419.12</v>
      </c>
      <c r="K353" s="2">
        <f>IFERROR(__xludf.DUMMYFUNCTION("""COMPUTED_VALUE"""),419.12)</f>
        <v>419.12</v>
      </c>
    </row>
    <row r="354">
      <c r="A354" s="2">
        <f>IFERROR(__xludf.DUMMYFUNCTION("""COMPUTED_VALUE"""),1000.0)</f>
        <v>1000</v>
      </c>
      <c r="B354" s="2">
        <f>IFERROR(__xludf.DUMMYFUNCTION("""COMPUTED_VALUE"""),183711.0)</f>
        <v>183711</v>
      </c>
      <c r="C354" s="2">
        <f>IFERROR(__xludf.DUMMYFUNCTION("""COMPUTED_VALUE"""),2026.0)</f>
        <v>2026</v>
      </c>
      <c r="D354" s="2">
        <f>IFERROR(__xludf.DUMMYFUNCTION("""COMPUTED_VALUE"""),46319.0)</f>
        <v>46319</v>
      </c>
      <c r="E354" s="2" t="str">
        <f>IFERROR(__xludf.DUMMYFUNCTION("""COMPUTED_VALUE"""),"VF")</f>
        <v>VF</v>
      </c>
      <c r="F354" s="2">
        <f>IFERROR(__xludf.DUMMYFUNCTION("""COMPUTED_VALUE"""),1.0)</f>
        <v>1</v>
      </c>
      <c r="G354" s="2" t="str">
        <f>IFERROR(__xludf.DUMMYFUNCTION("""COMPUTED_VALUE"""),"PR036")</f>
        <v>PR036</v>
      </c>
      <c r="H354" s="2" t="str">
        <f>IFERROR(__xludf.DUMMYFUNCTION("""COMPUTED_VALUE"""),"VD046")</f>
        <v>VD046</v>
      </c>
      <c r="I354" s="2">
        <f>IFERROR(__xludf.DUMMYFUNCTION("""COMPUTED_VALUE"""),7.0)</f>
        <v>7</v>
      </c>
      <c r="J354" s="2">
        <f>IFERROR(__xludf.DUMMYFUNCTION("""COMPUTED_VALUE"""),706.86)</f>
        <v>706.86</v>
      </c>
      <c r="K354" s="2">
        <f>IFERROR(__xludf.DUMMYFUNCTION("""COMPUTED_VALUE"""),706.86)</f>
        <v>706.86</v>
      </c>
    </row>
    <row r="355">
      <c r="A355" s="2">
        <f>IFERROR(__xludf.DUMMYFUNCTION("""COMPUTED_VALUE"""),1000.0)</f>
        <v>1000</v>
      </c>
      <c r="B355" s="2">
        <f>IFERROR(__xludf.DUMMYFUNCTION("""COMPUTED_VALUE"""),183712.0)</f>
        <v>183712</v>
      </c>
      <c r="C355" s="2">
        <f>IFERROR(__xludf.DUMMYFUNCTION("""COMPUTED_VALUE"""),2026.0)</f>
        <v>2026</v>
      </c>
      <c r="D355" s="2">
        <f>IFERROR(__xludf.DUMMYFUNCTION("""COMPUTED_VALUE"""),46318.0)</f>
        <v>46318</v>
      </c>
      <c r="E355" s="2" t="str">
        <f>IFERROR(__xludf.DUMMYFUNCTION("""COMPUTED_VALUE"""),"VF")</f>
        <v>VF</v>
      </c>
      <c r="F355" s="2">
        <f>IFERROR(__xludf.DUMMYFUNCTION("""COMPUTED_VALUE"""),1.0)</f>
        <v>1</v>
      </c>
      <c r="G355" s="2" t="str">
        <f>IFERROR(__xludf.DUMMYFUNCTION("""COMPUTED_VALUE"""),"PR051")</f>
        <v>PR051</v>
      </c>
      <c r="H355" s="2" t="str">
        <f>IFERROR(__xludf.DUMMYFUNCTION("""COMPUTED_VALUE"""),"VD026")</f>
        <v>VD026</v>
      </c>
      <c r="I355" s="2">
        <f>IFERROR(__xludf.DUMMYFUNCTION("""COMPUTED_VALUE"""),20.0)</f>
        <v>20</v>
      </c>
      <c r="J355" s="2">
        <f>IFERROR(__xludf.DUMMYFUNCTION("""COMPUTED_VALUE"""),704.06)</f>
        <v>704.06</v>
      </c>
      <c r="K355" s="2">
        <f>IFERROR(__xludf.DUMMYFUNCTION("""COMPUTED_VALUE"""),704.06)</f>
        <v>704.06</v>
      </c>
    </row>
    <row r="356">
      <c r="A356" s="2">
        <f>IFERROR(__xludf.DUMMYFUNCTION("""COMPUTED_VALUE"""),1000.0)</f>
        <v>1000</v>
      </c>
      <c r="B356" s="2">
        <f>IFERROR(__xludf.DUMMYFUNCTION("""COMPUTED_VALUE"""),183712.0)</f>
        <v>183712</v>
      </c>
      <c r="C356" s="2">
        <f>IFERROR(__xludf.DUMMYFUNCTION("""COMPUTED_VALUE"""),2026.0)</f>
        <v>2026</v>
      </c>
      <c r="D356" s="2">
        <f>IFERROR(__xludf.DUMMYFUNCTION("""COMPUTED_VALUE"""),46318.0)</f>
        <v>46318</v>
      </c>
      <c r="E356" s="2" t="str">
        <f>IFERROR(__xludf.DUMMYFUNCTION("""COMPUTED_VALUE"""),"VF")</f>
        <v>VF</v>
      </c>
      <c r="F356" s="2">
        <f>IFERROR(__xludf.DUMMYFUNCTION("""COMPUTED_VALUE"""),2.0)</f>
        <v>2</v>
      </c>
      <c r="G356" s="2" t="str">
        <f>IFERROR(__xludf.DUMMYFUNCTION("""COMPUTED_VALUE"""),"PR030")</f>
        <v>PR030</v>
      </c>
      <c r="H356" s="2" t="str">
        <f>IFERROR(__xludf.DUMMYFUNCTION("""COMPUTED_VALUE"""),"VD036")</f>
        <v>VD036</v>
      </c>
      <c r="I356" s="2">
        <f>IFERROR(__xludf.DUMMYFUNCTION("""COMPUTED_VALUE"""),21.0)</f>
        <v>21</v>
      </c>
      <c r="J356" s="2">
        <f>IFERROR(__xludf.DUMMYFUNCTION("""COMPUTED_VALUE"""),5457.9)</f>
        <v>5457.9</v>
      </c>
      <c r="K356" s="2">
        <f>IFERROR(__xludf.DUMMYFUNCTION("""COMPUTED_VALUE"""),5457.9)</f>
        <v>5457.9</v>
      </c>
    </row>
    <row r="357">
      <c r="A357" s="2">
        <f>IFERROR(__xludf.DUMMYFUNCTION("""COMPUTED_VALUE"""),1000.0)</f>
        <v>1000</v>
      </c>
      <c r="B357" s="2">
        <f>IFERROR(__xludf.DUMMYFUNCTION("""COMPUTED_VALUE"""),183713.0)</f>
        <v>183713</v>
      </c>
      <c r="C357" s="2">
        <f>IFERROR(__xludf.DUMMYFUNCTION("""COMPUTED_VALUE"""),2026.0)</f>
        <v>2026</v>
      </c>
      <c r="D357" s="2">
        <f>IFERROR(__xludf.DUMMYFUNCTION("""COMPUTED_VALUE"""),46317.0)</f>
        <v>46317</v>
      </c>
      <c r="E357" s="2" t="str">
        <f>IFERROR(__xludf.DUMMYFUNCTION("""COMPUTED_VALUE"""),"VF")</f>
        <v>VF</v>
      </c>
      <c r="F357" s="2">
        <f>IFERROR(__xludf.DUMMYFUNCTION("""COMPUTED_VALUE"""),1.0)</f>
        <v>1</v>
      </c>
      <c r="G357" s="2" t="str">
        <f>IFERROR(__xludf.DUMMYFUNCTION("""COMPUTED_VALUE"""),"PR045")</f>
        <v>PR045</v>
      </c>
      <c r="H357" s="2" t="str">
        <f>IFERROR(__xludf.DUMMYFUNCTION("""COMPUTED_VALUE"""),"VD039")</f>
        <v>VD039</v>
      </c>
      <c r="I357" s="2">
        <f>IFERROR(__xludf.DUMMYFUNCTION("""COMPUTED_VALUE"""),18.0)</f>
        <v>18</v>
      </c>
      <c r="J357" s="2">
        <f>IFERROR(__xludf.DUMMYFUNCTION("""COMPUTED_VALUE"""),1409.4)</f>
        <v>1409.4</v>
      </c>
      <c r="K357" s="2">
        <f>IFERROR(__xludf.DUMMYFUNCTION("""COMPUTED_VALUE"""),1409.4)</f>
        <v>1409.4</v>
      </c>
    </row>
    <row r="358">
      <c r="A358" s="2">
        <f>IFERROR(__xludf.DUMMYFUNCTION("""COMPUTED_VALUE"""),1000.0)</f>
        <v>1000</v>
      </c>
      <c r="B358" s="2">
        <f>IFERROR(__xludf.DUMMYFUNCTION("""COMPUTED_VALUE"""),183714.0)</f>
        <v>183714</v>
      </c>
      <c r="C358" s="2">
        <f>IFERROR(__xludf.DUMMYFUNCTION("""COMPUTED_VALUE"""),2026.0)</f>
        <v>2026</v>
      </c>
      <c r="D358" s="2">
        <f>IFERROR(__xludf.DUMMYFUNCTION("""COMPUTED_VALUE"""),46317.0)</f>
        <v>46317</v>
      </c>
      <c r="E358" s="2" t="str">
        <f>IFERROR(__xludf.DUMMYFUNCTION("""COMPUTED_VALUE"""),"VF")</f>
        <v>VF</v>
      </c>
      <c r="F358" s="2">
        <f>IFERROR(__xludf.DUMMYFUNCTION("""COMPUTED_VALUE"""),1.0)</f>
        <v>1</v>
      </c>
      <c r="G358" s="2" t="str">
        <f>IFERROR(__xludf.DUMMYFUNCTION("""COMPUTED_VALUE"""),"PR025")</f>
        <v>PR025</v>
      </c>
      <c r="H358" s="2" t="str">
        <f>IFERROR(__xludf.DUMMYFUNCTION("""COMPUTED_VALUE"""),"VD013")</f>
        <v>VD013</v>
      </c>
      <c r="I358" s="2">
        <f>IFERROR(__xludf.DUMMYFUNCTION("""COMPUTED_VALUE"""),6.0)</f>
        <v>6</v>
      </c>
      <c r="J358" s="2">
        <f>IFERROR(__xludf.DUMMYFUNCTION("""COMPUTED_VALUE"""),1817.39)</f>
        <v>1817.39</v>
      </c>
      <c r="K358" s="2">
        <f>IFERROR(__xludf.DUMMYFUNCTION("""COMPUTED_VALUE"""),1817.39)</f>
        <v>1817.39</v>
      </c>
    </row>
    <row r="359">
      <c r="A359" s="2">
        <f>IFERROR(__xludf.DUMMYFUNCTION("""COMPUTED_VALUE"""),1000.0)</f>
        <v>1000</v>
      </c>
      <c r="B359" s="2">
        <f>IFERROR(__xludf.DUMMYFUNCTION("""COMPUTED_VALUE"""),183715.0)</f>
        <v>183715</v>
      </c>
      <c r="C359" s="2">
        <f>IFERROR(__xludf.DUMMYFUNCTION("""COMPUTED_VALUE"""),2026.0)</f>
        <v>2026</v>
      </c>
      <c r="D359" s="2">
        <f>IFERROR(__xludf.DUMMYFUNCTION("""COMPUTED_VALUE"""),46316.0)</f>
        <v>46316</v>
      </c>
      <c r="E359" s="2" t="str">
        <f>IFERROR(__xludf.DUMMYFUNCTION("""COMPUTED_VALUE"""),"VF")</f>
        <v>VF</v>
      </c>
      <c r="F359" s="2">
        <f>IFERROR(__xludf.DUMMYFUNCTION("""COMPUTED_VALUE"""),1.0)</f>
        <v>1</v>
      </c>
      <c r="G359" s="2" t="str">
        <f>IFERROR(__xludf.DUMMYFUNCTION("""COMPUTED_VALUE"""),"PR025")</f>
        <v>PR025</v>
      </c>
      <c r="H359" s="2" t="str">
        <f>IFERROR(__xludf.DUMMYFUNCTION("""COMPUTED_VALUE"""),"VD043")</f>
        <v>VD043</v>
      </c>
      <c r="I359" s="2">
        <f>IFERROR(__xludf.DUMMYFUNCTION("""COMPUTED_VALUE"""),16.0)</f>
        <v>16</v>
      </c>
      <c r="J359" s="2">
        <f>IFERROR(__xludf.DUMMYFUNCTION("""COMPUTED_VALUE"""),4990.34)</f>
        <v>4990.34</v>
      </c>
      <c r="K359" s="2">
        <f>IFERROR(__xludf.DUMMYFUNCTION("""COMPUTED_VALUE"""),4990.34)</f>
        <v>4990.34</v>
      </c>
    </row>
    <row r="360">
      <c r="A360" s="2">
        <f>IFERROR(__xludf.DUMMYFUNCTION("""COMPUTED_VALUE"""),1000.0)</f>
        <v>1000</v>
      </c>
      <c r="B360" s="2">
        <f>IFERROR(__xludf.DUMMYFUNCTION("""COMPUTED_VALUE"""),183715.0)</f>
        <v>183715</v>
      </c>
      <c r="C360" s="2">
        <f>IFERROR(__xludf.DUMMYFUNCTION("""COMPUTED_VALUE"""),2026.0)</f>
        <v>2026</v>
      </c>
      <c r="D360" s="2">
        <f>IFERROR(__xludf.DUMMYFUNCTION("""COMPUTED_VALUE"""),46316.0)</f>
        <v>46316</v>
      </c>
      <c r="E360" s="2" t="str">
        <f>IFERROR(__xludf.DUMMYFUNCTION("""COMPUTED_VALUE"""),"VF")</f>
        <v>VF</v>
      </c>
      <c r="F360" s="2">
        <f>IFERROR(__xludf.DUMMYFUNCTION("""COMPUTED_VALUE"""),2.0)</f>
        <v>2</v>
      </c>
      <c r="G360" s="2" t="str">
        <f>IFERROR(__xludf.DUMMYFUNCTION("""COMPUTED_VALUE"""),"PR047")</f>
        <v>PR047</v>
      </c>
      <c r="H360" s="2" t="str">
        <f>IFERROR(__xludf.DUMMYFUNCTION("""COMPUTED_VALUE"""),"VD011")</f>
        <v>VD011</v>
      </c>
      <c r="I360" s="2">
        <f>IFERROR(__xludf.DUMMYFUNCTION("""COMPUTED_VALUE"""),3.0)</f>
        <v>3</v>
      </c>
      <c r="J360" s="2">
        <f>IFERROR(__xludf.DUMMYFUNCTION("""COMPUTED_VALUE"""),913.19)</f>
        <v>913.19</v>
      </c>
      <c r="K360" s="2">
        <f>IFERROR(__xludf.DUMMYFUNCTION("""COMPUTED_VALUE"""),913.19)</f>
        <v>913.19</v>
      </c>
    </row>
    <row r="361">
      <c r="A361" s="2">
        <f>IFERROR(__xludf.DUMMYFUNCTION("""COMPUTED_VALUE"""),1000.0)</f>
        <v>1000</v>
      </c>
      <c r="B361" s="2">
        <f>IFERROR(__xludf.DUMMYFUNCTION("""COMPUTED_VALUE"""),183716.0)</f>
        <v>183716</v>
      </c>
      <c r="C361" s="2">
        <f>IFERROR(__xludf.DUMMYFUNCTION("""COMPUTED_VALUE"""),2026.0)</f>
        <v>2026</v>
      </c>
      <c r="D361" s="2">
        <f>IFERROR(__xludf.DUMMYFUNCTION("""COMPUTED_VALUE"""),46316.0)</f>
        <v>46316</v>
      </c>
      <c r="E361" s="2" t="str">
        <f>IFERROR(__xludf.DUMMYFUNCTION("""COMPUTED_VALUE"""),"VF")</f>
        <v>VF</v>
      </c>
      <c r="F361" s="2">
        <f>IFERROR(__xludf.DUMMYFUNCTION("""COMPUTED_VALUE"""),1.0)</f>
        <v>1</v>
      </c>
      <c r="G361" s="2" t="str">
        <f>IFERROR(__xludf.DUMMYFUNCTION("""COMPUTED_VALUE"""),"PR060")</f>
        <v>PR060</v>
      </c>
      <c r="H361" s="2" t="str">
        <f>IFERROR(__xludf.DUMMYFUNCTION("""COMPUTED_VALUE"""),"VD044")</f>
        <v>VD044</v>
      </c>
      <c r="I361" s="2">
        <f>IFERROR(__xludf.DUMMYFUNCTION("""COMPUTED_VALUE"""),6.0)</f>
        <v>6</v>
      </c>
      <c r="J361" s="2">
        <f>IFERROR(__xludf.DUMMYFUNCTION("""COMPUTED_VALUE"""),1101.6)</f>
        <v>1101.6</v>
      </c>
      <c r="K361" s="2">
        <f>IFERROR(__xludf.DUMMYFUNCTION("""COMPUTED_VALUE"""),1101.6)</f>
        <v>1101.6</v>
      </c>
    </row>
    <row r="362">
      <c r="A362" s="2">
        <f>IFERROR(__xludf.DUMMYFUNCTION("""COMPUTED_VALUE"""),1000.0)</f>
        <v>1000</v>
      </c>
      <c r="B362" s="2">
        <f>IFERROR(__xludf.DUMMYFUNCTION("""COMPUTED_VALUE"""),183716.0)</f>
        <v>183716</v>
      </c>
      <c r="C362" s="2">
        <f>IFERROR(__xludf.DUMMYFUNCTION("""COMPUTED_VALUE"""),2026.0)</f>
        <v>2026</v>
      </c>
      <c r="D362" s="2">
        <f>IFERROR(__xludf.DUMMYFUNCTION("""COMPUTED_VALUE"""),46316.0)</f>
        <v>46316</v>
      </c>
      <c r="E362" s="2" t="str">
        <f>IFERROR(__xludf.DUMMYFUNCTION("""COMPUTED_VALUE"""),"VF")</f>
        <v>VF</v>
      </c>
      <c r="F362" s="2">
        <f>IFERROR(__xludf.DUMMYFUNCTION("""COMPUTED_VALUE"""),2.0)</f>
        <v>2</v>
      </c>
      <c r="G362" s="2" t="str">
        <f>IFERROR(__xludf.DUMMYFUNCTION("""COMPUTED_VALUE"""),"PR012")</f>
        <v>PR012</v>
      </c>
      <c r="H362" s="2" t="str">
        <f>IFERROR(__xludf.DUMMYFUNCTION("""COMPUTED_VALUE"""),"VD022")</f>
        <v>VD022</v>
      </c>
      <c r="I362" s="2">
        <f>IFERROR(__xludf.DUMMYFUNCTION("""COMPUTED_VALUE"""),27.0)</f>
        <v>27</v>
      </c>
      <c r="J362" s="2">
        <f>IFERROR(__xludf.DUMMYFUNCTION("""COMPUTED_VALUE"""),1333.5)</f>
        <v>1333.5</v>
      </c>
      <c r="K362" s="2">
        <f>IFERROR(__xludf.DUMMYFUNCTION("""COMPUTED_VALUE"""),1333.5)</f>
        <v>1333.5</v>
      </c>
    </row>
    <row r="363">
      <c r="A363" s="2">
        <f>IFERROR(__xludf.DUMMYFUNCTION("""COMPUTED_VALUE"""),1000.0)</f>
        <v>1000</v>
      </c>
      <c r="B363" s="2">
        <f>IFERROR(__xludf.DUMMYFUNCTION("""COMPUTED_VALUE"""),183716.0)</f>
        <v>183716</v>
      </c>
      <c r="C363" s="2">
        <f>IFERROR(__xludf.DUMMYFUNCTION("""COMPUTED_VALUE"""),2026.0)</f>
        <v>2026</v>
      </c>
      <c r="D363" s="2">
        <f>IFERROR(__xludf.DUMMYFUNCTION("""COMPUTED_VALUE"""),46315.0)</f>
        <v>46315</v>
      </c>
      <c r="E363" s="2" t="str">
        <f>IFERROR(__xludf.DUMMYFUNCTION("""COMPUTED_VALUE"""),"VF")</f>
        <v>VF</v>
      </c>
      <c r="F363" s="2">
        <f>IFERROR(__xludf.DUMMYFUNCTION("""COMPUTED_VALUE"""),3.0)</f>
        <v>3</v>
      </c>
      <c r="G363" s="2" t="str">
        <f>IFERROR(__xludf.DUMMYFUNCTION("""COMPUTED_VALUE"""),"PR009")</f>
        <v>PR009</v>
      </c>
      <c r="H363" s="2" t="str">
        <f>IFERROR(__xludf.DUMMYFUNCTION("""COMPUTED_VALUE"""),"VD019")</f>
        <v>VD019</v>
      </c>
      <c r="I363" s="2">
        <f>IFERROR(__xludf.DUMMYFUNCTION("""COMPUTED_VALUE"""),2.0)</f>
        <v>2</v>
      </c>
      <c r="J363" s="2">
        <f>IFERROR(__xludf.DUMMYFUNCTION("""COMPUTED_VALUE"""),185.8)</f>
        <v>185.8</v>
      </c>
      <c r="K363" s="2">
        <f>IFERROR(__xludf.DUMMYFUNCTION("""COMPUTED_VALUE"""),185.8)</f>
        <v>185.8</v>
      </c>
    </row>
    <row r="364">
      <c r="A364" s="2">
        <f>IFERROR(__xludf.DUMMYFUNCTION("""COMPUTED_VALUE"""),1000.0)</f>
        <v>1000</v>
      </c>
      <c r="B364" s="2">
        <f>IFERROR(__xludf.DUMMYFUNCTION("""COMPUTED_VALUE"""),183717.0)</f>
        <v>183717</v>
      </c>
      <c r="C364" s="2">
        <f>IFERROR(__xludf.DUMMYFUNCTION("""COMPUTED_VALUE"""),2026.0)</f>
        <v>2026</v>
      </c>
      <c r="D364" s="2">
        <f>IFERROR(__xludf.DUMMYFUNCTION("""COMPUTED_VALUE"""),46315.0)</f>
        <v>46315</v>
      </c>
      <c r="E364" s="2" t="str">
        <f>IFERROR(__xludf.DUMMYFUNCTION("""COMPUTED_VALUE"""),"VF")</f>
        <v>VF</v>
      </c>
      <c r="F364" s="2">
        <f>IFERROR(__xludf.DUMMYFUNCTION("""COMPUTED_VALUE"""),1.0)</f>
        <v>1</v>
      </c>
      <c r="G364" s="2" t="str">
        <f>IFERROR(__xludf.DUMMYFUNCTION("""COMPUTED_VALUE"""),"PR010")</f>
        <v>PR010</v>
      </c>
      <c r="H364" s="2" t="str">
        <f>IFERROR(__xludf.DUMMYFUNCTION("""COMPUTED_VALUE"""),"VD041")</f>
        <v>VD041</v>
      </c>
      <c r="I364" s="2">
        <f>IFERROR(__xludf.DUMMYFUNCTION("""COMPUTED_VALUE"""),5.0)</f>
        <v>5</v>
      </c>
      <c r="J364" s="2">
        <f>IFERROR(__xludf.DUMMYFUNCTION("""COMPUTED_VALUE"""),237.97)</f>
        <v>237.97</v>
      </c>
      <c r="K364" s="2">
        <f>IFERROR(__xludf.DUMMYFUNCTION("""COMPUTED_VALUE"""),237.97)</f>
        <v>237.97</v>
      </c>
    </row>
    <row r="365">
      <c r="A365" s="2">
        <f>IFERROR(__xludf.DUMMYFUNCTION("""COMPUTED_VALUE"""),1000.0)</f>
        <v>1000</v>
      </c>
      <c r="B365" s="2">
        <f>IFERROR(__xludf.DUMMYFUNCTION("""COMPUTED_VALUE"""),183718.0)</f>
        <v>183718</v>
      </c>
      <c r="C365" s="2">
        <f>IFERROR(__xludf.DUMMYFUNCTION("""COMPUTED_VALUE"""),2026.0)</f>
        <v>2026</v>
      </c>
      <c r="D365" s="2">
        <f>IFERROR(__xludf.DUMMYFUNCTION("""COMPUTED_VALUE"""),46315.0)</f>
        <v>46315</v>
      </c>
      <c r="E365" s="2" t="str">
        <f>IFERROR(__xludf.DUMMYFUNCTION("""COMPUTED_VALUE"""),"VF")</f>
        <v>VF</v>
      </c>
      <c r="F365" s="2">
        <f>IFERROR(__xludf.DUMMYFUNCTION("""COMPUTED_VALUE"""),1.0)</f>
        <v>1</v>
      </c>
      <c r="G365" s="2" t="str">
        <f>IFERROR(__xludf.DUMMYFUNCTION("""COMPUTED_VALUE"""),"PR049")</f>
        <v>PR049</v>
      </c>
      <c r="H365" s="2" t="str">
        <f>IFERROR(__xludf.DUMMYFUNCTION("""COMPUTED_VALUE"""),"VD049")</f>
        <v>VD049</v>
      </c>
      <c r="I365" s="2">
        <f>IFERROR(__xludf.DUMMYFUNCTION("""COMPUTED_VALUE"""),4.0)</f>
        <v>4</v>
      </c>
      <c r="J365" s="2">
        <f>IFERROR(__xludf.DUMMYFUNCTION("""COMPUTED_VALUE"""),143.44)</f>
        <v>143.44</v>
      </c>
      <c r="K365" s="2">
        <f>IFERROR(__xludf.DUMMYFUNCTION("""COMPUTED_VALUE"""),143.44)</f>
        <v>143.44</v>
      </c>
    </row>
    <row r="366">
      <c r="A366" s="2">
        <f>IFERROR(__xludf.DUMMYFUNCTION("""COMPUTED_VALUE"""),2000.0)</f>
        <v>2000</v>
      </c>
      <c r="B366" s="2">
        <f>IFERROR(__xludf.DUMMYFUNCTION("""COMPUTED_VALUE"""),183719.0)</f>
        <v>183719</v>
      </c>
      <c r="C366" s="2">
        <f>IFERROR(__xludf.DUMMYFUNCTION("""COMPUTED_VALUE"""),2026.0)</f>
        <v>2026</v>
      </c>
      <c r="D366" s="2">
        <f>IFERROR(__xludf.DUMMYFUNCTION("""COMPUTED_VALUE"""),46314.0)</f>
        <v>46314</v>
      </c>
      <c r="E366" s="2" t="str">
        <f>IFERROR(__xludf.DUMMYFUNCTION("""COMPUTED_VALUE"""),"VF")</f>
        <v>VF</v>
      </c>
      <c r="F366" s="2">
        <f>IFERROR(__xludf.DUMMYFUNCTION("""COMPUTED_VALUE"""),1.0)</f>
        <v>1</v>
      </c>
      <c r="G366" s="2" t="str">
        <f>IFERROR(__xludf.DUMMYFUNCTION("""COMPUTED_VALUE"""),"PR016")</f>
        <v>PR016</v>
      </c>
      <c r="H366" s="2" t="str">
        <f>IFERROR(__xludf.DUMMYFUNCTION("""COMPUTED_VALUE"""),"VD044")</f>
        <v>VD044</v>
      </c>
      <c r="I366" s="2">
        <f>IFERROR(__xludf.DUMMYFUNCTION("""COMPUTED_VALUE"""),6.0)</f>
        <v>6</v>
      </c>
      <c r="J366" s="2">
        <f>IFERROR(__xludf.DUMMYFUNCTION("""COMPUTED_VALUE"""),161.62)</f>
        <v>161.62</v>
      </c>
      <c r="K366" s="2">
        <f>IFERROR(__xludf.DUMMYFUNCTION("""COMPUTED_VALUE"""),161.62)</f>
        <v>161.62</v>
      </c>
    </row>
    <row r="367">
      <c r="A367" s="2">
        <f>IFERROR(__xludf.DUMMYFUNCTION("""COMPUTED_VALUE"""),2000.0)</f>
        <v>2000</v>
      </c>
      <c r="B367" s="2">
        <f>IFERROR(__xludf.DUMMYFUNCTION("""COMPUTED_VALUE"""),183719.0)</f>
        <v>183719</v>
      </c>
      <c r="C367" s="2">
        <f>IFERROR(__xludf.DUMMYFUNCTION("""COMPUTED_VALUE"""),2026.0)</f>
        <v>2026</v>
      </c>
      <c r="D367" s="2">
        <f>IFERROR(__xludf.DUMMYFUNCTION("""COMPUTED_VALUE"""),46314.0)</f>
        <v>46314</v>
      </c>
      <c r="E367" s="2" t="str">
        <f>IFERROR(__xludf.DUMMYFUNCTION("""COMPUTED_VALUE"""),"VF")</f>
        <v>VF</v>
      </c>
      <c r="F367" s="2">
        <f>IFERROR(__xludf.DUMMYFUNCTION("""COMPUTED_VALUE"""),2.0)</f>
        <v>2</v>
      </c>
      <c r="G367" s="2" t="str">
        <f>IFERROR(__xludf.DUMMYFUNCTION("""COMPUTED_VALUE"""),"PR008")</f>
        <v>PR008</v>
      </c>
      <c r="H367" s="2" t="str">
        <f>IFERROR(__xludf.DUMMYFUNCTION("""COMPUTED_VALUE"""),"VD033")</f>
        <v>VD033</v>
      </c>
      <c r="I367" s="2">
        <f>IFERROR(__xludf.DUMMYFUNCTION("""COMPUTED_VALUE"""),27.0)</f>
        <v>27</v>
      </c>
      <c r="J367" s="2">
        <f>IFERROR(__xludf.DUMMYFUNCTION("""COMPUTED_VALUE"""),2548.67)</f>
        <v>2548.67</v>
      </c>
      <c r="K367" s="2">
        <f>IFERROR(__xludf.DUMMYFUNCTION("""COMPUTED_VALUE"""),2548.67)</f>
        <v>2548.67</v>
      </c>
    </row>
    <row r="368">
      <c r="A368" s="2">
        <f>IFERROR(__xludf.DUMMYFUNCTION("""COMPUTED_VALUE"""),1000.0)</f>
        <v>1000</v>
      </c>
      <c r="B368" s="2">
        <f>IFERROR(__xludf.DUMMYFUNCTION("""COMPUTED_VALUE"""),183720.0)</f>
        <v>183720</v>
      </c>
      <c r="C368" s="2">
        <f>IFERROR(__xludf.DUMMYFUNCTION("""COMPUTED_VALUE"""),2026.0)</f>
        <v>2026</v>
      </c>
      <c r="D368" s="2">
        <f>IFERROR(__xludf.DUMMYFUNCTION("""COMPUTED_VALUE"""),46314.0)</f>
        <v>46314</v>
      </c>
      <c r="E368" s="2" t="str">
        <f>IFERROR(__xludf.DUMMYFUNCTION("""COMPUTED_VALUE"""),"VF")</f>
        <v>VF</v>
      </c>
      <c r="F368" s="2">
        <f>IFERROR(__xludf.DUMMYFUNCTION("""COMPUTED_VALUE"""),1.0)</f>
        <v>1</v>
      </c>
      <c r="G368" s="2" t="str">
        <f>IFERROR(__xludf.DUMMYFUNCTION("""COMPUTED_VALUE"""),"PR018")</f>
        <v>PR018</v>
      </c>
      <c r="H368" s="2" t="str">
        <f>IFERROR(__xludf.DUMMYFUNCTION("""COMPUTED_VALUE"""),"VD033")</f>
        <v>VD033</v>
      </c>
      <c r="I368" s="2">
        <f>IFERROR(__xludf.DUMMYFUNCTION("""COMPUTED_VALUE"""),1.0)</f>
        <v>1</v>
      </c>
      <c r="J368" s="2">
        <f>IFERROR(__xludf.DUMMYFUNCTION("""COMPUTED_VALUE"""),34.87)</f>
        <v>34.87</v>
      </c>
      <c r="K368" s="2">
        <f>IFERROR(__xludf.DUMMYFUNCTION("""COMPUTED_VALUE"""),34.87)</f>
        <v>34.87</v>
      </c>
    </row>
    <row r="369">
      <c r="A369" s="2">
        <f>IFERROR(__xludf.DUMMYFUNCTION("""COMPUTED_VALUE"""),2000.0)</f>
        <v>2000</v>
      </c>
      <c r="B369" s="2">
        <f>IFERROR(__xludf.DUMMYFUNCTION("""COMPUTED_VALUE"""),183720.0)</f>
        <v>183720</v>
      </c>
      <c r="C369" s="2">
        <f>IFERROR(__xludf.DUMMYFUNCTION("""COMPUTED_VALUE"""),2026.0)</f>
        <v>2026</v>
      </c>
      <c r="D369" s="2">
        <f>IFERROR(__xludf.DUMMYFUNCTION("""COMPUTED_VALUE"""),46314.0)</f>
        <v>46314</v>
      </c>
      <c r="E369" s="2" t="str">
        <f>IFERROR(__xludf.DUMMYFUNCTION("""COMPUTED_VALUE"""),"VF")</f>
        <v>VF</v>
      </c>
      <c r="F369" s="2">
        <f>IFERROR(__xludf.DUMMYFUNCTION("""COMPUTED_VALUE"""),2.0)</f>
        <v>2</v>
      </c>
      <c r="G369" s="2" t="str">
        <f>IFERROR(__xludf.DUMMYFUNCTION("""COMPUTED_VALUE"""),"PR017")</f>
        <v>PR017</v>
      </c>
      <c r="H369" s="2" t="str">
        <f>IFERROR(__xludf.DUMMYFUNCTION("""COMPUTED_VALUE"""),"VD013")</f>
        <v>VD013</v>
      </c>
      <c r="I369" s="2">
        <f>IFERROR(__xludf.DUMMYFUNCTION("""COMPUTED_VALUE"""),9.0)</f>
        <v>9</v>
      </c>
      <c r="J369" s="2">
        <f>IFERROR(__xludf.DUMMYFUNCTION("""COMPUTED_VALUE"""),293.32)</f>
        <v>293.32</v>
      </c>
      <c r="K369" s="2">
        <f>IFERROR(__xludf.DUMMYFUNCTION("""COMPUTED_VALUE"""),293.32)</f>
        <v>293.32</v>
      </c>
    </row>
    <row r="370">
      <c r="A370" s="2">
        <f>IFERROR(__xludf.DUMMYFUNCTION("""COMPUTED_VALUE"""),1000.0)</f>
        <v>1000</v>
      </c>
      <c r="B370" s="2">
        <f>IFERROR(__xludf.DUMMYFUNCTION("""COMPUTED_VALUE"""),183721.0)</f>
        <v>183721</v>
      </c>
      <c r="C370" s="2">
        <f>IFERROR(__xludf.DUMMYFUNCTION("""COMPUTED_VALUE"""),2026.0)</f>
        <v>2026</v>
      </c>
      <c r="D370" s="2">
        <f>IFERROR(__xludf.DUMMYFUNCTION("""COMPUTED_VALUE"""),46314.0)</f>
        <v>46314</v>
      </c>
      <c r="E370" s="2" t="str">
        <f>IFERROR(__xludf.DUMMYFUNCTION("""COMPUTED_VALUE"""),"VF")</f>
        <v>VF</v>
      </c>
      <c r="F370" s="2">
        <f>IFERROR(__xludf.DUMMYFUNCTION("""COMPUTED_VALUE"""),1.0)</f>
        <v>1</v>
      </c>
      <c r="G370" s="2" t="str">
        <f>IFERROR(__xludf.DUMMYFUNCTION("""COMPUTED_VALUE"""),"PR050")</f>
        <v>PR050</v>
      </c>
      <c r="H370" s="2" t="str">
        <f>IFERROR(__xludf.DUMMYFUNCTION("""COMPUTED_VALUE"""),"VD030")</f>
        <v>VD030</v>
      </c>
      <c r="I370" s="2">
        <f>IFERROR(__xludf.DUMMYFUNCTION("""COMPUTED_VALUE"""),6.0)</f>
        <v>6</v>
      </c>
      <c r="J370" s="2">
        <f>IFERROR(__xludf.DUMMYFUNCTION("""COMPUTED_VALUE"""),205.3)</f>
        <v>205.3</v>
      </c>
      <c r="K370" s="2">
        <f>IFERROR(__xludf.DUMMYFUNCTION("""COMPUTED_VALUE"""),205.3)</f>
        <v>205.3</v>
      </c>
    </row>
    <row r="371">
      <c r="A371" s="2">
        <f>IFERROR(__xludf.DUMMYFUNCTION("""COMPUTED_VALUE"""),1000.0)</f>
        <v>1000</v>
      </c>
      <c r="B371" s="2">
        <f>IFERROR(__xludf.DUMMYFUNCTION("""COMPUTED_VALUE"""),183722.0)</f>
        <v>183722</v>
      </c>
      <c r="C371" s="2">
        <f>IFERROR(__xludf.DUMMYFUNCTION("""COMPUTED_VALUE"""),2026.0)</f>
        <v>2026</v>
      </c>
      <c r="D371" s="2">
        <f>IFERROR(__xludf.DUMMYFUNCTION("""COMPUTED_VALUE"""),46314.0)</f>
        <v>46314</v>
      </c>
      <c r="E371" s="2" t="str">
        <f>IFERROR(__xludf.DUMMYFUNCTION("""COMPUTED_VALUE"""),"VF")</f>
        <v>VF</v>
      </c>
      <c r="F371" s="2">
        <f>IFERROR(__xludf.DUMMYFUNCTION("""COMPUTED_VALUE"""),1.0)</f>
        <v>1</v>
      </c>
      <c r="G371" s="2" t="str">
        <f>IFERROR(__xludf.DUMMYFUNCTION("""COMPUTED_VALUE"""),"PR018")</f>
        <v>PR018</v>
      </c>
      <c r="H371" s="2" t="str">
        <f>IFERROR(__xludf.DUMMYFUNCTION("""COMPUTED_VALUE"""),"VD040")</f>
        <v>VD040</v>
      </c>
      <c r="I371" s="2">
        <f>IFERROR(__xludf.DUMMYFUNCTION("""COMPUTED_VALUE"""),20.0)</f>
        <v>20</v>
      </c>
      <c r="J371" s="2">
        <f>IFERROR(__xludf.DUMMYFUNCTION("""COMPUTED_VALUE"""),671.16)</f>
        <v>671.16</v>
      </c>
      <c r="K371" s="2">
        <f>IFERROR(__xludf.DUMMYFUNCTION("""COMPUTED_VALUE"""),671.16)</f>
        <v>671.16</v>
      </c>
    </row>
    <row r="372">
      <c r="A372" s="2">
        <f>IFERROR(__xludf.DUMMYFUNCTION("""COMPUTED_VALUE"""),1000.0)</f>
        <v>1000</v>
      </c>
      <c r="B372" s="2">
        <f>IFERROR(__xludf.DUMMYFUNCTION("""COMPUTED_VALUE"""),183722.0)</f>
        <v>183722</v>
      </c>
      <c r="C372" s="2">
        <f>IFERROR(__xludf.DUMMYFUNCTION("""COMPUTED_VALUE"""),2026.0)</f>
        <v>2026</v>
      </c>
      <c r="D372" s="2">
        <f>IFERROR(__xludf.DUMMYFUNCTION("""COMPUTED_VALUE"""),46313.0)</f>
        <v>46313</v>
      </c>
      <c r="E372" s="2" t="str">
        <f>IFERROR(__xludf.DUMMYFUNCTION("""COMPUTED_VALUE"""),"VF")</f>
        <v>VF</v>
      </c>
      <c r="F372" s="2">
        <f>IFERROR(__xludf.DUMMYFUNCTION("""COMPUTED_VALUE"""),2.0)</f>
        <v>2</v>
      </c>
      <c r="G372" s="2" t="str">
        <f>IFERROR(__xludf.DUMMYFUNCTION("""COMPUTED_VALUE"""),"PR001")</f>
        <v>PR001</v>
      </c>
      <c r="H372" s="2" t="str">
        <f>IFERROR(__xludf.DUMMYFUNCTION("""COMPUTED_VALUE"""),"VD045")</f>
        <v>VD045</v>
      </c>
      <c r="I372" s="2">
        <f>IFERROR(__xludf.DUMMYFUNCTION("""COMPUTED_VALUE"""),9.0)</f>
        <v>9</v>
      </c>
      <c r="J372" s="2">
        <f>IFERROR(__xludf.DUMMYFUNCTION("""COMPUTED_VALUE"""),634.62)</f>
        <v>634.62</v>
      </c>
      <c r="K372" s="2">
        <f>IFERROR(__xludf.DUMMYFUNCTION("""COMPUTED_VALUE"""),634.62)</f>
        <v>634.62</v>
      </c>
    </row>
    <row r="373">
      <c r="A373" s="2">
        <f>IFERROR(__xludf.DUMMYFUNCTION("""COMPUTED_VALUE"""),1000.0)</f>
        <v>1000</v>
      </c>
      <c r="B373" s="2">
        <f>IFERROR(__xludf.DUMMYFUNCTION("""COMPUTED_VALUE"""),183723.0)</f>
        <v>183723</v>
      </c>
      <c r="C373" s="2">
        <f>IFERROR(__xludf.DUMMYFUNCTION("""COMPUTED_VALUE"""),2026.0)</f>
        <v>2026</v>
      </c>
      <c r="D373" s="2">
        <f>IFERROR(__xludf.DUMMYFUNCTION("""COMPUTED_VALUE"""),46313.0)</f>
        <v>46313</v>
      </c>
      <c r="E373" s="2" t="str">
        <f>IFERROR(__xludf.DUMMYFUNCTION("""COMPUTED_VALUE"""),"VF")</f>
        <v>VF</v>
      </c>
      <c r="F373" s="2">
        <f>IFERROR(__xludf.DUMMYFUNCTION("""COMPUTED_VALUE"""),1.0)</f>
        <v>1</v>
      </c>
      <c r="G373" s="2" t="str">
        <f>IFERROR(__xludf.DUMMYFUNCTION("""COMPUTED_VALUE"""),"PR053")</f>
        <v>PR053</v>
      </c>
      <c r="H373" s="2" t="str">
        <f>IFERROR(__xludf.DUMMYFUNCTION("""COMPUTED_VALUE"""),"VD033")</f>
        <v>VD033</v>
      </c>
      <c r="I373" s="2">
        <f>IFERROR(__xludf.DUMMYFUNCTION("""COMPUTED_VALUE"""),6.0)</f>
        <v>6</v>
      </c>
      <c r="J373" s="2">
        <f>IFERROR(__xludf.DUMMYFUNCTION("""COMPUTED_VALUE"""),314.37)</f>
        <v>314.37</v>
      </c>
      <c r="K373" s="2">
        <f>IFERROR(__xludf.DUMMYFUNCTION("""COMPUTED_VALUE"""),314.37)</f>
        <v>314.37</v>
      </c>
    </row>
    <row r="374">
      <c r="A374" s="2">
        <f>IFERROR(__xludf.DUMMYFUNCTION("""COMPUTED_VALUE"""),1000.0)</f>
        <v>1000</v>
      </c>
      <c r="B374" s="2">
        <f>IFERROR(__xludf.DUMMYFUNCTION("""COMPUTED_VALUE"""),183724.0)</f>
        <v>183724</v>
      </c>
      <c r="C374" s="2">
        <f>IFERROR(__xludf.DUMMYFUNCTION("""COMPUTED_VALUE"""),2026.0)</f>
        <v>2026</v>
      </c>
      <c r="D374" s="2">
        <f>IFERROR(__xludf.DUMMYFUNCTION("""COMPUTED_VALUE"""),46313.0)</f>
        <v>46313</v>
      </c>
      <c r="E374" s="2" t="str">
        <f>IFERROR(__xludf.DUMMYFUNCTION("""COMPUTED_VALUE"""),"VF")</f>
        <v>VF</v>
      </c>
      <c r="F374" s="2">
        <f>IFERROR(__xludf.DUMMYFUNCTION("""COMPUTED_VALUE"""),1.0)</f>
        <v>1</v>
      </c>
      <c r="G374" s="2" t="str">
        <f>IFERROR(__xludf.DUMMYFUNCTION("""COMPUTED_VALUE"""),"PR011")</f>
        <v>PR011</v>
      </c>
      <c r="H374" s="2" t="str">
        <f>IFERROR(__xludf.DUMMYFUNCTION("""COMPUTED_VALUE"""),"VD046")</f>
        <v>VD046</v>
      </c>
      <c r="I374" s="2">
        <f>IFERROR(__xludf.DUMMYFUNCTION("""COMPUTED_VALUE"""),8.0)</f>
        <v>8</v>
      </c>
      <c r="J374" s="2">
        <f>IFERROR(__xludf.DUMMYFUNCTION("""COMPUTED_VALUE"""),375.2)</f>
        <v>375.2</v>
      </c>
      <c r="K374" s="2">
        <f>IFERROR(__xludf.DUMMYFUNCTION("""COMPUTED_VALUE"""),375.2)</f>
        <v>375.2</v>
      </c>
    </row>
    <row r="375">
      <c r="A375" s="2">
        <f>IFERROR(__xludf.DUMMYFUNCTION("""COMPUTED_VALUE"""),2000.0)</f>
        <v>2000</v>
      </c>
      <c r="B375" s="2">
        <f>IFERROR(__xludf.DUMMYFUNCTION("""COMPUTED_VALUE"""),183724.0)</f>
        <v>183724</v>
      </c>
      <c r="C375" s="2">
        <f>IFERROR(__xludf.DUMMYFUNCTION("""COMPUTED_VALUE"""),2026.0)</f>
        <v>2026</v>
      </c>
      <c r="D375" s="2">
        <f>IFERROR(__xludf.DUMMYFUNCTION("""COMPUTED_VALUE"""),46313.0)</f>
        <v>46313</v>
      </c>
      <c r="E375" s="2" t="str">
        <f>IFERROR(__xludf.DUMMYFUNCTION("""COMPUTED_VALUE"""),"VF")</f>
        <v>VF</v>
      </c>
      <c r="F375" s="2">
        <f>IFERROR(__xludf.DUMMYFUNCTION("""COMPUTED_VALUE"""),2.0)</f>
        <v>2</v>
      </c>
      <c r="G375" s="2" t="str">
        <f>IFERROR(__xludf.DUMMYFUNCTION("""COMPUTED_VALUE"""),"PR036")</f>
        <v>PR036</v>
      </c>
      <c r="H375" s="2" t="str">
        <f>IFERROR(__xludf.DUMMYFUNCTION("""COMPUTED_VALUE"""),"VD044")</f>
        <v>VD044</v>
      </c>
      <c r="I375" s="2">
        <f>IFERROR(__xludf.DUMMYFUNCTION("""COMPUTED_VALUE"""),9.0)</f>
        <v>9</v>
      </c>
      <c r="J375" s="2">
        <f>IFERROR(__xludf.DUMMYFUNCTION("""COMPUTED_VALUE"""),849.92)</f>
        <v>849.92</v>
      </c>
      <c r="K375" s="2">
        <f>IFERROR(__xludf.DUMMYFUNCTION("""COMPUTED_VALUE"""),849.92)</f>
        <v>849.92</v>
      </c>
    </row>
    <row r="376">
      <c r="A376" s="2">
        <f>IFERROR(__xludf.DUMMYFUNCTION("""COMPUTED_VALUE"""),2000.0)</f>
        <v>2000</v>
      </c>
      <c r="B376" s="2">
        <f>IFERROR(__xludf.DUMMYFUNCTION("""COMPUTED_VALUE"""),183725.0)</f>
        <v>183725</v>
      </c>
      <c r="C376" s="2">
        <f>IFERROR(__xludf.DUMMYFUNCTION("""COMPUTED_VALUE"""),2026.0)</f>
        <v>2026</v>
      </c>
      <c r="D376" s="2">
        <f>IFERROR(__xludf.DUMMYFUNCTION("""COMPUTED_VALUE"""),46313.0)</f>
        <v>46313</v>
      </c>
      <c r="E376" s="2" t="str">
        <f>IFERROR(__xludf.DUMMYFUNCTION("""COMPUTED_VALUE"""),"VF")</f>
        <v>VF</v>
      </c>
      <c r="F376" s="2">
        <f>IFERROR(__xludf.DUMMYFUNCTION("""COMPUTED_VALUE"""),1.0)</f>
        <v>1</v>
      </c>
      <c r="G376" s="2" t="str">
        <f>IFERROR(__xludf.DUMMYFUNCTION("""COMPUTED_VALUE"""),"PR007")</f>
        <v>PR007</v>
      </c>
      <c r="H376" s="2" t="str">
        <f>IFERROR(__xludf.DUMMYFUNCTION("""COMPUTED_VALUE"""),"VD035")</f>
        <v>VD035</v>
      </c>
      <c r="I376" s="2">
        <f>IFERROR(__xludf.DUMMYFUNCTION("""COMPUTED_VALUE"""),8.0)</f>
        <v>8</v>
      </c>
      <c r="J376" s="2">
        <f>IFERROR(__xludf.DUMMYFUNCTION("""COMPUTED_VALUE"""),700.94)</f>
        <v>700.94</v>
      </c>
      <c r="K376" s="2">
        <f>IFERROR(__xludf.DUMMYFUNCTION("""COMPUTED_VALUE"""),700.94)</f>
        <v>700.94</v>
      </c>
    </row>
    <row r="377">
      <c r="A377" s="2">
        <f>IFERROR(__xludf.DUMMYFUNCTION("""COMPUTED_VALUE"""),1000.0)</f>
        <v>1000</v>
      </c>
      <c r="B377" s="2">
        <f>IFERROR(__xludf.DUMMYFUNCTION("""COMPUTED_VALUE"""),183725.0)</f>
        <v>183725</v>
      </c>
      <c r="C377" s="2">
        <f>IFERROR(__xludf.DUMMYFUNCTION("""COMPUTED_VALUE"""),2026.0)</f>
        <v>2026</v>
      </c>
      <c r="D377" s="2">
        <f>IFERROR(__xludf.DUMMYFUNCTION("""COMPUTED_VALUE"""),46313.0)</f>
        <v>46313</v>
      </c>
      <c r="E377" s="2" t="str">
        <f>IFERROR(__xludf.DUMMYFUNCTION("""COMPUTED_VALUE"""),"VF")</f>
        <v>VF</v>
      </c>
      <c r="F377" s="2">
        <f>IFERROR(__xludf.DUMMYFUNCTION("""COMPUTED_VALUE"""),2.0)</f>
        <v>2</v>
      </c>
      <c r="G377" s="2" t="str">
        <f>IFERROR(__xludf.DUMMYFUNCTION("""COMPUTED_VALUE"""),"PR017")</f>
        <v>PR017</v>
      </c>
      <c r="H377" s="2" t="str">
        <f>IFERROR(__xludf.DUMMYFUNCTION("""COMPUTED_VALUE"""),"VD013")</f>
        <v>VD013</v>
      </c>
      <c r="I377" s="2">
        <f>IFERROR(__xludf.DUMMYFUNCTION("""COMPUTED_VALUE"""),2.0)</f>
        <v>2</v>
      </c>
      <c r="J377" s="2">
        <f>IFERROR(__xludf.DUMMYFUNCTION("""COMPUTED_VALUE"""),62.79)</f>
        <v>62.79</v>
      </c>
      <c r="K377" s="2">
        <f>IFERROR(__xludf.DUMMYFUNCTION("""COMPUTED_VALUE"""),62.79)</f>
        <v>62.79</v>
      </c>
    </row>
    <row r="378">
      <c r="A378" s="2">
        <f>IFERROR(__xludf.DUMMYFUNCTION("""COMPUTED_VALUE"""),1000.0)</f>
        <v>1000</v>
      </c>
      <c r="B378" s="2">
        <f>IFERROR(__xludf.DUMMYFUNCTION("""COMPUTED_VALUE"""),183726.0)</f>
        <v>183726</v>
      </c>
      <c r="C378" s="2">
        <f>IFERROR(__xludf.DUMMYFUNCTION("""COMPUTED_VALUE"""),2026.0)</f>
        <v>2026</v>
      </c>
      <c r="D378" s="2">
        <f>IFERROR(__xludf.DUMMYFUNCTION("""COMPUTED_VALUE"""),46313.0)</f>
        <v>46313</v>
      </c>
      <c r="E378" s="2" t="str">
        <f>IFERROR(__xludf.DUMMYFUNCTION("""COMPUTED_VALUE"""),"VF")</f>
        <v>VF</v>
      </c>
      <c r="F378" s="2">
        <f>IFERROR(__xludf.DUMMYFUNCTION("""COMPUTED_VALUE"""),1.0)</f>
        <v>1</v>
      </c>
      <c r="G378" s="2" t="str">
        <f>IFERROR(__xludf.DUMMYFUNCTION("""COMPUTED_VALUE"""),"PR029")</f>
        <v>PR029</v>
      </c>
      <c r="H378" s="2" t="str">
        <f>IFERROR(__xludf.DUMMYFUNCTION("""COMPUTED_VALUE"""),"VD022")</f>
        <v>VD022</v>
      </c>
      <c r="I378" s="2">
        <f>IFERROR(__xludf.DUMMYFUNCTION("""COMPUTED_VALUE"""),24.0)</f>
        <v>24</v>
      </c>
      <c r="J378" s="2">
        <f>IFERROR(__xludf.DUMMYFUNCTION("""COMPUTED_VALUE"""),6364.8)</f>
        <v>6364.8</v>
      </c>
      <c r="K378" s="2">
        <f>IFERROR(__xludf.DUMMYFUNCTION("""COMPUTED_VALUE"""),6364.8)</f>
        <v>6364.8</v>
      </c>
    </row>
    <row r="379">
      <c r="A379" s="2">
        <f>IFERROR(__xludf.DUMMYFUNCTION("""COMPUTED_VALUE"""),2000.0)</f>
        <v>2000</v>
      </c>
      <c r="B379" s="2">
        <f>IFERROR(__xludf.DUMMYFUNCTION("""COMPUTED_VALUE"""),183727.0)</f>
        <v>183727</v>
      </c>
      <c r="C379" s="2">
        <f>IFERROR(__xludf.DUMMYFUNCTION("""COMPUTED_VALUE"""),2026.0)</f>
        <v>2026</v>
      </c>
      <c r="D379" s="2">
        <f>IFERROR(__xludf.DUMMYFUNCTION("""COMPUTED_VALUE"""),46313.0)</f>
        <v>46313</v>
      </c>
      <c r="E379" s="2" t="str">
        <f>IFERROR(__xludf.DUMMYFUNCTION("""COMPUTED_VALUE"""),"VF")</f>
        <v>VF</v>
      </c>
      <c r="F379" s="2">
        <f>IFERROR(__xludf.DUMMYFUNCTION("""COMPUTED_VALUE"""),1.0)</f>
        <v>1</v>
      </c>
      <c r="G379" s="2" t="str">
        <f>IFERROR(__xludf.DUMMYFUNCTION("""COMPUTED_VALUE"""),"PR049")</f>
        <v>PR049</v>
      </c>
      <c r="H379" s="2" t="str">
        <f>IFERROR(__xludf.DUMMYFUNCTION("""COMPUTED_VALUE"""),"VD046")</f>
        <v>VD046</v>
      </c>
      <c r="I379" s="2">
        <f>IFERROR(__xludf.DUMMYFUNCTION("""COMPUTED_VALUE"""),2.0)</f>
        <v>2</v>
      </c>
      <c r="J379" s="2">
        <f>IFERROR(__xludf.DUMMYFUNCTION("""COMPUTED_VALUE"""),71.72)</f>
        <v>71.72</v>
      </c>
      <c r="K379" s="2">
        <f>IFERROR(__xludf.DUMMYFUNCTION("""COMPUTED_VALUE"""),71.72)</f>
        <v>71.72</v>
      </c>
    </row>
    <row r="380">
      <c r="A380" s="2">
        <f>IFERROR(__xludf.DUMMYFUNCTION("""COMPUTED_VALUE"""),1000.0)</f>
        <v>1000</v>
      </c>
      <c r="B380" s="2">
        <f>IFERROR(__xludf.DUMMYFUNCTION("""COMPUTED_VALUE"""),183728.0)</f>
        <v>183728</v>
      </c>
      <c r="C380" s="2">
        <f>IFERROR(__xludf.DUMMYFUNCTION("""COMPUTED_VALUE"""),2026.0)</f>
        <v>2026</v>
      </c>
      <c r="D380" s="2">
        <f>IFERROR(__xludf.DUMMYFUNCTION("""COMPUTED_VALUE"""),46313.0)</f>
        <v>46313</v>
      </c>
      <c r="E380" s="2" t="str">
        <f>IFERROR(__xludf.DUMMYFUNCTION("""COMPUTED_VALUE"""),"VF")</f>
        <v>VF</v>
      </c>
      <c r="F380" s="2">
        <f>IFERROR(__xludf.DUMMYFUNCTION("""COMPUTED_VALUE"""),1.0)</f>
        <v>1</v>
      </c>
      <c r="G380" s="2" t="str">
        <f>IFERROR(__xludf.DUMMYFUNCTION("""COMPUTED_VALUE"""),"PR036")</f>
        <v>PR036</v>
      </c>
      <c r="H380" s="2" t="str">
        <f>IFERROR(__xludf.DUMMYFUNCTION("""COMPUTED_VALUE"""),"VD035")</f>
        <v>VD035</v>
      </c>
      <c r="I380" s="2">
        <f>IFERROR(__xludf.DUMMYFUNCTION("""COMPUTED_VALUE"""),18.0)</f>
        <v>18</v>
      </c>
      <c r="J380" s="2">
        <f>IFERROR(__xludf.DUMMYFUNCTION("""COMPUTED_VALUE"""),1783.98)</f>
        <v>1783.98</v>
      </c>
      <c r="K380" s="2">
        <f>IFERROR(__xludf.DUMMYFUNCTION("""COMPUTED_VALUE"""),1783.98)</f>
        <v>1783.98</v>
      </c>
    </row>
    <row r="381">
      <c r="A381" s="2">
        <f>IFERROR(__xludf.DUMMYFUNCTION("""COMPUTED_VALUE"""),1000.0)</f>
        <v>1000</v>
      </c>
      <c r="B381" s="2">
        <f>IFERROR(__xludf.DUMMYFUNCTION("""COMPUTED_VALUE"""),183729.0)</f>
        <v>183729</v>
      </c>
      <c r="C381" s="2">
        <f>IFERROR(__xludf.DUMMYFUNCTION("""COMPUTED_VALUE"""),2026.0)</f>
        <v>2026</v>
      </c>
      <c r="D381" s="2">
        <f>IFERROR(__xludf.DUMMYFUNCTION("""COMPUTED_VALUE"""),46313.0)</f>
        <v>46313</v>
      </c>
      <c r="E381" s="2" t="str">
        <f>IFERROR(__xludf.DUMMYFUNCTION("""COMPUTED_VALUE"""),"VF")</f>
        <v>VF</v>
      </c>
      <c r="F381" s="2">
        <f>IFERROR(__xludf.DUMMYFUNCTION("""COMPUTED_VALUE"""),1.0)</f>
        <v>1</v>
      </c>
      <c r="G381" s="2" t="str">
        <f>IFERROR(__xludf.DUMMYFUNCTION("""COMPUTED_VALUE"""),"PR039")</f>
        <v>PR039</v>
      </c>
      <c r="H381" s="2" t="str">
        <f>IFERROR(__xludf.DUMMYFUNCTION("""COMPUTED_VALUE"""),"VD047")</f>
        <v>VD047</v>
      </c>
      <c r="I381" s="2">
        <f>IFERROR(__xludf.DUMMYFUNCTION("""COMPUTED_VALUE"""),14.0)</f>
        <v>14</v>
      </c>
      <c r="J381" s="2">
        <f>IFERROR(__xludf.DUMMYFUNCTION("""COMPUTED_VALUE"""),2227.96)</f>
        <v>2227.96</v>
      </c>
      <c r="K381" s="2">
        <f>IFERROR(__xludf.DUMMYFUNCTION("""COMPUTED_VALUE"""),2227.96)</f>
        <v>2227.96</v>
      </c>
    </row>
    <row r="382">
      <c r="A382" s="2">
        <f>IFERROR(__xludf.DUMMYFUNCTION("""COMPUTED_VALUE"""),1000.0)</f>
        <v>1000</v>
      </c>
      <c r="B382" s="2">
        <f>IFERROR(__xludf.DUMMYFUNCTION("""COMPUTED_VALUE"""),183730.0)</f>
        <v>183730</v>
      </c>
      <c r="C382" s="2">
        <f>IFERROR(__xludf.DUMMYFUNCTION("""COMPUTED_VALUE"""),2026.0)</f>
        <v>2026</v>
      </c>
      <c r="D382" s="2">
        <f>IFERROR(__xludf.DUMMYFUNCTION("""COMPUTED_VALUE"""),46312.0)</f>
        <v>46312</v>
      </c>
      <c r="E382" s="2" t="str">
        <f>IFERROR(__xludf.DUMMYFUNCTION("""COMPUTED_VALUE"""),"VF")</f>
        <v>VF</v>
      </c>
      <c r="F382" s="2">
        <f>IFERROR(__xludf.DUMMYFUNCTION("""COMPUTED_VALUE"""),1.0)</f>
        <v>1</v>
      </c>
      <c r="G382" s="2" t="str">
        <f>IFERROR(__xludf.DUMMYFUNCTION("""COMPUTED_VALUE"""),"PR043")</f>
        <v>PR043</v>
      </c>
      <c r="H382" s="2" t="str">
        <f>IFERROR(__xludf.DUMMYFUNCTION("""COMPUTED_VALUE"""),"VD049")</f>
        <v>VD049</v>
      </c>
      <c r="I382" s="2">
        <f>IFERROR(__xludf.DUMMYFUNCTION("""COMPUTED_VALUE"""),8.0)</f>
        <v>8</v>
      </c>
      <c r="J382" s="2">
        <f>IFERROR(__xludf.DUMMYFUNCTION("""COMPUTED_VALUE"""),585.8)</f>
        <v>585.8</v>
      </c>
      <c r="K382" s="2">
        <f>IFERROR(__xludf.DUMMYFUNCTION("""COMPUTED_VALUE"""),585.8)</f>
        <v>585.8</v>
      </c>
    </row>
    <row r="383">
      <c r="A383" s="2">
        <f>IFERROR(__xludf.DUMMYFUNCTION("""COMPUTED_VALUE"""),1000.0)</f>
        <v>1000</v>
      </c>
      <c r="B383" s="2">
        <f>IFERROR(__xludf.DUMMYFUNCTION("""COMPUTED_VALUE"""),183731.0)</f>
        <v>183731</v>
      </c>
      <c r="C383" s="2">
        <f>IFERROR(__xludf.DUMMYFUNCTION("""COMPUTED_VALUE"""),2026.0)</f>
        <v>2026</v>
      </c>
      <c r="D383" s="2">
        <f>IFERROR(__xludf.DUMMYFUNCTION("""COMPUTED_VALUE"""),46312.0)</f>
        <v>46312</v>
      </c>
      <c r="E383" s="2" t="str">
        <f>IFERROR(__xludf.DUMMYFUNCTION("""COMPUTED_VALUE"""),"VF")</f>
        <v>VF</v>
      </c>
      <c r="F383" s="2">
        <f>IFERROR(__xludf.DUMMYFUNCTION("""COMPUTED_VALUE"""),1.0)</f>
        <v>1</v>
      </c>
      <c r="G383" s="2" t="str">
        <f>IFERROR(__xludf.DUMMYFUNCTION("""COMPUTED_VALUE"""),"PR039")</f>
        <v>PR039</v>
      </c>
      <c r="H383" s="2" t="str">
        <f>IFERROR(__xludf.DUMMYFUNCTION("""COMPUTED_VALUE"""),"VD036")</f>
        <v>VD036</v>
      </c>
      <c r="I383" s="2">
        <f>IFERROR(__xludf.DUMMYFUNCTION("""COMPUTED_VALUE"""),7.0)</f>
        <v>7</v>
      </c>
      <c r="J383" s="2">
        <f>IFERROR(__xludf.DUMMYFUNCTION("""COMPUTED_VALUE"""),1124.2)</f>
        <v>1124.2</v>
      </c>
      <c r="K383" s="2">
        <f>IFERROR(__xludf.DUMMYFUNCTION("""COMPUTED_VALUE"""),1124.2)</f>
        <v>1124.2</v>
      </c>
    </row>
    <row r="384">
      <c r="A384" s="2">
        <f>IFERROR(__xludf.DUMMYFUNCTION("""COMPUTED_VALUE"""),2000.0)</f>
        <v>2000</v>
      </c>
      <c r="B384" s="2">
        <f>IFERROR(__xludf.DUMMYFUNCTION("""COMPUTED_VALUE"""),183732.0)</f>
        <v>183732</v>
      </c>
      <c r="C384" s="2">
        <f>IFERROR(__xludf.DUMMYFUNCTION("""COMPUTED_VALUE"""),2026.0)</f>
        <v>2026</v>
      </c>
      <c r="D384" s="2">
        <f>IFERROR(__xludf.DUMMYFUNCTION("""COMPUTED_VALUE"""),46311.0)</f>
        <v>46311</v>
      </c>
      <c r="E384" s="2" t="str">
        <f>IFERROR(__xludf.DUMMYFUNCTION("""COMPUTED_VALUE"""),"VF")</f>
        <v>VF</v>
      </c>
      <c r="F384" s="2">
        <f>IFERROR(__xludf.DUMMYFUNCTION("""COMPUTED_VALUE"""),1.0)</f>
        <v>1</v>
      </c>
      <c r="G384" s="2" t="str">
        <f>IFERROR(__xludf.DUMMYFUNCTION("""COMPUTED_VALUE"""),"PR039")</f>
        <v>PR039</v>
      </c>
      <c r="H384" s="2" t="str">
        <f>IFERROR(__xludf.DUMMYFUNCTION("""COMPUTED_VALUE"""),"VD032")</f>
        <v>VD032</v>
      </c>
      <c r="I384" s="2">
        <f>IFERROR(__xludf.DUMMYFUNCTION("""COMPUTED_VALUE"""),2.0)</f>
        <v>2</v>
      </c>
      <c r="J384" s="2">
        <f>IFERROR(__xludf.DUMMYFUNCTION("""COMPUTED_VALUE"""),312.44)</f>
        <v>312.44</v>
      </c>
      <c r="K384" s="2">
        <f>IFERROR(__xludf.DUMMYFUNCTION("""COMPUTED_VALUE"""),312.44)</f>
        <v>312.44</v>
      </c>
    </row>
    <row r="385">
      <c r="A385" s="2">
        <f>IFERROR(__xludf.DUMMYFUNCTION("""COMPUTED_VALUE"""),1000.0)</f>
        <v>1000</v>
      </c>
      <c r="B385" s="2">
        <f>IFERROR(__xludf.DUMMYFUNCTION("""COMPUTED_VALUE"""),183732.0)</f>
        <v>183732</v>
      </c>
      <c r="C385" s="2">
        <f>IFERROR(__xludf.DUMMYFUNCTION("""COMPUTED_VALUE"""),2026.0)</f>
        <v>2026</v>
      </c>
      <c r="D385" s="2">
        <f>IFERROR(__xludf.DUMMYFUNCTION("""COMPUTED_VALUE"""),46311.0)</f>
        <v>46311</v>
      </c>
      <c r="E385" s="2" t="str">
        <f>IFERROR(__xludf.DUMMYFUNCTION("""COMPUTED_VALUE"""),"VF")</f>
        <v>VF</v>
      </c>
      <c r="F385" s="2">
        <f>IFERROR(__xludf.DUMMYFUNCTION("""COMPUTED_VALUE"""),2.0)</f>
        <v>2</v>
      </c>
      <c r="G385" s="2" t="str">
        <f>IFERROR(__xludf.DUMMYFUNCTION("""COMPUTED_VALUE"""),"PR043")</f>
        <v>PR043</v>
      </c>
      <c r="H385" s="2" t="str">
        <f>IFERROR(__xludf.DUMMYFUNCTION("""COMPUTED_VALUE"""),"VD038")</f>
        <v>VD038</v>
      </c>
      <c r="I385" s="2">
        <f>IFERROR(__xludf.DUMMYFUNCTION("""COMPUTED_VALUE"""),3.0)</f>
        <v>3</v>
      </c>
      <c r="J385" s="2">
        <f>IFERROR(__xludf.DUMMYFUNCTION("""COMPUTED_VALUE"""),221.85)</f>
        <v>221.85</v>
      </c>
      <c r="K385" s="2">
        <f>IFERROR(__xludf.DUMMYFUNCTION("""COMPUTED_VALUE"""),221.85)</f>
        <v>221.85</v>
      </c>
    </row>
    <row r="386">
      <c r="A386" s="2">
        <f>IFERROR(__xludf.DUMMYFUNCTION("""COMPUTED_VALUE"""),1000.0)</f>
        <v>1000</v>
      </c>
      <c r="B386" s="2">
        <f>IFERROR(__xludf.DUMMYFUNCTION("""COMPUTED_VALUE"""),183733.0)</f>
        <v>183733</v>
      </c>
      <c r="C386" s="2">
        <f>IFERROR(__xludf.DUMMYFUNCTION("""COMPUTED_VALUE"""),2026.0)</f>
        <v>2026</v>
      </c>
      <c r="D386" s="2">
        <f>IFERROR(__xludf.DUMMYFUNCTION("""COMPUTED_VALUE"""),46310.0)</f>
        <v>46310</v>
      </c>
      <c r="E386" s="2" t="str">
        <f>IFERROR(__xludf.DUMMYFUNCTION("""COMPUTED_VALUE"""),"VF")</f>
        <v>VF</v>
      </c>
      <c r="F386" s="2">
        <f>IFERROR(__xludf.DUMMYFUNCTION("""COMPUTED_VALUE"""),1.0)</f>
        <v>1</v>
      </c>
      <c r="G386" s="2" t="str">
        <f>IFERROR(__xludf.DUMMYFUNCTION("""COMPUTED_VALUE"""),"PR005")</f>
        <v>PR005</v>
      </c>
      <c r="H386" s="2" t="str">
        <f>IFERROR(__xludf.DUMMYFUNCTION("""COMPUTED_VALUE"""),"VD021")</f>
        <v>VD021</v>
      </c>
      <c r="I386" s="2">
        <f>IFERROR(__xludf.DUMMYFUNCTION("""COMPUTED_VALUE"""),14.0)</f>
        <v>14</v>
      </c>
      <c r="J386" s="2">
        <f>IFERROR(__xludf.DUMMYFUNCTION("""COMPUTED_VALUE"""),3893.3)</f>
        <v>3893.3</v>
      </c>
      <c r="K386" s="2">
        <f>IFERROR(__xludf.DUMMYFUNCTION("""COMPUTED_VALUE"""),3893.3)</f>
        <v>3893.3</v>
      </c>
    </row>
    <row r="387">
      <c r="A387" s="2">
        <f>IFERROR(__xludf.DUMMYFUNCTION("""COMPUTED_VALUE"""),1000.0)</f>
        <v>1000</v>
      </c>
      <c r="B387" s="2">
        <f>IFERROR(__xludf.DUMMYFUNCTION("""COMPUTED_VALUE"""),183733.0)</f>
        <v>183733</v>
      </c>
      <c r="C387" s="2">
        <f>IFERROR(__xludf.DUMMYFUNCTION("""COMPUTED_VALUE"""),2026.0)</f>
        <v>2026</v>
      </c>
      <c r="D387" s="2">
        <f>IFERROR(__xludf.DUMMYFUNCTION("""COMPUTED_VALUE"""),46310.0)</f>
        <v>46310</v>
      </c>
      <c r="E387" s="2" t="str">
        <f>IFERROR(__xludf.DUMMYFUNCTION("""COMPUTED_VALUE"""),"VF")</f>
        <v>VF</v>
      </c>
      <c r="F387" s="2">
        <f>IFERROR(__xludf.DUMMYFUNCTION("""COMPUTED_VALUE"""),2.0)</f>
        <v>2</v>
      </c>
      <c r="G387" s="2" t="str">
        <f>IFERROR(__xludf.DUMMYFUNCTION("""COMPUTED_VALUE"""),"PR012")</f>
        <v>PR012</v>
      </c>
      <c r="H387" s="2" t="str">
        <f>IFERROR(__xludf.DUMMYFUNCTION("""COMPUTED_VALUE"""),"VD047")</f>
        <v>VD047</v>
      </c>
      <c r="I387" s="2">
        <f>IFERROR(__xludf.DUMMYFUNCTION("""COMPUTED_VALUE"""),2.0)</f>
        <v>2</v>
      </c>
      <c r="J387" s="2">
        <f>IFERROR(__xludf.DUMMYFUNCTION("""COMPUTED_VALUE"""),101.71)</f>
        <v>101.71</v>
      </c>
      <c r="K387" s="2">
        <f>IFERROR(__xludf.DUMMYFUNCTION("""COMPUTED_VALUE"""),101.71)</f>
        <v>101.71</v>
      </c>
    </row>
    <row r="388">
      <c r="A388" s="2">
        <f>IFERROR(__xludf.DUMMYFUNCTION("""COMPUTED_VALUE"""),2000.0)</f>
        <v>2000</v>
      </c>
      <c r="B388" s="2">
        <f>IFERROR(__xludf.DUMMYFUNCTION("""COMPUTED_VALUE"""),183733.0)</f>
        <v>183733</v>
      </c>
      <c r="C388" s="2">
        <f>IFERROR(__xludf.DUMMYFUNCTION("""COMPUTED_VALUE"""),2026.0)</f>
        <v>2026</v>
      </c>
      <c r="D388" s="2">
        <f>IFERROR(__xludf.DUMMYFUNCTION("""COMPUTED_VALUE"""),46310.0)</f>
        <v>46310</v>
      </c>
      <c r="E388" s="2" t="str">
        <f>IFERROR(__xludf.DUMMYFUNCTION("""COMPUTED_VALUE"""),"VF")</f>
        <v>VF</v>
      </c>
      <c r="F388" s="2">
        <f>IFERROR(__xludf.DUMMYFUNCTION("""COMPUTED_VALUE"""),3.0)</f>
        <v>3</v>
      </c>
      <c r="G388" s="2" t="str">
        <f>IFERROR(__xludf.DUMMYFUNCTION("""COMPUTED_VALUE"""),"PR039")</f>
        <v>PR039</v>
      </c>
      <c r="H388" s="2" t="str">
        <f>IFERROR(__xludf.DUMMYFUNCTION("""COMPUTED_VALUE"""),"VD042")</f>
        <v>VD042</v>
      </c>
      <c r="I388" s="2">
        <f>IFERROR(__xludf.DUMMYFUNCTION("""COMPUTED_VALUE"""),2.0)</f>
        <v>2</v>
      </c>
      <c r="J388" s="2">
        <f>IFERROR(__xludf.DUMMYFUNCTION("""COMPUTED_VALUE"""),292.0)</f>
        <v>292</v>
      </c>
      <c r="K388" s="2">
        <f>IFERROR(__xludf.DUMMYFUNCTION("""COMPUTED_VALUE"""),292.0)</f>
        <v>292</v>
      </c>
    </row>
    <row r="389">
      <c r="A389" s="2">
        <f>IFERROR(__xludf.DUMMYFUNCTION("""COMPUTED_VALUE"""),2000.0)</f>
        <v>2000</v>
      </c>
      <c r="B389" s="2">
        <f>IFERROR(__xludf.DUMMYFUNCTION("""COMPUTED_VALUE"""),183734.0)</f>
        <v>183734</v>
      </c>
      <c r="C389" s="2">
        <f>IFERROR(__xludf.DUMMYFUNCTION("""COMPUTED_VALUE"""),2026.0)</f>
        <v>2026</v>
      </c>
      <c r="D389" s="2">
        <f>IFERROR(__xludf.DUMMYFUNCTION("""COMPUTED_VALUE"""),46310.0)</f>
        <v>46310</v>
      </c>
      <c r="E389" s="2" t="str">
        <f>IFERROR(__xludf.DUMMYFUNCTION("""COMPUTED_VALUE"""),"VF")</f>
        <v>VF</v>
      </c>
      <c r="F389" s="2">
        <f>IFERROR(__xludf.DUMMYFUNCTION("""COMPUTED_VALUE"""),1.0)</f>
        <v>1</v>
      </c>
      <c r="G389" s="2" t="str">
        <f>IFERROR(__xludf.DUMMYFUNCTION("""COMPUTED_VALUE"""),"PR040")</f>
        <v>PR040</v>
      </c>
      <c r="H389" s="2" t="str">
        <f>IFERROR(__xludf.DUMMYFUNCTION("""COMPUTED_VALUE"""),"VD038")</f>
        <v>VD038</v>
      </c>
      <c r="I389" s="2">
        <f>IFERROR(__xludf.DUMMYFUNCTION("""COMPUTED_VALUE"""),2.0)</f>
        <v>2</v>
      </c>
      <c r="J389" s="2">
        <f>IFERROR(__xludf.DUMMYFUNCTION("""COMPUTED_VALUE"""),145.6)</f>
        <v>145.6</v>
      </c>
      <c r="K389" s="2">
        <f>IFERROR(__xludf.DUMMYFUNCTION("""COMPUTED_VALUE"""),145.6)</f>
        <v>145.6</v>
      </c>
    </row>
    <row r="390">
      <c r="A390" s="2">
        <f>IFERROR(__xludf.DUMMYFUNCTION("""COMPUTED_VALUE"""),1000.0)</f>
        <v>1000</v>
      </c>
      <c r="B390" s="2">
        <f>IFERROR(__xludf.DUMMYFUNCTION("""COMPUTED_VALUE"""),183735.0)</f>
        <v>183735</v>
      </c>
      <c r="C390" s="2">
        <f>IFERROR(__xludf.DUMMYFUNCTION("""COMPUTED_VALUE"""),2026.0)</f>
        <v>2026</v>
      </c>
      <c r="D390" s="2">
        <f>IFERROR(__xludf.DUMMYFUNCTION("""COMPUTED_VALUE"""),46309.0)</f>
        <v>46309</v>
      </c>
      <c r="E390" s="2" t="str">
        <f>IFERROR(__xludf.DUMMYFUNCTION("""COMPUTED_VALUE"""),"VF")</f>
        <v>VF</v>
      </c>
      <c r="F390" s="2">
        <f>IFERROR(__xludf.DUMMYFUNCTION("""COMPUTED_VALUE"""),1.0)</f>
        <v>1</v>
      </c>
      <c r="G390" s="2" t="str">
        <f>IFERROR(__xludf.DUMMYFUNCTION("""COMPUTED_VALUE"""),"PR053")</f>
        <v>PR053</v>
      </c>
      <c r="H390" s="2" t="str">
        <f>IFERROR(__xludf.DUMMYFUNCTION("""COMPUTED_VALUE"""),"VD031")</f>
        <v>VD031</v>
      </c>
      <c r="I390" s="2">
        <f>IFERROR(__xludf.DUMMYFUNCTION("""COMPUTED_VALUE"""),10.0)</f>
        <v>10</v>
      </c>
      <c r="J390" s="2">
        <f>IFERROR(__xludf.DUMMYFUNCTION("""COMPUTED_VALUE"""),523.95)</f>
        <v>523.95</v>
      </c>
      <c r="K390" s="2">
        <f>IFERROR(__xludf.DUMMYFUNCTION("""COMPUTED_VALUE"""),523.95)</f>
        <v>523.95</v>
      </c>
    </row>
    <row r="391">
      <c r="A391" s="2">
        <f>IFERROR(__xludf.DUMMYFUNCTION("""COMPUTED_VALUE"""),1000.0)</f>
        <v>1000</v>
      </c>
      <c r="B391" s="2">
        <f>IFERROR(__xludf.DUMMYFUNCTION("""COMPUTED_VALUE"""),183736.0)</f>
        <v>183736</v>
      </c>
      <c r="C391" s="2">
        <f>IFERROR(__xludf.DUMMYFUNCTION("""COMPUTED_VALUE"""),2026.0)</f>
        <v>2026</v>
      </c>
      <c r="D391" s="2">
        <f>IFERROR(__xludf.DUMMYFUNCTION("""COMPUTED_VALUE"""),46309.0)</f>
        <v>46309</v>
      </c>
      <c r="E391" s="2" t="str">
        <f>IFERROR(__xludf.DUMMYFUNCTION("""COMPUTED_VALUE"""),"VF")</f>
        <v>VF</v>
      </c>
      <c r="F391" s="2">
        <f>IFERROR(__xludf.DUMMYFUNCTION("""COMPUTED_VALUE"""),1.0)</f>
        <v>1</v>
      </c>
      <c r="G391" s="2" t="str">
        <f>IFERROR(__xludf.DUMMYFUNCTION("""COMPUTED_VALUE"""),"PR033")</f>
        <v>PR033</v>
      </c>
      <c r="H391" s="2" t="str">
        <f>IFERROR(__xludf.DUMMYFUNCTION("""COMPUTED_VALUE"""),"VD030")</f>
        <v>VD030</v>
      </c>
      <c r="I391" s="2">
        <f>IFERROR(__xludf.DUMMYFUNCTION("""COMPUTED_VALUE"""),10.0)</f>
        <v>10</v>
      </c>
      <c r="J391" s="2">
        <f>IFERROR(__xludf.DUMMYFUNCTION("""COMPUTED_VALUE"""),2858.9)</f>
        <v>2858.9</v>
      </c>
      <c r="K391" s="2">
        <f>IFERROR(__xludf.DUMMYFUNCTION("""COMPUTED_VALUE"""),2858.9)</f>
        <v>2858.9</v>
      </c>
    </row>
    <row r="392">
      <c r="A392" s="2">
        <f>IFERROR(__xludf.DUMMYFUNCTION("""COMPUTED_VALUE"""),2000.0)</f>
        <v>2000</v>
      </c>
      <c r="B392" s="2">
        <f>IFERROR(__xludf.DUMMYFUNCTION("""COMPUTED_VALUE"""),183736.0)</f>
        <v>183736</v>
      </c>
      <c r="C392" s="2">
        <f>IFERROR(__xludf.DUMMYFUNCTION("""COMPUTED_VALUE"""),2026.0)</f>
        <v>2026</v>
      </c>
      <c r="D392" s="2">
        <f>IFERROR(__xludf.DUMMYFUNCTION("""COMPUTED_VALUE"""),46309.0)</f>
        <v>46309</v>
      </c>
      <c r="E392" s="2" t="str">
        <f>IFERROR(__xludf.DUMMYFUNCTION("""COMPUTED_VALUE"""),"VF")</f>
        <v>VF</v>
      </c>
      <c r="F392" s="2">
        <f>IFERROR(__xludf.DUMMYFUNCTION("""COMPUTED_VALUE"""),2.0)</f>
        <v>2</v>
      </c>
      <c r="G392" s="2" t="str">
        <f>IFERROR(__xludf.DUMMYFUNCTION("""COMPUTED_VALUE"""),"PR045")</f>
        <v>PR045</v>
      </c>
      <c r="H392" s="2" t="str">
        <f>IFERROR(__xludf.DUMMYFUNCTION("""COMPUTED_VALUE"""),"VD026")</f>
        <v>VD026</v>
      </c>
      <c r="I392" s="2">
        <f>IFERROR(__xludf.DUMMYFUNCTION("""COMPUTED_VALUE"""),12.0)</f>
        <v>12</v>
      </c>
      <c r="J392" s="2">
        <f>IFERROR(__xludf.DUMMYFUNCTION("""COMPUTED_VALUE"""),913.5)</f>
        <v>913.5</v>
      </c>
      <c r="K392" s="2">
        <f>IFERROR(__xludf.DUMMYFUNCTION("""COMPUTED_VALUE"""),913.5)</f>
        <v>913.5</v>
      </c>
    </row>
    <row r="393">
      <c r="A393" s="2">
        <f>IFERROR(__xludf.DUMMYFUNCTION("""COMPUTED_VALUE"""),2000.0)</f>
        <v>2000</v>
      </c>
      <c r="B393" s="2">
        <f>IFERROR(__xludf.DUMMYFUNCTION("""COMPUTED_VALUE"""),183737.0)</f>
        <v>183737</v>
      </c>
      <c r="C393" s="2">
        <f>IFERROR(__xludf.DUMMYFUNCTION("""COMPUTED_VALUE"""),2026.0)</f>
        <v>2026</v>
      </c>
      <c r="D393" s="2">
        <f>IFERROR(__xludf.DUMMYFUNCTION("""COMPUTED_VALUE"""),46309.0)</f>
        <v>46309</v>
      </c>
      <c r="E393" s="2" t="str">
        <f>IFERROR(__xludf.DUMMYFUNCTION("""COMPUTED_VALUE"""),"VF")</f>
        <v>VF</v>
      </c>
      <c r="F393" s="2">
        <f>IFERROR(__xludf.DUMMYFUNCTION("""COMPUTED_VALUE"""),1.0)</f>
        <v>1</v>
      </c>
      <c r="G393" s="2" t="str">
        <f>IFERROR(__xludf.DUMMYFUNCTION("""COMPUTED_VALUE"""),"PR012")</f>
        <v>PR012</v>
      </c>
      <c r="H393" s="2" t="str">
        <f>IFERROR(__xludf.DUMMYFUNCTION("""COMPUTED_VALUE"""),"VD042")</f>
        <v>VD042</v>
      </c>
      <c r="I393" s="2">
        <f>IFERROR(__xludf.DUMMYFUNCTION("""COMPUTED_VALUE"""),10.0)</f>
        <v>10</v>
      </c>
      <c r="J393" s="2">
        <f>IFERROR(__xludf.DUMMYFUNCTION("""COMPUTED_VALUE"""),498.78)</f>
        <v>498.78</v>
      </c>
      <c r="K393" s="2">
        <f>IFERROR(__xludf.DUMMYFUNCTION("""COMPUTED_VALUE"""),498.78)</f>
        <v>498.78</v>
      </c>
    </row>
    <row r="394">
      <c r="A394" s="2">
        <f>IFERROR(__xludf.DUMMYFUNCTION("""COMPUTED_VALUE"""),1000.0)</f>
        <v>1000</v>
      </c>
      <c r="B394" s="2">
        <f>IFERROR(__xludf.DUMMYFUNCTION("""COMPUTED_VALUE"""),183738.0)</f>
        <v>183738</v>
      </c>
      <c r="C394" s="2">
        <f>IFERROR(__xludf.DUMMYFUNCTION("""COMPUTED_VALUE"""),2026.0)</f>
        <v>2026</v>
      </c>
      <c r="D394" s="2">
        <f>IFERROR(__xludf.DUMMYFUNCTION("""COMPUTED_VALUE"""),46308.0)</f>
        <v>46308</v>
      </c>
      <c r="E394" s="2" t="str">
        <f>IFERROR(__xludf.DUMMYFUNCTION("""COMPUTED_VALUE"""),"VF")</f>
        <v>VF</v>
      </c>
      <c r="F394" s="2">
        <f>IFERROR(__xludf.DUMMYFUNCTION("""COMPUTED_VALUE"""),1.0)</f>
        <v>1</v>
      </c>
      <c r="G394" s="2" t="str">
        <f>IFERROR(__xludf.DUMMYFUNCTION("""COMPUTED_VALUE"""),"PR002")</f>
        <v>PR002</v>
      </c>
      <c r="H394" s="2" t="str">
        <f>IFERROR(__xludf.DUMMYFUNCTION("""COMPUTED_VALUE"""),"VD037")</f>
        <v>VD037</v>
      </c>
      <c r="I394" s="2">
        <f>IFERROR(__xludf.DUMMYFUNCTION("""COMPUTED_VALUE"""),3.0)</f>
        <v>3</v>
      </c>
      <c r="J394" s="2">
        <f>IFERROR(__xludf.DUMMYFUNCTION("""COMPUTED_VALUE"""),215.99)</f>
        <v>215.99</v>
      </c>
      <c r="K394" s="2">
        <f>IFERROR(__xludf.DUMMYFUNCTION("""COMPUTED_VALUE"""),215.99)</f>
        <v>215.99</v>
      </c>
    </row>
    <row r="395">
      <c r="A395" s="2">
        <f>IFERROR(__xludf.DUMMYFUNCTION("""COMPUTED_VALUE"""),1000.0)</f>
        <v>1000</v>
      </c>
      <c r="B395" s="2">
        <f>IFERROR(__xludf.DUMMYFUNCTION("""COMPUTED_VALUE"""),183739.0)</f>
        <v>183739</v>
      </c>
      <c r="C395" s="2">
        <f>IFERROR(__xludf.DUMMYFUNCTION("""COMPUTED_VALUE"""),2026.0)</f>
        <v>2026</v>
      </c>
      <c r="D395" s="2">
        <f>IFERROR(__xludf.DUMMYFUNCTION("""COMPUTED_VALUE"""),46308.0)</f>
        <v>46308</v>
      </c>
      <c r="E395" s="2" t="str">
        <f>IFERROR(__xludf.DUMMYFUNCTION("""COMPUTED_VALUE"""),"VF")</f>
        <v>VF</v>
      </c>
      <c r="F395" s="2">
        <f>IFERROR(__xludf.DUMMYFUNCTION("""COMPUTED_VALUE"""),1.0)</f>
        <v>1</v>
      </c>
      <c r="G395" s="2" t="str">
        <f>IFERROR(__xludf.DUMMYFUNCTION("""COMPUTED_VALUE"""),"PR024")</f>
        <v>PR024</v>
      </c>
      <c r="H395" s="2" t="str">
        <f>IFERROR(__xludf.DUMMYFUNCTION("""COMPUTED_VALUE"""),"VD023")</f>
        <v>VD023</v>
      </c>
      <c r="I395" s="2">
        <f>IFERROR(__xludf.DUMMYFUNCTION("""COMPUTED_VALUE"""),9.0)</f>
        <v>9</v>
      </c>
      <c r="J395" s="2">
        <f>IFERROR(__xludf.DUMMYFUNCTION("""COMPUTED_VALUE"""),2549.62)</f>
        <v>2549.62</v>
      </c>
      <c r="K395" s="2">
        <f>IFERROR(__xludf.DUMMYFUNCTION("""COMPUTED_VALUE"""),2549.62)</f>
        <v>2549.62</v>
      </c>
    </row>
    <row r="396">
      <c r="A396" s="2">
        <f>IFERROR(__xludf.DUMMYFUNCTION("""COMPUTED_VALUE"""),1000.0)</f>
        <v>1000</v>
      </c>
      <c r="B396" s="2">
        <f>IFERROR(__xludf.DUMMYFUNCTION("""COMPUTED_VALUE"""),183740.0)</f>
        <v>183740</v>
      </c>
      <c r="C396" s="2">
        <f>IFERROR(__xludf.DUMMYFUNCTION("""COMPUTED_VALUE"""),2026.0)</f>
        <v>2026</v>
      </c>
      <c r="D396" s="2">
        <f>IFERROR(__xludf.DUMMYFUNCTION("""COMPUTED_VALUE"""),46308.0)</f>
        <v>46308</v>
      </c>
      <c r="E396" s="2" t="str">
        <f>IFERROR(__xludf.DUMMYFUNCTION("""COMPUTED_VALUE"""),"VF")</f>
        <v>VF</v>
      </c>
      <c r="F396" s="2">
        <f>IFERROR(__xludf.DUMMYFUNCTION("""COMPUTED_VALUE"""),1.0)</f>
        <v>1</v>
      </c>
      <c r="G396" s="2" t="str">
        <f>IFERROR(__xludf.DUMMYFUNCTION("""COMPUTED_VALUE"""),"PR039")</f>
        <v>PR039</v>
      </c>
      <c r="H396" s="2" t="str">
        <f>IFERROR(__xludf.DUMMYFUNCTION("""COMPUTED_VALUE"""),"VD028")</f>
        <v>VD028</v>
      </c>
      <c r="I396" s="2">
        <f>IFERROR(__xludf.DUMMYFUNCTION("""COMPUTED_VALUE"""),4.0)</f>
        <v>4</v>
      </c>
      <c r="J396" s="2">
        <f>IFERROR(__xludf.DUMMYFUNCTION("""COMPUTED_VALUE"""),601.52)</f>
        <v>601.52</v>
      </c>
      <c r="K396" s="2">
        <f>IFERROR(__xludf.DUMMYFUNCTION("""COMPUTED_VALUE"""),601.52)</f>
        <v>601.52</v>
      </c>
    </row>
    <row r="397">
      <c r="A397" s="2">
        <f>IFERROR(__xludf.DUMMYFUNCTION("""COMPUTED_VALUE"""),1000.0)</f>
        <v>1000</v>
      </c>
      <c r="B397" s="2">
        <f>IFERROR(__xludf.DUMMYFUNCTION("""COMPUTED_VALUE"""),183741.0)</f>
        <v>183741</v>
      </c>
      <c r="C397" s="2">
        <f>IFERROR(__xludf.DUMMYFUNCTION("""COMPUTED_VALUE"""),2026.0)</f>
        <v>2026</v>
      </c>
      <c r="D397" s="2">
        <f>IFERROR(__xludf.DUMMYFUNCTION("""COMPUTED_VALUE"""),46308.0)</f>
        <v>46308</v>
      </c>
      <c r="E397" s="2" t="str">
        <f>IFERROR(__xludf.DUMMYFUNCTION("""COMPUTED_VALUE"""),"VF")</f>
        <v>VF</v>
      </c>
      <c r="F397" s="2">
        <f>IFERROR(__xludf.DUMMYFUNCTION("""COMPUTED_VALUE"""),1.0)</f>
        <v>1</v>
      </c>
      <c r="G397" s="2" t="str">
        <f>IFERROR(__xludf.DUMMYFUNCTION("""COMPUTED_VALUE"""),"PR058")</f>
        <v>PR058</v>
      </c>
      <c r="H397" s="2" t="str">
        <f>IFERROR(__xludf.DUMMYFUNCTION("""COMPUTED_VALUE"""),"VD028")</f>
        <v>VD028</v>
      </c>
      <c r="I397" s="2">
        <f>IFERROR(__xludf.DUMMYFUNCTION("""COMPUTED_VALUE"""),3.0)</f>
        <v>3</v>
      </c>
      <c r="J397" s="2">
        <f>IFERROR(__xludf.DUMMYFUNCTION("""COMPUTED_VALUE"""),594.0)</f>
        <v>594</v>
      </c>
      <c r="K397" s="2">
        <f>IFERROR(__xludf.DUMMYFUNCTION("""COMPUTED_VALUE"""),594.0)</f>
        <v>594</v>
      </c>
    </row>
    <row r="398">
      <c r="A398" s="2">
        <f>IFERROR(__xludf.DUMMYFUNCTION("""COMPUTED_VALUE"""),1000.0)</f>
        <v>1000</v>
      </c>
      <c r="B398" s="2">
        <f>IFERROR(__xludf.DUMMYFUNCTION("""COMPUTED_VALUE"""),183742.0)</f>
        <v>183742</v>
      </c>
      <c r="C398" s="2">
        <f>IFERROR(__xludf.DUMMYFUNCTION("""COMPUTED_VALUE"""),2026.0)</f>
        <v>2026</v>
      </c>
      <c r="D398" s="2">
        <f>IFERROR(__xludf.DUMMYFUNCTION("""COMPUTED_VALUE"""),46307.0)</f>
        <v>46307</v>
      </c>
      <c r="E398" s="2" t="str">
        <f>IFERROR(__xludf.DUMMYFUNCTION("""COMPUTED_VALUE"""),"VF")</f>
        <v>VF</v>
      </c>
      <c r="F398" s="2">
        <f>IFERROR(__xludf.DUMMYFUNCTION("""COMPUTED_VALUE"""),1.0)</f>
        <v>1</v>
      </c>
      <c r="G398" s="2" t="str">
        <f>IFERROR(__xludf.DUMMYFUNCTION("""COMPUTED_VALUE"""),"PR027")</f>
        <v>PR027</v>
      </c>
      <c r="H398" s="2" t="str">
        <f>IFERROR(__xludf.DUMMYFUNCTION("""COMPUTED_VALUE"""),"VD040")</f>
        <v>VD040</v>
      </c>
      <c r="I398" s="2">
        <f>IFERROR(__xludf.DUMMYFUNCTION("""COMPUTED_VALUE"""),14.0)</f>
        <v>14</v>
      </c>
      <c r="J398" s="2">
        <f>IFERROR(__xludf.DUMMYFUNCTION("""COMPUTED_VALUE"""),1730.4)</f>
        <v>1730.4</v>
      </c>
      <c r="K398" s="2">
        <f>IFERROR(__xludf.DUMMYFUNCTION("""COMPUTED_VALUE"""),1730.4)</f>
        <v>1730.4</v>
      </c>
    </row>
    <row r="399">
      <c r="A399" s="2">
        <f>IFERROR(__xludf.DUMMYFUNCTION("""COMPUTED_VALUE"""),1000.0)</f>
        <v>1000</v>
      </c>
      <c r="B399" s="2">
        <f>IFERROR(__xludf.DUMMYFUNCTION("""COMPUTED_VALUE"""),183743.0)</f>
        <v>183743</v>
      </c>
      <c r="C399" s="2">
        <f>IFERROR(__xludf.DUMMYFUNCTION("""COMPUTED_VALUE"""),2026.0)</f>
        <v>2026</v>
      </c>
      <c r="D399" s="2">
        <f>IFERROR(__xludf.DUMMYFUNCTION("""COMPUTED_VALUE"""),46307.0)</f>
        <v>46307</v>
      </c>
      <c r="E399" s="2" t="str">
        <f>IFERROR(__xludf.DUMMYFUNCTION("""COMPUTED_VALUE"""),"VF")</f>
        <v>VF</v>
      </c>
      <c r="F399" s="2">
        <f>IFERROR(__xludf.DUMMYFUNCTION("""COMPUTED_VALUE"""),1.0)</f>
        <v>1</v>
      </c>
      <c r="G399" s="2" t="str">
        <f>IFERROR(__xludf.DUMMYFUNCTION("""COMPUTED_VALUE"""),"PR003")</f>
        <v>PR003</v>
      </c>
      <c r="H399" s="2" t="str">
        <f>IFERROR(__xludf.DUMMYFUNCTION("""COMPUTED_VALUE"""),"VD029")</f>
        <v>VD029</v>
      </c>
      <c r="I399" s="2">
        <f>IFERROR(__xludf.DUMMYFUNCTION("""COMPUTED_VALUE"""),24.0)</f>
        <v>24</v>
      </c>
      <c r="J399" s="2">
        <f>IFERROR(__xludf.DUMMYFUNCTION("""COMPUTED_VALUE"""),1769.66)</f>
        <v>1769.66</v>
      </c>
      <c r="K399" s="2">
        <f>IFERROR(__xludf.DUMMYFUNCTION("""COMPUTED_VALUE"""),1769.66)</f>
        <v>1769.66</v>
      </c>
    </row>
    <row r="400">
      <c r="A400" s="2">
        <f>IFERROR(__xludf.DUMMYFUNCTION("""COMPUTED_VALUE"""),1000.0)</f>
        <v>1000</v>
      </c>
      <c r="B400" s="2">
        <f>IFERROR(__xludf.DUMMYFUNCTION("""COMPUTED_VALUE"""),183744.0)</f>
        <v>183744</v>
      </c>
      <c r="C400" s="2">
        <f>IFERROR(__xludf.DUMMYFUNCTION("""COMPUTED_VALUE"""),2026.0)</f>
        <v>2026</v>
      </c>
      <c r="D400" s="2">
        <f>IFERROR(__xludf.DUMMYFUNCTION("""COMPUTED_VALUE"""),46307.0)</f>
        <v>46307</v>
      </c>
      <c r="E400" s="2" t="str">
        <f>IFERROR(__xludf.DUMMYFUNCTION("""COMPUTED_VALUE"""),"VF")</f>
        <v>VF</v>
      </c>
      <c r="F400" s="2">
        <f>IFERROR(__xludf.DUMMYFUNCTION("""COMPUTED_VALUE"""),1.0)</f>
        <v>1</v>
      </c>
      <c r="G400" s="2" t="str">
        <f>IFERROR(__xludf.DUMMYFUNCTION("""COMPUTED_VALUE"""),"PR032")</f>
        <v>PR032</v>
      </c>
      <c r="H400" s="2" t="str">
        <f>IFERROR(__xludf.DUMMYFUNCTION("""COMPUTED_VALUE"""),"VD016")</f>
        <v>VD016</v>
      </c>
      <c r="I400" s="2">
        <f>IFERROR(__xludf.DUMMYFUNCTION("""COMPUTED_VALUE"""),4.0)</f>
        <v>4</v>
      </c>
      <c r="J400" s="2">
        <f>IFERROR(__xludf.DUMMYFUNCTION("""COMPUTED_VALUE"""),1060.0)</f>
        <v>1060</v>
      </c>
      <c r="K400" s="2">
        <f>IFERROR(__xludf.DUMMYFUNCTION("""COMPUTED_VALUE"""),1060.0)</f>
        <v>1060</v>
      </c>
    </row>
    <row r="401">
      <c r="A401" s="2">
        <f>IFERROR(__xludf.DUMMYFUNCTION("""COMPUTED_VALUE"""),2000.0)</f>
        <v>2000</v>
      </c>
      <c r="B401" s="2">
        <f>IFERROR(__xludf.DUMMYFUNCTION("""COMPUTED_VALUE"""),183745.0)</f>
        <v>183745</v>
      </c>
      <c r="C401" s="2">
        <f>IFERROR(__xludf.DUMMYFUNCTION("""COMPUTED_VALUE"""),2026.0)</f>
        <v>2026</v>
      </c>
      <c r="D401" s="2">
        <f>IFERROR(__xludf.DUMMYFUNCTION("""COMPUTED_VALUE"""),46307.0)</f>
        <v>46307</v>
      </c>
      <c r="E401" s="2" t="str">
        <f>IFERROR(__xludf.DUMMYFUNCTION("""COMPUTED_VALUE"""),"VF")</f>
        <v>VF</v>
      </c>
      <c r="F401" s="2">
        <f>IFERROR(__xludf.DUMMYFUNCTION("""COMPUTED_VALUE"""),1.0)</f>
        <v>1</v>
      </c>
      <c r="G401" s="2" t="str">
        <f>IFERROR(__xludf.DUMMYFUNCTION("""COMPUTED_VALUE"""),"PR049")</f>
        <v>PR049</v>
      </c>
      <c r="H401" s="2" t="str">
        <f>IFERROR(__xludf.DUMMYFUNCTION("""COMPUTED_VALUE"""),"VD015")</f>
        <v>VD015</v>
      </c>
      <c r="I401" s="2">
        <f>IFERROR(__xludf.DUMMYFUNCTION("""COMPUTED_VALUE"""),12.0)</f>
        <v>12</v>
      </c>
      <c r="J401" s="2">
        <f>IFERROR(__xludf.DUMMYFUNCTION("""COMPUTED_VALUE"""),406.64)</f>
        <v>406.64</v>
      </c>
      <c r="K401" s="2">
        <f>IFERROR(__xludf.DUMMYFUNCTION("""COMPUTED_VALUE"""),406.64)</f>
        <v>406.64</v>
      </c>
    </row>
    <row r="402">
      <c r="A402" s="2">
        <f>IFERROR(__xludf.DUMMYFUNCTION("""COMPUTED_VALUE"""),1000.0)</f>
        <v>1000</v>
      </c>
      <c r="B402" s="2">
        <f>IFERROR(__xludf.DUMMYFUNCTION("""COMPUTED_VALUE"""),183746.0)</f>
        <v>183746</v>
      </c>
      <c r="C402" s="2">
        <f>IFERROR(__xludf.DUMMYFUNCTION("""COMPUTED_VALUE"""),2026.0)</f>
        <v>2026</v>
      </c>
      <c r="D402" s="2">
        <f>IFERROR(__xludf.DUMMYFUNCTION("""COMPUTED_VALUE"""),46307.0)</f>
        <v>46307</v>
      </c>
      <c r="E402" s="2" t="str">
        <f>IFERROR(__xludf.DUMMYFUNCTION("""COMPUTED_VALUE"""),"VF")</f>
        <v>VF</v>
      </c>
      <c r="F402" s="2">
        <f>IFERROR(__xludf.DUMMYFUNCTION("""COMPUTED_VALUE"""),1.0)</f>
        <v>1</v>
      </c>
      <c r="G402" s="2" t="str">
        <f>IFERROR(__xludf.DUMMYFUNCTION("""COMPUTED_VALUE"""),"PR011")</f>
        <v>PR011</v>
      </c>
      <c r="H402" s="2" t="str">
        <f>IFERROR(__xludf.DUMMYFUNCTION("""COMPUTED_VALUE"""),"VD016")</f>
        <v>VD016</v>
      </c>
      <c r="I402" s="2">
        <f>IFERROR(__xludf.DUMMYFUNCTION("""COMPUTED_VALUE"""),18.0)</f>
        <v>18</v>
      </c>
      <c r="J402" s="2">
        <f>IFERROR(__xludf.DUMMYFUNCTION("""COMPUTED_VALUE"""),903.29)</f>
        <v>903.29</v>
      </c>
      <c r="K402" s="2">
        <f>IFERROR(__xludf.DUMMYFUNCTION("""COMPUTED_VALUE"""),903.29)</f>
        <v>903.29</v>
      </c>
    </row>
    <row r="403">
      <c r="A403" s="2">
        <f>IFERROR(__xludf.DUMMYFUNCTION("""COMPUTED_VALUE"""),1000.0)</f>
        <v>1000</v>
      </c>
      <c r="B403" s="2">
        <f>IFERROR(__xludf.DUMMYFUNCTION("""COMPUTED_VALUE"""),183746.0)</f>
        <v>183746</v>
      </c>
      <c r="C403" s="2">
        <f>IFERROR(__xludf.DUMMYFUNCTION("""COMPUTED_VALUE"""),2026.0)</f>
        <v>2026</v>
      </c>
      <c r="D403" s="2">
        <f>IFERROR(__xludf.DUMMYFUNCTION("""COMPUTED_VALUE"""),46306.0)</f>
        <v>46306</v>
      </c>
      <c r="E403" s="2" t="str">
        <f>IFERROR(__xludf.DUMMYFUNCTION("""COMPUTED_VALUE"""),"VF")</f>
        <v>VF</v>
      </c>
      <c r="F403" s="2">
        <f>IFERROR(__xludf.DUMMYFUNCTION("""COMPUTED_VALUE"""),2.0)</f>
        <v>2</v>
      </c>
      <c r="G403" s="2" t="str">
        <f>IFERROR(__xludf.DUMMYFUNCTION("""COMPUTED_VALUE"""),"PR015")</f>
        <v>PR015</v>
      </c>
      <c r="H403" s="2" t="str">
        <f>IFERROR(__xludf.DUMMYFUNCTION("""COMPUTED_VALUE"""),"VD028")</f>
        <v>VD028</v>
      </c>
      <c r="I403" s="2">
        <f>IFERROR(__xludf.DUMMYFUNCTION("""COMPUTED_VALUE"""),1.0)</f>
        <v>1</v>
      </c>
      <c r="J403" s="2">
        <f>IFERROR(__xludf.DUMMYFUNCTION("""COMPUTED_VALUE"""),42.93)</f>
        <v>42.93</v>
      </c>
      <c r="K403" s="2">
        <f>IFERROR(__xludf.DUMMYFUNCTION("""COMPUTED_VALUE"""),42.93)</f>
        <v>42.93</v>
      </c>
    </row>
    <row r="404">
      <c r="A404" s="2">
        <f>IFERROR(__xludf.DUMMYFUNCTION("""COMPUTED_VALUE"""),1000.0)</f>
        <v>1000</v>
      </c>
      <c r="B404" s="2">
        <f>IFERROR(__xludf.DUMMYFUNCTION("""COMPUTED_VALUE"""),183747.0)</f>
        <v>183747</v>
      </c>
      <c r="C404" s="2">
        <f>IFERROR(__xludf.DUMMYFUNCTION("""COMPUTED_VALUE"""),2026.0)</f>
        <v>2026</v>
      </c>
      <c r="D404" s="2">
        <f>IFERROR(__xludf.DUMMYFUNCTION("""COMPUTED_VALUE"""),46306.0)</f>
        <v>46306</v>
      </c>
      <c r="E404" s="2" t="str">
        <f>IFERROR(__xludf.DUMMYFUNCTION("""COMPUTED_VALUE"""),"VF")</f>
        <v>VF</v>
      </c>
      <c r="F404" s="2">
        <f>IFERROR(__xludf.DUMMYFUNCTION("""COMPUTED_VALUE"""),1.0)</f>
        <v>1</v>
      </c>
      <c r="G404" s="2" t="str">
        <f>IFERROR(__xludf.DUMMYFUNCTION("""COMPUTED_VALUE"""),"PR025")</f>
        <v>PR025</v>
      </c>
      <c r="H404" s="2" t="str">
        <f>IFERROR(__xludf.DUMMYFUNCTION("""COMPUTED_VALUE"""),"VD025")</f>
        <v>VD025</v>
      </c>
      <c r="I404" s="2">
        <f>IFERROR(__xludf.DUMMYFUNCTION("""COMPUTED_VALUE"""),16.0)</f>
        <v>16</v>
      </c>
      <c r="J404" s="2">
        <f>IFERROR(__xludf.DUMMYFUNCTION("""COMPUTED_VALUE"""),4942.35)</f>
        <v>4942.35</v>
      </c>
      <c r="K404" s="2">
        <f>IFERROR(__xludf.DUMMYFUNCTION("""COMPUTED_VALUE"""),4942.35)</f>
        <v>4942.35</v>
      </c>
    </row>
    <row r="405">
      <c r="A405" s="2">
        <f>IFERROR(__xludf.DUMMYFUNCTION("""COMPUTED_VALUE"""),2000.0)</f>
        <v>2000</v>
      </c>
      <c r="B405" s="2">
        <f>IFERROR(__xludf.DUMMYFUNCTION("""COMPUTED_VALUE"""),183748.0)</f>
        <v>183748</v>
      </c>
      <c r="C405" s="2">
        <f>IFERROR(__xludf.DUMMYFUNCTION("""COMPUTED_VALUE"""),2026.0)</f>
        <v>2026</v>
      </c>
      <c r="D405" s="2">
        <f>IFERROR(__xludf.DUMMYFUNCTION("""COMPUTED_VALUE"""),46306.0)</f>
        <v>46306</v>
      </c>
      <c r="E405" s="2" t="str">
        <f>IFERROR(__xludf.DUMMYFUNCTION("""COMPUTED_VALUE"""),"VF")</f>
        <v>VF</v>
      </c>
      <c r="F405" s="2">
        <f>IFERROR(__xludf.DUMMYFUNCTION("""COMPUTED_VALUE"""),1.0)</f>
        <v>1</v>
      </c>
      <c r="G405" s="2" t="str">
        <f>IFERROR(__xludf.DUMMYFUNCTION("""COMPUTED_VALUE"""),"PR023")</f>
        <v>PR023</v>
      </c>
      <c r="H405" s="2" t="str">
        <f>IFERROR(__xludf.DUMMYFUNCTION("""COMPUTED_VALUE"""),"VD047")</f>
        <v>VD047</v>
      </c>
      <c r="I405" s="2">
        <f>IFERROR(__xludf.DUMMYFUNCTION("""COMPUTED_VALUE"""),2.0)</f>
        <v>2</v>
      </c>
      <c r="J405" s="2">
        <f>IFERROR(__xludf.DUMMYFUNCTION("""COMPUTED_VALUE"""),539.78)</f>
        <v>539.78</v>
      </c>
      <c r="K405" s="2">
        <f>IFERROR(__xludf.DUMMYFUNCTION("""COMPUTED_VALUE"""),539.78)</f>
        <v>539.78</v>
      </c>
    </row>
    <row r="406">
      <c r="A406" s="2">
        <f>IFERROR(__xludf.DUMMYFUNCTION("""COMPUTED_VALUE"""),1000.0)</f>
        <v>1000</v>
      </c>
      <c r="B406" s="2">
        <f>IFERROR(__xludf.DUMMYFUNCTION("""COMPUTED_VALUE"""),183748.0)</f>
        <v>183748</v>
      </c>
      <c r="C406" s="2">
        <f>IFERROR(__xludf.DUMMYFUNCTION("""COMPUTED_VALUE"""),2026.0)</f>
        <v>2026</v>
      </c>
      <c r="D406" s="2">
        <f>IFERROR(__xludf.DUMMYFUNCTION("""COMPUTED_VALUE"""),46306.0)</f>
        <v>46306</v>
      </c>
      <c r="E406" s="2" t="str">
        <f>IFERROR(__xludf.DUMMYFUNCTION("""COMPUTED_VALUE"""),"VF")</f>
        <v>VF</v>
      </c>
      <c r="F406" s="2">
        <f>IFERROR(__xludf.DUMMYFUNCTION("""COMPUTED_VALUE"""),2.0)</f>
        <v>2</v>
      </c>
      <c r="G406" s="2" t="str">
        <f>IFERROR(__xludf.DUMMYFUNCTION("""COMPUTED_VALUE"""),"PR031")</f>
        <v>PR031</v>
      </c>
      <c r="H406" s="2" t="str">
        <f>IFERROR(__xludf.DUMMYFUNCTION("""COMPUTED_VALUE"""),"VD035")</f>
        <v>VD035</v>
      </c>
      <c r="I406" s="2">
        <f>IFERROR(__xludf.DUMMYFUNCTION("""COMPUTED_VALUE"""),9.0)</f>
        <v>9</v>
      </c>
      <c r="J406" s="2">
        <f>IFERROR(__xludf.DUMMYFUNCTION("""COMPUTED_VALUE"""),2337.3)</f>
        <v>2337.3</v>
      </c>
      <c r="K406" s="2">
        <f>IFERROR(__xludf.DUMMYFUNCTION("""COMPUTED_VALUE"""),2337.3)</f>
        <v>2337.3</v>
      </c>
    </row>
    <row r="407">
      <c r="A407" s="2">
        <f>IFERROR(__xludf.DUMMYFUNCTION("""COMPUTED_VALUE"""),1000.0)</f>
        <v>1000</v>
      </c>
      <c r="B407" s="2">
        <f>IFERROR(__xludf.DUMMYFUNCTION("""COMPUTED_VALUE"""),183748.0)</f>
        <v>183748</v>
      </c>
      <c r="C407" s="2">
        <f>IFERROR(__xludf.DUMMYFUNCTION("""COMPUTED_VALUE"""),2026.0)</f>
        <v>2026</v>
      </c>
      <c r="D407" s="2">
        <f>IFERROR(__xludf.DUMMYFUNCTION("""COMPUTED_VALUE"""),46305.0)</f>
        <v>46305</v>
      </c>
      <c r="E407" s="2" t="str">
        <f>IFERROR(__xludf.DUMMYFUNCTION("""COMPUTED_VALUE"""),"VF")</f>
        <v>VF</v>
      </c>
      <c r="F407" s="2">
        <f>IFERROR(__xludf.DUMMYFUNCTION("""COMPUTED_VALUE"""),3.0)</f>
        <v>3</v>
      </c>
      <c r="G407" s="2" t="str">
        <f>IFERROR(__xludf.DUMMYFUNCTION("""COMPUTED_VALUE"""),"PR004")</f>
        <v>PR004</v>
      </c>
      <c r="H407" s="2" t="str">
        <f>IFERROR(__xludf.DUMMYFUNCTION("""COMPUTED_VALUE"""),"VD030")</f>
        <v>VD030</v>
      </c>
      <c r="I407" s="2">
        <f>IFERROR(__xludf.DUMMYFUNCTION("""COMPUTED_VALUE"""),5.0)</f>
        <v>5</v>
      </c>
      <c r="J407" s="2">
        <f>IFERROR(__xludf.DUMMYFUNCTION("""COMPUTED_VALUE"""),768.5)</f>
        <v>768.5</v>
      </c>
      <c r="K407" s="2">
        <f>IFERROR(__xludf.DUMMYFUNCTION("""COMPUTED_VALUE"""),768.5)</f>
        <v>768.5</v>
      </c>
    </row>
    <row r="408">
      <c r="A408" s="2">
        <f>IFERROR(__xludf.DUMMYFUNCTION("""COMPUTED_VALUE"""),1000.0)</f>
        <v>1000</v>
      </c>
      <c r="B408" s="2">
        <f>IFERROR(__xludf.DUMMYFUNCTION("""COMPUTED_VALUE"""),183749.0)</f>
        <v>183749</v>
      </c>
      <c r="C408" s="2">
        <f>IFERROR(__xludf.DUMMYFUNCTION("""COMPUTED_VALUE"""),2026.0)</f>
        <v>2026</v>
      </c>
      <c r="D408" s="2">
        <f>IFERROR(__xludf.DUMMYFUNCTION("""COMPUTED_VALUE"""),46305.0)</f>
        <v>46305</v>
      </c>
      <c r="E408" s="2" t="str">
        <f>IFERROR(__xludf.DUMMYFUNCTION("""COMPUTED_VALUE"""),"VF")</f>
        <v>VF</v>
      </c>
      <c r="F408" s="2">
        <f>IFERROR(__xludf.DUMMYFUNCTION("""COMPUTED_VALUE"""),1.0)</f>
        <v>1</v>
      </c>
      <c r="G408" s="2" t="str">
        <f>IFERROR(__xludf.DUMMYFUNCTION("""COMPUTED_VALUE"""),"PR001")</f>
        <v>PR001</v>
      </c>
      <c r="H408" s="2" t="str">
        <f>IFERROR(__xludf.DUMMYFUNCTION("""COMPUTED_VALUE"""),"VD037")</f>
        <v>VD037</v>
      </c>
      <c r="I408" s="2">
        <f>IFERROR(__xludf.DUMMYFUNCTION("""COMPUTED_VALUE"""),4.0)</f>
        <v>4</v>
      </c>
      <c r="J408" s="2">
        <f>IFERROR(__xludf.DUMMYFUNCTION("""COMPUTED_VALUE"""),263.6)</f>
        <v>263.6</v>
      </c>
      <c r="K408" s="2">
        <f>IFERROR(__xludf.DUMMYFUNCTION("""COMPUTED_VALUE"""),263.6)</f>
        <v>263.6</v>
      </c>
    </row>
    <row r="409">
      <c r="A409" s="2">
        <f>IFERROR(__xludf.DUMMYFUNCTION("""COMPUTED_VALUE"""),1000.0)</f>
        <v>1000</v>
      </c>
      <c r="B409" s="2">
        <f>IFERROR(__xludf.DUMMYFUNCTION("""COMPUTED_VALUE"""),183750.0)</f>
        <v>183750</v>
      </c>
      <c r="C409" s="2">
        <f>IFERROR(__xludf.DUMMYFUNCTION("""COMPUTED_VALUE"""),2026.0)</f>
        <v>2026</v>
      </c>
      <c r="D409" s="2">
        <f>IFERROR(__xludf.DUMMYFUNCTION("""COMPUTED_VALUE"""),46305.0)</f>
        <v>46305</v>
      </c>
      <c r="E409" s="2" t="str">
        <f>IFERROR(__xludf.DUMMYFUNCTION("""COMPUTED_VALUE"""),"VF")</f>
        <v>VF</v>
      </c>
      <c r="F409" s="2">
        <f>IFERROR(__xludf.DUMMYFUNCTION("""COMPUTED_VALUE"""),1.0)</f>
        <v>1</v>
      </c>
      <c r="G409" s="2" t="str">
        <f>IFERROR(__xludf.DUMMYFUNCTION("""COMPUTED_VALUE"""),"PR006")</f>
        <v>PR006</v>
      </c>
      <c r="H409" s="2" t="str">
        <f>IFERROR(__xludf.DUMMYFUNCTION("""COMPUTED_VALUE"""),"VD025")</f>
        <v>VD025</v>
      </c>
      <c r="I409" s="2">
        <f>IFERROR(__xludf.DUMMYFUNCTION("""COMPUTED_VALUE"""),8.0)</f>
        <v>8</v>
      </c>
      <c r="J409" s="2">
        <f>IFERROR(__xludf.DUMMYFUNCTION("""COMPUTED_VALUE"""),328.78)</f>
        <v>328.78</v>
      </c>
      <c r="K409" s="2">
        <f>IFERROR(__xludf.DUMMYFUNCTION("""COMPUTED_VALUE"""),328.78)</f>
        <v>328.78</v>
      </c>
    </row>
    <row r="410">
      <c r="A410" s="2">
        <f>IFERROR(__xludf.DUMMYFUNCTION("""COMPUTED_VALUE"""),1000.0)</f>
        <v>1000</v>
      </c>
      <c r="B410" s="2">
        <f>IFERROR(__xludf.DUMMYFUNCTION("""COMPUTED_VALUE"""),183751.0)</f>
        <v>183751</v>
      </c>
      <c r="C410" s="2">
        <f>IFERROR(__xludf.DUMMYFUNCTION("""COMPUTED_VALUE"""),2026.0)</f>
        <v>2026</v>
      </c>
      <c r="D410" s="2">
        <f>IFERROR(__xludf.DUMMYFUNCTION("""COMPUTED_VALUE"""),46305.0)</f>
        <v>46305</v>
      </c>
      <c r="E410" s="2" t="str">
        <f>IFERROR(__xludf.DUMMYFUNCTION("""COMPUTED_VALUE"""),"VF")</f>
        <v>VF</v>
      </c>
      <c r="F410" s="2">
        <f>IFERROR(__xludf.DUMMYFUNCTION("""COMPUTED_VALUE"""),1.0)</f>
        <v>1</v>
      </c>
      <c r="G410" s="2" t="str">
        <f>IFERROR(__xludf.DUMMYFUNCTION("""COMPUTED_VALUE"""),"PR019")</f>
        <v>PR019</v>
      </c>
      <c r="H410" s="2" t="str">
        <f>IFERROR(__xludf.DUMMYFUNCTION("""COMPUTED_VALUE"""),"VD030")</f>
        <v>VD030</v>
      </c>
      <c r="I410" s="2">
        <f>IFERROR(__xludf.DUMMYFUNCTION("""COMPUTED_VALUE"""),6.0)</f>
        <v>6</v>
      </c>
      <c r="J410" s="2">
        <f>IFERROR(__xludf.DUMMYFUNCTION("""COMPUTED_VALUE"""),299.4)</f>
        <v>299.4</v>
      </c>
      <c r="K410" s="2">
        <f>IFERROR(__xludf.DUMMYFUNCTION("""COMPUTED_VALUE"""),299.4)</f>
        <v>299.4</v>
      </c>
    </row>
    <row r="411">
      <c r="A411" s="2">
        <f>IFERROR(__xludf.DUMMYFUNCTION("""COMPUTED_VALUE"""),1000.0)</f>
        <v>1000</v>
      </c>
      <c r="B411" s="2">
        <f>IFERROR(__xludf.DUMMYFUNCTION("""COMPUTED_VALUE"""),183752.0)</f>
        <v>183752</v>
      </c>
      <c r="C411" s="2">
        <f>IFERROR(__xludf.DUMMYFUNCTION("""COMPUTED_VALUE"""),2026.0)</f>
        <v>2026</v>
      </c>
      <c r="D411" s="2">
        <f>IFERROR(__xludf.DUMMYFUNCTION("""COMPUTED_VALUE"""),46305.0)</f>
        <v>46305</v>
      </c>
      <c r="E411" s="2" t="str">
        <f>IFERROR(__xludf.DUMMYFUNCTION("""COMPUTED_VALUE"""),"VF")</f>
        <v>VF</v>
      </c>
      <c r="F411" s="2">
        <f>IFERROR(__xludf.DUMMYFUNCTION("""COMPUTED_VALUE"""),1.0)</f>
        <v>1</v>
      </c>
      <c r="G411" s="2" t="str">
        <f>IFERROR(__xludf.DUMMYFUNCTION("""COMPUTED_VALUE"""),"PR048")</f>
        <v>PR048</v>
      </c>
      <c r="H411" s="2" t="str">
        <f>IFERROR(__xludf.DUMMYFUNCTION("""COMPUTED_VALUE"""),"VD037")</f>
        <v>VD037</v>
      </c>
      <c r="I411" s="2">
        <f>IFERROR(__xludf.DUMMYFUNCTION("""COMPUTED_VALUE"""),6.0)</f>
        <v>6</v>
      </c>
      <c r="J411" s="2">
        <f>IFERROR(__xludf.DUMMYFUNCTION("""COMPUTED_VALUE"""),1861.16)</f>
        <v>1861.16</v>
      </c>
      <c r="K411" s="2">
        <f>IFERROR(__xludf.DUMMYFUNCTION("""COMPUTED_VALUE"""),1861.16)</f>
        <v>1861.16</v>
      </c>
    </row>
    <row r="412">
      <c r="A412" s="2">
        <f>IFERROR(__xludf.DUMMYFUNCTION("""COMPUTED_VALUE"""),2000.0)</f>
        <v>2000</v>
      </c>
      <c r="B412" s="2">
        <f>IFERROR(__xludf.DUMMYFUNCTION("""COMPUTED_VALUE"""),183753.0)</f>
        <v>183753</v>
      </c>
      <c r="C412" s="2">
        <f>IFERROR(__xludf.DUMMYFUNCTION("""COMPUTED_VALUE"""),2026.0)</f>
        <v>2026</v>
      </c>
      <c r="D412" s="2">
        <f>IFERROR(__xludf.DUMMYFUNCTION("""COMPUTED_VALUE"""),46305.0)</f>
        <v>46305</v>
      </c>
      <c r="E412" s="2" t="str">
        <f>IFERROR(__xludf.DUMMYFUNCTION("""COMPUTED_VALUE"""),"VF")</f>
        <v>VF</v>
      </c>
      <c r="F412" s="2">
        <f>IFERROR(__xludf.DUMMYFUNCTION("""COMPUTED_VALUE"""),1.0)</f>
        <v>1</v>
      </c>
      <c r="G412" s="2" t="str">
        <f>IFERROR(__xludf.DUMMYFUNCTION("""COMPUTED_VALUE"""),"PR060")</f>
        <v>PR060</v>
      </c>
      <c r="H412" s="2" t="str">
        <f>IFERROR(__xludf.DUMMYFUNCTION("""COMPUTED_VALUE"""),"VD032")</f>
        <v>VD032</v>
      </c>
      <c r="I412" s="2">
        <f>IFERROR(__xludf.DUMMYFUNCTION("""COMPUTED_VALUE"""),30.0)</f>
        <v>30</v>
      </c>
      <c r="J412" s="2">
        <f>IFERROR(__xludf.DUMMYFUNCTION("""COMPUTED_VALUE"""),5832.0)</f>
        <v>5832</v>
      </c>
      <c r="K412" s="2">
        <f>IFERROR(__xludf.DUMMYFUNCTION("""COMPUTED_VALUE"""),5832.0)</f>
        <v>5832</v>
      </c>
    </row>
    <row r="413">
      <c r="A413" s="2">
        <f>IFERROR(__xludf.DUMMYFUNCTION("""COMPUTED_VALUE"""),1000.0)</f>
        <v>1000</v>
      </c>
      <c r="B413" s="2">
        <f>IFERROR(__xludf.DUMMYFUNCTION("""COMPUTED_VALUE"""),183754.0)</f>
        <v>183754</v>
      </c>
      <c r="C413" s="2">
        <f>IFERROR(__xludf.DUMMYFUNCTION("""COMPUTED_VALUE"""),2026.0)</f>
        <v>2026</v>
      </c>
      <c r="D413" s="2">
        <f>IFERROR(__xludf.DUMMYFUNCTION("""COMPUTED_VALUE"""),46305.0)</f>
        <v>46305</v>
      </c>
      <c r="E413" s="2" t="str">
        <f>IFERROR(__xludf.DUMMYFUNCTION("""COMPUTED_VALUE"""),"VF")</f>
        <v>VF</v>
      </c>
      <c r="F413" s="2">
        <f>IFERROR(__xludf.DUMMYFUNCTION("""COMPUTED_VALUE"""),1.0)</f>
        <v>1</v>
      </c>
      <c r="G413" s="2" t="str">
        <f>IFERROR(__xludf.DUMMYFUNCTION("""COMPUTED_VALUE"""),"PR045")</f>
        <v>PR045</v>
      </c>
      <c r="H413" s="2" t="str">
        <f>IFERROR(__xludf.DUMMYFUNCTION("""COMPUTED_VALUE"""),"VD041")</f>
        <v>VD041</v>
      </c>
      <c r="I413" s="2">
        <f>IFERROR(__xludf.DUMMYFUNCTION("""COMPUTED_VALUE"""),7.0)</f>
        <v>7</v>
      </c>
      <c r="J413" s="2">
        <f>IFERROR(__xludf.DUMMYFUNCTION("""COMPUTED_VALUE"""),553.18)</f>
        <v>553.18</v>
      </c>
      <c r="K413" s="2">
        <f>IFERROR(__xludf.DUMMYFUNCTION("""COMPUTED_VALUE"""),553.18)</f>
        <v>553.18</v>
      </c>
    </row>
    <row r="414">
      <c r="A414" s="2">
        <f>IFERROR(__xludf.DUMMYFUNCTION("""COMPUTED_VALUE"""),1000.0)</f>
        <v>1000</v>
      </c>
      <c r="B414" s="2">
        <f>IFERROR(__xludf.DUMMYFUNCTION("""COMPUTED_VALUE"""),183755.0)</f>
        <v>183755</v>
      </c>
      <c r="C414" s="2">
        <f>IFERROR(__xludf.DUMMYFUNCTION("""COMPUTED_VALUE"""),2026.0)</f>
        <v>2026</v>
      </c>
      <c r="D414" s="2">
        <f>IFERROR(__xludf.DUMMYFUNCTION("""COMPUTED_VALUE"""),46304.0)</f>
        <v>46304</v>
      </c>
      <c r="E414" s="2" t="str">
        <f>IFERROR(__xludf.DUMMYFUNCTION("""COMPUTED_VALUE"""),"VF")</f>
        <v>VF</v>
      </c>
      <c r="F414" s="2">
        <f>IFERROR(__xludf.DUMMYFUNCTION("""COMPUTED_VALUE"""),1.0)</f>
        <v>1</v>
      </c>
      <c r="G414" s="2" t="str">
        <f>IFERROR(__xludf.DUMMYFUNCTION("""COMPUTED_VALUE"""),"PR003")</f>
        <v>PR003</v>
      </c>
      <c r="H414" s="2" t="str">
        <f>IFERROR(__xludf.DUMMYFUNCTION("""COMPUTED_VALUE"""),"VD012")</f>
        <v>VD012</v>
      </c>
      <c r="I414" s="2">
        <f>IFERROR(__xludf.DUMMYFUNCTION("""COMPUTED_VALUE"""),27.0)</f>
        <v>27</v>
      </c>
      <c r="J414" s="2">
        <f>IFERROR(__xludf.DUMMYFUNCTION("""COMPUTED_VALUE"""),1914.3)</f>
        <v>1914.3</v>
      </c>
      <c r="K414" s="2">
        <f>IFERROR(__xludf.DUMMYFUNCTION("""COMPUTED_VALUE"""),1914.3)</f>
        <v>1914.3</v>
      </c>
    </row>
    <row r="415">
      <c r="A415" s="2">
        <f>IFERROR(__xludf.DUMMYFUNCTION("""COMPUTED_VALUE"""),1000.0)</f>
        <v>1000</v>
      </c>
      <c r="B415" s="2">
        <f>IFERROR(__xludf.DUMMYFUNCTION("""COMPUTED_VALUE"""),183756.0)</f>
        <v>183756</v>
      </c>
      <c r="C415" s="2">
        <f>IFERROR(__xludf.DUMMYFUNCTION("""COMPUTED_VALUE"""),2026.0)</f>
        <v>2026</v>
      </c>
      <c r="D415" s="2">
        <f>IFERROR(__xludf.DUMMYFUNCTION("""COMPUTED_VALUE"""),46304.0)</f>
        <v>46304</v>
      </c>
      <c r="E415" s="2" t="str">
        <f>IFERROR(__xludf.DUMMYFUNCTION("""COMPUTED_VALUE"""),"VF")</f>
        <v>VF</v>
      </c>
      <c r="F415" s="2">
        <f>IFERROR(__xludf.DUMMYFUNCTION("""COMPUTED_VALUE"""),1.0)</f>
        <v>1</v>
      </c>
      <c r="G415" s="2" t="str">
        <f>IFERROR(__xludf.DUMMYFUNCTION("""COMPUTED_VALUE"""),"PR056")</f>
        <v>PR056</v>
      </c>
      <c r="H415" s="2" t="str">
        <f>IFERROR(__xludf.DUMMYFUNCTION("""COMPUTED_VALUE"""),"VD030")</f>
        <v>VD030</v>
      </c>
      <c r="I415" s="2">
        <f>IFERROR(__xludf.DUMMYFUNCTION("""COMPUTED_VALUE"""),12.0)</f>
        <v>12</v>
      </c>
      <c r="J415" s="2">
        <f>IFERROR(__xludf.DUMMYFUNCTION("""COMPUTED_VALUE"""),1089.59)</f>
        <v>1089.59</v>
      </c>
      <c r="K415" s="2">
        <f>IFERROR(__xludf.DUMMYFUNCTION("""COMPUTED_VALUE"""),1089.59)</f>
        <v>1089.59</v>
      </c>
    </row>
    <row r="416">
      <c r="A416" s="2">
        <f>IFERROR(__xludf.DUMMYFUNCTION("""COMPUTED_VALUE"""),1000.0)</f>
        <v>1000</v>
      </c>
      <c r="B416" s="2">
        <f>IFERROR(__xludf.DUMMYFUNCTION("""COMPUTED_VALUE"""),183757.0)</f>
        <v>183757</v>
      </c>
      <c r="C416" s="2">
        <f>IFERROR(__xludf.DUMMYFUNCTION("""COMPUTED_VALUE"""),2026.0)</f>
        <v>2026</v>
      </c>
      <c r="D416" s="2">
        <f>IFERROR(__xludf.DUMMYFUNCTION("""COMPUTED_VALUE"""),46304.0)</f>
        <v>46304</v>
      </c>
      <c r="E416" s="2" t="str">
        <f>IFERROR(__xludf.DUMMYFUNCTION("""COMPUTED_VALUE"""),"VF")</f>
        <v>VF</v>
      </c>
      <c r="F416" s="2">
        <f>IFERROR(__xludf.DUMMYFUNCTION("""COMPUTED_VALUE"""),1.0)</f>
        <v>1</v>
      </c>
      <c r="G416" s="2" t="str">
        <f>IFERROR(__xludf.DUMMYFUNCTION("""COMPUTED_VALUE"""),"PR033")</f>
        <v>PR033</v>
      </c>
      <c r="H416" s="2" t="str">
        <f>IFERROR(__xludf.DUMMYFUNCTION("""COMPUTED_VALUE"""),"VD014")</f>
        <v>VD014</v>
      </c>
      <c r="I416" s="2">
        <f>IFERROR(__xludf.DUMMYFUNCTION("""COMPUTED_VALUE"""),10.0)</f>
        <v>10</v>
      </c>
      <c r="J416" s="2">
        <f>IFERROR(__xludf.DUMMYFUNCTION("""COMPUTED_VALUE"""),2702.96)</f>
        <v>2702.96</v>
      </c>
      <c r="K416" s="2">
        <f>IFERROR(__xludf.DUMMYFUNCTION("""COMPUTED_VALUE"""),2702.96)</f>
        <v>2702.96</v>
      </c>
    </row>
    <row r="417">
      <c r="A417" s="2">
        <f>IFERROR(__xludf.DUMMYFUNCTION("""COMPUTED_VALUE"""),1000.0)</f>
        <v>1000</v>
      </c>
      <c r="B417" s="2">
        <f>IFERROR(__xludf.DUMMYFUNCTION("""COMPUTED_VALUE"""),183758.0)</f>
        <v>183758</v>
      </c>
      <c r="C417" s="2">
        <f>IFERROR(__xludf.DUMMYFUNCTION("""COMPUTED_VALUE"""),2026.0)</f>
        <v>2026</v>
      </c>
      <c r="D417" s="2">
        <f>IFERROR(__xludf.DUMMYFUNCTION("""COMPUTED_VALUE"""),46304.0)</f>
        <v>46304</v>
      </c>
      <c r="E417" s="2" t="str">
        <f>IFERROR(__xludf.DUMMYFUNCTION("""COMPUTED_VALUE"""),"VF")</f>
        <v>VF</v>
      </c>
      <c r="F417" s="2">
        <f>IFERROR(__xludf.DUMMYFUNCTION("""COMPUTED_VALUE"""),1.0)</f>
        <v>1</v>
      </c>
      <c r="G417" s="2" t="str">
        <f>IFERROR(__xludf.DUMMYFUNCTION("""COMPUTED_VALUE"""),"PR041")</f>
        <v>PR041</v>
      </c>
      <c r="H417" s="2" t="str">
        <f>IFERROR(__xludf.DUMMYFUNCTION("""COMPUTED_VALUE"""),"VD014")</f>
        <v>VD014</v>
      </c>
      <c r="I417" s="2">
        <f>IFERROR(__xludf.DUMMYFUNCTION("""COMPUTED_VALUE"""),20.0)</f>
        <v>20</v>
      </c>
      <c r="J417" s="2">
        <f>IFERROR(__xludf.DUMMYFUNCTION("""COMPUTED_VALUE"""),1108.98)</f>
        <v>1108.98</v>
      </c>
      <c r="K417" s="2">
        <f>IFERROR(__xludf.DUMMYFUNCTION("""COMPUTED_VALUE"""),1108.98)</f>
        <v>1108.98</v>
      </c>
    </row>
    <row r="418">
      <c r="A418" s="2">
        <f>IFERROR(__xludf.DUMMYFUNCTION("""COMPUTED_VALUE"""),1000.0)</f>
        <v>1000</v>
      </c>
      <c r="B418" s="2">
        <f>IFERROR(__xludf.DUMMYFUNCTION("""COMPUTED_VALUE"""),183759.0)</f>
        <v>183759</v>
      </c>
      <c r="C418" s="2">
        <f>IFERROR(__xludf.DUMMYFUNCTION("""COMPUTED_VALUE"""),2026.0)</f>
        <v>2026</v>
      </c>
      <c r="D418" s="2">
        <f>IFERROR(__xludf.DUMMYFUNCTION("""COMPUTED_VALUE"""),46304.0)</f>
        <v>46304</v>
      </c>
      <c r="E418" s="2" t="str">
        <f>IFERROR(__xludf.DUMMYFUNCTION("""COMPUTED_VALUE"""),"VF")</f>
        <v>VF</v>
      </c>
      <c r="F418" s="2">
        <f>IFERROR(__xludf.DUMMYFUNCTION("""COMPUTED_VALUE"""),1.0)</f>
        <v>1</v>
      </c>
      <c r="G418" s="2" t="str">
        <f>IFERROR(__xludf.DUMMYFUNCTION("""COMPUTED_VALUE"""),"PR004")</f>
        <v>PR004</v>
      </c>
      <c r="H418" s="2" t="str">
        <f>IFERROR(__xludf.DUMMYFUNCTION("""COMPUTED_VALUE"""),"VD011")</f>
        <v>VD011</v>
      </c>
      <c r="I418" s="2">
        <f>IFERROR(__xludf.DUMMYFUNCTION("""COMPUTED_VALUE"""),10.0)</f>
        <v>10</v>
      </c>
      <c r="J418" s="2">
        <f>IFERROR(__xludf.DUMMYFUNCTION("""COMPUTED_VALUE"""),1464.5)</f>
        <v>1464.5</v>
      </c>
      <c r="K418" s="2">
        <f>IFERROR(__xludf.DUMMYFUNCTION("""COMPUTED_VALUE"""),1464.5)</f>
        <v>1464.5</v>
      </c>
    </row>
    <row r="419">
      <c r="A419" s="2">
        <f>IFERROR(__xludf.DUMMYFUNCTION("""COMPUTED_VALUE"""),1000.0)</f>
        <v>1000</v>
      </c>
      <c r="B419" s="2">
        <f>IFERROR(__xludf.DUMMYFUNCTION("""COMPUTED_VALUE"""),183760.0)</f>
        <v>183760</v>
      </c>
      <c r="C419" s="2">
        <f>IFERROR(__xludf.DUMMYFUNCTION("""COMPUTED_VALUE"""),2026.0)</f>
        <v>2026</v>
      </c>
      <c r="D419" s="2">
        <f>IFERROR(__xludf.DUMMYFUNCTION("""COMPUTED_VALUE"""),46304.0)</f>
        <v>46304</v>
      </c>
      <c r="E419" s="2" t="str">
        <f>IFERROR(__xludf.DUMMYFUNCTION("""COMPUTED_VALUE"""),"VF")</f>
        <v>VF</v>
      </c>
      <c r="F419" s="2">
        <f>IFERROR(__xludf.DUMMYFUNCTION("""COMPUTED_VALUE"""),1.0)</f>
        <v>1</v>
      </c>
      <c r="G419" s="2" t="str">
        <f>IFERROR(__xludf.DUMMYFUNCTION("""COMPUTED_VALUE"""),"PR007")</f>
        <v>PR007</v>
      </c>
      <c r="H419" s="2" t="str">
        <f>IFERROR(__xludf.DUMMYFUNCTION("""COMPUTED_VALUE"""),"VD020")</f>
        <v>VD020</v>
      </c>
      <c r="I419" s="2">
        <f>IFERROR(__xludf.DUMMYFUNCTION("""COMPUTED_VALUE"""),9.0)</f>
        <v>9</v>
      </c>
      <c r="J419" s="2">
        <f>IFERROR(__xludf.DUMMYFUNCTION("""COMPUTED_VALUE"""),850.41)</f>
        <v>850.41</v>
      </c>
      <c r="K419" s="2">
        <f>IFERROR(__xludf.DUMMYFUNCTION("""COMPUTED_VALUE"""),850.41)</f>
        <v>850.41</v>
      </c>
    </row>
    <row r="420">
      <c r="A420" s="2">
        <f>IFERROR(__xludf.DUMMYFUNCTION("""COMPUTED_VALUE"""),1000.0)</f>
        <v>1000</v>
      </c>
      <c r="B420" s="2">
        <f>IFERROR(__xludf.DUMMYFUNCTION("""COMPUTED_VALUE"""),183761.0)</f>
        <v>183761</v>
      </c>
      <c r="C420" s="2">
        <f>IFERROR(__xludf.DUMMYFUNCTION("""COMPUTED_VALUE"""),2026.0)</f>
        <v>2026</v>
      </c>
      <c r="D420" s="2">
        <f>IFERROR(__xludf.DUMMYFUNCTION("""COMPUTED_VALUE"""),46304.0)</f>
        <v>46304</v>
      </c>
      <c r="E420" s="2" t="str">
        <f>IFERROR(__xludf.DUMMYFUNCTION("""COMPUTED_VALUE"""),"VF")</f>
        <v>VF</v>
      </c>
      <c r="F420" s="2">
        <f>IFERROR(__xludf.DUMMYFUNCTION("""COMPUTED_VALUE"""),1.0)</f>
        <v>1</v>
      </c>
      <c r="G420" s="2" t="str">
        <f>IFERROR(__xludf.DUMMYFUNCTION("""COMPUTED_VALUE"""),"PR046")</f>
        <v>PR046</v>
      </c>
      <c r="H420" s="2" t="str">
        <f>IFERROR(__xludf.DUMMYFUNCTION("""COMPUTED_VALUE"""),"VD015")</f>
        <v>VD015</v>
      </c>
      <c r="I420" s="2">
        <f>IFERROR(__xludf.DUMMYFUNCTION("""COMPUTED_VALUE"""),9.0)</f>
        <v>9</v>
      </c>
      <c r="J420" s="2">
        <f>IFERROR(__xludf.DUMMYFUNCTION("""COMPUTED_VALUE"""),2713.46)</f>
        <v>2713.46</v>
      </c>
      <c r="K420" s="2">
        <f>IFERROR(__xludf.DUMMYFUNCTION("""COMPUTED_VALUE"""),2713.46)</f>
        <v>2713.46</v>
      </c>
    </row>
    <row r="421">
      <c r="A421" s="2">
        <f>IFERROR(__xludf.DUMMYFUNCTION("""COMPUTED_VALUE"""),1000.0)</f>
        <v>1000</v>
      </c>
      <c r="B421" s="2">
        <f>IFERROR(__xludf.DUMMYFUNCTION("""COMPUTED_VALUE"""),183762.0)</f>
        <v>183762</v>
      </c>
      <c r="C421" s="2">
        <f>IFERROR(__xludf.DUMMYFUNCTION("""COMPUTED_VALUE"""),2026.0)</f>
        <v>2026</v>
      </c>
      <c r="D421" s="2">
        <f>IFERROR(__xludf.DUMMYFUNCTION("""COMPUTED_VALUE"""),46304.0)</f>
        <v>46304</v>
      </c>
      <c r="E421" s="2" t="str">
        <f>IFERROR(__xludf.DUMMYFUNCTION("""COMPUTED_VALUE"""),"VF")</f>
        <v>VF</v>
      </c>
      <c r="F421" s="2">
        <f>IFERROR(__xludf.DUMMYFUNCTION("""COMPUTED_VALUE"""),1.0)</f>
        <v>1</v>
      </c>
      <c r="G421" s="2" t="str">
        <f>IFERROR(__xludf.DUMMYFUNCTION("""COMPUTED_VALUE"""),"PR024")</f>
        <v>PR024</v>
      </c>
      <c r="H421" s="2" t="str">
        <f>IFERROR(__xludf.DUMMYFUNCTION("""COMPUTED_VALUE"""),"VD011")</f>
        <v>VD011</v>
      </c>
      <c r="I421" s="2">
        <f>IFERROR(__xludf.DUMMYFUNCTION("""COMPUTED_VALUE"""),3.0)</f>
        <v>3</v>
      </c>
      <c r="J421" s="2">
        <f>IFERROR(__xludf.DUMMYFUNCTION("""COMPUTED_VALUE"""),834.28)</f>
        <v>834.28</v>
      </c>
      <c r="K421" s="2">
        <f>IFERROR(__xludf.DUMMYFUNCTION("""COMPUTED_VALUE"""),834.28)</f>
        <v>834.28</v>
      </c>
    </row>
    <row r="422">
      <c r="A422" s="2">
        <f>IFERROR(__xludf.DUMMYFUNCTION("""COMPUTED_VALUE"""),2000.0)</f>
        <v>2000</v>
      </c>
      <c r="B422" s="2">
        <f>IFERROR(__xludf.DUMMYFUNCTION("""COMPUTED_VALUE"""),183763.0)</f>
        <v>183763</v>
      </c>
      <c r="C422" s="2">
        <f>IFERROR(__xludf.DUMMYFUNCTION("""COMPUTED_VALUE"""),2026.0)</f>
        <v>2026</v>
      </c>
      <c r="D422" s="2">
        <f>IFERROR(__xludf.DUMMYFUNCTION("""COMPUTED_VALUE"""),46304.0)</f>
        <v>46304</v>
      </c>
      <c r="E422" s="2" t="str">
        <f>IFERROR(__xludf.DUMMYFUNCTION("""COMPUTED_VALUE"""),"VF")</f>
        <v>VF</v>
      </c>
      <c r="F422" s="2">
        <f>IFERROR(__xludf.DUMMYFUNCTION("""COMPUTED_VALUE"""),1.0)</f>
        <v>1</v>
      </c>
      <c r="G422" s="2" t="str">
        <f>IFERROR(__xludf.DUMMYFUNCTION("""COMPUTED_VALUE"""),"PR047")</f>
        <v>PR047</v>
      </c>
      <c r="H422" s="2" t="str">
        <f>IFERROR(__xludf.DUMMYFUNCTION("""COMPUTED_VALUE"""),"VD033")</f>
        <v>VD033</v>
      </c>
      <c r="I422" s="2">
        <f>IFERROR(__xludf.DUMMYFUNCTION("""COMPUTED_VALUE"""),1.0)</f>
        <v>1</v>
      </c>
      <c r="J422" s="2">
        <f>IFERROR(__xludf.DUMMYFUNCTION("""COMPUTED_VALUE"""),307.29)</f>
        <v>307.29</v>
      </c>
      <c r="K422" s="2">
        <f>IFERROR(__xludf.DUMMYFUNCTION("""COMPUTED_VALUE"""),307.29)</f>
        <v>307.29</v>
      </c>
    </row>
    <row r="423">
      <c r="A423" s="2">
        <f>IFERROR(__xludf.DUMMYFUNCTION("""COMPUTED_VALUE"""),1000.0)</f>
        <v>1000</v>
      </c>
      <c r="B423" s="2">
        <f>IFERROR(__xludf.DUMMYFUNCTION("""COMPUTED_VALUE"""),183764.0)</f>
        <v>183764</v>
      </c>
      <c r="C423" s="2">
        <f>IFERROR(__xludf.DUMMYFUNCTION("""COMPUTED_VALUE"""),2026.0)</f>
        <v>2026</v>
      </c>
      <c r="D423" s="2">
        <f>IFERROR(__xludf.DUMMYFUNCTION("""COMPUTED_VALUE"""),46304.0)</f>
        <v>46304</v>
      </c>
      <c r="E423" s="2" t="str">
        <f>IFERROR(__xludf.DUMMYFUNCTION("""COMPUTED_VALUE"""),"VF")</f>
        <v>VF</v>
      </c>
      <c r="F423" s="2">
        <f>IFERROR(__xludf.DUMMYFUNCTION("""COMPUTED_VALUE"""),1.0)</f>
        <v>1</v>
      </c>
      <c r="G423" s="2" t="str">
        <f>IFERROR(__xludf.DUMMYFUNCTION("""COMPUTED_VALUE"""),"PR032")</f>
        <v>PR032</v>
      </c>
      <c r="H423" s="2" t="str">
        <f>IFERROR(__xludf.DUMMYFUNCTION("""COMPUTED_VALUE"""),"VD025")</f>
        <v>VD025</v>
      </c>
      <c r="I423" s="2">
        <f>IFERROR(__xludf.DUMMYFUNCTION("""COMPUTED_VALUE"""),16.0)</f>
        <v>16</v>
      </c>
      <c r="J423" s="2">
        <f>IFERROR(__xludf.DUMMYFUNCTION("""COMPUTED_VALUE"""),4080.0)</f>
        <v>4080</v>
      </c>
      <c r="K423" s="2">
        <f>IFERROR(__xludf.DUMMYFUNCTION("""COMPUTED_VALUE"""),4080.0)</f>
        <v>4080</v>
      </c>
    </row>
    <row r="424">
      <c r="A424" s="2">
        <f>IFERROR(__xludf.DUMMYFUNCTION("""COMPUTED_VALUE"""),1000.0)</f>
        <v>1000</v>
      </c>
      <c r="B424" s="2">
        <f>IFERROR(__xludf.DUMMYFUNCTION("""COMPUTED_VALUE"""),183765.0)</f>
        <v>183765</v>
      </c>
      <c r="C424" s="2">
        <f>IFERROR(__xludf.DUMMYFUNCTION("""COMPUTED_VALUE"""),2026.0)</f>
        <v>2026</v>
      </c>
      <c r="D424" s="2">
        <f>IFERROR(__xludf.DUMMYFUNCTION("""COMPUTED_VALUE"""),46304.0)</f>
        <v>46304</v>
      </c>
      <c r="E424" s="2" t="str">
        <f>IFERROR(__xludf.DUMMYFUNCTION("""COMPUTED_VALUE"""),"VF")</f>
        <v>VF</v>
      </c>
      <c r="F424" s="2">
        <f>IFERROR(__xludf.DUMMYFUNCTION("""COMPUTED_VALUE"""),1.0)</f>
        <v>1</v>
      </c>
      <c r="G424" s="2" t="str">
        <f>IFERROR(__xludf.DUMMYFUNCTION("""COMPUTED_VALUE"""),"PR020")</f>
        <v>PR020</v>
      </c>
      <c r="H424" s="2" t="str">
        <f>IFERROR(__xludf.DUMMYFUNCTION("""COMPUTED_VALUE"""),"VD015")</f>
        <v>VD015</v>
      </c>
      <c r="I424" s="2">
        <f>IFERROR(__xludf.DUMMYFUNCTION("""COMPUTED_VALUE"""),10.0)</f>
        <v>10</v>
      </c>
      <c r="J424" s="2">
        <f>IFERROR(__xludf.DUMMYFUNCTION("""COMPUTED_VALUE"""),3088.97)</f>
        <v>3088.97</v>
      </c>
      <c r="K424" s="2">
        <f>IFERROR(__xludf.DUMMYFUNCTION("""COMPUTED_VALUE"""),3088.97)</f>
        <v>3088.97</v>
      </c>
    </row>
    <row r="425">
      <c r="A425" s="2">
        <f>IFERROR(__xludf.DUMMYFUNCTION("""COMPUTED_VALUE"""),1000.0)</f>
        <v>1000</v>
      </c>
      <c r="B425" s="2">
        <f>IFERROR(__xludf.DUMMYFUNCTION("""COMPUTED_VALUE"""),183766.0)</f>
        <v>183766</v>
      </c>
      <c r="C425" s="2">
        <f>IFERROR(__xludf.DUMMYFUNCTION("""COMPUTED_VALUE"""),2026.0)</f>
        <v>2026</v>
      </c>
      <c r="D425" s="2">
        <f>IFERROR(__xludf.DUMMYFUNCTION("""COMPUTED_VALUE"""),46304.0)</f>
        <v>46304</v>
      </c>
      <c r="E425" s="2" t="str">
        <f>IFERROR(__xludf.DUMMYFUNCTION("""COMPUTED_VALUE"""),"VF")</f>
        <v>VF</v>
      </c>
      <c r="F425" s="2">
        <f>IFERROR(__xludf.DUMMYFUNCTION("""COMPUTED_VALUE"""),1.0)</f>
        <v>1</v>
      </c>
      <c r="G425" s="2" t="str">
        <f>IFERROR(__xludf.DUMMYFUNCTION("""COMPUTED_VALUE"""),"PR006")</f>
        <v>PR006</v>
      </c>
      <c r="H425" s="2" t="str">
        <f>IFERROR(__xludf.DUMMYFUNCTION("""COMPUTED_VALUE"""),"VD012")</f>
        <v>VD012</v>
      </c>
      <c r="I425" s="2">
        <f>IFERROR(__xludf.DUMMYFUNCTION("""COMPUTED_VALUE"""),15.0)</f>
        <v>15</v>
      </c>
      <c r="J425" s="2">
        <f>IFERROR(__xludf.DUMMYFUNCTION("""COMPUTED_VALUE"""),634.41)</f>
        <v>634.41</v>
      </c>
      <c r="K425" s="2">
        <f>IFERROR(__xludf.DUMMYFUNCTION("""COMPUTED_VALUE"""),634.41)</f>
        <v>634.41</v>
      </c>
    </row>
    <row r="426">
      <c r="A426" s="2">
        <f>IFERROR(__xludf.DUMMYFUNCTION("""COMPUTED_VALUE"""),1000.0)</f>
        <v>1000</v>
      </c>
      <c r="B426" s="2">
        <f>IFERROR(__xludf.DUMMYFUNCTION("""COMPUTED_VALUE"""),183767.0)</f>
        <v>183767</v>
      </c>
      <c r="C426" s="2">
        <f>IFERROR(__xludf.DUMMYFUNCTION("""COMPUTED_VALUE"""),2026.0)</f>
        <v>2026</v>
      </c>
      <c r="D426" s="2">
        <f>IFERROR(__xludf.DUMMYFUNCTION("""COMPUTED_VALUE"""),46304.0)</f>
        <v>46304</v>
      </c>
      <c r="E426" s="2" t="str">
        <f>IFERROR(__xludf.DUMMYFUNCTION("""COMPUTED_VALUE"""),"VF")</f>
        <v>VF</v>
      </c>
      <c r="F426" s="2">
        <f>IFERROR(__xludf.DUMMYFUNCTION("""COMPUTED_VALUE"""),1.0)</f>
        <v>1</v>
      </c>
      <c r="G426" s="2" t="str">
        <f>IFERROR(__xludf.DUMMYFUNCTION("""COMPUTED_VALUE"""),"PR031")</f>
        <v>PR031</v>
      </c>
      <c r="H426" s="2" t="str">
        <f>IFERROR(__xludf.DUMMYFUNCTION("""COMPUTED_VALUE"""),"VD034")</f>
        <v>VD034</v>
      </c>
      <c r="I426" s="2">
        <f>IFERROR(__xludf.DUMMYFUNCTION("""COMPUTED_VALUE"""),9.0)</f>
        <v>9</v>
      </c>
      <c r="J426" s="2">
        <f>IFERROR(__xludf.DUMMYFUNCTION("""COMPUTED_VALUE"""),2227.05)</f>
        <v>2227.05</v>
      </c>
      <c r="K426" s="2">
        <f>IFERROR(__xludf.DUMMYFUNCTION("""COMPUTED_VALUE"""),2227.05)</f>
        <v>2227.05</v>
      </c>
    </row>
    <row r="427">
      <c r="A427" s="2">
        <f>IFERROR(__xludf.DUMMYFUNCTION("""COMPUTED_VALUE"""),1000.0)</f>
        <v>1000</v>
      </c>
      <c r="B427" s="2">
        <f>IFERROR(__xludf.DUMMYFUNCTION("""COMPUTED_VALUE"""),183767.0)</f>
        <v>183767</v>
      </c>
      <c r="C427" s="2">
        <f>IFERROR(__xludf.DUMMYFUNCTION("""COMPUTED_VALUE"""),2026.0)</f>
        <v>2026</v>
      </c>
      <c r="D427" s="2">
        <f>IFERROR(__xludf.DUMMYFUNCTION("""COMPUTED_VALUE"""),46303.0)</f>
        <v>46303</v>
      </c>
      <c r="E427" s="2" t="str">
        <f>IFERROR(__xludf.DUMMYFUNCTION("""COMPUTED_VALUE"""),"VF")</f>
        <v>VF</v>
      </c>
      <c r="F427" s="2">
        <f>IFERROR(__xludf.DUMMYFUNCTION("""COMPUTED_VALUE"""),2.0)</f>
        <v>2</v>
      </c>
      <c r="G427" s="2" t="str">
        <f>IFERROR(__xludf.DUMMYFUNCTION("""COMPUTED_VALUE"""),"PR052")</f>
        <v>PR052</v>
      </c>
      <c r="H427" s="2" t="str">
        <f>IFERROR(__xludf.DUMMYFUNCTION("""COMPUTED_VALUE"""),"VD044")</f>
        <v>VD044</v>
      </c>
      <c r="I427" s="2">
        <f>IFERROR(__xludf.DUMMYFUNCTION("""COMPUTED_VALUE"""),12.0)</f>
        <v>12</v>
      </c>
      <c r="J427" s="2">
        <f>IFERROR(__xludf.DUMMYFUNCTION("""COMPUTED_VALUE"""),658.68)</f>
        <v>658.68</v>
      </c>
      <c r="K427" s="2">
        <f>IFERROR(__xludf.DUMMYFUNCTION("""COMPUTED_VALUE"""),658.68)</f>
        <v>658.68</v>
      </c>
    </row>
    <row r="428">
      <c r="A428" s="2">
        <f>IFERROR(__xludf.DUMMYFUNCTION("""COMPUTED_VALUE"""),1000.0)</f>
        <v>1000</v>
      </c>
      <c r="B428" s="2">
        <f>IFERROR(__xludf.DUMMYFUNCTION("""COMPUTED_VALUE"""),183767.0)</f>
        <v>183767</v>
      </c>
      <c r="C428" s="2">
        <f>IFERROR(__xludf.DUMMYFUNCTION("""COMPUTED_VALUE"""),2026.0)</f>
        <v>2026</v>
      </c>
      <c r="D428" s="2">
        <f>IFERROR(__xludf.DUMMYFUNCTION("""COMPUTED_VALUE"""),46303.0)</f>
        <v>46303</v>
      </c>
      <c r="E428" s="2" t="str">
        <f>IFERROR(__xludf.DUMMYFUNCTION("""COMPUTED_VALUE"""),"VF")</f>
        <v>VF</v>
      </c>
      <c r="F428" s="2">
        <f>IFERROR(__xludf.DUMMYFUNCTION("""COMPUTED_VALUE"""),3.0)</f>
        <v>3</v>
      </c>
      <c r="G428" s="2" t="str">
        <f>IFERROR(__xludf.DUMMYFUNCTION("""COMPUTED_VALUE"""),"PR050")</f>
        <v>PR050</v>
      </c>
      <c r="H428" s="2" t="str">
        <f>IFERROR(__xludf.DUMMYFUNCTION("""COMPUTED_VALUE"""),"VD018")</f>
        <v>VD018</v>
      </c>
      <c r="I428" s="2">
        <f>IFERROR(__xludf.DUMMYFUNCTION("""COMPUTED_VALUE"""),14.0)</f>
        <v>14</v>
      </c>
      <c r="J428" s="2">
        <f>IFERROR(__xludf.DUMMYFUNCTION("""COMPUTED_VALUE"""),502.05)</f>
        <v>502.05</v>
      </c>
      <c r="K428" s="2">
        <f>IFERROR(__xludf.DUMMYFUNCTION("""COMPUTED_VALUE"""),502.05)</f>
        <v>502.05</v>
      </c>
    </row>
    <row r="429">
      <c r="A429" s="2">
        <f>IFERROR(__xludf.DUMMYFUNCTION("""COMPUTED_VALUE"""),1000.0)</f>
        <v>1000</v>
      </c>
      <c r="B429" s="2">
        <f>IFERROR(__xludf.DUMMYFUNCTION("""COMPUTED_VALUE"""),183768.0)</f>
        <v>183768</v>
      </c>
      <c r="C429" s="2">
        <f>IFERROR(__xludf.DUMMYFUNCTION("""COMPUTED_VALUE"""),2026.0)</f>
        <v>2026</v>
      </c>
      <c r="D429" s="2">
        <f>IFERROR(__xludf.DUMMYFUNCTION("""COMPUTED_VALUE"""),46303.0)</f>
        <v>46303</v>
      </c>
      <c r="E429" s="2" t="str">
        <f>IFERROR(__xludf.DUMMYFUNCTION("""COMPUTED_VALUE"""),"VF")</f>
        <v>VF</v>
      </c>
      <c r="F429" s="2">
        <f>IFERROR(__xludf.DUMMYFUNCTION("""COMPUTED_VALUE"""),1.0)</f>
        <v>1</v>
      </c>
      <c r="G429" s="2" t="str">
        <f>IFERROR(__xludf.DUMMYFUNCTION("""COMPUTED_VALUE"""),"PR042")</f>
        <v>PR042</v>
      </c>
      <c r="H429" s="2" t="str">
        <f>IFERROR(__xludf.DUMMYFUNCTION("""COMPUTED_VALUE"""),"VD018")</f>
        <v>VD018</v>
      </c>
      <c r="I429" s="2">
        <f>IFERROR(__xludf.DUMMYFUNCTION("""COMPUTED_VALUE"""),4.0)</f>
        <v>4</v>
      </c>
      <c r="J429" s="2">
        <f>IFERROR(__xludf.DUMMYFUNCTION("""COMPUTED_VALUE"""),228.38)</f>
        <v>228.38</v>
      </c>
      <c r="K429" s="2">
        <f>IFERROR(__xludf.DUMMYFUNCTION("""COMPUTED_VALUE"""),228.38)</f>
        <v>228.38</v>
      </c>
    </row>
    <row r="430">
      <c r="A430" s="2">
        <f>IFERROR(__xludf.DUMMYFUNCTION("""COMPUTED_VALUE"""),2000.0)</f>
        <v>2000</v>
      </c>
      <c r="B430" s="2">
        <f>IFERROR(__xludf.DUMMYFUNCTION("""COMPUTED_VALUE"""),183769.0)</f>
        <v>183769</v>
      </c>
      <c r="C430" s="2">
        <f>IFERROR(__xludf.DUMMYFUNCTION("""COMPUTED_VALUE"""),2026.0)</f>
        <v>2026</v>
      </c>
      <c r="D430" s="2">
        <f>IFERROR(__xludf.DUMMYFUNCTION("""COMPUTED_VALUE"""),46303.0)</f>
        <v>46303</v>
      </c>
      <c r="E430" s="2" t="str">
        <f>IFERROR(__xludf.DUMMYFUNCTION("""COMPUTED_VALUE"""),"VF")</f>
        <v>VF</v>
      </c>
      <c r="F430" s="2">
        <f>IFERROR(__xludf.DUMMYFUNCTION("""COMPUTED_VALUE"""),1.0)</f>
        <v>1</v>
      </c>
      <c r="G430" s="2" t="str">
        <f>IFERROR(__xludf.DUMMYFUNCTION("""COMPUTED_VALUE"""),"PR006")</f>
        <v>PR006</v>
      </c>
      <c r="H430" s="2" t="str">
        <f>IFERROR(__xludf.DUMMYFUNCTION("""COMPUTED_VALUE"""),"VD021")</f>
        <v>VD021</v>
      </c>
      <c r="I430" s="2">
        <f>IFERROR(__xludf.DUMMYFUNCTION("""COMPUTED_VALUE"""),8.0)</f>
        <v>8</v>
      </c>
      <c r="J430" s="2">
        <f>IFERROR(__xludf.DUMMYFUNCTION("""COMPUTED_VALUE"""),347.93)</f>
        <v>347.93</v>
      </c>
      <c r="K430" s="2">
        <f>IFERROR(__xludf.DUMMYFUNCTION("""COMPUTED_VALUE"""),347.93)</f>
        <v>347.93</v>
      </c>
    </row>
    <row r="431">
      <c r="A431" s="2">
        <f>IFERROR(__xludf.DUMMYFUNCTION("""COMPUTED_VALUE"""),1000.0)</f>
        <v>1000</v>
      </c>
      <c r="B431" s="2">
        <f>IFERROR(__xludf.DUMMYFUNCTION("""COMPUTED_VALUE"""),183770.0)</f>
        <v>183770</v>
      </c>
      <c r="C431" s="2">
        <f>IFERROR(__xludf.DUMMYFUNCTION("""COMPUTED_VALUE"""),2026.0)</f>
        <v>2026</v>
      </c>
      <c r="D431" s="2">
        <f>IFERROR(__xludf.DUMMYFUNCTION("""COMPUTED_VALUE"""),46303.0)</f>
        <v>46303</v>
      </c>
      <c r="E431" s="2" t="str">
        <f>IFERROR(__xludf.DUMMYFUNCTION("""COMPUTED_VALUE"""),"VF")</f>
        <v>VF</v>
      </c>
      <c r="F431" s="2">
        <f>IFERROR(__xludf.DUMMYFUNCTION("""COMPUTED_VALUE"""),1.0)</f>
        <v>1</v>
      </c>
      <c r="G431" s="2" t="str">
        <f>IFERROR(__xludf.DUMMYFUNCTION("""COMPUTED_VALUE"""),"PR016")</f>
        <v>PR016</v>
      </c>
      <c r="H431" s="2" t="str">
        <f>IFERROR(__xludf.DUMMYFUNCTION("""COMPUTED_VALUE"""),"VD017")</f>
        <v>VD017</v>
      </c>
      <c r="I431" s="2">
        <f>IFERROR(__xludf.DUMMYFUNCTION("""COMPUTED_VALUE"""),12.0)</f>
        <v>12</v>
      </c>
      <c r="J431" s="2">
        <f>IFERROR(__xludf.DUMMYFUNCTION("""COMPUTED_VALUE"""),341.88)</f>
        <v>341.88</v>
      </c>
      <c r="K431" s="2">
        <f>IFERROR(__xludf.DUMMYFUNCTION("""COMPUTED_VALUE"""),341.88)</f>
        <v>341.88</v>
      </c>
    </row>
    <row r="432">
      <c r="A432" s="2">
        <f>IFERROR(__xludf.DUMMYFUNCTION("""COMPUTED_VALUE"""),1000.0)</f>
        <v>1000</v>
      </c>
      <c r="B432" s="2">
        <f>IFERROR(__xludf.DUMMYFUNCTION("""COMPUTED_VALUE"""),183771.0)</f>
        <v>183771</v>
      </c>
      <c r="C432" s="2">
        <f>IFERROR(__xludf.DUMMYFUNCTION("""COMPUTED_VALUE"""),2026.0)</f>
        <v>2026</v>
      </c>
      <c r="D432" s="2">
        <f>IFERROR(__xludf.DUMMYFUNCTION("""COMPUTED_VALUE"""),46303.0)</f>
        <v>46303</v>
      </c>
      <c r="E432" s="2" t="str">
        <f>IFERROR(__xludf.DUMMYFUNCTION("""COMPUTED_VALUE"""),"VF")</f>
        <v>VF</v>
      </c>
      <c r="F432" s="2">
        <f>IFERROR(__xludf.DUMMYFUNCTION("""COMPUTED_VALUE"""),1.0)</f>
        <v>1</v>
      </c>
      <c r="G432" s="2" t="str">
        <f>IFERROR(__xludf.DUMMYFUNCTION("""COMPUTED_VALUE"""),"PR015")</f>
        <v>PR015</v>
      </c>
      <c r="H432" s="2" t="str">
        <f>IFERROR(__xludf.DUMMYFUNCTION("""COMPUTED_VALUE"""),"VD034")</f>
        <v>VD034</v>
      </c>
      <c r="I432" s="2">
        <f>IFERROR(__xludf.DUMMYFUNCTION("""COMPUTED_VALUE"""),5.0)</f>
        <v>5</v>
      </c>
      <c r="J432" s="2">
        <f>IFERROR(__xludf.DUMMYFUNCTION("""COMPUTED_VALUE"""),233.75)</f>
        <v>233.75</v>
      </c>
      <c r="K432" s="2">
        <f>IFERROR(__xludf.DUMMYFUNCTION("""COMPUTED_VALUE"""),233.75)</f>
        <v>233.75</v>
      </c>
    </row>
    <row r="433">
      <c r="A433" s="2">
        <f>IFERROR(__xludf.DUMMYFUNCTION("""COMPUTED_VALUE"""),1000.0)</f>
        <v>1000</v>
      </c>
      <c r="B433" s="2">
        <f>IFERROR(__xludf.DUMMYFUNCTION("""COMPUTED_VALUE"""),183772.0)</f>
        <v>183772</v>
      </c>
      <c r="C433" s="2">
        <f>IFERROR(__xludf.DUMMYFUNCTION("""COMPUTED_VALUE"""),2026.0)</f>
        <v>2026</v>
      </c>
      <c r="D433" s="2">
        <f>IFERROR(__xludf.DUMMYFUNCTION("""COMPUTED_VALUE"""),46303.0)</f>
        <v>46303</v>
      </c>
      <c r="E433" s="2" t="str">
        <f>IFERROR(__xludf.DUMMYFUNCTION("""COMPUTED_VALUE"""),"VF")</f>
        <v>VF</v>
      </c>
      <c r="F433" s="2">
        <f>IFERROR(__xludf.DUMMYFUNCTION("""COMPUTED_VALUE"""),1.0)</f>
        <v>1</v>
      </c>
      <c r="G433" s="2" t="str">
        <f>IFERROR(__xludf.DUMMYFUNCTION("""COMPUTED_VALUE"""),"PR003")</f>
        <v>PR003</v>
      </c>
      <c r="H433" s="2" t="str">
        <f>IFERROR(__xludf.DUMMYFUNCTION("""COMPUTED_VALUE"""),"VD041")</f>
        <v>VD041</v>
      </c>
      <c r="I433" s="2">
        <f>IFERROR(__xludf.DUMMYFUNCTION("""COMPUTED_VALUE"""),5.0)</f>
        <v>5</v>
      </c>
      <c r="J433" s="2">
        <f>IFERROR(__xludf.DUMMYFUNCTION("""COMPUTED_VALUE"""),361.59)</f>
        <v>361.59</v>
      </c>
      <c r="K433" s="2">
        <f>IFERROR(__xludf.DUMMYFUNCTION("""COMPUTED_VALUE"""),361.59)</f>
        <v>361.59</v>
      </c>
    </row>
    <row r="434">
      <c r="A434" s="2">
        <f>IFERROR(__xludf.DUMMYFUNCTION("""COMPUTED_VALUE"""),1000.0)</f>
        <v>1000</v>
      </c>
      <c r="B434" s="2">
        <f>IFERROR(__xludf.DUMMYFUNCTION("""COMPUTED_VALUE"""),183773.0)</f>
        <v>183773</v>
      </c>
      <c r="C434" s="2">
        <f>IFERROR(__xludf.DUMMYFUNCTION("""COMPUTED_VALUE"""),2026.0)</f>
        <v>2026</v>
      </c>
      <c r="D434" s="2">
        <f>IFERROR(__xludf.DUMMYFUNCTION("""COMPUTED_VALUE"""),46303.0)</f>
        <v>46303</v>
      </c>
      <c r="E434" s="2" t="str">
        <f>IFERROR(__xludf.DUMMYFUNCTION("""COMPUTED_VALUE"""),"VF")</f>
        <v>VF</v>
      </c>
      <c r="F434" s="2">
        <f>IFERROR(__xludf.DUMMYFUNCTION("""COMPUTED_VALUE"""),1.0)</f>
        <v>1</v>
      </c>
      <c r="G434" s="2" t="str">
        <f>IFERROR(__xludf.DUMMYFUNCTION("""COMPUTED_VALUE"""),"PR007")</f>
        <v>PR007</v>
      </c>
      <c r="H434" s="2" t="str">
        <f>IFERROR(__xludf.DUMMYFUNCTION("""COMPUTED_VALUE"""),"VD025")</f>
        <v>VD025</v>
      </c>
      <c r="I434" s="2">
        <f>IFERROR(__xludf.DUMMYFUNCTION("""COMPUTED_VALUE"""),1.0)</f>
        <v>1</v>
      </c>
      <c r="J434" s="2">
        <f>IFERROR(__xludf.DUMMYFUNCTION("""COMPUTED_VALUE"""),88.48)</f>
        <v>88.48</v>
      </c>
      <c r="K434" s="2">
        <f>IFERROR(__xludf.DUMMYFUNCTION("""COMPUTED_VALUE"""),88.48)</f>
        <v>88.48</v>
      </c>
    </row>
    <row r="435">
      <c r="A435" s="2">
        <f>IFERROR(__xludf.DUMMYFUNCTION("""COMPUTED_VALUE"""),2000.0)</f>
        <v>2000</v>
      </c>
      <c r="B435" s="2">
        <f>IFERROR(__xludf.DUMMYFUNCTION("""COMPUTED_VALUE"""),183773.0)</f>
        <v>183773</v>
      </c>
      <c r="C435" s="2">
        <f>IFERROR(__xludf.DUMMYFUNCTION("""COMPUTED_VALUE"""),2026.0)</f>
        <v>2026</v>
      </c>
      <c r="D435" s="2">
        <f>IFERROR(__xludf.DUMMYFUNCTION("""COMPUTED_VALUE"""),46303.0)</f>
        <v>46303</v>
      </c>
      <c r="E435" s="2" t="str">
        <f>IFERROR(__xludf.DUMMYFUNCTION("""COMPUTED_VALUE"""),"VF")</f>
        <v>VF</v>
      </c>
      <c r="F435" s="2">
        <f>IFERROR(__xludf.DUMMYFUNCTION("""COMPUTED_VALUE"""),2.0)</f>
        <v>2</v>
      </c>
      <c r="G435" s="2" t="str">
        <f>IFERROR(__xludf.DUMMYFUNCTION("""COMPUTED_VALUE"""),"PR031")</f>
        <v>PR031</v>
      </c>
      <c r="H435" s="2" t="str">
        <f>IFERROR(__xludf.DUMMYFUNCTION("""COMPUTED_VALUE"""),"VD046")</f>
        <v>VD046</v>
      </c>
      <c r="I435" s="2">
        <f>IFERROR(__xludf.DUMMYFUNCTION("""COMPUTED_VALUE"""),4.0)</f>
        <v>4</v>
      </c>
      <c r="J435" s="2">
        <f>IFERROR(__xludf.DUMMYFUNCTION("""COMPUTED_VALUE"""),1078.0)</f>
        <v>1078</v>
      </c>
      <c r="K435" s="2">
        <f>IFERROR(__xludf.DUMMYFUNCTION("""COMPUTED_VALUE"""),1078.0)</f>
        <v>1078</v>
      </c>
    </row>
    <row r="436">
      <c r="A436" s="2">
        <f>IFERROR(__xludf.DUMMYFUNCTION("""COMPUTED_VALUE"""),1000.0)</f>
        <v>1000</v>
      </c>
      <c r="B436" s="2">
        <f>IFERROR(__xludf.DUMMYFUNCTION("""COMPUTED_VALUE"""),183774.0)</f>
        <v>183774</v>
      </c>
      <c r="C436" s="2">
        <f>IFERROR(__xludf.DUMMYFUNCTION("""COMPUTED_VALUE"""),2026.0)</f>
        <v>2026</v>
      </c>
      <c r="D436" s="2">
        <f>IFERROR(__xludf.DUMMYFUNCTION("""COMPUTED_VALUE"""),46303.0)</f>
        <v>46303</v>
      </c>
      <c r="E436" s="2" t="str">
        <f>IFERROR(__xludf.DUMMYFUNCTION("""COMPUTED_VALUE"""),"VF")</f>
        <v>VF</v>
      </c>
      <c r="F436" s="2">
        <f>IFERROR(__xludf.DUMMYFUNCTION("""COMPUTED_VALUE"""),1.0)</f>
        <v>1</v>
      </c>
      <c r="G436" s="2" t="str">
        <f>IFERROR(__xludf.DUMMYFUNCTION("""COMPUTED_VALUE"""),"PR037")</f>
        <v>PR037</v>
      </c>
      <c r="H436" s="2" t="str">
        <f>IFERROR(__xludf.DUMMYFUNCTION("""COMPUTED_VALUE"""),"VD021")</f>
        <v>VD021</v>
      </c>
      <c r="I436" s="2">
        <f>IFERROR(__xludf.DUMMYFUNCTION("""COMPUTED_VALUE"""),4.0)</f>
        <v>4</v>
      </c>
      <c r="J436" s="2">
        <f>IFERROR(__xludf.DUMMYFUNCTION("""COMPUTED_VALUE"""),604.8)</f>
        <v>604.8</v>
      </c>
      <c r="K436" s="2">
        <f>IFERROR(__xludf.DUMMYFUNCTION("""COMPUTED_VALUE"""),604.8)</f>
        <v>604.8</v>
      </c>
    </row>
    <row r="437">
      <c r="A437" s="2">
        <f>IFERROR(__xludf.DUMMYFUNCTION("""COMPUTED_VALUE"""),1000.0)</f>
        <v>1000</v>
      </c>
      <c r="B437" s="2">
        <f>IFERROR(__xludf.DUMMYFUNCTION("""COMPUTED_VALUE"""),183775.0)</f>
        <v>183775</v>
      </c>
      <c r="C437" s="2">
        <f>IFERROR(__xludf.DUMMYFUNCTION("""COMPUTED_VALUE"""),2026.0)</f>
        <v>2026</v>
      </c>
      <c r="D437" s="2">
        <f>IFERROR(__xludf.DUMMYFUNCTION("""COMPUTED_VALUE"""),46303.0)</f>
        <v>46303</v>
      </c>
      <c r="E437" s="2" t="str">
        <f>IFERROR(__xludf.DUMMYFUNCTION("""COMPUTED_VALUE"""),"VF")</f>
        <v>VF</v>
      </c>
      <c r="F437" s="2">
        <f>IFERROR(__xludf.DUMMYFUNCTION("""COMPUTED_VALUE"""),1.0)</f>
        <v>1</v>
      </c>
      <c r="G437" s="2" t="str">
        <f>IFERROR(__xludf.DUMMYFUNCTION("""COMPUTED_VALUE"""),"PR043")</f>
        <v>PR043</v>
      </c>
      <c r="H437" s="2" t="str">
        <f>IFERROR(__xludf.DUMMYFUNCTION("""COMPUTED_VALUE"""),"VD036")</f>
        <v>VD036</v>
      </c>
      <c r="I437" s="2">
        <f>IFERROR(__xludf.DUMMYFUNCTION("""COMPUTED_VALUE"""),27.0)</f>
        <v>27</v>
      </c>
      <c r="J437" s="2">
        <f>IFERROR(__xludf.DUMMYFUNCTION("""COMPUTED_VALUE"""),2074.95)</f>
        <v>2074.95</v>
      </c>
      <c r="K437" s="2">
        <f>IFERROR(__xludf.DUMMYFUNCTION("""COMPUTED_VALUE"""),2074.95)</f>
        <v>2074.95</v>
      </c>
    </row>
    <row r="438">
      <c r="A438" s="2">
        <f>IFERROR(__xludf.DUMMYFUNCTION("""COMPUTED_VALUE"""),2000.0)</f>
        <v>2000</v>
      </c>
      <c r="B438" s="2">
        <f>IFERROR(__xludf.DUMMYFUNCTION("""COMPUTED_VALUE"""),183776.0)</f>
        <v>183776</v>
      </c>
      <c r="C438" s="2">
        <f>IFERROR(__xludf.DUMMYFUNCTION("""COMPUTED_VALUE"""),2026.0)</f>
        <v>2026</v>
      </c>
      <c r="D438" s="2">
        <f>IFERROR(__xludf.DUMMYFUNCTION("""COMPUTED_VALUE"""),46303.0)</f>
        <v>46303</v>
      </c>
      <c r="E438" s="2" t="str">
        <f>IFERROR(__xludf.DUMMYFUNCTION("""COMPUTED_VALUE"""),"VF")</f>
        <v>VF</v>
      </c>
      <c r="F438" s="2">
        <f>IFERROR(__xludf.DUMMYFUNCTION("""COMPUTED_VALUE"""),1.0)</f>
        <v>1</v>
      </c>
      <c r="G438" s="2" t="str">
        <f>IFERROR(__xludf.DUMMYFUNCTION("""COMPUTED_VALUE"""),"PR038")</f>
        <v>PR038</v>
      </c>
      <c r="H438" s="2" t="str">
        <f>IFERROR(__xludf.DUMMYFUNCTION("""COMPUTED_VALUE"""),"VD036")</f>
        <v>VD036</v>
      </c>
      <c r="I438" s="2">
        <f>IFERROR(__xludf.DUMMYFUNCTION("""COMPUTED_VALUE"""),12.0)</f>
        <v>12</v>
      </c>
      <c r="J438" s="2">
        <f>IFERROR(__xludf.DUMMYFUNCTION("""COMPUTED_VALUE"""),1817.69)</f>
        <v>1817.69</v>
      </c>
      <c r="K438" s="2">
        <f>IFERROR(__xludf.DUMMYFUNCTION("""COMPUTED_VALUE"""),1817.69)</f>
        <v>1817.69</v>
      </c>
    </row>
    <row r="439">
      <c r="A439" s="2">
        <f>IFERROR(__xludf.DUMMYFUNCTION("""COMPUTED_VALUE"""),1000.0)</f>
        <v>1000</v>
      </c>
      <c r="B439" s="2">
        <f>IFERROR(__xludf.DUMMYFUNCTION("""COMPUTED_VALUE"""),183777.0)</f>
        <v>183777</v>
      </c>
      <c r="C439" s="2">
        <f>IFERROR(__xludf.DUMMYFUNCTION("""COMPUTED_VALUE"""),2026.0)</f>
        <v>2026</v>
      </c>
      <c r="D439" s="2">
        <f>IFERROR(__xludf.DUMMYFUNCTION("""COMPUTED_VALUE"""),46303.0)</f>
        <v>46303</v>
      </c>
      <c r="E439" s="2" t="str">
        <f>IFERROR(__xludf.DUMMYFUNCTION("""COMPUTED_VALUE"""),"VF")</f>
        <v>VF</v>
      </c>
      <c r="F439" s="2">
        <f>IFERROR(__xludf.DUMMYFUNCTION("""COMPUTED_VALUE"""),1.0)</f>
        <v>1</v>
      </c>
      <c r="G439" s="2" t="str">
        <f>IFERROR(__xludf.DUMMYFUNCTION("""COMPUTED_VALUE"""),"PR048")</f>
        <v>PR048</v>
      </c>
      <c r="H439" s="2" t="str">
        <f>IFERROR(__xludf.DUMMYFUNCTION("""COMPUTED_VALUE"""),"VD032")</f>
        <v>VD032</v>
      </c>
      <c r="I439" s="2">
        <f>IFERROR(__xludf.DUMMYFUNCTION("""COMPUTED_VALUE"""),9.0)</f>
        <v>9</v>
      </c>
      <c r="J439" s="2">
        <f>IFERROR(__xludf.DUMMYFUNCTION("""COMPUTED_VALUE"""),2817.83)</f>
        <v>2817.83</v>
      </c>
      <c r="K439" s="2">
        <f>IFERROR(__xludf.DUMMYFUNCTION("""COMPUTED_VALUE"""),2817.83)</f>
        <v>2817.83</v>
      </c>
    </row>
    <row r="440">
      <c r="A440" s="2">
        <f>IFERROR(__xludf.DUMMYFUNCTION("""COMPUTED_VALUE"""),1000.0)</f>
        <v>1000</v>
      </c>
      <c r="B440" s="2">
        <f>IFERROR(__xludf.DUMMYFUNCTION("""COMPUTED_VALUE"""),183778.0)</f>
        <v>183778</v>
      </c>
      <c r="C440" s="2">
        <f>IFERROR(__xludf.DUMMYFUNCTION("""COMPUTED_VALUE"""),2026.0)</f>
        <v>2026</v>
      </c>
      <c r="D440" s="2">
        <f>IFERROR(__xludf.DUMMYFUNCTION("""COMPUTED_VALUE"""),46303.0)</f>
        <v>46303</v>
      </c>
      <c r="E440" s="2" t="str">
        <f>IFERROR(__xludf.DUMMYFUNCTION("""COMPUTED_VALUE"""),"VF")</f>
        <v>VF</v>
      </c>
      <c r="F440" s="2">
        <f>IFERROR(__xludf.DUMMYFUNCTION("""COMPUTED_VALUE"""),1.0)</f>
        <v>1</v>
      </c>
      <c r="G440" s="2" t="str">
        <f>IFERROR(__xludf.DUMMYFUNCTION("""COMPUTED_VALUE"""),"PR051")</f>
        <v>PR051</v>
      </c>
      <c r="H440" s="2" t="str">
        <f>IFERROR(__xludf.DUMMYFUNCTION("""COMPUTED_VALUE"""),"VD039")</f>
        <v>VD039</v>
      </c>
      <c r="I440" s="2">
        <f>IFERROR(__xludf.DUMMYFUNCTION("""COMPUTED_VALUE"""),15.0)</f>
        <v>15</v>
      </c>
      <c r="J440" s="2">
        <f>IFERROR(__xludf.DUMMYFUNCTION("""COMPUTED_VALUE"""),537.92)</f>
        <v>537.92</v>
      </c>
      <c r="K440" s="2">
        <f>IFERROR(__xludf.DUMMYFUNCTION("""COMPUTED_VALUE"""),537.92)</f>
        <v>537.92</v>
      </c>
    </row>
    <row r="441">
      <c r="A441" s="2">
        <f>IFERROR(__xludf.DUMMYFUNCTION("""COMPUTED_VALUE"""),2000.0)</f>
        <v>2000</v>
      </c>
      <c r="B441" s="2">
        <f>IFERROR(__xludf.DUMMYFUNCTION("""COMPUTED_VALUE"""),183779.0)</f>
        <v>183779</v>
      </c>
      <c r="C441" s="2">
        <f>IFERROR(__xludf.DUMMYFUNCTION("""COMPUTED_VALUE"""),2026.0)</f>
        <v>2026</v>
      </c>
      <c r="D441" s="2">
        <f>IFERROR(__xludf.DUMMYFUNCTION("""COMPUTED_VALUE"""),46303.0)</f>
        <v>46303</v>
      </c>
      <c r="E441" s="2" t="str">
        <f>IFERROR(__xludf.DUMMYFUNCTION("""COMPUTED_VALUE"""),"VF")</f>
        <v>VF</v>
      </c>
      <c r="F441" s="2">
        <f>IFERROR(__xludf.DUMMYFUNCTION("""COMPUTED_VALUE"""),1.0)</f>
        <v>1</v>
      </c>
      <c r="G441" s="2" t="str">
        <f>IFERROR(__xludf.DUMMYFUNCTION("""COMPUTED_VALUE"""),"PR047")</f>
        <v>PR047</v>
      </c>
      <c r="H441" s="2" t="str">
        <f>IFERROR(__xludf.DUMMYFUNCTION("""COMPUTED_VALUE"""),"VD039")</f>
        <v>VD039</v>
      </c>
      <c r="I441" s="2">
        <f>IFERROR(__xludf.DUMMYFUNCTION("""COMPUTED_VALUE"""),8.0)</f>
        <v>8</v>
      </c>
      <c r="J441" s="2">
        <f>IFERROR(__xludf.DUMMYFUNCTION("""COMPUTED_VALUE"""),2504.74)</f>
        <v>2504.74</v>
      </c>
      <c r="K441" s="2">
        <f>IFERROR(__xludf.DUMMYFUNCTION("""COMPUTED_VALUE"""),2504.74)</f>
        <v>2504.74</v>
      </c>
    </row>
    <row r="442">
      <c r="A442" s="2">
        <f>IFERROR(__xludf.DUMMYFUNCTION("""COMPUTED_VALUE"""),1000.0)</f>
        <v>1000</v>
      </c>
      <c r="B442" s="2">
        <f>IFERROR(__xludf.DUMMYFUNCTION("""COMPUTED_VALUE"""),183780.0)</f>
        <v>183780</v>
      </c>
      <c r="C442" s="2">
        <f>IFERROR(__xludf.DUMMYFUNCTION("""COMPUTED_VALUE"""),2026.0)</f>
        <v>2026</v>
      </c>
      <c r="D442" s="2">
        <f>IFERROR(__xludf.DUMMYFUNCTION("""COMPUTED_VALUE"""),46302.0)</f>
        <v>46302</v>
      </c>
      <c r="E442" s="2" t="str">
        <f>IFERROR(__xludf.DUMMYFUNCTION("""COMPUTED_VALUE"""),"VF")</f>
        <v>VF</v>
      </c>
      <c r="F442" s="2">
        <f>IFERROR(__xludf.DUMMYFUNCTION("""COMPUTED_VALUE"""),1.0)</f>
        <v>1</v>
      </c>
      <c r="G442" s="2" t="str">
        <f>IFERROR(__xludf.DUMMYFUNCTION("""COMPUTED_VALUE"""),"PR014")</f>
        <v>PR014</v>
      </c>
      <c r="H442" s="2" t="str">
        <f>IFERROR(__xludf.DUMMYFUNCTION("""COMPUTED_VALUE"""),"VD017")</f>
        <v>VD017</v>
      </c>
      <c r="I442" s="2">
        <f>IFERROR(__xludf.DUMMYFUNCTION("""COMPUTED_VALUE"""),5.0)</f>
        <v>5</v>
      </c>
      <c r="J442" s="2">
        <f>IFERROR(__xludf.DUMMYFUNCTION("""COMPUTED_VALUE"""),217.46)</f>
        <v>217.46</v>
      </c>
      <c r="K442" s="2">
        <f>IFERROR(__xludf.DUMMYFUNCTION("""COMPUTED_VALUE"""),217.46)</f>
        <v>217.46</v>
      </c>
    </row>
    <row r="443">
      <c r="A443" s="2">
        <f>IFERROR(__xludf.DUMMYFUNCTION("""COMPUTED_VALUE"""),1000.0)</f>
        <v>1000</v>
      </c>
      <c r="B443" s="2">
        <f>IFERROR(__xludf.DUMMYFUNCTION("""COMPUTED_VALUE"""),183781.0)</f>
        <v>183781</v>
      </c>
      <c r="C443" s="2">
        <f>IFERROR(__xludf.DUMMYFUNCTION("""COMPUTED_VALUE"""),2026.0)</f>
        <v>2026</v>
      </c>
      <c r="D443" s="2">
        <f>IFERROR(__xludf.DUMMYFUNCTION("""COMPUTED_VALUE"""),46302.0)</f>
        <v>46302</v>
      </c>
      <c r="E443" s="2" t="str">
        <f>IFERROR(__xludf.DUMMYFUNCTION("""COMPUTED_VALUE"""),"VF")</f>
        <v>VF</v>
      </c>
      <c r="F443" s="2">
        <f>IFERROR(__xludf.DUMMYFUNCTION("""COMPUTED_VALUE"""),1.0)</f>
        <v>1</v>
      </c>
      <c r="G443" s="2" t="str">
        <f>IFERROR(__xludf.DUMMYFUNCTION("""COMPUTED_VALUE"""),"PR009")</f>
        <v>PR009</v>
      </c>
      <c r="H443" s="2" t="str">
        <f>IFERROR(__xludf.DUMMYFUNCTION("""COMPUTED_VALUE"""),"VD010")</f>
        <v>VD010</v>
      </c>
      <c r="I443" s="2">
        <f>IFERROR(__xludf.DUMMYFUNCTION("""COMPUTED_VALUE"""),5.0)</f>
        <v>5</v>
      </c>
      <c r="J443" s="2">
        <f>IFERROR(__xludf.DUMMYFUNCTION("""COMPUTED_VALUE"""),478.44)</f>
        <v>478.44</v>
      </c>
      <c r="K443" s="2">
        <f>IFERROR(__xludf.DUMMYFUNCTION("""COMPUTED_VALUE"""),478.44)</f>
        <v>478.44</v>
      </c>
    </row>
    <row r="444">
      <c r="A444" s="2">
        <f>IFERROR(__xludf.DUMMYFUNCTION("""COMPUTED_VALUE"""),1000.0)</f>
        <v>1000</v>
      </c>
      <c r="B444" s="2">
        <f>IFERROR(__xludf.DUMMYFUNCTION("""COMPUTED_VALUE"""),183782.0)</f>
        <v>183782</v>
      </c>
      <c r="C444" s="2">
        <f>IFERROR(__xludf.DUMMYFUNCTION("""COMPUTED_VALUE"""),2026.0)</f>
        <v>2026</v>
      </c>
      <c r="D444" s="2">
        <f>IFERROR(__xludf.DUMMYFUNCTION("""COMPUTED_VALUE"""),46302.0)</f>
        <v>46302</v>
      </c>
      <c r="E444" s="2" t="str">
        <f>IFERROR(__xludf.DUMMYFUNCTION("""COMPUTED_VALUE"""),"VF")</f>
        <v>VF</v>
      </c>
      <c r="F444" s="2">
        <f>IFERROR(__xludf.DUMMYFUNCTION("""COMPUTED_VALUE"""),1.0)</f>
        <v>1</v>
      </c>
      <c r="G444" s="2" t="str">
        <f>IFERROR(__xludf.DUMMYFUNCTION("""COMPUTED_VALUE"""),"PR029")</f>
        <v>PR029</v>
      </c>
      <c r="H444" s="2" t="str">
        <f>IFERROR(__xludf.DUMMYFUNCTION("""COMPUTED_VALUE"""),"VD014")</f>
        <v>VD014</v>
      </c>
      <c r="I444" s="2">
        <f>IFERROR(__xludf.DUMMYFUNCTION("""COMPUTED_VALUE"""),6.0)</f>
        <v>6</v>
      </c>
      <c r="J444" s="2">
        <f>IFERROR(__xludf.DUMMYFUNCTION("""COMPUTED_VALUE"""),1575.9)</f>
        <v>1575.9</v>
      </c>
      <c r="K444" s="2">
        <f>IFERROR(__xludf.DUMMYFUNCTION("""COMPUTED_VALUE"""),1575.9)</f>
        <v>1575.9</v>
      </c>
    </row>
    <row r="445">
      <c r="A445" s="2">
        <f>IFERROR(__xludf.DUMMYFUNCTION("""COMPUTED_VALUE"""),1000.0)</f>
        <v>1000</v>
      </c>
      <c r="B445" s="2">
        <f>IFERROR(__xludf.DUMMYFUNCTION("""COMPUTED_VALUE"""),183782.0)</f>
        <v>183782</v>
      </c>
      <c r="C445" s="2">
        <f>IFERROR(__xludf.DUMMYFUNCTION("""COMPUTED_VALUE"""),2026.0)</f>
        <v>2026</v>
      </c>
      <c r="D445" s="2">
        <f>IFERROR(__xludf.DUMMYFUNCTION("""COMPUTED_VALUE"""),46302.0)</f>
        <v>46302</v>
      </c>
      <c r="E445" s="2" t="str">
        <f>IFERROR(__xludf.DUMMYFUNCTION("""COMPUTED_VALUE"""),"VF")</f>
        <v>VF</v>
      </c>
      <c r="F445" s="2">
        <f>IFERROR(__xludf.DUMMYFUNCTION("""COMPUTED_VALUE"""),2.0)</f>
        <v>2</v>
      </c>
      <c r="G445" s="2" t="str">
        <f>IFERROR(__xludf.DUMMYFUNCTION("""COMPUTED_VALUE"""),"PR019")</f>
        <v>PR019</v>
      </c>
      <c r="H445" s="2" t="str">
        <f>IFERROR(__xludf.DUMMYFUNCTION("""COMPUTED_VALUE"""),"VD020")</f>
        <v>VD020</v>
      </c>
      <c r="I445" s="2">
        <f>IFERROR(__xludf.DUMMYFUNCTION("""COMPUTED_VALUE"""),6.0)</f>
        <v>6</v>
      </c>
      <c r="J445" s="2">
        <f>IFERROR(__xludf.DUMMYFUNCTION("""COMPUTED_VALUE"""),317.36)</f>
        <v>317.36</v>
      </c>
      <c r="K445" s="2">
        <f>IFERROR(__xludf.DUMMYFUNCTION("""COMPUTED_VALUE"""),317.36)</f>
        <v>317.36</v>
      </c>
    </row>
    <row r="446">
      <c r="A446" s="2">
        <f>IFERROR(__xludf.DUMMYFUNCTION("""COMPUTED_VALUE"""),1000.0)</f>
        <v>1000</v>
      </c>
      <c r="B446" s="2">
        <f>IFERROR(__xludf.DUMMYFUNCTION("""COMPUTED_VALUE"""),183783.0)</f>
        <v>183783</v>
      </c>
      <c r="C446" s="2">
        <f>IFERROR(__xludf.DUMMYFUNCTION("""COMPUTED_VALUE"""),2026.0)</f>
        <v>2026</v>
      </c>
      <c r="D446" s="2">
        <f>IFERROR(__xludf.DUMMYFUNCTION("""COMPUTED_VALUE"""),46301.0)</f>
        <v>46301</v>
      </c>
      <c r="E446" s="2" t="str">
        <f>IFERROR(__xludf.DUMMYFUNCTION("""COMPUTED_VALUE"""),"VF")</f>
        <v>VF</v>
      </c>
      <c r="F446" s="2">
        <f>IFERROR(__xludf.DUMMYFUNCTION("""COMPUTED_VALUE"""),1.0)</f>
        <v>1</v>
      </c>
      <c r="G446" s="2" t="str">
        <f>IFERROR(__xludf.DUMMYFUNCTION("""COMPUTED_VALUE"""),"PR007")</f>
        <v>PR007</v>
      </c>
      <c r="H446" s="2" t="str">
        <f>IFERROR(__xludf.DUMMYFUNCTION("""COMPUTED_VALUE"""),"VD028")</f>
        <v>VD028</v>
      </c>
      <c r="I446" s="2">
        <f>IFERROR(__xludf.DUMMYFUNCTION("""COMPUTED_VALUE"""),14.0)</f>
        <v>14</v>
      </c>
      <c r="J446" s="2">
        <f>IFERROR(__xludf.DUMMYFUNCTION("""COMPUTED_VALUE"""),1226.65)</f>
        <v>1226.65</v>
      </c>
      <c r="K446" s="2">
        <f>IFERROR(__xludf.DUMMYFUNCTION("""COMPUTED_VALUE"""),1226.65)</f>
        <v>1226.65</v>
      </c>
    </row>
    <row r="447">
      <c r="A447" s="2">
        <f>IFERROR(__xludf.DUMMYFUNCTION("""COMPUTED_VALUE"""),1000.0)</f>
        <v>1000</v>
      </c>
      <c r="B447" s="2">
        <f>IFERROR(__xludf.DUMMYFUNCTION("""COMPUTED_VALUE"""),183784.0)</f>
        <v>183784</v>
      </c>
      <c r="C447" s="2">
        <f>IFERROR(__xludf.DUMMYFUNCTION("""COMPUTED_VALUE"""),2026.0)</f>
        <v>2026</v>
      </c>
      <c r="D447" s="2">
        <f>IFERROR(__xludf.DUMMYFUNCTION("""COMPUTED_VALUE"""),46301.0)</f>
        <v>46301</v>
      </c>
      <c r="E447" s="2" t="str">
        <f>IFERROR(__xludf.DUMMYFUNCTION("""COMPUTED_VALUE"""),"VF")</f>
        <v>VF</v>
      </c>
      <c r="F447" s="2">
        <f>IFERROR(__xludf.DUMMYFUNCTION("""COMPUTED_VALUE"""),1.0)</f>
        <v>1</v>
      </c>
      <c r="G447" s="2" t="str">
        <f>IFERROR(__xludf.DUMMYFUNCTION("""COMPUTED_VALUE"""),"PR032")</f>
        <v>PR032</v>
      </c>
      <c r="H447" s="2" t="str">
        <f>IFERROR(__xludf.DUMMYFUNCTION("""COMPUTED_VALUE"""),"VD033")</f>
        <v>VD033</v>
      </c>
      <c r="I447" s="2">
        <f>IFERROR(__xludf.DUMMYFUNCTION("""COMPUTED_VALUE"""),30.0)</f>
        <v>30</v>
      </c>
      <c r="J447" s="2">
        <f>IFERROR(__xludf.DUMMYFUNCTION("""COMPUTED_VALUE"""),7950.0)</f>
        <v>7950</v>
      </c>
      <c r="K447" s="2">
        <f>IFERROR(__xludf.DUMMYFUNCTION("""COMPUTED_VALUE"""),7950.0)</f>
        <v>7950</v>
      </c>
    </row>
    <row r="448">
      <c r="A448" s="2">
        <f>IFERROR(__xludf.DUMMYFUNCTION("""COMPUTED_VALUE"""),2000.0)</f>
        <v>2000</v>
      </c>
      <c r="B448" s="2">
        <f>IFERROR(__xludf.DUMMYFUNCTION("""COMPUTED_VALUE"""),183785.0)</f>
        <v>183785</v>
      </c>
      <c r="C448" s="2">
        <f>IFERROR(__xludf.DUMMYFUNCTION("""COMPUTED_VALUE"""),2026.0)</f>
        <v>2026</v>
      </c>
      <c r="D448" s="2">
        <f>IFERROR(__xludf.DUMMYFUNCTION("""COMPUTED_VALUE"""),46300.0)</f>
        <v>46300</v>
      </c>
      <c r="E448" s="2" t="str">
        <f>IFERROR(__xludf.DUMMYFUNCTION("""COMPUTED_VALUE"""),"VF")</f>
        <v>VF</v>
      </c>
      <c r="F448" s="2">
        <f>IFERROR(__xludf.DUMMYFUNCTION("""COMPUTED_VALUE"""),1.0)</f>
        <v>1</v>
      </c>
      <c r="G448" s="2" t="str">
        <f>IFERROR(__xludf.DUMMYFUNCTION("""COMPUTED_VALUE"""),"PR052")</f>
        <v>PR052</v>
      </c>
      <c r="H448" s="2" t="str">
        <f>IFERROR(__xludf.DUMMYFUNCTION("""COMPUTED_VALUE"""),"VD037")</f>
        <v>VD037</v>
      </c>
      <c r="I448" s="2">
        <f>IFERROR(__xludf.DUMMYFUNCTION("""COMPUTED_VALUE"""),16.0)</f>
        <v>16</v>
      </c>
      <c r="J448" s="2">
        <f>IFERROR(__xludf.DUMMYFUNCTION("""COMPUTED_VALUE"""),870.26)</f>
        <v>870.26</v>
      </c>
      <c r="K448" s="2">
        <f>IFERROR(__xludf.DUMMYFUNCTION("""COMPUTED_VALUE"""),870.26)</f>
        <v>870.26</v>
      </c>
    </row>
    <row r="449">
      <c r="A449" s="2">
        <f>IFERROR(__xludf.DUMMYFUNCTION("""COMPUTED_VALUE"""),2000.0)</f>
        <v>2000</v>
      </c>
      <c r="B449" s="2">
        <f>IFERROR(__xludf.DUMMYFUNCTION("""COMPUTED_VALUE"""),183786.0)</f>
        <v>183786</v>
      </c>
      <c r="C449" s="2">
        <f>IFERROR(__xludf.DUMMYFUNCTION("""COMPUTED_VALUE"""),2026.0)</f>
        <v>2026</v>
      </c>
      <c r="D449" s="2">
        <f>IFERROR(__xludf.DUMMYFUNCTION("""COMPUTED_VALUE"""),46300.0)</f>
        <v>46300</v>
      </c>
      <c r="E449" s="2" t="str">
        <f>IFERROR(__xludf.DUMMYFUNCTION("""COMPUTED_VALUE"""),"VF")</f>
        <v>VF</v>
      </c>
      <c r="F449" s="2">
        <f>IFERROR(__xludf.DUMMYFUNCTION("""COMPUTED_VALUE"""),1.0)</f>
        <v>1</v>
      </c>
      <c r="G449" s="2" t="str">
        <f>IFERROR(__xludf.DUMMYFUNCTION("""COMPUTED_VALUE"""),"PR055")</f>
        <v>PR055</v>
      </c>
      <c r="H449" s="2" t="str">
        <f>IFERROR(__xludf.DUMMYFUNCTION("""COMPUTED_VALUE"""),"VD036")</f>
        <v>VD036</v>
      </c>
      <c r="I449" s="2">
        <f>IFERROR(__xludf.DUMMYFUNCTION("""COMPUTED_VALUE"""),1.0)</f>
        <v>1</v>
      </c>
      <c r="J449" s="2">
        <f>IFERROR(__xludf.DUMMYFUNCTION("""COMPUTED_VALUE"""),89.9)</f>
        <v>89.9</v>
      </c>
      <c r="K449" s="2">
        <f>IFERROR(__xludf.DUMMYFUNCTION("""COMPUTED_VALUE"""),89.9)</f>
        <v>89.9</v>
      </c>
    </row>
    <row r="450">
      <c r="A450" s="2">
        <f>IFERROR(__xludf.DUMMYFUNCTION("""COMPUTED_VALUE"""),1000.0)</f>
        <v>1000</v>
      </c>
      <c r="B450" s="2">
        <f>IFERROR(__xludf.DUMMYFUNCTION("""COMPUTED_VALUE"""),183786.0)</f>
        <v>183786</v>
      </c>
      <c r="C450" s="2">
        <f>IFERROR(__xludf.DUMMYFUNCTION("""COMPUTED_VALUE"""),2026.0)</f>
        <v>2026</v>
      </c>
      <c r="D450" s="2">
        <f>IFERROR(__xludf.DUMMYFUNCTION("""COMPUTED_VALUE"""),46300.0)</f>
        <v>46300</v>
      </c>
      <c r="E450" s="2" t="str">
        <f>IFERROR(__xludf.DUMMYFUNCTION("""COMPUTED_VALUE"""),"VF")</f>
        <v>VF</v>
      </c>
      <c r="F450" s="2">
        <f>IFERROR(__xludf.DUMMYFUNCTION("""COMPUTED_VALUE"""),2.0)</f>
        <v>2</v>
      </c>
      <c r="G450" s="2" t="str">
        <f>IFERROR(__xludf.DUMMYFUNCTION("""COMPUTED_VALUE"""),"PR027")</f>
        <v>PR027</v>
      </c>
      <c r="H450" s="2" t="str">
        <f>IFERROR(__xludf.DUMMYFUNCTION("""COMPUTED_VALUE"""),"VD019")</f>
        <v>VD019</v>
      </c>
      <c r="I450" s="2">
        <f>IFERROR(__xludf.DUMMYFUNCTION("""COMPUTED_VALUE"""),8.0)</f>
        <v>8</v>
      </c>
      <c r="J450" s="2">
        <f>IFERROR(__xludf.DUMMYFUNCTION("""COMPUTED_VALUE"""),988.8)</f>
        <v>988.8</v>
      </c>
      <c r="K450" s="2">
        <f>IFERROR(__xludf.DUMMYFUNCTION("""COMPUTED_VALUE"""),988.8)</f>
        <v>988.8</v>
      </c>
    </row>
    <row r="451">
      <c r="A451" s="2">
        <f>IFERROR(__xludf.DUMMYFUNCTION("""COMPUTED_VALUE"""),1000.0)</f>
        <v>1000</v>
      </c>
      <c r="B451" s="2">
        <f>IFERROR(__xludf.DUMMYFUNCTION("""COMPUTED_VALUE"""),183787.0)</f>
        <v>183787</v>
      </c>
      <c r="C451" s="2">
        <f>IFERROR(__xludf.DUMMYFUNCTION("""COMPUTED_VALUE"""),2026.0)</f>
        <v>2026</v>
      </c>
      <c r="D451" s="2">
        <f>IFERROR(__xludf.DUMMYFUNCTION("""COMPUTED_VALUE"""),46300.0)</f>
        <v>46300</v>
      </c>
      <c r="E451" s="2" t="str">
        <f>IFERROR(__xludf.DUMMYFUNCTION("""COMPUTED_VALUE"""),"VF")</f>
        <v>VF</v>
      </c>
      <c r="F451" s="2">
        <f>IFERROR(__xludf.DUMMYFUNCTION("""COMPUTED_VALUE"""),1.0)</f>
        <v>1</v>
      </c>
      <c r="G451" s="2" t="str">
        <f>IFERROR(__xludf.DUMMYFUNCTION("""COMPUTED_VALUE"""),"PR034")</f>
        <v>PR034</v>
      </c>
      <c r="H451" s="2" t="str">
        <f>IFERROR(__xludf.DUMMYFUNCTION("""COMPUTED_VALUE"""),"VD048")</f>
        <v>VD048</v>
      </c>
      <c r="I451" s="2">
        <f>IFERROR(__xludf.DUMMYFUNCTION("""COMPUTED_VALUE"""),30.0)</f>
        <v>30</v>
      </c>
      <c r="J451" s="2">
        <f>IFERROR(__xludf.DUMMYFUNCTION("""COMPUTED_VALUE"""),2777.91)</f>
        <v>2777.91</v>
      </c>
      <c r="K451" s="2">
        <f>IFERROR(__xludf.DUMMYFUNCTION("""COMPUTED_VALUE"""),2777.91)</f>
        <v>2777.91</v>
      </c>
    </row>
    <row r="452">
      <c r="A452" s="2">
        <f>IFERROR(__xludf.DUMMYFUNCTION("""COMPUTED_VALUE"""),1000.0)</f>
        <v>1000</v>
      </c>
      <c r="B452" s="2">
        <f>IFERROR(__xludf.DUMMYFUNCTION("""COMPUTED_VALUE"""),183787.0)</f>
        <v>183787</v>
      </c>
      <c r="C452" s="2">
        <f>IFERROR(__xludf.DUMMYFUNCTION("""COMPUTED_VALUE"""),2026.0)</f>
        <v>2026</v>
      </c>
      <c r="D452" s="2">
        <f>IFERROR(__xludf.DUMMYFUNCTION("""COMPUTED_VALUE"""),46300.0)</f>
        <v>46300</v>
      </c>
      <c r="E452" s="2" t="str">
        <f>IFERROR(__xludf.DUMMYFUNCTION("""COMPUTED_VALUE"""),"VF")</f>
        <v>VF</v>
      </c>
      <c r="F452" s="2">
        <f>IFERROR(__xludf.DUMMYFUNCTION("""COMPUTED_VALUE"""),2.0)</f>
        <v>2</v>
      </c>
      <c r="G452" s="2" t="str">
        <f>IFERROR(__xludf.DUMMYFUNCTION("""COMPUTED_VALUE"""),"PR028")</f>
        <v>PR028</v>
      </c>
      <c r="H452" s="2" t="str">
        <f>IFERROR(__xludf.DUMMYFUNCTION("""COMPUTED_VALUE"""),"VD042")</f>
        <v>VD042</v>
      </c>
      <c r="I452" s="2">
        <f>IFERROR(__xludf.DUMMYFUNCTION("""COMPUTED_VALUE"""),3.0)</f>
        <v>3</v>
      </c>
      <c r="J452" s="2">
        <f>IFERROR(__xludf.DUMMYFUNCTION("""COMPUTED_VALUE"""),749.7)</f>
        <v>749.7</v>
      </c>
      <c r="K452" s="2">
        <f>IFERROR(__xludf.DUMMYFUNCTION("""COMPUTED_VALUE"""),749.7)</f>
        <v>749.7</v>
      </c>
    </row>
    <row r="453">
      <c r="A453" s="2">
        <f>IFERROR(__xludf.DUMMYFUNCTION("""COMPUTED_VALUE"""),1000.0)</f>
        <v>1000</v>
      </c>
      <c r="B453" s="2">
        <f>IFERROR(__xludf.DUMMYFUNCTION("""COMPUTED_VALUE"""),183788.0)</f>
        <v>183788</v>
      </c>
      <c r="C453" s="2">
        <f>IFERROR(__xludf.DUMMYFUNCTION("""COMPUTED_VALUE"""),2026.0)</f>
        <v>2026</v>
      </c>
      <c r="D453" s="2">
        <f>IFERROR(__xludf.DUMMYFUNCTION("""COMPUTED_VALUE"""),46300.0)</f>
        <v>46300</v>
      </c>
      <c r="E453" s="2" t="str">
        <f>IFERROR(__xludf.DUMMYFUNCTION("""COMPUTED_VALUE"""),"VF")</f>
        <v>VF</v>
      </c>
      <c r="F453" s="2">
        <f>IFERROR(__xludf.DUMMYFUNCTION("""COMPUTED_VALUE"""),1.0)</f>
        <v>1</v>
      </c>
      <c r="G453" s="2" t="str">
        <f>IFERROR(__xludf.DUMMYFUNCTION("""COMPUTED_VALUE"""),"PR039")</f>
        <v>PR039</v>
      </c>
      <c r="H453" s="2" t="str">
        <f>IFERROR(__xludf.DUMMYFUNCTION("""COMPUTED_VALUE"""),"VD023")</f>
        <v>VD023</v>
      </c>
      <c r="I453" s="2">
        <f>IFERROR(__xludf.DUMMYFUNCTION("""COMPUTED_VALUE"""),9.0)</f>
        <v>9</v>
      </c>
      <c r="J453" s="2">
        <f>IFERROR(__xludf.DUMMYFUNCTION("""COMPUTED_VALUE"""),1445.4)</f>
        <v>1445.4</v>
      </c>
      <c r="K453" s="2">
        <f>IFERROR(__xludf.DUMMYFUNCTION("""COMPUTED_VALUE"""),1445.4)</f>
        <v>1445.4</v>
      </c>
    </row>
    <row r="454">
      <c r="A454" s="2">
        <f>IFERROR(__xludf.DUMMYFUNCTION("""COMPUTED_VALUE"""),1000.0)</f>
        <v>1000</v>
      </c>
      <c r="B454" s="2">
        <f>IFERROR(__xludf.DUMMYFUNCTION("""COMPUTED_VALUE"""),183789.0)</f>
        <v>183789</v>
      </c>
      <c r="C454" s="2">
        <f>IFERROR(__xludf.DUMMYFUNCTION("""COMPUTED_VALUE"""),2026.0)</f>
        <v>2026</v>
      </c>
      <c r="D454" s="2">
        <f>IFERROR(__xludf.DUMMYFUNCTION("""COMPUTED_VALUE"""),46299.0)</f>
        <v>46299</v>
      </c>
      <c r="E454" s="2" t="str">
        <f>IFERROR(__xludf.DUMMYFUNCTION("""COMPUTED_VALUE"""),"VF")</f>
        <v>VF</v>
      </c>
      <c r="F454" s="2">
        <f>IFERROR(__xludf.DUMMYFUNCTION("""COMPUTED_VALUE"""),1.0)</f>
        <v>1</v>
      </c>
      <c r="G454" s="2" t="str">
        <f>IFERROR(__xludf.DUMMYFUNCTION("""COMPUTED_VALUE"""),"PR053")</f>
        <v>PR053</v>
      </c>
      <c r="H454" s="2" t="str">
        <f>IFERROR(__xludf.DUMMYFUNCTION("""COMPUTED_VALUE"""),"VD024")</f>
        <v>VD024</v>
      </c>
      <c r="I454" s="2">
        <f>IFERROR(__xludf.DUMMYFUNCTION("""COMPUTED_VALUE"""),6.0)</f>
        <v>6</v>
      </c>
      <c r="J454" s="2">
        <f>IFERROR(__xludf.DUMMYFUNCTION("""COMPUTED_VALUE"""),308.38)</f>
        <v>308.38</v>
      </c>
      <c r="K454" s="2">
        <f>IFERROR(__xludf.DUMMYFUNCTION("""COMPUTED_VALUE"""),308.38)</f>
        <v>308.38</v>
      </c>
    </row>
    <row r="455">
      <c r="A455" s="2">
        <f>IFERROR(__xludf.DUMMYFUNCTION("""COMPUTED_VALUE"""),1000.0)</f>
        <v>1000</v>
      </c>
      <c r="B455" s="2">
        <f>IFERROR(__xludf.DUMMYFUNCTION("""COMPUTED_VALUE"""),183789.0)</f>
        <v>183789</v>
      </c>
      <c r="C455" s="2">
        <f>IFERROR(__xludf.DUMMYFUNCTION("""COMPUTED_VALUE"""),2026.0)</f>
        <v>2026</v>
      </c>
      <c r="D455" s="2">
        <f>IFERROR(__xludf.DUMMYFUNCTION("""COMPUTED_VALUE"""),46299.0)</f>
        <v>46299</v>
      </c>
      <c r="E455" s="2" t="str">
        <f>IFERROR(__xludf.DUMMYFUNCTION("""COMPUTED_VALUE"""),"VF")</f>
        <v>VF</v>
      </c>
      <c r="F455" s="2">
        <f>IFERROR(__xludf.DUMMYFUNCTION("""COMPUTED_VALUE"""),2.0)</f>
        <v>2</v>
      </c>
      <c r="G455" s="2" t="str">
        <f>IFERROR(__xludf.DUMMYFUNCTION("""COMPUTED_VALUE"""),"PR032")</f>
        <v>PR032</v>
      </c>
      <c r="H455" s="2" t="str">
        <f>IFERROR(__xludf.DUMMYFUNCTION("""COMPUTED_VALUE"""),"VD011")</f>
        <v>VD011</v>
      </c>
      <c r="I455" s="2">
        <f>IFERROR(__xludf.DUMMYFUNCTION("""COMPUTED_VALUE"""),27.0)</f>
        <v>27</v>
      </c>
      <c r="J455" s="2">
        <f>IFERROR(__xludf.DUMMYFUNCTION("""COMPUTED_VALUE"""),7020.0)</f>
        <v>7020</v>
      </c>
      <c r="K455" s="2">
        <f>IFERROR(__xludf.DUMMYFUNCTION("""COMPUTED_VALUE"""),7020.0)</f>
        <v>7020</v>
      </c>
    </row>
    <row r="456">
      <c r="A456" s="2">
        <f>IFERROR(__xludf.DUMMYFUNCTION("""COMPUTED_VALUE"""),2000.0)</f>
        <v>2000</v>
      </c>
      <c r="B456" s="2">
        <f>IFERROR(__xludf.DUMMYFUNCTION("""COMPUTED_VALUE"""),183790.0)</f>
        <v>183790</v>
      </c>
      <c r="C456" s="2">
        <f>IFERROR(__xludf.DUMMYFUNCTION("""COMPUTED_VALUE"""),2026.0)</f>
        <v>2026</v>
      </c>
      <c r="D456" s="2">
        <f>IFERROR(__xludf.DUMMYFUNCTION("""COMPUTED_VALUE"""),46299.0)</f>
        <v>46299</v>
      </c>
      <c r="E456" s="2" t="str">
        <f>IFERROR(__xludf.DUMMYFUNCTION("""COMPUTED_VALUE"""),"VF")</f>
        <v>VF</v>
      </c>
      <c r="F456" s="2">
        <f>IFERROR(__xludf.DUMMYFUNCTION("""COMPUTED_VALUE"""),1.0)</f>
        <v>1</v>
      </c>
      <c r="G456" s="2" t="str">
        <f>IFERROR(__xludf.DUMMYFUNCTION("""COMPUTED_VALUE"""),"PR027")</f>
        <v>PR027</v>
      </c>
      <c r="H456" s="2" t="str">
        <f>IFERROR(__xludf.DUMMYFUNCTION("""COMPUTED_VALUE"""),"VD030")</f>
        <v>VD030</v>
      </c>
      <c r="I456" s="2">
        <f>IFERROR(__xludf.DUMMYFUNCTION("""COMPUTED_VALUE"""),3.0)</f>
        <v>3</v>
      </c>
      <c r="J456" s="2">
        <f>IFERROR(__xludf.DUMMYFUNCTION("""COMPUTED_VALUE"""),381.6)</f>
        <v>381.6</v>
      </c>
      <c r="K456" s="2">
        <f>IFERROR(__xludf.DUMMYFUNCTION("""COMPUTED_VALUE"""),381.6)</f>
        <v>381.6</v>
      </c>
    </row>
    <row r="457">
      <c r="A457" s="2">
        <f>IFERROR(__xludf.DUMMYFUNCTION("""COMPUTED_VALUE"""),1000.0)</f>
        <v>1000</v>
      </c>
      <c r="B457" s="2">
        <f>IFERROR(__xludf.DUMMYFUNCTION("""COMPUTED_VALUE"""),183791.0)</f>
        <v>183791</v>
      </c>
      <c r="C457" s="2">
        <f>IFERROR(__xludf.DUMMYFUNCTION("""COMPUTED_VALUE"""),2026.0)</f>
        <v>2026</v>
      </c>
      <c r="D457" s="2">
        <f>IFERROR(__xludf.DUMMYFUNCTION("""COMPUTED_VALUE"""),46299.0)</f>
        <v>46299</v>
      </c>
      <c r="E457" s="2" t="str">
        <f>IFERROR(__xludf.DUMMYFUNCTION("""COMPUTED_VALUE"""),"VF")</f>
        <v>VF</v>
      </c>
      <c r="F457" s="2">
        <f>IFERROR(__xludf.DUMMYFUNCTION("""COMPUTED_VALUE"""),1.0)</f>
        <v>1</v>
      </c>
      <c r="G457" s="2" t="str">
        <f>IFERROR(__xludf.DUMMYFUNCTION("""COMPUTED_VALUE"""),"PR049")</f>
        <v>PR049</v>
      </c>
      <c r="H457" s="2" t="str">
        <f>IFERROR(__xludf.DUMMYFUNCTION("""COMPUTED_VALUE"""),"VD017")</f>
        <v>VD017</v>
      </c>
      <c r="I457" s="2">
        <f>IFERROR(__xludf.DUMMYFUNCTION("""COMPUTED_VALUE"""),24.0)</f>
        <v>24</v>
      </c>
      <c r="J457" s="2">
        <f>IFERROR(__xludf.DUMMYFUNCTION("""COMPUTED_VALUE"""),868.56)</f>
        <v>868.56</v>
      </c>
      <c r="K457" s="2">
        <f>IFERROR(__xludf.DUMMYFUNCTION("""COMPUTED_VALUE"""),868.56)</f>
        <v>868.56</v>
      </c>
    </row>
    <row r="458">
      <c r="A458" s="2">
        <f>IFERROR(__xludf.DUMMYFUNCTION("""COMPUTED_VALUE"""),1000.0)</f>
        <v>1000</v>
      </c>
      <c r="B458" s="2">
        <f>IFERROR(__xludf.DUMMYFUNCTION("""COMPUTED_VALUE"""),183792.0)</f>
        <v>183792</v>
      </c>
      <c r="C458" s="2">
        <f>IFERROR(__xludf.DUMMYFUNCTION("""COMPUTED_VALUE"""),2026.0)</f>
        <v>2026</v>
      </c>
      <c r="D458" s="2">
        <f>IFERROR(__xludf.DUMMYFUNCTION("""COMPUTED_VALUE"""),46298.0)</f>
        <v>46298</v>
      </c>
      <c r="E458" s="2" t="str">
        <f>IFERROR(__xludf.DUMMYFUNCTION("""COMPUTED_VALUE"""),"VF")</f>
        <v>VF</v>
      </c>
      <c r="F458" s="2">
        <f>IFERROR(__xludf.DUMMYFUNCTION("""COMPUTED_VALUE"""),1.0)</f>
        <v>1</v>
      </c>
      <c r="G458" s="2" t="str">
        <f>IFERROR(__xludf.DUMMYFUNCTION("""COMPUTED_VALUE"""),"PR050")</f>
        <v>PR050</v>
      </c>
      <c r="H458" s="2" t="str">
        <f>IFERROR(__xludf.DUMMYFUNCTION("""COMPUTED_VALUE"""),"VD018")</f>
        <v>VD018</v>
      </c>
      <c r="I458" s="2">
        <f>IFERROR(__xludf.DUMMYFUNCTION("""COMPUTED_VALUE"""),30.0)</f>
        <v>30</v>
      </c>
      <c r="J458" s="2">
        <f>IFERROR(__xludf.DUMMYFUNCTION("""COMPUTED_VALUE"""),987.0)</f>
        <v>987</v>
      </c>
      <c r="K458" s="2">
        <f>IFERROR(__xludf.DUMMYFUNCTION("""COMPUTED_VALUE"""),987.0)</f>
        <v>987</v>
      </c>
    </row>
    <row r="459">
      <c r="A459" s="2">
        <f>IFERROR(__xludf.DUMMYFUNCTION("""COMPUTED_VALUE"""),2000.0)</f>
        <v>2000</v>
      </c>
      <c r="B459" s="2">
        <f>IFERROR(__xludf.DUMMYFUNCTION("""COMPUTED_VALUE"""),183793.0)</f>
        <v>183793</v>
      </c>
      <c r="C459" s="2">
        <f>IFERROR(__xludf.DUMMYFUNCTION("""COMPUTED_VALUE"""),2026.0)</f>
        <v>2026</v>
      </c>
      <c r="D459" s="2">
        <f>IFERROR(__xludf.DUMMYFUNCTION("""COMPUTED_VALUE"""),46298.0)</f>
        <v>46298</v>
      </c>
      <c r="E459" s="2" t="str">
        <f>IFERROR(__xludf.DUMMYFUNCTION("""COMPUTED_VALUE"""),"VF")</f>
        <v>VF</v>
      </c>
      <c r="F459" s="2">
        <f>IFERROR(__xludf.DUMMYFUNCTION("""COMPUTED_VALUE"""),1.0)</f>
        <v>1</v>
      </c>
      <c r="G459" s="2" t="str">
        <f>IFERROR(__xludf.DUMMYFUNCTION("""COMPUTED_VALUE"""),"PR051")</f>
        <v>PR051</v>
      </c>
      <c r="H459" s="2" t="str">
        <f>IFERROR(__xludf.DUMMYFUNCTION("""COMPUTED_VALUE"""),"VD021")</f>
        <v>VD021</v>
      </c>
      <c r="I459" s="2">
        <f>IFERROR(__xludf.DUMMYFUNCTION("""COMPUTED_VALUE"""),9.0)</f>
        <v>9</v>
      </c>
      <c r="J459" s="2">
        <f>IFERROR(__xludf.DUMMYFUNCTION("""COMPUTED_VALUE"""),302.02)</f>
        <v>302.02</v>
      </c>
      <c r="K459" s="2">
        <f>IFERROR(__xludf.DUMMYFUNCTION("""COMPUTED_VALUE"""),302.02)</f>
        <v>302.02</v>
      </c>
    </row>
    <row r="460">
      <c r="A460" s="2">
        <f>IFERROR(__xludf.DUMMYFUNCTION("""COMPUTED_VALUE"""),1000.0)</f>
        <v>1000</v>
      </c>
      <c r="B460" s="2">
        <f>IFERROR(__xludf.DUMMYFUNCTION("""COMPUTED_VALUE"""),183794.0)</f>
        <v>183794</v>
      </c>
      <c r="C460" s="2">
        <f>IFERROR(__xludf.DUMMYFUNCTION("""COMPUTED_VALUE"""),2026.0)</f>
        <v>2026</v>
      </c>
      <c r="D460" s="2">
        <f>IFERROR(__xludf.DUMMYFUNCTION("""COMPUTED_VALUE"""),46298.0)</f>
        <v>46298</v>
      </c>
      <c r="E460" s="2" t="str">
        <f>IFERROR(__xludf.DUMMYFUNCTION("""COMPUTED_VALUE"""),"VF")</f>
        <v>VF</v>
      </c>
      <c r="F460" s="2">
        <f>IFERROR(__xludf.DUMMYFUNCTION("""COMPUTED_VALUE"""),1.0)</f>
        <v>1</v>
      </c>
      <c r="G460" s="2" t="str">
        <f>IFERROR(__xludf.DUMMYFUNCTION("""COMPUTED_VALUE"""),"PR031")</f>
        <v>PR031</v>
      </c>
      <c r="H460" s="2" t="str">
        <f>IFERROR(__xludf.DUMMYFUNCTION("""COMPUTED_VALUE"""),"VD018")</f>
        <v>VD018</v>
      </c>
      <c r="I460" s="2">
        <f>IFERROR(__xludf.DUMMYFUNCTION("""COMPUTED_VALUE"""),12.0)</f>
        <v>12</v>
      </c>
      <c r="J460" s="2">
        <f>IFERROR(__xludf.DUMMYFUNCTION("""COMPUTED_VALUE"""),3175.2)</f>
        <v>3175.2</v>
      </c>
      <c r="K460" s="2">
        <f>IFERROR(__xludf.DUMMYFUNCTION("""COMPUTED_VALUE"""),3175.2)</f>
        <v>3175.2</v>
      </c>
    </row>
    <row r="461">
      <c r="A461" s="2">
        <f>IFERROR(__xludf.DUMMYFUNCTION("""COMPUTED_VALUE"""),2000.0)</f>
        <v>2000</v>
      </c>
      <c r="B461" s="2">
        <f>IFERROR(__xludf.DUMMYFUNCTION("""COMPUTED_VALUE"""),183795.0)</f>
        <v>183795</v>
      </c>
      <c r="C461" s="2">
        <f>IFERROR(__xludf.DUMMYFUNCTION("""COMPUTED_VALUE"""),2026.0)</f>
        <v>2026</v>
      </c>
      <c r="D461" s="2">
        <f>IFERROR(__xludf.DUMMYFUNCTION("""COMPUTED_VALUE"""),46298.0)</f>
        <v>46298</v>
      </c>
      <c r="E461" s="2" t="str">
        <f>IFERROR(__xludf.DUMMYFUNCTION("""COMPUTED_VALUE"""),"VF")</f>
        <v>VF</v>
      </c>
      <c r="F461" s="2">
        <f>IFERROR(__xludf.DUMMYFUNCTION("""COMPUTED_VALUE"""),1.0)</f>
        <v>1</v>
      </c>
      <c r="G461" s="2" t="str">
        <f>IFERROR(__xludf.DUMMYFUNCTION("""COMPUTED_VALUE"""),"PR017")</f>
        <v>PR017</v>
      </c>
      <c r="H461" s="2" t="str">
        <f>IFERROR(__xludf.DUMMYFUNCTION("""COMPUTED_VALUE"""),"VD014")</f>
        <v>VD014</v>
      </c>
      <c r="I461" s="2">
        <f>IFERROR(__xludf.DUMMYFUNCTION("""COMPUTED_VALUE"""),6.0)</f>
        <v>6</v>
      </c>
      <c r="J461" s="2">
        <f>IFERROR(__xludf.DUMMYFUNCTION("""COMPUTED_VALUE"""),197.34)</f>
        <v>197.34</v>
      </c>
      <c r="K461" s="2">
        <f>IFERROR(__xludf.DUMMYFUNCTION("""COMPUTED_VALUE"""),197.34)</f>
        <v>197.34</v>
      </c>
    </row>
    <row r="462">
      <c r="A462" s="2">
        <f>IFERROR(__xludf.DUMMYFUNCTION("""COMPUTED_VALUE"""),1000.0)</f>
        <v>1000</v>
      </c>
      <c r="B462" s="2">
        <f>IFERROR(__xludf.DUMMYFUNCTION("""COMPUTED_VALUE"""),183796.0)</f>
        <v>183796</v>
      </c>
      <c r="C462" s="2">
        <f>IFERROR(__xludf.DUMMYFUNCTION("""COMPUTED_VALUE"""),2026.0)</f>
        <v>2026</v>
      </c>
      <c r="D462" s="2">
        <f>IFERROR(__xludf.DUMMYFUNCTION("""COMPUTED_VALUE"""),46298.0)</f>
        <v>46298</v>
      </c>
      <c r="E462" s="2" t="str">
        <f>IFERROR(__xludf.DUMMYFUNCTION("""COMPUTED_VALUE"""),"VF")</f>
        <v>VF</v>
      </c>
      <c r="F462" s="2">
        <f>IFERROR(__xludf.DUMMYFUNCTION("""COMPUTED_VALUE"""),1.0)</f>
        <v>1</v>
      </c>
      <c r="G462" s="2" t="str">
        <f>IFERROR(__xludf.DUMMYFUNCTION("""COMPUTED_VALUE"""),"PR044")</f>
        <v>PR044</v>
      </c>
      <c r="H462" s="2" t="str">
        <f>IFERROR(__xludf.DUMMYFUNCTION("""COMPUTED_VALUE"""),"VD025")</f>
        <v>VD025</v>
      </c>
      <c r="I462" s="2">
        <f>IFERROR(__xludf.DUMMYFUNCTION("""COMPUTED_VALUE"""),1.0)</f>
        <v>1</v>
      </c>
      <c r="J462" s="2">
        <f>IFERROR(__xludf.DUMMYFUNCTION("""COMPUTED_VALUE"""),76.13)</f>
        <v>76.13</v>
      </c>
      <c r="K462" s="2">
        <f>IFERROR(__xludf.DUMMYFUNCTION("""COMPUTED_VALUE"""),76.13)</f>
        <v>76.13</v>
      </c>
    </row>
    <row r="463">
      <c r="A463" s="2">
        <f>IFERROR(__xludf.DUMMYFUNCTION("""COMPUTED_VALUE"""),1000.0)</f>
        <v>1000</v>
      </c>
      <c r="B463" s="2">
        <f>IFERROR(__xludf.DUMMYFUNCTION("""COMPUTED_VALUE"""),183797.0)</f>
        <v>183797</v>
      </c>
      <c r="C463" s="2">
        <f>IFERROR(__xludf.DUMMYFUNCTION("""COMPUTED_VALUE"""),2026.0)</f>
        <v>2026</v>
      </c>
      <c r="D463" s="2">
        <f>IFERROR(__xludf.DUMMYFUNCTION("""COMPUTED_VALUE"""),46297.0)</f>
        <v>46297</v>
      </c>
      <c r="E463" s="2" t="str">
        <f>IFERROR(__xludf.DUMMYFUNCTION("""COMPUTED_VALUE"""),"VF")</f>
        <v>VF</v>
      </c>
      <c r="F463" s="2">
        <f>IFERROR(__xludf.DUMMYFUNCTION("""COMPUTED_VALUE"""),1.0)</f>
        <v>1</v>
      </c>
      <c r="G463" s="2" t="str">
        <f>IFERROR(__xludf.DUMMYFUNCTION("""COMPUTED_VALUE"""),"PR018")</f>
        <v>PR018</v>
      </c>
      <c r="H463" s="2" t="str">
        <f>IFERROR(__xludf.DUMMYFUNCTION("""COMPUTED_VALUE"""),"VD019")</f>
        <v>VD019</v>
      </c>
      <c r="I463" s="2">
        <f>IFERROR(__xludf.DUMMYFUNCTION("""COMPUTED_VALUE"""),3.0)</f>
        <v>3</v>
      </c>
      <c r="J463" s="2">
        <f>IFERROR(__xludf.DUMMYFUNCTION("""COMPUTED_VALUE"""),98.7)</f>
        <v>98.7</v>
      </c>
      <c r="K463" s="2">
        <f>IFERROR(__xludf.DUMMYFUNCTION("""COMPUTED_VALUE"""),98.7)</f>
        <v>98.7</v>
      </c>
    </row>
    <row r="464">
      <c r="A464" s="2">
        <f>IFERROR(__xludf.DUMMYFUNCTION("""COMPUTED_VALUE"""),1000.0)</f>
        <v>1000</v>
      </c>
      <c r="B464" s="2">
        <f>IFERROR(__xludf.DUMMYFUNCTION("""COMPUTED_VALUE"""),183798.0)</f>
        <v>183798</v>
      </c>
      <c r="C464" s="2">
        <f>IFERROR(__xludf.DUMMYFUNCTION("""COMPUTED_VALUE"""),2026.0)</f>
        <v>2026</v>
      </c>
      <c r="D464" s="2">
        <f>IFERROR(__xludf.DUMMYFUNCTION("""COMPUTED_VALUE"""),46297.0)</f>
        <v>46297</v>
      </c>
      <c r="E464" s="2" t="str">
        <f>IFERROR(__xludf.DUMMYFUNCTION("""COMPUTED_VALUE"""),"VF")</f>
        <v>VF</v>
      </c>
      <c r="F464" s="2">
        <f>IFERROR(__xludf.DUMMYFUNCTION("""COMPUTED_VALUE"""),1.0)</f>
        <v>1</v>
      </c>
      <c r="G464" s="2" t="str">
        <f>IFERROR(__xludf.DUMMYFUNCTION("""COMPUTED_VALUE"""),"PR010")</f>
        <v>PR010</v>
      </c>
      <c r="H464" s="2" t="str">
        <f>IFERROR(__xludf.DUMMYFUNCTION("""COMPUTED_VALUE"""),"VD042")</f>
        <v>VD042</v>
      </c>
      <c r="I464" s="2">
        <f>IFERROR(__xludf.DUMMYFUNCTION("""COMPUTED_VALUE"""),10.0)</f>
        <v>10</v>
      </c>
      <c r="J464" s="2">
        <f>IFERROR(__xludf.DUMMYFUNCTION("""COMPUTED_VALUE"""),489.41)</f>
        <v>489.41</v>
      </c>
      <c r="K464" s="2">
        <f>IFERROR(__xludf.DUMMYFUNCTION("""COMPUTED_VALUE"""),489.41)</f>
        <v>489.41</v>
      </c>
    </row>
    <row r="465">
      <c r="A465" s="2">
        <f>IFERROR(__xludf.DUMMYFUNCTION("""COMPUTED_VALUE"""),1000.0)</f>
        <v>1000</v>
      </c>
      <c r="B465" s="2">
        <f>IFERROR(__xludf.DUMMYFUNCTION("""COMPUTED_VALUE"""),183799.0)</f>
        <v>183799</v>
      </c>
      <c r="C465" s="2">
        <f>IFERROR(__xludf.DUMMYFUNCTION("""COMPUTED_VALUE"""),2026.0)</f>
        <v>2026</v>
      </c>
      <c r="D465" s="2">
        <f>IFERROR(__xludf.DUMMYFUNCTION("""COMPUTED_VALUE"""),46296.0)</f>
        <v>46296</v>
      </c>
      <c r="E465" s="2" t="str">
        <f>IFERROR(__xludf.DUMMYFUNCTION("""COMPUTED_VALUE"""),"VF")</f>
        <v>VF</v>
      </c>
      <c r="F465" s="2">
        <f>IFERROR(__xludf.DUMMYFUNCTION("""COMPUTED_VALUE"""),1.0)</f>
        <v>1</v>
      </c>
      <c r="G465" s="2" t="str">
        <f>IFERROR(__xludf.DUMMYFUNCTION("""COMPUTED_VALUE"""),"PR041")</f>
        <v>PR041</v>
      </c>
      <c r="H465" s="2" t="str">
        <f>IFERROR(__xludf.DUMMYFUNCTION("""COMPUTED_VALUE"""),"VD032")</f>
        <v>VD032</v>
      </c>
      <c r="I465" s="2">
        <f>IFERROR(__xludf.DUMMYFUNCTION("""COMPUTED_VALUE"""),10.0)</f>
        <v>10</v>
      </c>
      <c r="J465" s="2">
        <f>IFERROR(__xludf.DUMMYFUNCTION("""COMPUTED_VALUE"""),554.49)</f>
        <v>554.49</v>
      </c>
      <c r="K465" s="2">
        <f>IFERROR(__xludf.DUMMYFUNCTION("""COMPUTED_VALUE"""),554.49)</f>
        <v>554.49</v>
      </c>
    </row>
    <row r="466">
      <c r="A466" s="2">
        <f>IFERROR(__xludf.DUMMYFUNCTION("""COMPUTED_VALUE"""),1000.0)</f>
        <v>1000</v>
      </c>
      <c r="B466" s="2">
        <f>IFERROR(__xludf.DUMMYFUNCTION("""COMPUTED_VALUE"""),183799.0)</f>
        <v>183799</v>
      </c>
      <c r="C466" s="2">
        <f>IFERROR(__xludf.DUMMYFUNCTION("""COMPUTED_VALUE"""),2026.0)</f>
        <v>2026</v>
      </c>
      <c r="D466" s="2">
        <f>IFERROR(__xludf.DUMMYFUNCTION("""COMPUTED_VALUE"""),46296.0)</f>
        <v>46296</v>
      </c>
      <c r="E466" s="2" t="str">
        <f>IFERROR(__xludf.DUMMYFUNCTION("""COMPUTED_VALUE"""),"VF")</f>
        <v>VF</v>
      </c>
      <c r="F466" s="2">
        <f>IFERROR(__xludf.DUMMYFUNCTION("""COMPUTED_VALUE"""),2.0)</f>
        <v>2</v>
      </c>
      <c r="G466" s="2" t="str">
        <f>IFERROR(__xludf.DUMMYFUNCTION("""COMPUTED_VALUE"""),"PR050")</f>
        <v>PR050</v>
      </c>
      <c r="H466" s="2" t="str">
        <f>IFERROR(__xludf.DUMMYFUNCTION("""COMPUTED_VALUE"""),"VD042")</f>
        <v>VD042</v>
      </c>
      <c r="I466" s="2">
        <f>IFERROR(__xludf.DUMMYFUNCTION("""COMPUTED_VALUE"""),2.0)</f>
        <v>2</v>
      </c>
      <c r="J466" s="2">
        <f>IFERROR(__xludf.DUMMYFUNCTION("""COMPUTED_VALUE"""),68.43)</f>
        <v>68.43</v>
      </c>
      <c r="K466" s="2">
        <f>IFERROR(__xludf.DUMMYFUNCTION("""COMPUTED_VALUE"""),68.43)</f>
        <v>68.43</v>
      </c>
    </row>
    <row r="467">
      <c r="A467" s="2">
        <f>IFERROR(__xludf.DUMMYFUNCTION("""COMPUTED_VALUE"""),2000.0)</f>
        <v>2000</v>
      </c>
      <c r="B467" s="2">
        <f>IFERROR(__xludf.DUMMYFUNCTION("""COMPUTED_VALUE"""),183800.0)</f>
        <v>183800</v>
      </c>
      <c r="C467" s="2">
        <f>IFERROR(__xludf.DUMMYFUNCTION("""COMPUTED_VALUE"""),2026.0)</f>
        <v>2026</v>
      </c>
      <c r="D467" s="2">
        <f>IFERROR(__xludf.DUMMYFUNCTION("""COMPUTED_VALUE"""),46296.0)</f>
        <v>46296</v>
      </c>
      <c r="E467" s="2" t="str">
        <f>IFERROR(__xludf.DUMMYFUNCTION("""COMPUTED_VALUE"""),"VF")</f>
        <v>VF</v>
      </c>
      <c r="F467" s="2">
        <f>IFERROR(__xludf.DUMMYFUNCTION("""COMPUTED_VALUE"""),1.0)</f>
        <v>1</v>
      </c>
      <c r="G467" s="2" t="str">
        <f>IFERROR(__xludf.DUMMYFUNCTION("""COMPUTED_VALUE"""),"PR022")</f>
        <v>PR022</v>
      </c>
      <c r="H467" s="2" t="str">
        <f>IFERROR(__xludf.DUMMYFUNCTION("""COMPUTED_VALUE"""),"VD031")</f>
        <v>VD031</v>
      </c>
      <c r="I467" s="2">
        <f>IFERROR(__xludf.DUMMYFUNCTION("""COMPUTED_VALUE"""),10.0)</f>
        <v>10</v>
      </c>
      <c r="J467" s="2">
        <f>IFERROR(__xludf.DUMMYFUNCTION("""COMPUTED_VALUE"""),3270.0)</f>
        <v>3270</v>
      </c>
      <c r="K467" s="2">
        <f>IFERROR(__xludf.DUMMYFUNCTION("""COMPUTED_VALUE"""),3270.0)</f>
        <v>3270</v>
      </c>
    </row>
    <row r="468">
      <c r="A468" s="2">
        <f>IFERROR(__xludf.DUMMYFUNCTION("""COMPUTED_VALUE"""),1000.0)</f>
        <v>1000</v>
      </c>
      <c r="B468" s="2">
        <f>IFERROR(__xludf.DUMMYFUNCTION("""COMPUTED_VALUE"""),183800.0)</f>
        <v>183800</v>
      </c>
      <c r="C468" s="2">
        <f>IFERROR(__xludf.DUMMYFUNCTION("""COMPUTED_VALUE"""),2026.0)</f>
        <v>2026</v>
      </c>
      <c r="D468" s="2">
        <f>IFERROR(__xludf.DUMMYFUNCTION("""COMPUTED_VALUE"""),46296.0)</f>
        <v>46296</v>
      </c>
      <c r="E468" s="2" t="str">
        <f>IFERROR(__xludf.DUMMYFUNCTION("""COMPUTED_VALUE"""),"VF")</f>
        <v>VF</v>
      </c>
      <c r="F468" s="2">
        <f>IFERROR(__xludf.DUMMYFUNCTION("""COMPUTED_VALUE"""),2.0)</f>
        <v>2</v>
      </c>
      <c r="G468" s="2" t="str">
        <f>IFERROR(__xludf.DUMMYFUNCTION("""COMPUTED_VALUE"""),"PR048")</f>
        <v>PR048</v>
      </c>
      <c r="H468" s="2" t="str">
        <f>IFERROR(__xludf.DUMMYFUNCTION("""COMPUTED_VALUE"""),"VD016")</f>
        <v>VD016</v>
      </c>
      <c r="I468" s="2">
        <f>IFERROR(__xludf.DUMMYFUNCTION("""COMPUTED_VALUE"""),16.0)</f>
        <v>16</v>
      </c>
      <c r="J468" s="2">
        <f>IFERROR(__xludf.DUMMYFUNCTION("""COMPUTED_VALUE"""),5009.47)</f>
        <v>5009.47</v>
      </c>
      <c r="K468" s="2">
        <f>IFERROR(__xludf.DUMMYFUNCTION("""COMPUTED_VALUE"""),5009.47)</f>
        <v>5009.47</v>
      </c>
    </row>
    <row r="469">
      <c r="A469" s="2">
        <f>IFERROR(__xludf.DUMMYFUNCTION("""COMPUTED_VALUE"""),1000.0)</f>
        <v>1000</v>
      </c>
      <c r="B469" s="2">
        <f>IFERROR(__xludf.DUMMYFUNCTION("""COMPUTED_VALUE"""),183800.0)</f>
        <v>183800</v>
      </c>
      <c r="C469" s="2">
        <f>IFERROR(__xludf.DUMMYFUNCTION("""COMPUTED_VALUE"""),2026.0)</f>
        <v>2026</v>
      </c>
      <c r="D469" s="2">
        <f>IFERROR(__xludf.DUMMYFUNCTION("""COMPUTED_VALUE"""),46296.0)</f>
        <v>46296</v>
      </c>
      <c r="E469" s="2" t="str">
        <f>IFERROR(__xludf.DUMMYFUNCTION("""COMPUTED_VALUE"""),"VF")</f>
        <v>VF</v>
      </c>
      <c r="F469" s="2">
        <f>IFERROR(__xludf.DUMMYFUNCTION("""COMPUTED_VALUE"""),3.0)</f>
        <v>3</v>
      </c>
      <c r="G469" s="2" t="str">
        <f>IFERROR(__xludf.DUMMYFUNCTION("""COMPUTED_VALUE"""),"PR028")</f>
        <v>PR028</v>
      </c>
      <c r="H469" s="2" t="str">
        <f>IFERROR(__xludf.DUMMYFUNCTION("""COMPUTED_VALUE"""),"VD041")</f>
        <v>VD041</v>
      </c>
      <c r="I469" s="2">
        <f>IFERROR(__xludf.DUMMYFUNCTION("""COMPUTED_VALUE"""),16.0)</f>
        <v>16</v>
      </c>
      <c r="J469" s="2">
        <f>IFERROR(__xludf.DUMMYFUNCTION("""COMPUTED_VALUE"""),4038.38)</f>
        <v>4038.38</v>
      </c>
      <c r="K469" s="2">
        <f>IFERROR(__xludf.DUMMYFUNCTION("""COMPUTED_VALUE"""),4038.38)</f>
        <v>4038.38</v>
      </c>
    </row>
    <row r="470">
      <c r="A470" s="2">
        <f>IFERROR(__xludf.DUMMYFUNCTION("""COMPUTED_VALUE"""),1000.0)</f>
        <v>1000</v>
      </c>
      <c r="B470" s="2">
        <f>IFERROR(__xludf.DUMMYFUNCTION("""COMPUTED_VALUE"""),183801.0)</f>
        <v>183801</v>
      </c>
      <c r="C470" s="2">
        <f>IFERROR(__xludf.DUMMYFUNCTION("""COMPUTED_VALUE"""),2026.0)</f>
        <v>2026</v>
      </c>
      <c r="D470" s="2">
        <f>IFERROR(__xludf.DUMMYFUNCTION("""COMPUTED_VALUE"""),46296.0)</f>
        <v>46296</v>
      </c>
      <c r="E470" s="2" t="str">
        <f>IFERROR(__xludf.DUMMYFUNCTION("""COMPUTED_VALUE"""),"VF")</f>
        <v>VF</v>
      </c>
      <c r="F470" s="2">
        <f>IFERROR(__xludf.DUMMYFUNCTION("""COMPUTED_VALUE"""),1.0)</f>
        <v>1</v>
      </c>
      <c r="G470" s="2" t="str">
        <f>IFERROR(__xludf.DUMMYFUNCTION("""COMPUTED_VALUE"""),"PR002")</f>
        <v>PR002</v>
      </c>
      <c r="H470" s="2" t="str">
        <f>IFERROR(__xludf.DUMMYFUNCTION("""COMPUTED_VALUE"""),"VD027")</f>
        <v>VD027</v>
      </c>
      <c r="I470" s="2">
        <f>IFERROR(__xludf.DUMMYFUNCTION("""COMPUTED_VALUE"""),2.0)</f>
        <v>2</v>
      </c>
      <c r="J470" s="2">
        <f>IFERROR(__xludf.DUMMYFUNCTION("""COMPUTED_VALUE"""),153.78)</f>
        <v>153.78</v>
      </c>
      <c r="K470" s="2">
        <f>IFERROR(__xludf.DUMMYFUNCTION("""COMPUTED_VALUE"""),153.78)</f>
        <v>153.78</v>
      </c>
    </row>
    <row r="471">
      <c r="A471" s="2">
        <f>IFERROR(__xludf.DUMMYFUNCTION("""COMPUTED_VALUE"""),1000.0)</f>
        <v>1000</v>
      </c>
      <c r="B471" s="2">
        <f>IFERROR(__xludf.DUMMYFUNCTION("""COMPUTED_VALUE"""),183802.0)</f>
        <v>183802</v>
      </c>
      <c r="C471" s="2">
        <f>IFERROR(__xludf.DUMMYFUNCTION("""COMPUTED_VALUE"""),2026.0)</f>
        <v>2026</v>
      </c>
      <c r="D471" s="2">
        <f>IFERROR(__xludf.DUMMYFUNCTION("""COMPUTED_VALUE"""),46296.0)</f>
        <v>46296</v>
      </c>
      <c r="E471" s="2" t="str">
        <f>IFERROR(__xludf.DUMMYFUNCTION("""COMPUTED_VALUE"""),"VF")</f>
        <v>VF</v>
      </c>
      <c r="F471" s="2">
        <f>IFERROR(__xludf.DUMMYFUNCTION("""COMPUTED_VALUE"""),1.0)</f>
        <v>1</v>
      </c>
      <c r="G471" s="2" t="str">
        <f>IFERROR(__xludf.DUMMYFUNCTION("""COMPUTED_VALUE"""),"PR043")</f>
        <v>PR043</v>
      </c>
      <c r="H471" s="2" t="str">
        <f>IFERROR(__xludf.DUMMYFUNCTION("""COMPUTED_VALUE"""),"VD046")</f>
        <v>VD046</v>
      </c>
      <c r="I471" s="2">
        <f>IFERROR(__xludf.DUMMYFUNCTION("""COMPUTED_VALUE"""),2.0)</f>
        <v>2</v>
      </c>
      <c r="J471" s="2">
        <f>IFERROR(__xludf.DUMMYFUNCTION("""COMPUTED_VALUE"""),146.45)</f>
        <v>146.45</v>
      </c>
      <c r="K471" s="2">
        <f>IFERROR(__xludf.DUMMYFUNCTION("""COMPUTED_VALUE"""),146.45)</f>
        <v>146.45</v>
      </c>
    </row>
    <row r="472">
      <c r="A472" s="2">
        <f>IFERROR(__xludf.DUMMYFUNCTION("""COMPUTED_VALUE"""),1000.0)</f>
        <v>1000</v>
      </c>
      <c r="B472" s="2">
        <f>IFERROR(__xludf.DUMMYFUNCTION("""COMPUTED_VALUE"""),183802.0)</f>
        <v>183802</v>
      </c>
      <c r="C472" s="2">
        <f>IFERROR(__xludf.DUMMYFUNCTION("""COMPUTED_VALUE"""),2026.0)</f>
        <v>2026</v>
      </c>
      <c r="D472" s="2">
        <f>IFERROR(__xludf.DUMMYFUNCTION("""COMPUTED_VALUE"""),46296.0)</f>
        <v>46296</v>
      </c>
      <c r="E472" s="2" t="str">
        <f>IFERROR(__xludf.DUMMYFUNCTION("""COMPUTED_VALUE"""),"VF")</f>
        <v>VF</v>
      </c>
      <c r="F472" s="2">
        <f>IFERROR(__xludf.DUMMYFUNCTION("""COMPUTED_VALUE"""),2.0)</f>
        <v>2</v>
      </c>
      <c r="G472" s="2" t="str">
        <f>IFERROR(__xludf.DUMMYFUNCTION("""COMPUTED_VALUE"""),"PR033")</f>
        <v>PR033</v>
      </c>
      <c r="H472" s="2" t="str">
        <f>IFERROR(__xludf.DUMMYFUNCTION("""COMPUTED_VALUE"""),"VD042")</f>
        <v>VD042</v>
      </c>
      <c r="I472" s="2">
        <f>IFERROR(__xludf.DUMMYFUNCTION("""COMPUTED_VALUE"""),10.0)</f>
        <v>10</v>
      </c>
      <c r="J472" s="2">
        <f>IFERROR(__xludf.DUMMYFUNCTION("""COMPUTED_VALUE"""),2832.91)</f>
        <v>2832.91</v>
      </c>
      <c r="K472" s="2">
        <f>IFERROR(__xludf.DUMMYFUNCTION("""COMPUTED_VALUE"""),2832.91)</f>
        <v>2832.91</v>
      </c>
    </row>
    <row r="473">
      <c r="A473" s="2">
        <f>IFERROR(__xludf.DUMMYFUNCTION("""COMPUTED_VALUE"""),1000.0)</f>
        <v>1000</v>
      </c>
      <c r="B473" s="2">
        <f>IFERROR(__xludf.DUMMYFUNCTION("""COMPUTED_VALUE"""),183803.0)</f>
        <v>183803</v>
      </c>
      <c r="C473" s="2">
        <f>IFERROR(__xludf.DUMMYFUNCTION("""COMPUTED_VALUE"""),2026.0)</f>
        <v>2026</v>
      </c>
      <c r="D473" s="2">
        <f>IFERROR(__xludf.DUMMYFUNCTION("""COMPUTED_VALUE"""),46296.0)</f>
        <v>46296</v>
      </c>
      <c r="E473" s="2" t="str">
        <f>IFERROR(__xludf.DUMMYFUNCTION("""COMPUTED_VALUE"""),"VF")</f>
        <v>VF</v>
      </c>
      <c r="F473" s="2">
        <f>IFERROR(__xludf.DUMMYFUNCTION("""COMPUTED_VALUE"""),1.0)</f>
        <v>1</v>
      </c>
      <c r="G473" s="2" t="str">
        <f>IFERROR(__xludf.DUMMYFUNCTION("""COMPUTED_VALUE"""),"PR041")</f>
        <v>PR041</v>
      </c>
      <c r="H473" s="2" t="str">
        <f>IFERROR(__xludf.DUMMYFUNCTION("""COMPUTED_VALUE"""),"VD020")</f>
        <v>VD020</v>
      </c>
      <c r="I473" s="2">
        <f>IFERROR(__xludf.DUMMYFUNCTION("""COMPUTED_VALUE"""),7.0)</f>
        <v>7</v>
      </c>
      <c r="J473" s="2">
        <f>IFERROR(__xludf.DUMMYFUNCTION("""COMPUTED_VALUE"""),388.14)</f>
        <v>388.14</v>
      </c>
      <c r="K473" s="2">
        <f>IFERROR(__xludf.DUMMYFUNCTION("""COMPUTED_VALUE"""),388.14)</f>
        <v>388.14</v>
      </c>
    </row>
    <row r="474">
      <c r="A474" s="2">
        <f>IFERROR(__xludf.DUMMYFUNCTION("""COMPUTED_VALUE"""),1000.0)</f>
        <v>1000</v>
      </c>
      <c r="B474" s="2">
        <f>IFERROR(__xludf.DUMMYFUNCTION("""COMPUTED_VALUE"""),183804.0)</f>
        <v>183804</v>
      </c>
      <c r="C474" s="2">
        <f>IFERROR(__xludf.DUMMYFUNCTION("""COMPUTED_VALUE"""),2026.0)</f>
        <v>2026</v>
      </c>
      <c r="D474" s="2">
        <f>IFERROR(__xludf.DUMMYFUNCTION("""COMPUTED_VALUE"""),46296.0)</f>
        <v>46296</v>
      </c>
      <c r="E474" s="2" t="str">
        <f>IFERROR(__xludf.DUMMYFUNCTION("""COMPUTED_VALUE"""),"VF")</f>
        <v>VF</v>
      </c>
      <c r="F474" s="2">
        <f>IFERROR(__xludf.DUMMYFUNCTION("""COMPUTED_VALUE"""),1.0)</f>
        <v>1</v>
      </c>
      <c r="G474" s="2" t="str">
        <f>IFERROR(__xludf.DUMMYFUNCTION("""COMPUTED_VALUE"""),"PR030")</f>
        <v>PR030</v>
      </c>
      <c r="H474" s="2" t="str">
        <f>IFERROR(__xludf.DUMMYFUNCTION("""COMPUTED_VALUE"""),"VD045")</f>
        <v>VD045</v>
      </c>
      <c r="I474" s="2">
        <f>IFERROR(__xludf.DUMMYFUNCTION("""COMPUTED_VALUE"""),5.0)</f>
        <v>5</v>
      </c>
      <c r="J474" s="2">
        <f>IFERROR(__xludf.DUMMYFUNCTION("""COMPUTED_VALUE"""),1312.5)</f>
        <v>1312.5</v>
      </c>
      <c r="K474" s="2">
        <f>IFERROR(__xludf.DUMMYFUNCTION("""COMPUTED_VALUE"""),1312.5)</f>
        <v>1312.5</v>
      </c>
    </row>
    <row r="475">
      <c r="A475" s="2">
        <f>IFERROR(__xludf.DUMMYFUNCTION("""COMPUTED_VALUE"""),2000.0)</f>
        <v>2000</v>
      </c>
      <c r="B475" s="2">
        <f>IFERROR(__xludf.DUMMYFUNCTION("""COMPUTED_VALUE"""),183804.0)</f>
        <v>183804</v>
      </c>
      <c r="C475" s="2">
        <f>IFERROR(__xludf.DUMMYFUNCTION("""COMPUTED_VALUE"""),2026.0)</f>
        <v>2026</v>
      </c>
      <c r="D475" s="2">
        <f>IFERROR(__xludf.DUMMYFUNCTION("""COMPUTED_VALUE"""),46296.0)</f>
        <v>46296</v>
      </c>
      <c r="E475" s="2" t="str">
        <f>IFERROR(__xludf.DUMMYFUNCTION("""COMPUTED_VALUE"""),"VF")</f>
        <v>VF</v>
      </c>
      <c r="F475" s="2">
        <f>IFERROR(__xludf.DUMMYFUNCTION("""COMPUTED_VALUE"""),2.0)</f>
        <v>2</v>
      </c>
      <c r="G475" s="2" t="str">
        <f>IFERROR(__xludf.DUMMYFUNCTION("""COMPUTED_VALUE"""),"PR060")</f>
        <v>PR060</v>
      </c>
      <c r="H475" s="2" t="str">
        <f>IFERROR(__xludf.DUMMYFUNCTION("""COMPUTED_VALUE"""),"VD032")</f>
        <v>VD032</v>
      </c>
      <c r="I475" s="2">
        <f>IFERROR(__xludf.DUMMYFUNCTION("""COMPUTED_VALUE"""),6.0)</f>
        <v>6</v>
      </c>
      <c r="J475" s="2">
        <f>IFERROR(__xludf.DUMMYFUNCTION("""COMPUTED_VALUE"""),1090.8)</f>
        <v>1090.8</v>
      </c>
      <c r="K475" s="2">
        <f>IFERROR(__xludf.DUMMYFUNCTION("""COMPUTED_VALUE"""),1090.8)</f>
        <v>1090.8</v>
      </c>
    </row>
    <row r="476">
      <c r="A476" s="2">
        <f>IFERROR(__xludf.DUMMYFUNCTION("""COMPUTED_VALUE"""),1000.0)</f>
        <v>1000</v>
      </c>
      <c r="B476" s="2">
        <f>IFERROR(__xludf.DUMMYFUNCTION("""COMPUTED_VALUE"""),183804.0)</f>
        <v>183804</v>
      </c>
      <c r="C476" s="2">
        <f>IFERROR(__xludf.DUMMYFUNCTION("""COMPUTED_VALUE"""),2026.0)</f>
        <v>2026</v>
      </c>
      <c r="D476" s="2">
        <f>IFERROR(__xludf.DUMMYFUNCTION("""COMPUTED_VALUE"""),46296.0)</f>
        <v>46296</v>
      </c>
      <c r="E476" s="2" t="str">
        <f>IFERROR(__xludf.DUMMYFUNCTION("""COMPUTED_VALUE"""),"VF")</f>
        <v>VF</v>
      </c>
      <c r="F476" s="2">
        <f>IFERROR(__xludf.DUMMYFUNCTION("""COMPUTED_VALUE"""),3.0)</f>
        <v>3</v>
      </c>
      <c r="G476" s="2" t="str">
        <f>IFERROR(__xludf.DUMMYFUNCTION("""COMPUTED_VALUE"""),"PR051")</f>
        <v>PR051</v>
      </c>
      <c r="H476" s="2" t="str">
        <f>IFERROR(__xludf.DUMMYFUNCTION("""COMPUTED_VALUE"""),"VD034")</f>
        <v>VD034</v>
      </c>
      <c r="I476" s="2">
        <f>IFERROR(__xludf.DUMMYFUNCTION("""COMPUTED_VALUE"""),20.0)</f>
        <v>20</v>
      </c>
      <c r="J476" s="2">
        <f>IFERROR(__xludf.DUMMYFUNCTION("""COMPUTED_VALUE"""),658.0)</f>
        <v>658</v>
      </c>
      <c r="K476" s="2">
        <f>IFERROR(__xludf.DUMMYFUNCTION("""COMPUTED_VALUE"""),658.0)</f>
        <v>658</v>
      </c>
    </row>
    <row r="477">
      <c r="A477" s="2">
        <f>IFERROR(__xludf.DUMMYFUNCTION("""COMPUTED_VALUE"""),1000.0)</f>
        <v>1000</v>
      </c>
      <c r="B477" s="2">
        <f>IFERROR(__xludf.DUMMYFUNCTION("""COMPUTED_VALUE"""),183805.0)</f>
        <v>183805</v>
      </c>
      <c r="C477" s="2">
        <f>IFERROR(__xludf.DUMMYFUNCTION("""COMPUTED_VALUE"""),2026.0)</f>
        <v>2026</v>
      </c>
      <c r="D477" s="2">
        <f>IFERROR(__xludf.DUMMYFUNCTION("""COMPUTED_VALUE"""),46296.0)</f>
        <v>46296</v>
      </c>
      <c r="E477" s="2" t="str">
        <f>IFERROR(__xludf.DUMMYFUNCTION("""COMPUTED_VALUE"""),"VF")</f>
        <v>VF</v>
      </c>
      <c r="F477" s="2">
        <f>IFERROR(__xludf.DUMMYFUNCTION("""COMPUTED_VALUE"""),1.0)</f>
        <v>1</v>
      </c>
      <c r="G477" s="2" t="str">
        <f>IFERROR(__xludf.DUMMYFUNCTION("""COMPUTED_VALUE"""),"PR005")</f>
        <v>PR005</v>
      </c>
      <c r="H477" s="2" t="str">
        <f>IFERROR(__xludf.DUMMYFUNCTION("""COMPUTED_VALUE"""),"VD011")</f>
        <v>VD011</v>
      </c>
      <c r="I477" s="2">
        <f>IFERROR(__xludf.DUMMYFUNCTION("""COMPUTED_VALUE"""),10.0)</f>
        <v>10</v>
      </c>
      <c r="J477" s="2">
        <f>IFERROR(__xludf.DUMMYFUNCTION("""COMPUTED_VALUE"""),2676.97)</f>
        <v>2676.97</v>
      </c>
      <c r="K477" s="2">
        <f>IFERROR(__xludf.DUMMYFUNCTION("""COMPUTED_VALUE"""),2676.97)</f>
        <v>2676.97</v>
      </c>
    </row>
    <row r="478">
      <c r="A478" s="2">
        <f>IFERROR(__xludf.DUMMYFUNCTION("""COMPUTED_VALUE"""),1000.0)</f>
        <v>1000</v>
      </c>
      <c r="B478" s="2">
        <f>IFERROR(__xludf.DUMMYFUNCTION("""COMPUTED_VALUE"""),183806.0)</f>
        <v>183806</v>
      </c>
      <c r="C478" s="2">
        <f>IFERROR(__xludf.DUMMYFUNCTION("""COMPUTED_VALUE"""),2026.0)</f>
        <v>2026</v>
      </c>
      <c r="D478" s="2">
        <f>IFERROR(__xludf.DUMMYFUNCTION("""COMPUTED_VALUE"""),46296.0)</f>
        <v>46296</v>
      </c>
      <c r="E478" s="2" t="str">
        <f>IFERROR(__xludf.DUMMYFUNCTION("""COMPUTED_VALUE"""),"VF")</f>
        <v>VF</v>
      </c>
      <c r="F478" s="2">
        <f>IFERROR(__xludf.DUMMYFUNCTION("""COMPUTED_VALUE"""),1.0)</f>
        <v>1</v>
      </c>
      <c r="G478" s="2" t="str">
        <f>IFERROR(__xludf.DUMMYFUNCTION("""COMPUTED_VALUE"""),"PR013")</f>
        <v>PR013</v>
      </c>
      <c r="H478" s="2" t="str">
        <f>IFERROR(__xludf.DUMMYFUNCTION("""COMPUTED_VALUE"""),"VD012")</f>
        <v>VD012</v>
      </c>
      <c r="I478" s="2">
        <f>IFERROR(__xludf.DUMMYFUNCTION("""COMPUTED_VALUE"""),20.0)</f>
        <v>20</v>
      </c>
      <c r="J478" s="2">
        <f>IFERROR(__xludf.DUMMYFUNCTION("""COMPUTED_VALUE"""),845.88)</f>
        <v>845.88</v>
      </c>
      <c r="K478" s="2">
        <f>IFERROR(__xludf.DUMMYFUNCTION("""COMPUTED_VALUE"""),845.88)</f>
        <v>845.88</v>
      </c>
    </row>
    <row r="479">
      <c r="A479" s="2">
        <f>IFERROR(__xludf.DUMMYFUNCTION("""COMPUTED_VALUE"""),2000.0)</f>
        <v>2000</v>
      </c>
      <c r="B479" s="2">
        <f>IFERROR(__xludf.DUMMYFUNCTION("""COMPUTED_VALUE"""),183806.0)</f>
        <v>183806</v>
      </c>
      <c r="C479" s="2">
        <f>IFERROR(__xludf.DUMMYFUNCTION("""COMPUTED_VALUE"""),2026.0)</f>
        <v>2026</v>
      </c>
      <c r="D479" s="2">
        <f>IFERROR(__xludf.DUMMYFUNCTION("""COMPUTED_VALUE"""),46295.0)</f>
        <v>46295</v>
      </c>
      <c r="E479" s="2" t="str">
        <f>IFERROR(__xludf.DUMMYFUNCTION("""COMPUTED_VALUE"""),"VF")</f>
        <v>VF</v>
      </c>
      <c r="F479" s="2">
        <f>IFERROR(__xludf.DUMMYFUNCTION("""COMPUTED_VALUE"""),2.0)</f>
        <v>2</v>
      </c>
      <c r="G479" s="2" t="str">
        <f>IFERROR(__xludf.DUMMYFUNCTION("""COMPUTED_VALUE"""),"PR037")</f>
        <v>PR037</v>
      </c>
      <c r="H479" s="2" t="str">
        <f>IFERROR(__xludf.DUMMYFUNCTION("""COMPUTED_VALUE"""),"VD039")</f>
        <v>VD039</v>
      </c>
      <c r="I479" s="2">
        <f>IFERROR(__xludf.DUMMYFUNCTION("""COMPUTED_VALUE"""),14.0)</f>
        <v>14</v>
      </c>
      <c r="J479" s="2">
        <f>IFERROR(__xludf.DUMMYFUNCTION("""COMPUTED_VALUE"""),1979.6)</f>
        <v>1979.6</v>
      </c>
      <c r="K479" s="2">
        <f>IFERROR(__xludf.DUMMYFUNCTION("""COMPUTED_VALUE"""),1979.6)</f>
        <v>1979.6</v>
      </c>
    </row>
    <row r="480">
      <c r="A480" s="2">
        <f>IFERROR(__xludf.DUMMYFUNCTION("""COMPUTED_VALUE"""),1000.0)</f>
        <v>1000</v>
      </c>
      <c r="B480" s="2">
        <f>IFERROR(__xludf.DUMMYFUNCTION("""COMPUTED_VALUE"""),183806.0)</f>
        <v>183806</v>
      </c>
      <c r="C480" s="2">
        <f>IFERROR(__xludf.DUMMYFUNCTION("""COMPUTED_VALUE"""),2026.0)</f>
        <v>2026</v>
      </c>
      <c r="D480" s="2">
        <f>IFERROR(__xludf.DUMMYFUNCTION("""COMPUTED_VALUE"""),46295.0)</f>
        <v>46295</v>
      </c>
      <c r="E480" s="2" t="str">
        <f>IFERROR(__xludf.DUMMYFUNCTION("""COMPUTED_VALUE"""),"VF")</f>
        <v>VF</v>
      </c>
      <c r="F480" s="2">
        <f>IFERROR(__xludf.DUMMYFUNCTION("""COMPUTED_VALUE"""),3.0)</f>
        <v>3</v>
      </c>
      <c r="G480" s="2" t="str">
        <f>IFERROR(__xludf.DUMMYFUNCTION("""COMPUTED_VALUE"""),"PR032")</f>
        <v>PR032</v>
      </c>
      <c r="H480" s="2" t="str">
        <f>IFERROR(__xludf.DUMMYFUNCTION("""COMPUTED_VALUE"""),"VD022")</f>
        <v>VD022</v>
      </c>
      <c r="I480" s="2">
        <f>IFERROR(__xludf.DUMMYFUNCTION("""COMPUTED_VALUE"""),16.0)</f>
        <v>16</v>
      </c>
      <c r="J480" s="2">
        <f>IFERROR(__xludf.DUMMYFUNCTION("""COMPUTED_VALUE"""),4160.0)</f>
        <v>4160</v>
      </c>
      <c r="K480" s="2">
        <f>IFERROR(__xludf.DUMMYFUNCTION("""COMPUTED_VALUE"""),4160.0)</f>
        <v>4160</v>
      </c>
    </row>
    <row r="481">
      <c r="A481" s="2">
        <f>IFERROR(__xludf.DUMMYFUNCTION("""COMPUTED_VALUE"""),1000.0)</f>
        <v>1000</v>
      </c>
      <c r="B481" s="2">
        <f>IFERROR(__xludf.DUMMYFUNCTION("""COMPUTED_VALUE"""),183807.0)</f>
        <v>183807</v>
      </c>
      <c r="C481" s="2">
        <f>IFERROR(__xludf.DUMMYFUNCTION("""COMPUTED_VALUE"""),2026.0)</f>
        <v>2026</v>
      </c>
      <c r="D481" s="2">
        <f>IFERROR(__xludf.DUMMYFUNCTION("""COMPUTED_VALUE"""),46294.0)</f>
        <v>46294</v>
      </c>
      <c r="E481" s="2" t="str">
        <f>IFERROR(__xludf.DUMMYFUNCTION("""COMPUTED_VALUE"""),"VF")</f>
        <v>VF</v>
      </c>
      <c r="F481" s="2">
        <f>IFERROR(__xludf.DUMMYFUNCTION("""COMPUTED_VALUE"""),1.0)</f>
        <v>1</v>
      </c>
      <c r="G481" s="2" t="str">
        <f>IFERROR(__xludf.DUMMYFUNCTION("""COMPUTED_VALUE"""),"PR052")</f>
        <v>PR052</v>
      </c>
      <c r="H481" s="2" t="str">
        <f>IFERROR(__xludf.DUMMYFUNCTION("""COMPUTED_VALUE"""),"VD045")</f>
        <v>VD045</v>
      </c>
      <c r="I481" s="2">
        <f>IFERROR(__xludf.DUMMYFUNCTION("""COMPUTED_VALUE"""),5.0)</f>
        <v>5</v>
      </c>
      <c r="J481" s="2">
        <f>IFERROR(__xludf.DUMMYFUNCTION("""COMPUTED_VALUE"""),269.46)</f>
        <v>269.46</v>
      </c>
      <c r="K481" s="2">
        <f>IFERROR(__xludf.DUMMYFUNCTION("""COMPUTED_VALUE"""),269.46)</f>
        <v>269.46</v>
      </c>
    </row>
    <row r="482">
      <c r="A482" s="2">
        <f>IFERROR(__xludf.DUMMYFUNCTION("""COMPUTED_VALUE"""),1000.0)</f>
        <v>1000</v>
      </c>
      <c r="B482" s="2">
        <f>IFERROR(__xludf.DUMMYFUNCTION("""COMPUTED_VALUE"""),183808.0)</f>
        <v>183808</v>
      </c>
      <c r="C482" s="2">
        <f>IFERROR(__xludf.DUMMYFUNCTION("""COMPUTED_VALUE"""),2026.0)</f>
        <v>2026</v>
      </c>
      <c r="D482" s="2">
        <f>IFERROR(__xludf.DUMMYFUNCTION("""COMPUTED_VALUE"""),46294.0)</f>
        <v>46294</v>
      </c>
      <c r="E482" s="2" t="str">
        <f>IFERROR(__xludf.DUMMYFUNCTION("""COMPUTED_VALUE"""),"VF")</f>
        <v>VF</v>
      </c>
      <c r="F482" s="2">
        <f>IFERROR(__xludf.DUMMYFUNCTION("""COMPUTED_VALUE"""),1.0)</f>
        <v>1</v>
      </c>
      <c r="G482" s="2" t="str">
        <f>IFERROR(__xludf.DUMMYFUNCTION("""COMPUTED_VALUE"""),"PR038")</f>
        <v>PR038</v>
      </c>
      <c r="H482" s="2" t="str">
        <f>IFERROR(__xludf.DUMMYFUNCTION("""COMPUTED_VALUE"""),"VD020")</f>
        <v>VD020</v>
      </c>
      <c r="I482" s="2">
        <f>IFERROR(__xludf.DUMMYFUNCTION("""COMPUTED_VALUE"""),2.0)</f>
        <v>2</v>
      </c>
      <c r="J482" s="2">
        <f>IFERROR(__xludf.DUMMYFUNCTION("""COMPUTED_VALUE"""),305.81)</f>
        <v>305.81</v>
      </c>
      <c r="K482" s="2">
        <f>IFERROR(__xludf.DUMMYFUNCTION("""COMPUTED_VALUE"""),305.81)</f>
        <v>305.81</v>
      </c>
    </row>
    <row r="483">
      <c r="A483" s="2">
        <f>IFERROR(__xludf.DUMMYFUNCTION("""COMPUTED_VALUE"""),1000.0)</f>
        <v>1000</v>
      </c>
      <c r="B483" s="2">
        <f>IFERROR(__xludf.DUMMYFUNCTION("""COMPUTED_VALUE"""),183809.0)</f>
        <v>183809</v>
      </c>
      <c r="C483" s="2">
        <f>IFERROR(__xludf.DUMMYFUNCTION("""COMPUTED_VALUE"""),2026.0)</f>
        <v>2026</v>
      </c>
      <c r="D483" s="2">
        <f>IFERROR(__xludf.DUMMYFUNCTION("""COMPUTED_VALUE"""),46294.0)</f>
        <v>46294</v>
      </c>
      <c r="E483" s="2" t="str">
        <f>IFERROR(__xludf.DUMMYFUNCTION("""COMPUTED_VALUE"""),"VF")</f>
        <v>VF</v>
      </c>
      <c r="F483" s="2">
        <f>IFERROR(__xludf.DUMMYFUNCTION("""COMPUTED_VALUE"""),1.0)</f>
        <v>1</v>
      </c>
      <c r="G483" s="2" t="str">
        <f>IFERROR(__xludf.DUMMYFUNCTION("""COMPUTED_VALUE"""),"PR049")</f>
        <v>PR049</v>
      </c>
      <c r="H483" s="2" t="str">
        <f>IFERROR(__xludf.DUMMYFUNCTION("""COMPUTED_VALUE"""),"VD029")</f>
        <v>VD029</v>
      </c>
      <c r="I483" s="2">
        <f>IFERROR(__xludf.DUMMYFUNCTION("""COMPUTED_VALUE"""),9.0)</f>
        <v>9</v>
      </c>
      <c r="J483" s="2">
        <f>IFERROR(__xludf.DUMMYFUNCTION("""COMPUTED_VALUE"""),310.91)</f>
        <v>310.91</v>
      </c>
      <c r="K483" s="2">
        <f>IFERROR(__xludf.DUMMYFUNCTION("""COMPUTED_VALUE"""),310.91)</f>
        <v>310.91</v>
      </c>
    </row>
    <row r="484">
      <c r="A484" s="2">
        <f>IFERROR(__xludf.DUMMYFUNCTION("""COMPUTED_VALUE"""),1000.0)</f>
        <v>1000</v>
      </c>
      <c r="B484" s="2">
        <f>IFERROR(__xludf.DUMMYFUNCTION("""COMPUTED_VALUE"""),183809.0)</f>
        <v>183809</v>
      </c>
      <c r="C484" s="2">
        <f>IFERROR(__xludf.DUMMYFUNCTION("""COMPUTED_VALUE"""),2026.0)</f>
        <v>2026</v>
      </c>
      <c r="D484" s="2">
        <f>IFERROR(__xludf.DUMMYFUNCTION("""COMPUTED_VALUE"""),46294.0)</f>
        <v>46294</v>
      </c>
      <c r="E484" s="2" t="str">
        <f>IFERROR(__xludf.DUMMYFUNCTION("""COMPUTED_VALUE"""),"VF")</f>
        <v>VF</v>
      </c>
      <c r="F484" s="2">
        <f>IFERROR(__xludf.DUMMYFUNCTION("""COMPUTED_VALUE"""),2.0)</f>
        <v>2</v>
      </c>
      <c r="G484" s="2" t="str">
        <f>IFERROR(__xludf.DUMMYFUNCTION("""COMPUTED_VALUE"""),"PR022")</f>
        <v>PR022</v>
      </c>
      <c r="H484" s="2" t="str">
        <f>IFERROR(__xludf.DUMMYFUNCTION("""COMPUTED_VALUE"""),"VD015")</f>
        <v>VD015</v>
      </c>
      <c r="I484" s="2">
        <f>IFERROR(__xludf.DUMMYFUNCTION("""COMPUTED_VALUE"""),12.0)</f>
        <v>12</v>
      </c>
      <c r="J484" s="2">
        <f>IFERROR(__xludf.DUMMYFUNCTION("""COMPUTED_VALUE"""),3672.0)</f>
        <v>3672</v>
      </c>
      <c r="K484" s="2">
        <f>IFERROR(__xludf.DUMMYFUNCTION("""COMPUTED_VALUE"""),3672.0)</f>
        <v>3672</v>
      </c>
    </row>
    <row r="485">
      <c r="A485" s="2">
        <f>IFERROR(__xludf.DUMMYFUNCTION("""COMPUTED_VALUE"""),1000.0)</f>
        <v>1000</v>
      </c>
      <c r="B485" s="2">
        <f>IFERROR(__xludf.DUMMYFUNCTION("""COMPUTED_VALUE"""),183810.0)</f>
        <v>183810</v>
      </c>
      <c r="C485" s="2">
        <f>IFERROR(__xludf.DUMMYFUNCTION("""COMPUTED_VALUE"""),2026.0)</f>
        <v>2026</v>
      </c>
      <c r="D485" s="2">
        <f>IFERROR(__xludf.DUMMYFUNCTION("""COMPUTED_VALUE"""),46294.0)</f>
        <v>46294</v>
      </c>
      <c r="E485" s="2" t="str">
        <f>IFERROR(__xludf.DUMMYFUNCTION("""COMPUTED_VALUE"""),"VF")</f>
        <v>VF</v>
      </c>
      <c r="F485" s="2">
        <f>IFERROR(__xludf.DUMMYFUNCTION("""COMPUTED_VALUE"""),1.0)</f>
        <v>1</v>
      </c>
      <c r="G485" s="2" t="str">
        <f>IFERROR(__xludf.DUMMYFUNCTION("""COMPUTED_VALUE"""),"PR015")</f>
        <v>PR015</v>
      </c>
      <c r="H485" s="2" t="str">
        <f>IFERROR(__xludf.DUMMYFUNCTION("""COMPUTED_VALUE"""),"VD020")</f>
        <v>VD020</v>
      </c>
      <c r="I485" s="2">
        <f>IFERROR(__xludf.DUMMYFUNCTION("""COMPUTED_VALUE"""),10.0)</f>
        <v>10</v>
      </c>
      <c r="J485" s="2">
        <f>IFERROR(__xludf.DUMMYFUNCTION("""COMPUTED_VALUE"""),442.0)</f>
        <v>442</v>
      </c>
      <c r="K485" s="2">
        <f>IFERROR(__xludf.DUMMYFUNCTION("""COMPUTED_VALUE"""),442.0)</f>
        <v>442</v>
      </c>
    </row>
    <row r="486">
      <c r="A486" s="2">
        <f>IFERROR(__xludf.DUMMYFUNCTION("""COMPUTED_VALUE"""),1000.0)</f>
        <v>1000</v>
      </c>
      <c r="B486" s="2">
        <f>IFERROR(__xludf.DUMMYFUNCTION("""COMPUTED_VALUE"""),183811.0)</f>
        <v>183811</v>
      </c>
      <c r="C486" s="2">
        <f>IFERROR(__xludf.DUMMYFUNCTION("""COMPUTED_VALUE"""),2026.0)</f>
        <v>2026</v>
      </c>
      <c r="D486" s="2">
        <f>IFERROR(__xludf.DUMMYFUNCTION("""COMPUTED_VALUE"""),46294.0)</f>
        <v>46294</v>
      </c>
      <c r="E486" s="2" t="str">
        <f>IFERROR(__xludf.DUMMYFUNCTION("""COMPUTED_VALUE"""),"VF")</f>
        <v>VF</v>
      </c>
      <c r="F486" s="2">
        <f>IFERROR(__xludf.DUMMYFUNCTION("""COMPUTED_VALUE"""),1.0)</f>
        <v>1</v>
      </c>
      <c r="G486" s="2" t="str">
        <f>IFERROR(__xludf.DUMMYFUNCTION("""COMPUTED_VALUE"""),"PR039")</f>
        <v>PR039</v>
      </c>
      <c r="H486" s="2" t="str">
        <f>IFERROR(__xludf.DUMMYFUNCTION("""COMPUTED_VALUE"""),"VD020")</f>
        <v>VD020</v>
      </c>
      <c r="I486" s="2">
        <f>IFERROR(__xludf.DUMMYFUNCTION("""COMPUTED_VALUE"""),9.0)</f>
        <v>9</v>
      </c>
      <c r="J486" s="2">
        <f>IFERROR(__xludf.DUMMYFUNCTION("""COMPUTED_VALUE"""),1445.4)</f>
        <v>1445.4</v>
      </c>
      <c r="K486" s="2">
        <f>IFERROR(__xludf.DUMMYFUNCTION("""COMPUTED_VALUE"""),1445.4)</f>
        <v>1445.4</v>
      </c>
    </row>
    <row r="487">
      <c r="A487" s="2">
        <f>IFERROR(__xludf.DUMMYFUNCTION("""COMPUTED_VALUE"""),1000.0)</f>
        <v>1000</v>
      </c>
      <c r="B487" s="2">
        <f>IFERROR(__xludf.DUMMYFUNCTION("""COMPUTED_VALUE"""),183811.0)</f>
        <v>183811</v>
      </c>
      <c r="C487" s="2">
        <f>IFERROR(__xludf.DUMMYFUNCTION("""COMPUTED_VALUE"""),2026.0)</f>
        <v>2026</v>
      </c>
      <c r="D487" s="2">
        <f>IFERROR(__xludf.DUMMYFUNCTION("""COMPUTED_VALUE"""),46293.0)</f>
        <v>46293</v>
      </c>
      <c r="E487" s="2" t="str">
        <f>IFERROR(__xludf.DUMMYFUNCTION("""COMPUTED_VALUE"""),"VF")</f>
        <v>VF</v>
      </c>
      <c r="F487" s="2">
        <f>IFERROR(__xludf.DUMMYFUNCTION("""COMPUTED_VALUE"""),2.0)</f>
        <v>2</v>
      </c>
      <c r="G487" s="2" t="str">
        <f>IFERROR(__xludf.DUMMYFUNCTION("""COMPUTED_VALUE"""),"PR035")</f>
        <v>PR035</v>
      </c>
      <c r="H487" s="2" t="str">
        <f>IFERROR(__xludf.DUMMYFUNCTION("""COMPUTED_VALUE"""),"VD017")</f>
        <v>VD017</v>
      </c>
      <c r="I487" s="2">
        <f>IFERROR(__xludf.DUMMYFUNCTION("""COMPUTED_VALUE"""),14.0)</f>
        <v>14</v>
      </c>
      <c r="J487" s="2">
        <f>IFERROR(__xludf.DUMMYFUNCTION("""COMPUTED_VALUE"""),1343.58)</f>
        <v>1343.58</v>
      </c>
      <c r="K487" s="2">
        <f>IFERROR(__xludf.DUMMYFUNCTION("""COMPUTED_VALUE"""),1343.58)</f>
        <v>1343.58</v>
      </c>
    </row>
    <row r="488">
      <c r="A488" s="2">
        <f>IFERROR(__xludf.DUMMYFUNCTION("""COMPUTED_VALUE"""),1000.0)</f>
        <v>1000</v>
      </c>
      <c r="B488" s="2">
        <f>IFERROR(__xludf.DUMMYFUNCTION("""COMPUTED_VALUE"""),183812.0)</f>
        <v>183812</v>
      </c>
      <c r="C488" s="2">
        <f>IFERROR(__xludf.DUMMYFUNCTION("""COMPUTED_VALUE"""),2026.0)</f>
        <v>2026</v>
      </c>
      <c r="D488" s="2">
        <f>IFERROR(__xludf.DUMMYFUNCTION("""COMPUTED_VALUE"""),46293.0)</f>
        <v>46293</v>
      </c>
      <c r="E488" s="2" t="str">
        <f>IFERROR(__xludf.DUMMYFUNCTION("""COMPUTED_VALUE"""),"VF")</f>
        <v>VF</v>
      </c>
      <c r="F488" s="2">
        <f>IFERROR(__xludf.DUMMYFUNCTION("""COMPUTED_VALUE"""),1.0)</f>
        <v>1</v>
      </c>
      <c r="G488" s="2" t="str">
        <f>IFERROR(__xludf.DUMMYFUNCTION("""COMPUTED_VALUE"""),"PR025")</f>
        <v>PR025</v>
      </c>
      <c r="H488" s="2" t="str">
        <f>IFERROR(__xludf.DUMMYFUNCTION("""COMPUTED_VALUE"""),"VD012")</f>
        <v>VD012</v>
      </c>
      <c r="I488" s="2">
        <f>IFERROR(__xludf.DUMMYFUNCTION("""COMPUTED_VALUE"""),3.0)</f>
        <v>3</v>
      </c>
      <c r="J488" s="2">
        <f>IFERROR(__xludf.DUMMYFUNCTION("""COMPUTED_VALUE"""),962.68)</f>
        <v>962.68</v>
      </c>
      <c r="K488" s="2">
        <f>IFERROR(__xludf.DUMMYFUNCTION("""COMPUTED_VALUE"""),962.68)</f>
        <v>962.68</v>
      </c>
    </row>
    <row r="489">
      <c r="A489" s="2">
        <f>IFERROR(__xludf.DUMMYFUNCTION("""COMPUTED_VALUE"""),2000.0)</f>
        <v>2000</v>
      </c>
      <c r="B489" s="2">
        <f>IFERROR(__xludf.DUMMYFUNCTION("""COMPUTED_VALUE"""),183813.0)</f>
        <v>183813</v>
      </c>
      <c r="C489" s="2">
        <f>IFERROR(__xludf.DUMMYFUNCTION("""COMPUTED_VALUE"""),2026.0)</f>
        <v>2026</v>
      </c>
      <c r="D489" s="2">
        <f>IFERROR(__xludf.DUMMYFUNCTION("""COMPUTED_VALUE"""),46293.0)</f>
        <v>46293</v>
      </c>
      <c r="E489" s="2" t="str">
        <f>IFERROR(__xludf.DUMMYFUNCTION("""COMPUTED_VALUE"""),"VF")</f>
        <v>VF</v>
      </c>
      <c r="F489" s="2">
        <f>IFERROR(__xludf.DUMMYFUNCTION("""COMPUTED_VALUE"""),1.0)</f>
        <v>1</v>
      </c>
      <c r="G489" s="2" t="str">
        <f>IFERROR(__xludf.DUMMYFUNCTION("""COMPUTED_VALUE"""),"PR027")</f>
        <v>PR027</v>
      </c>
      <c r="H489" s="2" t="str">
        <f>IFERROR(__xludf.DUMMYFUNCTION("""COMPUTED_VALUE"""),"VD031")</f>
        <v>VD031</v>
      </c>
      <c r="I489" s="2">
        <f>IFERROR(__xludf.DUMMYFUNCTION("""COMPUTED_VALUE"""),8.0)</f>
        <v>8</v>
      </c>
      <c r="J489" s="2">
        <f>IFERROR(__xludf.DUMMYFUNCTION("""COMPUTED_VALUE"""),969.6)</f>
        <v>969.6</v>
      </c>
      <c r="K489" s="2">
        <f>IFERROR(__xludf.DUMMYFUNCTION("""COMPUTED_VALUE"""),969.6)</f>
        <v>969.6</v>
      </c>
    </row>
    <row r="490">
      <c r="A490" s="2">
        <f>IFERROR(__xludf.DUMMYFUNCTION("""COMPUTED_VALUE"""),2000.0)</f>
        <v>2000</v>
      </c>
      <c r="B490" s="2">
        <f>IFERROR(__xludf.DUMMYFUNCTION("""COMPUTED_VALUE"""),183814.0)</f>
        <v>183814</v>
      </c>
      <c r="C490" s="2">
        <f>IFERROR(__xludf.DUMMYFUNCTION("""COMPUTED_VALUE"""),2026.0)</f>
        <v>2026</v>
      </c>
      <c r="D490" s="2">
        <f>IFERROR(__xludf.DUMMYFUNCTION("""COMPUTED_VALUE"""),46292.0)</f>
        <v>46292</v>
      </c>
      <c r="E490" s="2" t="str">
        <f>IFERROR(__xludf.DUMMYFUNCTION("""COMPUTED_VALUE"""),"VF")</f>
        <v>VF</v>
      </c>
      <c r="F490" s="2">
        <f>IFERROR(__xludf.DUMMYFUNCTION("""COMPUTED_VALUE"""),1.0)</f>
        <v>1</v>
      </c>
      <c r="G490" s="2" t="str">
        <f>IFERROR(__xludf.DUMMYFUNCTION("""COMPUTED_VALUE"""),"PR020")</f>
        <v>PR020</v>
      </c>
      <c r="H490" s="2" t="str">
        <f>IFERROR(__xludf.DUMMYFUNCTION("""COMPUTED_VALUE"""),"VD022")</f>
        <v>VD022</v>
      </c>
      <c r="I490" s="2">
        <f>IFERROR(__xludf.DUMMYFUNCTION("""COMPUTED_VALUE"""),6.0)</f>
        <v>6</v>
      </c>
      <c r="J490" s="2">
        <f>IFERROR(__xludf.DUMMYFUNCTION("""COMPUTED_VALUE"""),1853.38)</f>
        <v>1853.38</v>
      </c>
      <c r="K490" s="2">
        <f>IFERROR(__xludf.DUMMYFUNCTION("""COMPUTED_VALUE"""),1853.38)</f>
        <v>1853.38</v>
      </c>
    </row>
    <row r="491">
      <c r="A491" s="2">
        <f>IFERROR(__xludf.DUMMYFUNCTION("""COMPUTED_VALUE"""),1000.0)</f>
        <v>1000</v>
      </c>
      <c r="B491" s="2">
        <f>IFERROR(__xludf.DUMMYFUNCTION("""COMPUTED_VALUE"""),183815.0)</f>
        <v>183815</v>
      </c>
      <c r="C491" s="2">
        <f>IFERROR(__xludf.DUMMYFUNCTION("""COMPUTED_VALUE"""),2026.0)</f>
        <v>2026</v>
      </c>
      <c r="D491" s="2">
        <f>IFERROR(__xludf.DUMMYFUNCTION("""COMPUTED_VALUE"""),46292.0)</f>
        <v>46292</v>
      </c>
      <c r="E491" s="2" t="str">
        <f>IFERROR(__xludf.DUMMYFUNCTION("""COMPUTED_VALUE"""),"VF")</f>
        <v>VF</v>
      </c>
      <c r="F491" s="2">
        <f>IFERROR(__xludf.DUMMYFUNCTION("""COMPUTED_VALUE"""),1.0)</f>
        <v>1</v>
      </c>
      <c r="G491" s="2" t="str">
        <f>IFERROR(__xludf.DUMMYFUNCTION("""COMPUTED_VALUE"""),"PR050")</f>
        <v>PR050</v>
      </c>
      <c r="H491" s="2" t="str">
        <f>IFERROR(__xludf.DUMMYFUNCTION("""COMPUTED_VALUE"""),"VD047")</f>
        <v>VD047</v>
      </c>
      <c r="I491" s="2">
        <f>IFERROR(__xludf.DUMMYFUNCTION("""COMPUTED_VALUE"""),8.0)</f>
        <v>8</v>
      </c>
      <c r="J491" s="2">
        <f>IFERROR(__xludf.DUMMYFUNCTION("""COMPUTED_VALUE"""),289.52)</f>
        <v>289.52</v>
      </c>
      <c r="K491" s="2">
        <f>IFERROR(__xludf.DUMMYFUNCTION("""COMPUTED_VALUE"""),289.52)</f>
        <v>289.52</v>
      </c>
    </row>
    <row r="492">
      <c r="A492" s="2">
        <f>IFERROR(__xludf.DUMMYFUNCTION("""COMPUTED_VALUE"""),1000.0)</f>
        <v>1000</v>
      </c>
      <c r="B492" s="2">
        <f>IFERROR(__xludf.DUMMYFUNCTION("""COMPUTED_VALUE"""),183815.0)</f>
        <v>183815</v>
      </c>
      <c r="C492" s="2">
        <f>IFERROR(__xludf.DUMMYFUNCTION("""COMPUTED_VALUE"""),2026.0)</f>
        <v>2026</v>
      </c>
      <c r="D492" s="2">
        <f>IFERROR(__xludf.DUMMYFUNCTION("""COMPUTED_VALUE"""),46291.0)</f>
        <v>46291</v>
      </c>
      <c r="E492" s="2" t="str">
        <f>IFERROR(__xludf.DUMMYFUNCTION("""COMPUTED_VALUE"""),"VF")</f>
        <v>VF</v>
      </c>
      <c r="F492" s="2">
        <f>IFERROR(__xludf.DUMMYFUNCTION("""COMPUTED_VALUE"""),2.0)</f>
        <v>2</v>
      </c>
      <c r="G492" s="2" t="str">
        <f>IFERROR(__xludf.DUMMYFUNCTION("""COMPUTED_VALUE"""),"PR053")</f>
        <v>PR053</v>
      </c>
      <c r="H492" s="2" t="str">
        <f>IFERROR(__xludf.DUMMYFUNCTION("""COMPUTED_VALUE"""),"VD041")</f>
        <v>VD041</v>
      </c>
      <c r="I492" s="2">
        <f>IFERROR(__xludf.DUMMYFUNCTION("""COMPUTED_VALUE"""),5.0)</f>
        <v>5</v>
      </c>
      <c r="J492" s="2">
        <f>IFERROR(__xludf.DUMMYFUNCTION("""COMPUTED_VALUE"""),274.45)</f>
        <v>274.45</v>
      </c>
      <c r="K492" s="2">
        <f>IFERROR(__xludf.DUMMYFUNCTION("""COMPUTED_VALUE"""),274.45)</f>
        <v>274.45</v>
      </c>
    </row>
    <row r="493">
      <c r="A493" s="2">
        <f>IFERROR(__xludf.DUMMYFUNCTION("""COMPUTED_VALUE"""),1000.0)</f>
        <v>1000</v>
      </c>
      <c r="B493" s="2">
        <f>IFERROR(__xludf.DUMMYFUNCTION("""COMPUTED_VALUE"""),183816.0)</f>
        <v>183816</v>
      </c>
      <c r="C493" s="2">
        <f>IFERROR(__xludf.DUMMYFUNCTION("""COMPUTED_VALUE"""),2026.0)</f>
        <v>2026</v>
      </c>
      <c r="D493" s="2">
        <f>IFERROR(__xludf.DUMMYFUNCTION("""COMPUTED_VALUE"""),46291.0)</f>
        <v>46291</v>
      </c>
      <c r="E493" s="2" t="str">
        <f>IFERROR(__xludf.DUMMYFUNCTION("""COMPUTED_VALUE"""),"VF")</f>
        <v>VF</v>
      </c>
      <c r="F493" s="2">
        <f>IFERROR(__xludf.DUMMYFUNCTION("""COMPUTED_VALUE"""),1.0)</f>
        <v>1</v>
      </c>
      <c r="G493" s="2" t="str">
        <f>IFERROR(__xludf.DUMMYFUNCTION("""COMPUTED_VALUE"""),"PR042")</f>
        <v>PR042</v>
      </c>
      <c r="H493" s="2" t="str">
        <f>IFERROR(__xludf.DUMMYFUNCTION("""COMPUTED_VALUE"""),"VD018")</f>
        <v>VD018</v>
      </c>
      <c r="I493" s="2">
        <f>IFERROR(__xludf.DUMMYFUNCTION("""COMPUTED_VALUE"""),14.0)</f>
        <v>14</v>
      </c>
      <c r="J493" s="2">
        <f>IFERROR(__xludf.DUMMYFUNCTION("""COMPUTED_VALUE"""),822.4)</f>
        <v>822.4</v>
      </c>
      <c r="K493" s="2">
        <f>IFERROR(__xludf.DUMMYFUNCTION("""COMPUTED_VALUE"""),822.4)</f>
        <v>822.4</v>
      </c>
    </row>
    <row r="494">
      <c r="A494" s="2">
        <f>IFERROR(__xludf.DUMMYFUNCTION("""COMPUTED_VALUE"""),2000.0)</f>
        <v>2000</v>
      </c>
      <c r="B494" s="2">
        <f>IFERROR(__xludf.DUMMYFUNCTION("""COMPUTED_VALUE"""),183816.0)</f>
        <v>183816</v>
      </c>
      <c r="C494" s="2">
        <f>IFERROR(__xludf.DUMMYFUNCTION("""COMPUTED_VALUE"""),2026.0)</f>
        <v>2026</v>
      </c>
      <c r="D494" s="2">
        <f>IFERROR(__xludf.DUMMYFUNCTION("""COMPUTED_VALUE"""),46290.0)</f>
        <v>46290</v>
      </c>
      <c r="E494" s="2" t="str">
        <f>IFERROR(__xludf.DUMMYFUNCTION("""COMPUTED_VALUE"""),"VF")</f>
        <v>VF</v>
      </c>
      <c r="F494" s="2">
        <f>IFERROR(__xludf.DUMMYFUNCTION("""COMPUTED_VALUE"""),2.0)</f>
        <v>2</v>
      </c>
      <c r="G494" s="2" t="str">
        <f>IFERROR(__xludf.DUMMYFUNCTION("""COMPUTED_VALUE"""),"PR041")</f>
        <v>PR041</v>
      </c>
      <c r="H494" s="2" t="str">
        <f>IFERROR(__xludf.DUMMYFUNCTION("""COMPUTED_VALUE"""),"VD049")</f>
        <v>VD049</v>
      </c>
      <c r="I494" s="2">
        <f>IFERROR(__xludf.DUMMYFUNCTION("""COMPUTED_VALUE"""),6.0)</f>
        <v>6</v>
      </c>
      <c r="J494" s="2">
        <f>IFERROR(__xludf.DUMMYFUNCTION("""COMPUTED_VALUE"""),352.46)</f>
        <v>352.46</v>
      </c>
      <c r="K494" s="2">
        <f>IFERROR(__xludf.DUMMYFUNCTION("""COMPUTED_VALUE"""),352.46)</f>
        <v>352.46</v>
      </c>
    </row>
    <row r="495">
      <c r="A495" s="2">
        <f>IFERROR(__xludf.DUMMYFUNCTION("""COMPUTED_VALUE"""),1000.0)</f>
        <v>1000</v>
      </c>
      <c r="B495" s="2">
        <f>IFERROR(__xludf.DUMMYFUNCTION("""COMPUTED_VALUE"""),183816.0)</f>
        <v>183816</v>
      </c>
      <c r="C495" s="2">
        <f>IFERROR(__xludf.DUMMYFUNCTION("""COMPUTED_VALUE"""),2026.0)</f>
        <v>2026</v>
      </c>
      <c r="D495" s="2">
        <f>IFERROR(__xludf.DUMMYFUNCTION("""COMPUTED_VALUE"""),46290.0)</f>
        <v>46290</v>
      </c>
      <c r="E495" s="2" t="str">
        <f>IFERROR(__xludf.DUMMYFUNCTION("""COMPUTED_VALUE"""),"VF")</f>
        <v>VF</v>
      </c>
      <c r="F495" s="2">
        <f>IFERROR(__xludf.DUMMYFUNCTION("""COMPUTED_VALUE"""),3.0)</f>
        <v>3</v>
      </c>
      <c r="G495" s="2" t="str">
        <f>IFERROR(__xludf.DUMMYFUNCTION("""COMPUTED_VALUE"""),"PR043")</f>
        <v>PR043</v>
      </c>
      <c r="H495" s="2" t="str">
        <f>IFERROR(__xludf.DUMMYFUNCTION("""COMPUTED_VALUE"""),"VD032")</f>
        <v>VD032</v>
      </c>
      <c r="I495" s="2">
        <f>IFERROR(__xludf.DUMMYFUNCTION("""COMPUTED_VALUE"""),2.0)</f>
        <v>2</v>
      </c>
      <c r="J495" s="2">
        <f>IFERROR(__xludf.DUMMYFUNCTION("""COMPUTED_VALUE"""),155.15)</f>
        <v>155.15</v>
      </c>
      <c r="K495" s="2">
        <f>IFERROR(__xludf.DUMMYFUNCTION("""COMPUTED_VALUE"""),155.15)</f>
        <v>155.15</v>
      </c>
    </row>
    <row r="496">
      <c r="A496" s="2">
        <f>IFERROR(__xludf.DUMMYFUNCTION("""COMPUTED_VALUE"""),1000.0)</f>
        <v>1000</v>
      </c>
      <c r="B496" s="2">
        <f>IFERROR(__xludf.DUMMYFUNCTION("""COMPUTED_VALUE"""),183817.0)</f>
        <v>183817</v>
      </c>
      <c r="C496" s="2">
        <f>IFERROR(__xludf.DUMMYFUNCTION("""COMPUTED_VALUE"""),2026.0)</f>
        <v>2026</v>
      </c>
      <c r="D496" s="2">
        <f>IFERROR(__xludf.DUMMYFUNCTION("""COMPUTED_VALUE"""),46290.0)</f>
        <v>46290</v>
      </c>
      <c r="E496" s="2" t="str">
        <f>IFERROR(__xludf.DUMMYFUNCTION("""COMPUTED_VALUE"""),"VF")</f>
        <v>VF</v>
      </c>
      <c r="F496" s="2">
        <f>IFERROR(__xludf.DUMMYFUNCTION("""COMPUTED_VALUE"""),1.0)</f>
        <v>1</v>
      </c>
      <c r="G496" s="2" t="str">
        <f>IFERROR(__xludf.DUMMYFUNCTION("""COMPUTED_VALUE"""),"PR006")</f>
        <v>PR006</v>
      </c>
      <c r="H496" s="2" t="str">
        <f>IFERROR(__xludf.DUMMYFUNCTION("""COMPUTED_VALUE"""),"VD044")</f>
        <v>VD044</v>
      </c>
      <c r="I496" s="2">
        <f>IFERROR(__xludf.DUMMYFUNCTION("""COMPUTED_VALUE"""),8.0)</f>
        <v>8</v>
      </c>
      <c r="J496" s="2">
        <f>IFERROR(__xludf.DUMMYFUNCTION("""COMPUTED_VALUE"""),341.54)</f>
        <v>341.54</v>
      </c>
      <c r="K496" s="2">
        <f>IFERROR(__xludf.DUMMYFUNCTION("""COMPUTED_VALUE"""),341.54)</f>
        <v>341.54</v>
      </c>
    </row>
    <row r="497">
      <c r="A497" s="2">
        <f>IFERROR(__xludf.DUMMYFUNCTION("""COMPUTED_VALUE"""),1000.0)</f>
        <v>1000</v>
      </c>
      <c r="B497" s="2">
        <f>IFERROR(__xludf.DUMMYFUNCTION("""COMPUTED_VALUE"""),183817.0)</f>
        <v>183817</v>
      </c>
      <c r="C497" s="2">
        <f>IFERROR(__xludf.DUMMYFUNCTION("""COMPUTED_VALUE"""),2026.0)</f>
        <v>2026</v>
      </c>
      <c r="D497" s="2">
        <f>IFERROR(__xludf.DUMMYFUNCTION("""COMPUTED_VALUE"""),46290.0)</f>
        <v>46290</v>
      </c>
      <c r="E497" s="2" t="str">
        <f>IFERROR(__xludf.DUMMYFUNCTION("""COMPUTED_VALUE"""),"VF")</f>
        <v>VF</v>
      </c>
      <c r="F497" s="2">
        <f>IFERROR(__xludf.DUMMYFUNCTION("""COMPUTED_VALUE"""),2.0)</f>
        <v>2</v>
      </c>
      <c r="G497" s="2" t="str">
        <f>IFERROR(__xludf.DUMMYFUNCTION("""COMPUTED_VALUE"""),"PR058")</f>
        <v>PR058</v>
      </c>
      <c r="H497" s="2" t="str">
        <f>IFERROR(__xludf.DUMMYFUNCTION("""COMPUTED_VALUE"""),"VD018")</f>
        <v>VD018</v>
      </c>
      <c r="I497" s="2">
        <f>IFERROR(__xludf.DUMMYFUNCTION("""COMPUTED_VALUE"""),4.0)</f>
        <v>4</v>
      </c>
      <c r="J497" s="2">
        <f>IFERROR(__xludf.DUMMYFUNCTION("""COMPUTED_VALUE"""),792.0)</f>
        <v>792</v>
      </c>
      <c r="K497" s="2">
        <f>IFERROR(__xludf.DUMMYFUNCTION("""COMPUTED_VALUE"""),792.0)</f>
        <v>792</v>
      </c>
    </row>
    <row r="498">
      <c r="A498" s="2">
        <f>IFERROR(__xludf.DUMMYFUNCTION("""COMPUTED_VALUE"""),1000.0)</f>
        <v>1000</v>
      </c>
      <c r="B498" s="2">
        <f>IFERROR(__xludf.DUMMYFUNCTION("""COMPUTED_VALUE"""),183817.0)</f>
        <v>183817</v>
      </c>
      <c r="C498" s="2">
        <f>IFERROR(__xludf.DUMMYFUNCTION("""COMPUTED_VALUE"""),2026.0)</f>
        <v>2026</v>
      </c>
      <c r="D498" s="2">
        <f>IFERROR(__xludf.DUMMYFUNCTION("""COMPUTED_VALUE"""),46290.0)</f>
        <v>46290</v>
      </c>
      <c r="E498" s="2" t="str">
        <f>IFERROR(__xludf.DUMMYFUNCTION("""COMPUTED_VALUE"""),"VF")</f>
        <v>VF</v>
      </c>
      <c r="F498" s="2">
        <f>IFERROR(__xludf.DUMMYFUNCTION("""COMPUTED_VALUE"""),3.0)</f>
        <v>3</v>
      </c>
      <c r="G498" s="2" t="str">
        <f>IFERROR(__xludf.DUMMYFUNCTION("""COMPUTED_VALUE"""),"PR038")</f>
        <v>PR038</v>
      </c>
      <c r="H498" s="2" t="str">
        <f>IFERROR(__xludf.DUMMYFUNCTION("""COMPUTED_VALUE"""),"VD032")</f>
        <v>VD032</v>
      </c>
      <c r="I498" s="2">
        <f>IFERROR(__xludf.DUMMYFUNCTION("""COMPUTED_VALUE"""),4.0)</f>
        <v>4</v>
      </c>
      <c r="J498" s="2">
        <f>IFERROR(__xludf.DUMMYFUNCTION("""COMPUTED_VALUE"""),600.18)</f>
        <v>600.18</v>
      </c>
      <c r="K498" s="2">
        <f>IFERROR(__xludf.DUMMYFUNCTION("""COMPUTED_VALUE"""),600.18)</f>
        <v>600.18</v>
      </c>
    </row>
    <row r="499">
      <c r="A499" s="2">
        <f>IFERROR(__xludf.DUMMYFUNCTION("""COMPUTED_VALUE"""),1000.0)</f>
        <v>1000</v>
      </c>
      <c r="B499" s="2">
        <f>IFERROR(__xludf.DUMMYFUNCTION("""COMPUTED_VALUE"""),183818.0)</f>
        <v>183818</v>
      </c>
      <c r="C499" s="2">
        <f>IFERROR(__xludf.DUMMYFUNCTION("""COMPUTED_VALUE"""),2026.0)</f>
        <v>2026</v>
      </c>
      <c r="D499" s="2">
        <f>IFERROR(__xludf.DUMMYFUNCTION("""COMPUTED_VALUE"""),46290.0)</f>
        <v>46290</v>
      </c>
      <c r="E499" s="2" t="str">
        <f>IFERROR(__xludf.DUMMYFUNCTION("""COMPUTED_VALUE"""),"VF")</f>
        <v>VF</v>
      </c>
      <c r="F499" s="2">
        <f>IFERROR(__xludf.DUMMYFUNCTION("""COMPUTED_VALUE"""),1.0)</f>
        <v>1</v>
      </c>
      <c r="G499" s="2" t="str">
        <f>IFERROR(__xludf.DUMMYFUNCTION("""COMPUTED_VALUE"""),"PR022")</f>
        <v>PR022</v>
      </c>
      <c r="H499" s="2" t="str">
        <f>IFERROR(__xludf.DUMMYFUNCTION("""COMPUTED_VALUE"""),"VD026")</f>
        <v>VD026</v>
      </c>
      <c r="I499" s="2">
        <f>IFERROR(__xludf.DUMMYFUNCTION("""COMPUTED_VALUE"""),9.0)</f>
        <v>9</v>
      </c>
      <c r="J499" s="2">
        <f>IFERROR(__xludf.DUMMYFUNCTION("""COMPUTED_VALUE"""),2916.0)</f>
        <v>2916</v>
      </c>
      <c r="K499" s="2">
        <f>IFERROR(__xludf.DUMMYFUNCTION("""COMPUTED_VALUE"""),2916.0)</f>
        <v>2916</v>
      </c>
    </row>
    <row r="500">
      <c r="A500" s="2">
        <f>IFERROR(__xludf.DUMMYFUNCTION("""COMPUTED_VALUE"""),1000.0)</f>
        <v>1000</v>
      </c>
      <c r="B500" s="2">
        <f>IFERROR(__xludf.DUMMYFUNCTION("""COMPUTED_VALUE"""),183819.0)</f>
        <v>183819</v>
      </c>
      <c r="C500" s="2">
        <f>IFERROR(__xludf.DUMMYFUNCTION("""COMPUTED_VALUE"""),2026.0)</f>
        <v>2026</v>
      </c>
      <c r="D500" s="2">
        <f>IFERROR(__xludf.DUMMYFUNCTION("""COMPUTED_VALUE"""),46290.0)</f>
        <v>46290</v>
      </c>
      <c r="E500" s="2" t="str">
        <f>IFERROR(__xludf.DUMMYFUNCTION("""COMPUTED_VALUE"""),"VF")</f>
        <v>VF</v>
      </c>
      <c r="F500" s="2">
        <f>IFERROR(__xludf.DUMMYFUNCTION("""COMPUTED_VALUE"""),1.0)</f>
        <v>1</v>
      </c>
      <c r="G500" s="2" t="str">
        <f>IFERROR(__xludf.DUMMYFUNCTION("""COMPUTED_VALUE"""),"PR035")</f>
        <v>PR035</v>
      </c>
      <c r="H500" s="2" t="str">
        <f>IFERROR(__xludf.DUMMYFUNCTION("""COMPUTED_VALUE"""),"VD046")</f>
        <v>VD046</v>
      </c>
      <c r="I500" s="2">
        <f>IFERROR(__xludf.DUMMYFUNCTION("""COMPUTED_VALUE"""),5.0)</f>
        <v>5</v>
      </c>
      <c r="J500" s="2">
        <f>IFERROR(__xludf.DUMMYFUNCTION("""COMPUTED_VALUE"""),479.85)</f>
        <v>479.85</v>
      </c>
      <c r="K500" s="2">
        <f>IFERROR(__xludf.DUMMYFUNCTION("""COMPUTED_VALUE"""),479.85)</f>
        <v>479.85</v>
      </c>
    </row>
    <row r="501">
      <c r="A501" s="2">
        <f>IFERROR(__xludf.DUMMYFUNCTION("""COMPUTED_VALUE"""),1000.0)</f>
        <v>1000</v>
      </c>
      <c r="B501" s="2">
        <f>IFERROR(__xludf.DUMMYFUNCTION("""COMPUTED_VALUE"""),183819.0)</f>
        <v>183819</v>
      </c>
      <c r="C501" s="2">
        <f>IFERROR(__xludf.DUMMYFUNCTION("""COMPUTED_VALUE"""),2026.0)</f>
        <v>2026</v>
      </c>
      <c r="D501" s="2">
        <f>IFERROR(__xludf.DUMMYFUNCTION("""COMPUTED_VALUE"""),46290.0)</f>
        <v>46290</v>
      </c>
      <c r="E501" s="2" t="str">
        <f>IFERROR(__xludf.DUMMYFUNCTION("""COMPUTED_VALUE"""),"VF")</f>
        <v>VF</v>
      </c>
      <c r="F501" s="2">
        <f>IFERROR(__xludf.DUMMYFUNCTION("""COMPUTED_VALUE"""),2.0)</f>
        <v>2</v>
      </c>
      <c r="G501" s="2" t="str">
        <f>IFERROR(__xludf.DUMMYFUNCTION("""COMPUTED_VALUE"""),"PR015")</f>
        <v>PR015</v>
      </c>
      <c r="H501" s="2" t="str">
        <f>IFERROR(__xludf.DUMMYFUNCTION("""COMPUTED_VALUE"""),"VD032")</f>
        <v>VD032</v>
      </c>
      <c r="I501" s="2">
        <f>IFERROR(__xludf.DUMMYFUNCTION("""COMPUTED_VALUE"""),5.0)</f>
        <v>5</v>
      </c>
      <c r="J501" s="2">
        <f>IFERROR(__xludf.DUMMYFUNCTION("""COMPUTED_VALUE"""),223.13)</f>
        <v>223.13</v>
      </c>
      <c r="K501" s="2">
        <f>IFERROR(__xludf.DUMMYFUNCTION("""COMPUTED_VALUE"""),223.13)</f>
        <v>223.13</v>
      </c>
    </row>
    <row r="502">
      <c r="A502" s="2">
        <f>IFERROR(__xludf.DUMMYFUNCTION("""COMPUTED_VALUE"""),2000.0)</f>
        <v>2000</v>
      </c>
      <c r="B502" s="2">
        <f>IFERROR(__xludf.DUMMYFUNCTION("""COMPUTED_VALUE"""),183820.0)</f>
        <v>183820</v>
      </c>
      <c r="C502" s="2">
        <f>IFERROR(__xludf.DUMMYFUNCTION("""COMPUTED_VALUE"""),2026.0)</f>
        <v>2026</v>
      </c>
      <c r="D502" s="2">
        <f>IFERROR(__xludf.DUMMYFUNCTION("""COMPUTED_VALUE"""),46290.0)</f>
        <v>46290</v>
      </c>
      <c r="E502" s="2" t="str">
        <f>IFERROR(__xludf.DUMMYFUNCTION("""COMPUTED_VALUE"""),"VF")</f>
        <v>VF</v>
      </c>
      <c r="F502" s="2">
        <f>IFERROR(__xludf.DUMMYFUNCTION("""COMPUTED_VALUE"""),1.0)</f>
        <v>1</v>
      </c>
      <c r="G502" s="2" t="str">
        <f>IFERROR(__xludf.DUMMYFUNCTION("""COMPUTED_VALUE"""),"PR020")</f>
        <v>PR020</v>
      </c>
      <c r="H502" s="2" t="str">
        <f>IFERROR(__xludf.DUMMYFUNCTION("""COMPUTED_VALUE"""),"VD021")</f>
        <v>VD021</v>
      </c>
      <c r="I502" s="2">
        <f>IFERROR(__xludf.DUMMYFUNCTION("""COMPUTED_VALUE"""),9.0)</f>
        <v>9</v>
      </c>
      <c r="J502" s="2">
        <f>IFERROR(__xludf.DUMMYFUNCTION("""COMPUTED_VALUE"""),2753.08)</f>
        <v>2753.08</v>
      </c>
      <c r="K502" s="2">
        <f>IFERROR(__xludf.DUMMYFUNCTION("""COMPUTED_VALUE"""),2753.08)</f>
        <v>2753.08</v>
      </c>
    </row>
    <row r="503">
      <c r="A503" s="2">
        <f>IFERROR(__xludf.DUMMYFUNCTION("""COMPUTED_VALUE"""),2000.0)</f>
        <v>2000</v>
      </c>
      <c r="B503" s="2">
        <f>IFERROR(__xludf.DUMMYFUNCTION("""COMPUTED_VALUE"""),183820.0)</f>
        <v>183820</v>
      </c>
      <c r="C503" s="2">
        <f>IFERROR(__xludf.DUMMYFUNCTION("""COMPUTED_VALUE"""),2026.0)</f>
        <v>2026</v>
      </c>
      <c r="D503" s="2">
        <f>IFERROR(__xludf.DUMMYFUNCTION("""COMPUTED_VALUE"""),46290.0)</f>
        <v>46290</v>
      </c>
      <c r="E503" s="2" t="str">
        <f>IFERROR(__xludf.DUMMYFUNCTION("""COMPUTED_VALUE"""),"VF")</f>
        <v>VF</v>
      </c>
      <c r="F503" s="2">
        <f>IFERROR(__xludf.DUMMYFUNCTION("""COMPUTED_VALUE"""),2.0)</f>
        <v>2</v>
      </c>
      <c r="G503" s="2" t="str">
        <f>IFERROR(__xludf.DUMMYFUNCTION("""COMPUTED_VALUE"""),"PR011")</f>
        <v>PR011</v>
      </c>
      <c r="H503" s="2" t="str">
        <f>IFERROR(__xludf.DUMMYFUNCTION("""COMPUTED_VALUE"""),"VD014")</f>
        <v>VD014</v>
      </c>
      <c r="I503" s="2">
        <f>IFERROR(__xludf.DUMMYFUNCTION("""COMPUTED_VALUE"""),9.0)</f>
        <v>9</v>
      </c>
      <c r="J503" s="2">
        <f>IFERROR(__xludf.DUMMYFUNCTION("""COMPUTED_VALUE"""),455.87)</f>
        <v>455.87</v>
      </c>
      <c r="K503" s="2">
        <f>IFERROR(__xludf.DUMMYFUNCTION("""COMPUTED_VALUE"""),455.87)</f>
        <v>455.87</v>
      </c>
    </row>
    <row r="504">
      <c r="A504" s="2">
        <f>IFERROR(__xludf.DUMMYFUNCTION("""COMPUTED_VALUE"""),1000.0)</f>
        <v>1000</v>
      </c>
      <c r="B504" s="2">
        <f>IFERROR(__xludf.DUMMYFUNCTION("""COMPUTED_VALUE"""),183821.0)</f>
        <v>183821</v>
      </c>
      <c r="C504" s="2">
        <f>IFERROR(__xludf.DUMMYFUNCTION("""COMPUTED_VALUE"""),2026.0)</f>
        <v>2026</v>
      </c>
      <c r="D504" s="2">
        <f>IFERROR(__xludf.DUMMYFUNCTION("""COMPUTED_VALUE"""),46289.0)</f>
        <v>46289</v>
      </c>
      <c r="E504" s="2" t="str">
        <f>IFERROR(__xludf.DUMMYFUNCTION("""COMPUTED_VALUE"""),"VF")</f>
        <v>VF</v>
      </c>
      <c r="F504" s="2">
        <f>IFERROR(__xludf.DUMMYFUNCTION("""COMPUTED_VALUE"""),1.0)</f>
        <v>1</v>
      </c>
      <c r="G504" s="2" t="str">
        <f>IFERROR(__xludf.DUMMYFUNCTION("""COMPUTED_VALUE"""),"PR050")</f>
        <v>PR050</v>
      </c>
      <c r="H504" s="2" t="str">
        <f>IFERROR(__xludf.DUMMYFUNCTION("""COMPUTED_VALUE"""),"VD040")</f>
        <v>VD040</v>
      </c>
      <c r="I504" s="2">
        <f>IFERROR(__xludf.DUMMYFUNCTION("""COMPUTED_VALUE"""),1.0)</f>
        <v>1</v>
      </c>
      <c r="J504" s="2">
        <f>IFERROR(__xludf.DUMMYFUNCTION("""COMPUTED_VALUE"""),33.56)</f>
        <v>33.56</v>
      </c>
      <c r="K504" s="2">
        <f>IFERROR(__xludf.DUMMYFUNCTION("""COMPUTED_VALUE"""),33.56)</f>
        <v>33.56</v>
      </c>
    </row>
    <row r="505">
      <c r="A505" s="2">
        <f>IFERROR(__xludf.DUMMYFUNCTION("""COMPUTED_VALUE"""),1000.0)</f>
        <v>1000</v>
      </c>
      <c r="B505" s="2">
        <f>IFERROR(__xludf.DUMMYFUNCTION("""COMPUTED_VALUE"""),183821.0)</f>
        <v>183821</v>
      </c>
      <c r="C505" s="2">
        <f>IFERROR(__xludf.DUMMYFUNCTION("""COMPUTED_VALUE"""),2026.0)</f>
        <v>2026</v>
      </c>
      <c r="D505" s="2">
        <f>IFERROR(__xludf.DUMMYFUNCTION("""COMPUTED_VALUE"""),46289.0)</f>
        <v>46289</v>
      </c>
      <c r="E505" s="2" t="str">
        <f>IFERROR(__xludf.DUMMYFUNCTION("""COMPUTED_VALUE"""),"VF")</f>
        <v>VF</v>
      </c>
      <c r="F505" s="2">
        <f>IFERROR(__xludf.DUMMYFUNCTION("""COMPUTED_VALUE"""),2.0)</f>
        <v>2</v>
      </c>
      <c r="G505" s="2" t="str">
        <f>IFERROR(__xludf.DUMMYFUNCTION("""COMPUTED_VALUE"""),"PR046")</f>
        <v>PR046</v>
      </c>
      <c r="H505" s="2" t="str">
        <f>IFERROR(__xludf.DUMMYFUNCTION("""COMPUTED_VALUE"""),"VD019")</f>
        <v>VD019</v>
      </c>
      <c r="I505" s="2">
        <f>IFERROR(__xludf.DUMMYFUNCTION("""COMPUTED_VALUE"""),4.0)</f>
        <v>4</v>
      </c>
      <c r="J505" s="2">
        <f>IFERROR(__xludf.DUMMYFUNCTION("""COMPUTED_VALUE"""),1263.96)</f>
        <v>1263.96</v>
      </c>
      <c r="K505" s="2">
        <f>IFERROR(__xludf.DUMMYFUNCTION("""COMPUTED_VALUE"""),1263.96)</f>
        <v>1263.96</v>
      </c>
    </row>
    <row r="506">
      <c r="A506" s="2">
        <f>IFERROR(__xludf.DUMMYFUNCTION("""COMPUTED_VALUE"""),1000.0)</f>
        <v>1000</v>
      </c>
      <c r="B506" s="2">
        <f>IFERROR(__xludf.DUMMYFUNCTION("""COMPUTED_VALUE"""),183822.0)</f>
        <v>183822</v>
      </c>
      <c r="C506" s="2">
        <f>IFERROR(__xludf.DUMMYFUNCTION("""COMPUTED_VALUE"""),2026.0)</f>
        <v>2026</v>
      </c>
      <c r="D506" s="2">
        <f>IFERROR(__xludf.DUMMYFUNCTION("""COMPUTED_VALUE"""),46289.0)</f>
        <v>46289</v>
      </c>
      <c r="E506" s="2" t="str">
        <f>IFERROR(__xludf.DUMMYFUNCTION("""COMPUTED_VALUE"""),"VF")</f>
        <v>VF</v>
      </c>
      <c r="F506" s="2">
        <f>IFERROR(__xludf.DUMMYFUNCTION("""COMPUTED_VALUE"""),1.0)</f>
        <v>1</v>
      </c>
      <c r="G506" s="2" t="str">
        <f>IFERROR(__xludf.DUMMYFUNCTION("""COMPUTED_VALUE"""),"PR016")</f>
        <v>PR016</v>
      </c>
      <c r="H506" s="2" t="str">
        <f>IFERROR(__xludf.DUMMYFUNCTION("""COMPUTED_VALUE"""),"VD012")</f>
        <v>VD012</v>
      </c>
      <c r="I506" s="2">
        <f>IFERROR(__xludf.DUMMYFUNCTION("""COMPUTED_VALUE"""),2.0)</f>
        <v>2</v>
      </c>
      <c r="J506" s="2">
        <f>IFERROR(__xludf.DUMMYFUNCTION("""COMPUTED_VALUE"""),53.35)</f>
        <v>53.35</v>
      </c>
      <c r="K506" s="2">
        <f>IFERROR(__xludf.DUMMYFUNCTION("""COMPUTED_VALUE"""),53.35)</f>
        <v>53.35</v>
      </c>
    </row>
    <row r="507">
      <c r="A507" s="2">
        <f>IFERROR(__xludf.DUMMYFUNCTION("""COMPUTED_VALUE"""),1000.0)</f>
        <v>1000</v>
      </c>
      <c r="B507" s="2">
        <f>IFERROR(__xludf.DUMMYFUNCTION("""COMPUTED_VALUE"""),183822.0)</f>
        <v>183822</v>
      </c>
      <c r="C507" s="2">
        <f>IFERROR(__xludf.DUMMYFUNCTION("""COMPUTED_VALUE"""),2026.0)</f>
        <v>2026</v>
      </c>
      <c r="D507" s="2">
        <f>IFERROR(__xludf.DUMMYFUNCTION("""COMPUTED_VALUE"""),46289.0)</f>
        <v>46289</v>
      </c>
      <c r="E507" s="2" t="str">
        <f>IFERROR(__xludf.DUMMYFUNCTION("""COMPUTED_VALUE"""),"VF")</f>
        <v>VF</v>
      </c>
      <c r="F507" s="2">
        <f>IFERROR(__xludf.DUMMYFUNCTION("""COMPUTED_VALUE"""),2.0)</f>
        <v>2</v>
      </c>
      <c r="G507" s="2" t="str">
        <f>IFERROR(__xludf.DUMMYFUNCTION("""COMPUTED_VALUE"""),"PR041")</f>
        <v>PR041</v>
      </c>
      <c r="H507" s="2" t="str">
        <f>IFERROR(__xludf.DUMMYFUNCTION("""COMPUTED_VALUE"""),"VD049")</f>
        <v>VD049</v>
      </c>
      <c r="I507" s="2">
        <f>IFERROR(__xludf.DUMMYFUNCTION("""COMPUTED_VALUE"""),1.0)</f>
        <v>1</v>
      </c>
      <c r="J507" s="2">
        <f>IFERROR(__xludf.DUMMYFUNCTION("""COMPUTED_VALUE"""),59.84)</f>
        <v>59.84</v>
      </c>
      <c r="K507" s="2">
        <f>IFERROR(__xludf.DUMMYFUNCTION("""COMPUTED_VALUE"""),59.84)</f>
        <v>59.84</v>
      </c>
    </row>
    <row r="508">
      <c r="A508" s="2">
        <f>IFERROR(__xludf.DUMMYFUNCTION("""COMPUTED_VALUE"""),1000.0)</f>
        <v>1000</v>
      </c>
      <c r="B508" s="2">
        <f>IFERROR(__xludf.DUMMYFUNCTION("""COMPUTED_VALUE"""),183822.0)</f>
        <v>183822</v>
      </c>
      <c r="C508" s="2">
        <f>IFERROR(__xludf.DUMMYFUNCTION("""COMPUTED_VALUE"""),2026.0)</f>
        <v>2026</v>
      </c>
      <c r="D508" s="2">
        <f>IFERROR(__xludf.DUMMYFUNCTION("""COMPUTED_VALUE"""),46289.0)</f>
        <v>46289</v>
      </c>
      <c r="E508" s="2" t="str">
        <f>IFERROR(__xludf.DUMMYFUNCTION("""COMPUTED_VALUE"""),"VF")</f>
        <v>VF</v>
      </c>
      <c r="F508" s="2">
        <f>IFERROR(__xludf.DUMMYFUNCTION("""COMPUTED_VALUE"""),3.0)</f>
        <v>3</v>
      </c>
      <c r="G508" s="2" t="str">
        <f>IFERROR(__xludf.DUMMYFUNCTION("""COMPUTED_VALUE"""),"PR037")</f>
        <v>PR037</v>
      </c>
      <c r="H508" s="2" t="str">
        <f>IFERROR(__xludf.DUMMYFUNCTION("""COMPUTED_VALUE"""),"VD038")</f>
        <v>VD038</v>
      </c>
      <c r="I508" s="2">
        <f>IFERROR(__xludf.DUMMYFUNCTION("""COMPUTED_VALUE"""),14.0)</f>
        <v>14</v>
      </c>
      <c r="J508" s="2">
        <f>IFERROR(__xludf.DUMMYFUNCTION("""COMPUTED_VALUE"""),1960.0)</f>
        <v>1960</v>
      </c>
      <c r="K508" s="2">
        <f>IFERROR(__xludf.DUMMYFUNCTION("""COMPUTED_VALUE"""),1960.0)</f>
        <v>1960</v>
      </c>
    </row>
    <row r="509">
      <c r="A509" s="2">
        <f>IFERROR(__xludf.DUMMYFUNCTION("""COMPUTED_VALUE"""),1000.0)</f>
        <v>1000</v>
      </c>
      <c r="B509" s="2">
        <f>IFERROR(__xludf.DUMMYFUNCTION("""COMPUTED_VALUE"""),183823.0)</f>
        <v>183823</v>
      </c>
      <c r="C509" s="2">
        <f>IFERROR(__xludf.DUMMYFUNCTION("""COMPUTED_VALUE"""),2026.0)</f>
        <v>2026</v>
      </c>
      <c r="D509" s="2">
        <f>IFERROR(__xludf.DUMMYFUNCTION("""COMPUTED_VALUE"""),46289.0)</f>
        <v>46289</v>
      </c>
      <c r="E509" s="2" t="str">
        <f>IFERROR(__xludf.DUMMYFUNCTION("""COMPUTED_VALUE"""),"VF")</f>
        <v>VF</v>
      </c>
      <c r="F509" s="2">
        <f>IFERROR(__xludf.DUMMYFUNCTION("""COMPUTED_VALUE"""),1.0)</f>
        <v>1</v>
      </c>
      <c r="G509" s="2" t="str">
        <f>IFERROR(__xludf.DUMMYFUNCTION("""COMPUTED_VALUE"""),"PR019")</f>
        <v>PR019</v>
      </c>
      <c r="H509" s="2" t="str">
        <f>IFERROR(__xludf.DUMMYFUNCTION("""COMPUTED_VALUE"""),"VD018")</f>
        <v>VD018</v>
      </c>
      <c r="I509" s="2">
        <f>IFERROR(__xludf.DUMMYFUNCTION("""COMPUTED_VALUE"""),4.0)</f>
        <v>4</v>
      </c>
      <c r="J509" s="2">
        <f>IFERROR(__xludf.DUMMYFUNCTION("""COMPUTED_VALUE"""),213.57)</f>
        <v>213.57</v>
      </c>
      <c r="K509" s="2">
        <f>IFERROR(__xludf.DUMMYFUNCTION("""COMPUTED_VALUE"""),213.57)</f>
        <v>213.57</v>
      </c>
    </row>
    <row r="510">
      <c r="A510" s="2">
        <f>IFERROR(__xludf.DUMMYFUNCTION("""COMPUTED_VALUE"""),1000.0)</f>
        <v>1000</v>
      </c>
      <c r="B510" s="2">
        <f>IFERROR(__xludf.DUMMYFUNCTION("""COMPUTED_VALUE"""),183824.0)</f>
        <v>183824</v>
      </c>
      <c r="C510" s="2">
        <f>IFERROR(__xludf.DUMMYFUNCTION("""COMPUTED_VALUE"""),2026.0)</f>
        <v>2026</v>
      </c>
      <c r="D510" s="2">
        <f>IFERROR(__xludf.DUMMYFUNCTION("""COMPUTED_VALUE"""),46289.0)</f>
        <v>46289</v>
      </c>
      <c r="E510" s="2" t="str">
        <f>IFERROR(__xludf.DUMMYFUNCTION("""COMPUTED_VALUE"""),"VF")</f>
        <v>VF</v>
      </c>
      <c r="F510" s="2">
        <f>IFERROR(__xludf.DUMMYFUNCTION("""COMPUTED_VALUE"""),1.0)</f>
        <v>1</v>
      </c>
      <c r="G510" s="2" t="str">
        <f>IFERROR(__xludf.DUMMYFUNCTION("""COMPUTED_VALUE"""),"PR052")</f>
        <v>PR052</v>
      </c>
      <c r="H510" s="2" t="str">
        <f>IFERROR(__xludf.DUMMYFUNCTION("""COMPUTED_VALUE"""),"VD043")</f>
        <v>VD043</v>
      </c>
      <c r="I510" s="2">
        <f>IFERROR(__xludf.DUMMYFUNCTION("""COMPUTED_VALUE"""),7.0)</f>
        <v>7</v>
      </c>
      <c r="J510" s="2">
        <f>IFERROR(__xludf.DUMMYFUNCTION("""COMPUTED_VALUE"""),356.29)</f>
        <v>356.29</v>
      </c>
      <c r="K510" s="2">
        <f>IFERROR(__xludf.DUMMYFUNCTION("""COMPUTED_VALUE"""),356.29)</f>
        <v>356.29</v>
      </c>
    </row>
    <row r="511">
      <c r="A511" s="2">
        <f>IFERROR(__xludf.DUMMYFUNCTION("""COMPUTED_VALUE"""),1000.0)</f>
        <v>1000</v>
      </c>
      <c r="B511" s="2">
        <f>IFERROR(__xludf.DUMMYFUNCTION("""COMPUTED_VALUE"""),183825.0)</f>
        <v>183825</v>
      </c>
      <c r="C511" s="2">
        <f>IFERROR(__xludf.DUMMYFUNCTION("""COMPUTED_VALUE"""),2026.0)</f>
        <v>2026</v>
      </c>
      <c r="D511" s="2">
        <f>IFERROR(__xludf.DUMMYFUNCTION("""COMPUTED_VALUE"""),46289.0)</f>
        <v>46289</v>
      </c>
      <c r="E511" s="2" t="str">
        <f>IFERROR(__xludf.DUMMYFUNCTION("""COMPUTED_VALUE"""),"VF")</f>
        <v>VF</v>
      </c>
      <c r="F511" s="2">
        <f>IFERROR(__xludf.DUMMYFUNCTION("""COMPUTED_VALUE"""),1.0)</f>
        <v>1</v>
      </c>
      <c r="G511" s="2" t="str">
        <f>IFERROR(__xludf.DUMMYFUNCTION("""COMPUTED_VALUE"""),"PR011")</f>
        <v>PR011</v>
      </c>
      <c r="H511" s="2" t="str">
        <f>IFERROR(__xludf.DUMMYFUNCTION("""COMPUTED_VALUE"""),"VD042")</f>
        <v>VD042</v>
      </c>
      <c r="I511" s="2">
        <f>IFERROR(__xludf.DUMMYFUNCTION("""COMPUTED_VALUE"""),1.0)</f>
        <v>1</v>
      </c>
      <c r="J511" s="2">
        <f>IFERROR(__xludf.DUMMYFUNCTION("""COMPUTED_VALUE"""),50.65)</f>
        <v>50.65</v>
      </c>
      <c r="K511" s="2">
        <f>IFERROR(__xludf.DUMMYFUNCTION("""COMPUTED_VALUE"""),50.65)</f>
        <v>50.65</v>
      </c>
    </row>
    <row r="512">
      <c r="A512" s="2">
        <f>IFERROR(__xludf.DUMMYFUNCTION("""COMPUTED_VALUE"""),1000.0)</f>
        <v>1000</v>
      </c>
      <c r="B512" s="2">
        <f>IFERROR(__xludf.DUMMYFUNCTION("""COMPUTED_VALUE"""),183826.0)</f>
        <v>183826</v>
      </c>
      <c r="C512" s="2">
        <f>IFERROR(__xludf.DUMMYFUNCTION("""COMPUTED_VALUE"""),2026.0)</f>
        <v>2026</v>
      </c>
      <c r="D512" s="2">
        <f>IFERROR(__xludf.DUMMYFUNCTION("""COMPUTED_VALUE"""),46289.0)</f>
        <v>46289</v>
      </c>
      <c r="E512" s="2" t="str">
        <f>IFERROR(__xludf.DUMMYFUNCTION("""COMPUTED_VALUE"""),"VF")</f>
        <v>VF</v>
      </c>
      <c r="F512" s="2">
        <f>IFERROR(__xludf.DUMMYFUNCTION("""COMPUTED_VALUE"""),1.0)</f>
        <v>1</v>
      </c>
      <c r="G512" s="2" t="str">
        <f>IFERROR(__xludf.DUMMYFUNCTION("""COMPUTED_VALUE"""),"PR058")</f>
        <v>PR058</v>
      </c>
      <c r="H512" s="2" t="str">
        <f>IFERROR(__xludf.DUMMYFUNCTION("""COMPUTED_VALUE"""),"VD048")</f>
        <v>VD048</v>
      </c>
      <c r="I512" s="2">
        <f>IFERROR(__xludf.DUMMYFUNCTION("""COMPUTED_VALUE"""),8.0)</f>
        <v>8</v>
      </c>
      <c r="J512" s="2">
        <f>IFERROR(__xludf.DUMMYFUNCTION("""COMPUTED_VALUE"""),1526.4)</f>
        <v>1526.4</v>
      </c>
      <c r="K512" s="2">
        <f>IFERROR(__xludf.DUMMYFUNCTION("""COMPUTED_VALUE"""),1526.4)</f>
        <v>1526.4</v>
      </c>
    </row>
    <row r="513">
      <c r="A513" s="2">
        <f>IFERROR(__xludf.DUMMYFUNCTION("""COMPUTED_VALUE"""),1000.0)</f>
        <v>1000</v>
      </c>
      <c r="B513" s="2">
        <f>IFERROR(__xludf.DUMMYFUNCTION("""COMPUTED_VALUE"""),183827.0)</f>
        <v>183827</v>
      </c>
      <c r="C513" s="2">
        <f>IFERROR(__xludf.DUMMYFUNCTION("""COMPUTED_VALUE"""),2026.0)</f>
        <v>2026</v>
      </c>
      <c r="D513" s="2">
        <f>IFERROR(__xludf.DUMMYFUNCTION("""COMPUTED_VALUE"""),46288.0)</f>
        <v>46288</v>
      </c>
      <c r="E513" s="2" t="str">
        <f>IFERROR(__xludf.DUMMYFUNCTION("""COMPUTED_VALUE"""),"VF")</f>
        <v>VF</v>
      </c>
      <c r="F513" s="2">
        <f>IFERROR(__xludf.DUMMYFUNCTION("""COMPUTED_VALUE"""),1.0)</f>
        <v>1</v>
      </c>
      <c r="G513" s="2" t="str">
        <f>IFERROR(__xludf.DUMMYFUNCTION("""COMPUTED_VALUE"""),"PR042")</f>
        <v>PR042</v>
      </c>
      <c r="H513" s="2" t="str">
        <f>IFERROR(__xludf.DUMMYFUNCTION("""COMPUTED_VALUE"""),"VD024")</f>
        <v>VD024</v>
      </c>
      <c r="I513" s="2">
        <f>IFERROR(__xludf.DUMMYFUNCTION("""COMPUTED_VALUE"""),3.0)</f>
        <v>3</v>
      </c>
      <c r="J513" s="2">
        <f>IFERROR(__xludf.DUMMYFUNCTION("""COMPUTED_VALUE"""),169.64)</f>
        <v>169.64</v>
      </c>
      <c r="K513" s="2">
        <f>IFERROR(__xludf.DUMMYFUNCTION("""COMPUTED_VALUE"""),169.64)</f>
        <v>169.64</v>
      </c>
    </row>
    <row r="514">
      <c r="A514" s="2">
        <f>IFERROR(__xludf.DUMMYFUNCTION("""COMPUTED_VALUE"""),1000.0)</f>
        <v>1000</v>
      </c>
      <c r="B514" s="2">
        <f>IFERROR(__xludf.DUMMYFUNCTION("""COMPUTED_VALUE"""),183827.0)</f>
        <v>183827</v>
      </c>
      <c r="C514" s="2">
        <f>IFERROR(__xludf.DUMMYFUNCTION("""COMPUTED_VALUE"""),2026.0)</f>
        <v>2026</v>
      </c>
      <c r="D514" s="2">
        <f>IFERROR(__xludf.DUMMYFUNCTION("""COMPUTED_VALUE"""),46288.0)</f>
        <v>46288</v>
      </c>
      <c r="E514" s="2" t="str">
        <f>IFERROR(__xludf.DUMMYFUNCTION("""COMPUTED_VALUE"""),"VF")</f>
        <v>VF</v>
      </c>
      <c r="F514" s="2">
        <f>IFERROR(__xludf.DUMMYFUNCTION("""COMPUTED_VALUE"""),2.0)</f>
        <v>2</v>
      </c>
      <c r="G514" s="2" t="str">
        <f>IFERROR(__xludf.DUMMYFUNCTION("""COMPUTED_VALUE"""),"PR009")</f>
        <v>PR009</v>
      </c>
      <c r="H514" s="2" t="str">
        <f>IFERROR(__xludf.DUMMYFUNCTION("""COMPUTED_VALUE"""),"VD037")</f>
        <v>VD037</v>
      </c>
      <c r="I514" s="2">
        <f>IFERROR(__xludf.DUMMYFUNCTION("""COMPUTED_VALUE"""),6.0)</f>
        <v>6</v>
      </c>
      <c r="J514" s="2">
        <f>IFERROR(__xludf.DUMMYFUNCTION("""COMPUTED_VALUE"""),568.55)</f>
        <v>568.55</v>
      </c>
      <c r="K514" s="2">
        <f>IFERROR(__xludf.DUMMYFUNCTION("""COMPUTED_VALUE"""),568.55)</f>
        <v>568.55</v>
      </c>
    </row>
    <row r="515">
      <c r="A515" s="2">
        <f>IFERROR(__xludf.DUMMYFUNCTION("""COMPUTED_VALUE"""),1000.0)</f>
        <v>1000</v>
      </c>
      <c r="B515" s="2">
        <f>IFERROR(__xludf.DUMMYFUNCTION("""COMPUTED_VALUE"""),183828.0)</f>
        <v>183828</v>
      </c>
      <c r="C515" s="2">
        <f>IFERROR(__xludf.DUMMYFUNCTION("""COMPUTED_VALUE"""),2026.0)</f>
        <v>2026</v>
      </c>
      <c r="D515" s="2">
        <f>IFERROR(__xludf.DUMMYFUNCTION("""COMPUTED_VALUE"""),46288.0)</f>
        <v>46288</v>
      </c>
      <c r="E515" s="2" t="str">
        <f>IFERROR(__xludf.DUMMYFUNCTION("""COMPUTED_VALUE"""),"VF")</f>
        <v>VF</v>
      </c>
      <c r="F515" s="2">
        <f>IFERROR(__xludf.DUMMYFUNCTION("""COMPUTED_VALUE"""),1.0)</f>
        <v>1</v>
      </c>
      <c r="G515" s="2" t="str">
        <f>IFERROR(__xludf.DUMMYFUNCTION("""COMPUTED_VALUE"""),"PR017")</f>
        <v>PR017</v>
      </c>
      <c r="H515" s="2" t="str">
        <f>IFERROR(__xludf.DUMMYFUNCTION("""COMPUTED_VALUE"""),"VD043")</f>
        <v>VD043</v>
      </c>
      <c r="I515" s="2">
        <f>IFERROR(__xludf.DUMMYFUNCTION("""COMPUTED_VALUE"""),2.0)</f>
        <v>2</v>
      </c>
      <c r="J515" s="2">
        <f>IFERROR(__xludf.DUMMYFUNCTION("""COMPUTED_VALUE"""),65.18)</f>
        <v>65.18</v>
      </c>
      <c r="K515" s="2">
        <f>IFERROR(__xludf.DUMMYFUNCTION("""COMPUTED_VALUE"""),65.18)</f>
        <v>65.18</v>
      </c>
    </row>
    <row r="516">
      <c r="A516" s="2">
        <f>IFERROR(__xludf.DUMMYFUNCTION("""COMPUTED_VALUE"""),1000.0)</f>
        <v>1000</v>
      </c>
      <c r="B516" s="2">
        <f>IFERROR(__xludf.DUMMYFUNCTION("""COMPUTED_VALUE"""),183829.0)</f>
        <v>183829</v>
      </c>
      <c r="C516" s="2">
        <f>IFERROR(__xludf.DUMMYFUNCTION("""COMPUTED_VALUE"""),2026.0)</f>
        <v>2026</v>
      </c>
      <c r="D516" s="2">
        <f>IFERROR(__xludf.DUMMYFUNCTION("""COMPUTED_VALUE"""),46287.0)</f>
        <v>46287</v>
      </c>
      <c r="E516" s="2" t="str">
        <f>IFERROR(__xludf.DUMMYFUNCTION("""COMPUTED_VALUE"""),"VF")</f>
        <v>VF</v>
      </c>
      <c r="F516" s="2">
        <f>IFERROR(__xludf.DUMMYFUNCTION("""COMPUTED_VALUE"""),1.0)</f>
        <v>1</v>
      </c>
      <c r="G516" s="2" t="str">
        <f>IFERROR(__xludf.DUMMYFUNCTION("""COMPUTED_VALUE"""),"PR009")</f>
        <v>PR009</v>
      </c>
      <c r="H516" s="2" t="str">
        <f>IFERROR(__xludf.DUMMYFUNCTION("""COMPUTED_VALUE"""),"VD025")</f>
        <v>VD025</v>
      </c>
      <c r="I516" s="2">
        <f>IFERROR(__xludf.DUMMYFUNCTION("""COMPUTED_VALUE"""),5.0)</f>
        <v>5</v>
      </c>
      <c r="J516" s="2">
        <f>IFERROR(__xludf.DUMMYFUNCTION("""COMPUTED_VALUE"""),478.44)</f>
        <v>478.44</v>
      </c>
      <c r="K516" s="2">
        <f>IFERROR(__xludf.DUMMYFUNCTION("""COMPUTED_VALUE"""),478.44)</f>
        <v>478.44</v>
      </c>
    </row>
    <row r="517">
      <c r="A517" s="2">
        <f>IFERROR(__xludf.DUMMYFUNCTION("""COMPUTED_VALUE"""),2000.0)</f>
        <v>2000</v>
      </c>
      <c r="B517" s="2">
        <f>IFERROR(__xludf.DUMMYFUNCTION("""COMPUTED_VALUE"""),183829.0)</f>
        <v>183829</v>
      </c>
      <c r="C517" s="2">
        <f>IFERROR(__xludf.DUMMYFUNCTION("""COMPUTED_VALUE"""),2026.0)</f>
        <v>2026</v>
      </c>
      <c r="D517" s="2">
        <f>IFERROR(__xludf.DUMMYFUNCTION("""COMPUTED_VALUE"""),46287.0)</f>
        <v>46287</v>
      </c>
      <c r="E517" s="2" t="str">
        <f>IFERROR(__xludf.DUMMYFUNCTION("""COMPUTED_VALUE"""),"VF")</f>
        <v>VF</v>
      </c>
      <c r="F517" s="2">
        <f>IFERROR(__xludf.DUMMYFUNCTION("""COMPUTED_VALUE"""),2.0)</f>
        <v>2</v>
      </c>
      <c r="G517" s="2" t="str">
        <f>IFERROR(__xludf.DUMMYFUNCTION("""COMPUTED_VALUE"""),"PR026")</f>
        <v>PR026</v>
      </c>
      <c r="H517" s="2" t="str">
        <f>IFERROR(__xludf.DUMMYFUNCTION("""COMPUTED_VALUE"""),"VD033")</f>
        <v>VD033</v>
      </c>
      <c r="I517" s="2">
        <f>IFERROR(__xludf.DUMMYFUNCTION("""COMPUTED_VALUE"""),12.0)</f>
        <v>12</v>
      </c>
      <c r="J517" s="2">
        <f>IFERROR(__xludf.DUMMYFUNCTION("""COMPUTED_VALUE"""),4324.76)</f>
        <v>4324.76</v>
      </c>
      <c r="K517" s="2">
        <f>IFERROR(__xludf.DUMMYFUNCTION("""COMPUTED_VALUE"""),4324.76)</f>
        <v>4324.76</v>
      </c>
    </row>
    <row r="518">
      <c r="A518" s="2">
        <f>IFERROR(__xludf.DUMMYFUNCTION("""COMPUTED_VALUE"""),2000.0)</f>
        <v>2000</v>
      </c>
      <c r="B518" s="2">
        <f>IFERROR(__xludf.DUMMYFUNCTION("""COMPUTED_VALUE"""),183829.0)</f>
        <v>183829</v>
      </c>
      <c r="C518" s="2">
        <f>IFERROR(__xludf.DUMMYFUNCTION("""COMPUTED_VALUE"""),2026.0)</f>
        <v>2026</v>
      </c>
      <c r="D518" s="2">
        <f>IFERROR(__xludf.DUMMYFUNCTION("""COMPUTED_VALUE"""),46286.0)</f>
        <v>46286</v>
      </c>
      <c r="E518" s="2" t="str">
        <f>IFERROR(__xludf.DUMMYFUNCTION("""COMPUTED_VALUE"""),"VF")</f>
        <v>VF</v>
      </c>
      <c r="F518" s="2">
        <f>IFERROR(__xludf.DUMMYFUNCTION("""COMPUTED_VALUE"""),3.0)</f>
        <v>3</v>
      </c>
      <c r="G518" s="2" t="str">
        <f>IFERROR(__xludf.DUMMYFUNCTION("""COMPUTED_VALUE"""),"PR058")</f>
        <v>PR058</v>
      </c>
      <c r="H518" s="2" t="str">
        <f>IFERROR(__xludf.DUMMYFUNCTION("""COMPUTED_VALUE"""),"VD046")</f>
        <v>VD046</v>
      </c>
      <c r="I518" s="2">
        <f>IFERROR(__xludf.DUMMYFUNCTION("""COMPUTED_VALUE"""),3.0)</f>
        <v>3</v>
      </c>
      <c r="J518" s="2">
        <f>IFERROR(__xludf.DUMMYFUNCTION("""COMPUTED_VALUE"""),577.8)</f>
        <v>577.8</v>
      </c>
      <c r="K518" s="2">
        <f>IFERROR(__xludf.DUMMYFUNCTION("""COMPUTED_VALUE"""),577.8)</f>
        <v>577.8</v>
      </c>
    </row>
    <row r="519">
      <c r="A519" s="2">
        <f>IFERROR(__xludf.DUMMYFUNCTION("""COMPUTED_VALUE"""),1000.0)</f>
        <v>1000</v>
      </c>
      <c r="B519" s="2">
        <f>IFERROR(__xludf.DUMMYFUNCTION("""COMPUTED_VALUE"""),183829.0)</f>
        <v>183829</v>
      </c>
      <c r="C519" s="2">
        <f>IFERROR(__xludf.DUMMYFUNCTION("""COMPUTED_VALUE"""),2026.0)</f>
        <v>2026</v>
      </c>
      <c r="D519" s="2">
        <f>IFERROR(__xludf.DUMMYFUNCTION("""COMPUTED_VALUE"""),46286.0)</f>
        <v>46286</v>
      </c>
      <c r="E519" s="2" t="str">
        <f>IFERROR(__xludf.DUMMYFUNCTION("""COMPUTED_VALUE"""),"VF")</f>
        <v>VF</v>
      </c>
      <c r="F519" s="2">
        <f>IFERROR(__xludf.DUMMYFUNCTION("""COMPUTED_VALUE"""),4.0)</f>
        <v>4</v>
      </c>
      <c r="G519" s="2" t="str">
        <f>IFERROR(__xludf.DUMMYFUNCTION("""COMPUTED_VALUE"""),"PR011")</f>
        <v>PR011</v>
      </c>
      <c r="H519" s="2" t="str">
        <f>IFERROR(__xludf.DUMMYFUNCTION("""COMPUTED_VALUE"""),"VD039")</f>
        <v>VD039</v>
      </c>
      <c r="I519" s="2">
        <f>IFERROR(__xludf.DUMMYFUNCTION("""COMPUTED_VALUE"""),2.0)</f>
        <v>2</v>
      </c>
      <c r="J519" s="2">
        <f>IFERROR(__xludf.DUMMYFUNCTION("""COMPUTED_VALUE"""),99.43)</f>
        <v>99.43</v>
      </c>
      <c r="K519" s="2">
        <f>IFERROR(__xludf.DUMMYFUNCTION("""COMPUTED_VALUE"""),99.43)</f>
        <v>99.43</v>
      </c>
    </row>
    <row r="520">
      <c r="A520" s="2">
        <f>IFERROR(__xludf.DUMMYFUNCTION("""COMPUTED_VALUE"""),2000.0)</f>
        <v>2000</v>
      </c>
      <c r="B520" s="2">
        <f>IFERROR(__xludf.DUMMYFUNCTION("""COMPUTED_VALUE"""),183830.0)</f>
        <v>183830</v>
      </c>
      <c r="C520" s="2">
        <f>IFERROR(__xludf.DUMMYFUNCTION("""COMPUTED_VALUE"""),2026.0)</f>
        <v>2026</v>
      </c>
      <c r="D520" s="2">
        <f>IFERROR(__xludf.DUMMYFUNCTION("""COMPUTED_VALUE"""),46286.0)</f>
        <v>46286</v>
      </c>
      <c r="E520" s="2" t="str">
        <f>IFERROR(__xludf.DUMMYFUNCTION("""COMPUTED_VALUE"""),"VF")</f>
        <v>VF</v>
      </c>
      <c r="F520" s="2">
        <f>IFERROR(__xludf.DUMMYFUNCTION("""COMPUTED_VALUE"""),1.0)</f>
        <v>1</v>
      </c>
      <c r="G520" s="2" t="str">
        <f>IFERROR(__xludf.DUMMYFUNCTION("""COMPUTED_VALUE"""),"PR030")</f>
        <v>PR030</v>
      </c>
      <c r="H520" s="2" t="str">
        <f>IFERROR(__xludf.DUMMYFUNCTION("""COMPUTED_VALUE"""),"VD027")</f>
        <v>VD027</v>
      </c>
      <c r="I520" s="2">
        <f>IFERROR(__xludf.DUMMYFUNCTION("""COMPUTED_VALUE"""),8.0)</f>
        <v>8</v>
      </c>
      <c r="J520" s="2">
        <f>IFERROR(__xludf.DUMMYFUNCTION("""COMPUTED_VALUE"""),2079.2)</f>
        <v>2079.2</v>
      </c>
      <c r="K520" s="2">
        <f>IFERROR(__xludf.DUMMYFUNCTION("""COMPUTED_VALUE"""),2079.2)</f>
        <v>2079.2</v>
      </c>
    </row>
    <row r="521">
      <c r="A521" s="2">
        <f>IFERROR(__xludf.DUMMYFUNCTION("""COMPUTED_VALUE"""),1000.0)</f>
        <v>1000</v>
      </c>
      <c r="B521" s="2">
        <f>IFERROR(__xludf.DUMMYFUNCTION("""COMPUTED_VALUE"""),183831.0)</f>
        <v>183831</v>
      </c>
      <c r="C521" s="2">
        <f>IFERROR(__xludf.DUMMYFUNCTION("""COMPUTED_VALUE"""),2026.0)</f>
        <v>2026</v>
      </c>
      <c r="D521" s="2">
        <f>IFERROR(__xludf.DUMMYFUNCTION("""COMPUTED_VALUE"""),46286.0)</f>
        <v>46286</v>
      </c>
      <c r="E521" s="2" t="str">
        <f>IFERROR(__xludf.DUMMYFUNCTION("""COMPUTED_VALUE"""),"VF")</f>
        <v>VF</v>
      </c>
      <c r="F521" s="2">
        <f>IFERROR(__xludf.DUMMYFUNCTION("""COMPUTED_VALUE"""),1.0)</f>
        <v>1</v>
      </c>
      <c r="G521" s="2" t="str">
        <f>IFERROR(__xludf.DUMMYFUNCTION("""COMPUTED_VALUE"""),"PR032")</f>
        <v>PR032</v>
      </c>
      <c r="H521" s="2" t="str">
        <f>IFERROR(__xludf.DUMMYFUNCTION("""COMPUTED_VALUE"""),"VD031")</f>
        <v>VD031</v>
      </c>
      <c r="I521" s="2">
        <f>IFERROR(__xludf.DUMMYFUNCTION("""COMPUTED_VALUE"""),20.0)</f>
        <v>20</v>
      </c>
      <c r="J521" s="2">
        <f>IFERROR(__xludf.DUMMYFUNCTION("""COMPUTED_VALUE"""),5300.0)</f>
        <v>5300</v>
      </c>
      <c r="K521" s="2">
        <f>IFERROR(__xludf.DUMMYFUNCTION("""COMPUTED_VALUE"""),5300.0)</f>
        <v>5300</v>
      </c>
    </row>
    <row r="522">
      <c r="A522" s="2">
        <f>IFERROR(__xludf.DUMMYFUNCTION("""COMPUTED_VALUE"""),2000.0)</f>
        <v>2000</v>
      </c>
      <c r="B522" s="2">
        <f>IFERROR(__xludf.DUMMYFUNCTION("""COMPUTED_VALUE"""),183832.0)</f>
        <v>183832</v>
      </c>
      <c r="C522" s="2">
        <f>IFERROR(__xludf.DUMMYFUNCTION("""COMPUTED_VALUE"""),2026.0)</f>
        <v>2026</v>
      </c>
      <c r="D522" s="2">
        <f>IFERROR(__xludf.DUMMYFUNCTION("""COMPUTED_VALUE"""),46286.0)</f>
        <v>46286</v>
      </c>
      <c r="E522" s="2" t="str">
        <f>IFERROR(__xludf.DUMMYFUNCTION("""COMPUTED_VALUE"""),"VF")</f>
        <v>VF</v>
      </c>
      <c r="F522" s="2">
        <f>IFERROR(__xludf.DUMMYFUNCTION("""COMPUTED_VALUE"""),1.0)</f>
        <v>1</v>
      </c>
      <c r="G522" s="2" t="str">
        <f>IFERROR(__xludf.DUMMYFUNCTION("""COMPUTED_VALUE"""),"PR039")</f>
        <v>PR039</v>
      </c>
      <c r="H522" s="2" t="str">
        <f>IFERROR(__xludf.DUMMYFUNCTION("""COMPUTED_VALUE"""),"VD021")</f>
        <v>VD021</v>
      </c>
      <c r="I522" s="2">
        <f>IFERROR(__xludf.DUMMYFUNCTION("""COMPUTED_VALUE"""),2.0)</f>
        <v>2</v>
      </c>
      <c r="J522" s="2">
        <f>IFERROR(__xludf.DUMMYFUNCTION("""COMPUTED_VALUE"""),292.0)</f>
        <v>292</v>
      </c>
      <c r="K522" s="2">
        <f>IFERROR(__xludf.DUMMYFUNCTION("""COMPUTED_VALUE"""),292.0)</f>
        <v>292</v>
      </c>
    </row>
    <row r="523">
      <c r="A523" s="2">
        <f>IFERROR(__xludf.DUMMYFUNCTION("""COMPUTED_VALUE"""),1000.0)</f>
        <v>1000</v>
      </c>
      <c r="B523" s="2">
        <f>IFERROR(__xludf.DUMMYFUNCTION("""COMPUTED_VALUE"""),183832.0)</f>
        <v>183832</v>
      </c>
      <c r="C523" s="2">
        <f>IFERROR(__xludf.DUMMYFUNCTION("""COMPUTED_VALUE"""),2026.0)</f>
        <v>2026</v>
      </c>
      <c r="D523" s="2">
        <f>IFERROR(__xludf.DUMMYFUNCTION("""COMPUTED_VALUE"""),46286.0)</f>
        <v>46286</v>
      </c>
      <c r="E523" s="2" t="str">
        <f>IFERROR(__xludf.DUMMYFUNCTION("""COMPUTED_VALUE"""),"VF")</f>
        <v>VF</v>
      </c>
      <c r="F523" s="2">
        <f>IFERROR(__xludf.DUMMYFUNCTION("""COMPUTED_VALUE"""),2.0)</f>
        <v>2</v>
      </c>
      <c r="G523" s="2" t="str">
        <f>IFERROR(__xludf.DUMMYFUNCTION("""COMPUTED_VALUE"""),"PR045")</f>
        <v>PR045</v>
      </c>
      <c r="H523" s="2" t="str">
        <f>IFERROR(__xludf.DUMMYFUNCTION("""COMPUTED_VALUE"""),"VD017")</f>
        <v>VD017</v>
      </c>
      <c r="I523" s="2">
        <f>IFERROR(__xludf.DUMMYFUNCTION("""COMPUTED_VALUE"""),20.0)</f>
        <v>20</v>
      </c>
      <c r="J523" s="2">
        <f>IFERROR(__xludf.DUMMYFUNCTION("""COMPUTED_VALUE"""),1537.0)</f>
        <v>1537</v>
      </c>
      <c r="K523" s="2">
        <f>IFERROR(__xludf.DUMMYFUNCTION("""COMPUTED_VALUE"""),1537.0)</f>
        <v>1537</v>
      </c>
    </row>
    <row r="524">
      <c r="A524" s="2">
        <f>IFERROR(__xludf.DUMMYFUNCTION("""COMPUTED_VALUE"""),1000.0)</f>
        <v>1000</v>
      </c>
      <c r="B524" s="2">
        <f>IFERROR(__xludf.DUMMYFUNCTION("""COMPUTED_VALUE"""),183833.0)</f>
        <v>183833</v>
      </c>
      <c r="C524" s="2">
        <f>IFERROR(__xludf.DUMMYFUNCTION("""COMPUTED_VALUE"""),2026.0)</f>
        <v>2026</v>
      </c>
      <c r="D524" s="2">
        <f>IFERROR(__xludf.DUMMYFUNCTION("""COMPUTED_VALUE"""),46286.0)</f>
        <v>46286</v>
      </c>
      <c r="E524" s="2" t="str">
        <f>IFERROR(__xludf.DUMMYFUNCTION("""COMPUTED_VALUE"""),"VF")</f>
        <v>VF</v>
      </c>
      <c r="F524" s="2">
        <f>IFERROR(__xludf.DUMMYFUNCTION("""COMPUTED_VALUE"""),1.0)</f>
        <v>1</v>
      </c>
      <c r="G524" s="2" t="str">
        <f>IFERROR(__xludf.DUMMYFUNCTION("""COMPUTED_VALUE"""),"PR035")</f>
        <v>PR035</v>
      </c>
      <c r="H524" s="2" t="str">
        <f>IFERROR(__xludf.DUMMYFUNCTION("""COMPUTED_VALUE"""),"VD045")</f>
        <v>VD045</v>
      </c>
      <c r="I524" s="2">
        <f>IFERROR(__xludf.DUMMYFUNCTION("""COMPUTED_VALUE"""),6.0)</f>
        <v>6</v>
      </c>
      <c r="J524" s="2">
        <f>IFERROR(__xludf.DUMMYFUNCTION("""COMPUTED_VALUE"""),586.79)</f>
        <v>586.79</v>
      </c>
      <c r="K524" s="2">
        <f>IFERROR(__xludf.DUMMYFUNCTION("""COMPUTED_VALUE"""),586.79)</f>
        <v>586.79</v>
      </c>
    </row>
    <row r="525">
      <c r="A525" s="2">
        <f>IFERROR(__xludf.DUMMYFUNCTION("""COMPUTED_VALUE"""),1000.0)</f>
        <v>1000</v>
      </c>
      <c r="B525" s="2">
        <f>IFERROR(__xludf.DUMMYFUNCTION("""COMPUTED_VALUE"""),183834.0)</f>
        <v>183834</v>
      </c>
      <c r="C525" s="2">
        <f>IFERROR(__xludf.DUMMYFUNCTION("""COMPUTED_VALUE"""),2026.0)</f>
        <v>2026</v>
      </c>
      <c r="D525" s="2">
        <f>IFERROR(__xludf.DUMMYFUNCTION("""COMPUTED_VALUE"""),46285.0)</f>
        <v>46285</v>
      </c>
      <c r="E525" s="2" t="str">
        <f>IFERROR(__xludf.DUMMYFUNCTION("""COMPUTED_VALUE"""),"VF")</f>
        <v>VF</v>
      </c>
      <c r="F525" s="2">
        <f>IFERROR(__xludf.DUMMYFUNCTION("""COMPUTED_VALUE"""),1.0)</f>
        <v>1</v>
      </c>
      <c r="G525" s="2" t="str">
        <f>IFERROR(__xludf.DUMMYFUNCTION("""COMPUTED_VALUE"""),"PR008")</f>
        <v>PR008</v>
      </c>
      <c r="H525" s="2" t="str">
        <f>IFERROR(__xludf.DUMMYFUNCTION("""COMPUTED_VALUE"""),"VD015")</f>
        <v>VD015</v>
      </c>
      <c r="I525" s="2">
        <f>IFERROR(__xludf.DUMMYFUNCTION("""COMPUTED_VALUE"""),9.0)</f>
        <v>9</v>
      </c>
      <c r="J525" s="2">
        <f>IFERROR(__xludf.DUMMYFUNCTION("""COMPUTED_VALUE"""),809.1)</f>
        <v>809.1</v>
      </c>
      <c r="K525" s="2">
        <f>IFERROR(__xludf.DUMMYFUNCTION("""COMPUTED_VALUE"""),809.1)</f>
        <v>809.1</v>
      </c>
    </row>
    <row r="526">
      <c r="A526" s="2">
        <f>IFERROR(__xludf.DUMMYFUNCTION("""COMPUTED_VALUE"""),2000.0)</f>
        <v>2000</v>
      </c>
      <c r="B526" s="2">
        <f>IFERROR(__xludf.DUMMYFUNCTION("""COMPUTED_VALUE"""),183835.0)</f>
        <v>183835</v>
      </c>
      <c r="C526" s="2">
        <f>IFERROR(__xludf.DUMMYFUNCTION("""COMPUTED_VALUE"""),2026.0)</f>
        <v>2026</v>
      </c>
      <c r="D526" s="2">
        <f>IFERROR(__xludf.DUMMYFUNCTION("""COMPUTED_VALUE"""),46285.0)</f>
        <v>46285</v>
      </c>
      <c r="E526" s="2" t="str">
        <f>IFERROR(__xludf.DUMMYFUNCTION("""COMPUTED_VALUE"""),"VF")</f>
        <v>VF</v>
      </c>
      <c r="F526" s="2">
        <f>IFERROR(__xludf.DUMMYFUNCTION("""COMPUTED_VALUE"""),1.0)</f>
        <v>1</v>
      </c>
      <c r="G526" s="2" t="str">
        <f>IFERROR(__xludf.DUMMYFUNCTION("""COMPUTED_VALUE"""),"PR037")</f>
        <v>PR037</v>
      </c>
      <c r="H526" s="2" t="str">
        <f>IFERROR(__xludf.DUMMYFUNCTION("""COMPUTED_VALUE"""),"VD045")</f>
        <v>VD045</v>
      </c>
      <c r="I526" s="2">
        <f>IFERROR(__xludf.DUMMYFUNCTION("""COMPUTED_VALUE"""),4.0)</f>
        <v>4</v>
      </c>
      <c r="J526" s="2">
        <f>IFERROR(__xludf.DUMMYFUNCTION("""COMPUTED_VALUE"""),571.2)</f>
        <v>571.2</v>
      </c>
      <c r="K526" s="2">
        <f>IFERROR(__xludf.DUMMYFUNCTION("""COMPUTED_VALUE"""),571.2)</f>
        <v>571.2</v>
      </c>
    </row>
    <row r="527">
      <c r="A527" s="2">
        <f>IFERROR(__xludf.DUMMYFUNCTION("""COMPUTED_VALUE"""),1000.0)</f>
        <v>1000</v>
      </c>
      <c r="B527" s="2">
        <f>IFERROR(__xludf.DUMMYFUNCTION("""COMPUTED_VALUE"""),183836.0)</f>
        <v>183836</v>
      </c>
      <c r="C527" s="2">
        <f>IFERROR(__xludf.DUMMYFUNCTION("""COMPUTED_VALUE"""),2026.0)</f>
        <v>2026</v>
      </c>
      <c r="D527" s="2">
        <f>IFERROR(__xludf.DUMMYFUNCTION("""COMPUTED_VALUE"""),46285.0)</f>
        <v>46285</v>
      </c>
      <c r="E527" s="2" t="str">
        <f>IFERROR(__xludf.DUMMYFUNCTION("""COMPUTED_VALUE"""),"VF")</f>
        <v>VF</v>
      </c>
      <c r="F527" s="2">
        <f>IFERROR(__xludf.DUMMYFUNCTION("""COMPUTED_VALUE"""),1.0)</f>
        <v>1</v>
      </c>
      <c r="G527" s="2" t="str">
        <f>IFERROR(__xludf.DUMMYFUNCTION("""COMPUTED_VALUE"""),"PR055")</f>
        <v>PR055</v>
      </c>
      <c r="H527" s="2" t="str">
        <f>IFERROR(__xludf.DUMMYFUNCTION("""COMPUTED_VALUE"""),"VD047")</f>
        <v>VD047</v>
      </c>
      <c r="I527" s="2">
        <f>IFERROR(__xludf.DUMMYFUNCTION("""COMPUTED_VALUE"""),9.0)</f>
        <v>9</v>
      </c>
      <c r="J527" s="2">
        <f>IFERROR(__xludf.DUMMYFUNCTION("""COMPUTED_VALUE"""),841.46)</f>
        <v>841.46</v>
      </c>
      <c r="K527" s="2">
        <f>IFERROR(__xludf.DUMMYFUNCTION("""COMPUTED_VALUE"""),841.46)</f>
        <v>841.46</v>
      </c>
    </row>
    <row r="528">
      <c r="A528" s="2">
        <f>IFERROR(__xludf.DUMMYFUNCTION("""COMPUTED_VALUE"""),1000.0)</f>
        <v>1000</v>
      </c>
      <c r="B528" s="2">
        <f>IFERROR(__xludf.DUMMYFUNCTION("""COMPUTED_VALUE"""),183837.0)</f>
        <v>183837</v>
      </c>
      <c r="C528" s="2">
        <f>IFERROR(__xludf.DUMMYFUNCTION("""COMPUTED_VALUE"""),2026.0)</f>
        <v>2026</v>
      </c>
      <c r="D528" s="2">
        <f>IFERROR(__xludf.DUMMYFUNCTION("""COMPUTED_VALUE"""),46284.0)</f>
        <v>46284</v>
      </c>
      <c r="E528" s="2" t="str">
        <f>IFERROR(__xludf.DUMMYFUNCTION("""COMPUTED_VALUE"""),"VF")</f>
        <v>VF</v>
      </c>
      <c r="F528" s="2">
        <f>IFERROR(__xludf.DUMMYFUNCTION("""COMPUTED_VALUE"""),1.0)</f>
        <v>1</v>
      </c>
      <c r="G528" s="2" t="str">
        <f>IFERROR(__xludf.DUMMYFUNCTION("""COMPUTED_VALUE"""),"PR022")</f>
        <v>PR022</v>
      </c>
      <c r="H528" s="2" t="str">
        <f>IFERROR(__xludf.DUMMYFUNCTION("""COMPUTED_VALUE"""),"VD034")</f>
        <v>VD034</v>
      </c>
      <c r="I528" s="2">
        <f>IFERROR(__xludf.DUMMYFUNCTION("""COMPUTED_VALUE"""),10.0)</f>
        <v>10</v>
      </c>
      <c r="J528" s="2">
        <f>IFERROR(__xludf.DUMMYFUNCTION("""COMPUTED_VALUE"""),3120.0)</f>
        <v>3120</v>
      </c>
      <c r="K528" s="2">
        <f>IFERROR(__xludf.DUMMYFUNCTION("""COMPUTED_VALUE"""),3120.0)</f>
        <v>3120</v>
      </c>
    </row>
    <row r="529">
      <c r="A529" s="2">
        <f>IFERROR(__xludf.DUMMYFUNCTION("""COMPUTED_VALUE"""),1000.0)</f>
        <v>1000</v>
      </c>
      <c r="B529" s="2">
        <f>IFERROR(__xludf.DUMMYFUNCTION("""COMPUTED_VALUE"""),183838.0)</f>
        <v>183838</v>
      </c>
      <c r="C529" s="2">
        <f>IFERROR(__xludf.DUMMYFUNCTION("""COMPUTED_VALUE"""),2026.0)</f>
        <v>2026</v>
      </c>
      <c r="D529" s="2">
        <f>IFERROR(__xludf.DUMMYFUNCTION("""COMPUTED_VALUE"""),46284.0)</f>
        <v>46284</v>
      </c>
      <c r="E529" s="2" t="str">
        <f>IFERROR(__xludf.DUMMYFUNCTION("""COMPUTED_VALUE"""),"VF")</f>
        <v>VF</v>
      </c>
      <c r="F529" s="2">
        <f>IFERROR(__xludf.DUMMYFUNCTION("""COMPUTED_VALUE"""),1.0)</f>
        <v>1</v>
      </c>
      <c r="G529" s="2" t="str">
        <f>IFERROR(__xludf.DUMMYFUNCTION("""COMPUTED_VALUE"""),"PR029")</f>
        <v>PR029</v>
      </c>
      <c r="H529" s="2" t="str">
        <f>IFERROR(__xludf.DUMMYFUNCTION("""COMPUTED_VALUE"""),"VD047")</f>
        <v>VD047</v>
      </c>
      <c r="I529" s="2">
        <f>IFERROR(__xludf.DUMMYFUNCTION("""COMPUTED_VALUE"""),4.0)</f>
        <v>4</v>
      </c>
      <c r="J529" s="2">
        <f>IFERROR(__xludf.DUMMYFUNCTION("""COMPUTED_VALUE"""),1030.2)</f>
        <v>1030.2</v>
      </c>
      <c r="K529" s="2">
        <f>IFERROR(__xludf.DUMMYFUNCTION("""COMPUTED_VALUE"""),1030.2)</f>
        <v>1030.2</v>
      </c>
    </row>
    <row r="530">
      <c r="A530" s="2">
        <f>IFERROR(__xludf.DUMMYFUNCTION("""COMPUTED_VALUE"""),1000.0)</f>
        <v>1000</v>
      </c>
      <c r="B530" s="2">
        <f>IFERROR(__xludf.DUMMYFUNCTION("""COMPUTED_VALUE"""),183839.0)</f>
        <v>183839</v>
      </c>
      <c r="C530" s="2">
        <f>IFERROR(__xludf.DUMMYFUNCTION("""COMPUTED_VALUE"""),2026.0)</f>
        <v>2026</v>
      </c>
      <c r="D530" s="2">
        <f>IFERROR(__xludf.DUMMYFUNCTION("""COMPUTED_VALUE"""),46284.0)</f>
        <v>46284</v>
      </c>
      <c r="E530" s="2" t="str">
        <f>IFERROR(__xludf.DUMMYFUNCTION("""COMPUTED_VALUE"""),"VF")</f>
        <v>VF</v>
      </c>
      <c r="F530" s="2">
        <f>IFERROR(__xludf.DUMMYFUNCTION("""COMPUTED_VALUE"""),1.0)</f>
        <v>1</v>
      </c>
      <c r="G530" s="2" t="str">
        <f>IFERROR(__xludf.DUMMYFUNCTION("""COMPUTED_VALUE"""),"PR006")</f>
        <v>PR006</v>
      </c>
      <c r="H530" s="2" t="str">
        <f>IFERROR(__xludf.DUMMYFUNCTION("""COMPUTED_VALUE"""),"VD010")</f>
        <v>VD010</v>
      </c>
      <c r="I530" s="2">
        <f>IFERROR(__xludf.DUMMYFUNCTION("""COMPUTED_VALUE"""),10.0)</f>
        <v>10</v>
      </c>
      <c r="J530" s="2">
        <f>IFERROR(__xludf.DUMMYFUNCTION("""COMPUTED_VALUE"""),430.92)</f>
        <v>430.92</v>
      </c>
      <c r="K530" s="2">
        <f>IFERROR(__xludf.DUMMYFUNCTION("""COMPUTED_VALUE"""),430.92)</f>
        <v>430.92</v>
      </c>
    </row>
    <row r="531">
      <c r="A531" s="2">
        <f>IFERROR(__xludf.DUMMYFUNCTION("""COMPUTED_VALUE"""),1000.0)</f>
        <v>1000</v>
      </c>
      <c r="B531" s="2">
        <f>IFERROR(__xludf.DUMMYFUNCTION("""COMPUTED_VALUE"""),183839.0)</f>
        <v>183839</v>
      </c>
      <c r="C531" s="2">
        <f>IFERROR(__xludf.DUMMYFUNCTION("""COMPUTED_VALUE"""),2026.0)</f>
        <v>2026</v>
      </c>
      <c r="D531" s="2">
        <f>IFERROR(__xludf.DUMMYFUNCTION("""COMPUTED_VALUE"""),46284.0)</f>
        <v>46284</v>
      </c>
      <c r="E531" s="2" t="str">
        <f>IFERROR(__xludf.DUMMYFUNCTION("""COMPUTED_VALUE"""),"VF")</f>
        <v>VF</v>
      </c>
      <c r="F531" s="2">
        <f>IFERROR(__xludf.DUMMYFUNCTION("""COMPUTED_VALUE"""),2.0)</f>
        <v>2</v>
      </c>
      <c r="G531" s="2" t="str">
        <f>IFERROR(__xludf.DUMMYFUNCTION("""COMPUTED_VALUE"""),"PR003")</f>
        <v>PR003</v>
      </c>
      <c r="H531" s="2" t="str">
        <f>IFERROR(__xludf.DUMMYFUNCTION("""COMPUTED_VALUE"""),"VD017")</f>
        <v>VD017</v>
      </c>
      <c r="I531" s="2">
        <f>IFERROR(__xludf.DUMMYFUNCTION("""COMPUTED_VALUE"""),12.0)</f>
        <v>12</v>
      </c>
      <c r="J531" s="2">
        <f>IFERROR(__xludf.DUMMYFUNCTION("""COMPUTED_VALUE"""),935.88)</f>
        <v>935.88</v>
      </c>
      <c r="K531" s="2">
        <f>IFERROR(__xludf.DUMMYFUNCTION("""COMPUTED_VALUE"""),935.88)</f>
        <v>935.88</v>
      </c>
    </row>
    <row r="532">
      <c r="A532" s="2">
        <f>IFERROR(__xludf.DUMMYFUNCTION("""COMPUTED_VALUE"""),1000.0)</f>
        <v>1000</v>
      </c>
      <c r="B532" s="2">
        <f>IFERROR(__xludf.DUMMYFUNCTION("""COMPUTED_VALUE"""),183840.0)</f>
        <v>183840</v>
      </c>
      <c r="C532" s="2">
        <f>IFERROR(__xludf.DUMMYFUNCTION("""COMPUTED_VALUE"""),2026.0)</f>
        <v>2026</v>
      </c>
      <c r="D532" s="2">
        <f>IFERROR(__xludf.DUMMYFUNCTION("""COMPUTED_VALUE"""),46284.0)</f>
        <v>46284</v>
      </c>
      <c r="E532" s="2" t="str">
        <f>IFERROR(__xludf.DUMMYFUNCTION("""COMPUTED_VALUE"""),"VF")</f>
        <v>VF</v>
      </c>
      <c r="F532" s="2">
        <f>IFERROR(__xludf.DUMMYFUNCTION("""COMPUTED_VALUE"""),1.0)</f>
        <v>1</v>
      </c>
      <c r="G532" s="2" t="str">
        <f>IFERROR(__xludf.DUMMYFUNCTION("""COMPUTED_VALUE"""),"PR017")</f>
        <v>PR017</v>
      </c>
      <c r="H532" s="2" t="str">
        <f>IFERROR(__xludf.DUMMYFUNCTION("""COMPUTED_VALUE"""),"VD025")</f>
        <v>VD025</v>
      </c>
      <c r="I532" s="2">
        <f>IFERROR(__xludf.DUMMYFUNCTION("""COMPUTED_VALUE"""),1.0)</f>
        <v>1</v>
      </c>
      <c r="J532" s="2">
        <f>IFERROR(__xludf.DUMMYFUNCTION("""COMPUTED_VALUE"""),29.9)</f>
        <v>29.9</v>
      </c>
      <c r="K532" s="2">
        <f>IFERROR(__xludf.DUMMYFUNCTION("""COMPUTED_VALUE"""),29.9)</f>
        <v>29.9</v>
      </c>
    </row>
    <row r="533">
      <c r="A533" s="2">
        <f>IFERROR(__xludf.DUMMYFUNCTION("""COMPUTED_VALUE"""),1000.0)</f>
        <v>1000</v>
      </c>
      <c r="B533" s="2">
        <f>IFERROR(__xludf.DUMMYFUNCTION("""COMPUTED_VALUE"""),183841.0)</f>
        <v>183841</v>
      </c>
      <c r="C533" s="2">
        <f>IFERROR(__xludf.DUMMYFUNCTION("""COMPUTED_VALUE"""),2026.0)</f>
        <v>2026</v>
      </c>
      <c r="D533" s="2">
        <f>IFERROR(__xludf.DUMMYFUNCTION("""COMPUTED_VALUE"""),46284.0)</f>
        <v>46284</v>
      </c>
      <c r="E533" s="2" t="str">
        <f>IFERROR(__xludf.DUMMYFUNCTION("""COMPUTED_VALUE"""),"VF")</f>
        <v>VF</v>
      </c>
      <c r="F533" s="2">
        <f>IFERROR(__xludf.DUMMYFUNCTION("""COMPUTED_VALUE"""),1.0)</f>
        <v>1</v>
      </c>
      <c r="G533" s="2" t="str">
        <f>IFERROR(__xludf.DUMMYFUNCTION("""COMPUTED_VALUE"""),"PR037")</f>
        <v>PR037</v>
      </c>
      <c r="H533" s="2" t="str">
        <f>IFERROR(__xludf.DUMMYFUNCTION("""COMPUTED_VALUE"""),"VD027")</f>
        <v>VD027</v>
      </c>
      <c r="I533" s="2">
        <f>IFERROR(__xludf.DUMMYFUNCTION("""COMPUTED_VALUE"""),20.0)</f>
        <v>20</v>
      </c>
      <c r="J533" s="2">
        <f>IFERROR(__xludf.DUMMYFUNCTION("""COMPUTED_VALUE"""),2912.0)</f>
        <v>2912</v>
      </c>
      <c r="K533" s="2">
        <f>IFERROR(__xludf.DUMMYFUNCTION("""COMPUTED_VALUE"""),2912.0)</f>
        <v>2912</v>
      </c>
    </row>
    <row r="534">
      <c r="A534" s="2">
        <f>IFERROR(__xludf.DUMMYFUNCTION("""COMPUTED_VALUE"""),1000.0)</f>
        <v>1000</v>
      </c>
      <c r="B534" s="2">
        <f>IFERROR(__xludf.DUMMYFUNCTION("""COMPUTED_VALUE"""),183841.0)</f>
        <v>183841</v>
      </c>
      <c r="C534" s="2">
        <f>IFERROR(__xludf.DUMMYFUNCTION("""COMPUTED_VALUE"""),2026.0)</f>
        <v>2026</v>
      </c>
      <c r="D534" s="2">
        <f>IFERROR(__xludf.DUMMYFUNCTION("""COMPUTED_VALUE"""),46284.0)</f>
        <v>46284</v>
      </c>
      <c r="E534" s="2" t="str">
        <f>IFERROR(__xludf.DUMMYFUNCTION("""COMPUTED_VALUE"""),"VF")</f>
        <v>VF</v>
      </c>
      <c r="F534" s="2">
        <f>IFERROR(__xludf.DUMMYFUNCTION("""COMPUTED_VALUE"""),2.0)</f>
        <v>2</v>
      </c>
      <c r="G534" s="2" t="str">
        <f>IFERROR(__xludf.DUMMYFUNCTION("""COMPUTED_VALUE"""),"PR024")</f>
        <v>PR024</v>
      </c>
      <c r="H534" s="2" t="str">
        <f>IFERROR(__xludf.DUMMYFUNCTION("""COMPUTED_VALUE"""),"VD035")</f>
        <v>VD035</v>
      </c>
      <c r="I534" s="2">
        <f>IFERROR(__xludf.DUMMYFUNCTION("""COMPUTED_VALUE"""),8.0)</f>
        <v>8</v>
      </c>
      <c r="J534" s="2">
        <f>IFERROR(__xludf.DUMMYFUNCTION("""COMPUTED_VALUE"""),2183.16)</f>
        <v>2183.16</v>
      </c>
      <c r="K534" s="2">
        <f>IFERROR(__xludf.DUMMYFUNCTION("""COMPUTED_VALUE"""),2183.16)</f>
        <v>2183.16</v>
      </c>
    </row>
    <row r="535">
      <c r="A535" s="2">
        <f>IFERROR(__xludf.DUMMYFUNCTION("""COMPUTED_VALUE"""),2000.0)</f>
        <v>2000</v>
      </c>
      <c r="B535" s="2">
        <f>IFERROR(__xludf.DUMMYFUNCTION("""COMPUTED_VALUE"""),183841.0)</f>
        <v>183841</v>
      </c>
      <c r="C535" s="2">
        <f>IFERROR(__xludf.DUMMYFUNCTION("""COMPUTED_VALUE"""),2026.0)</f>
        <v>2026</v>
      </c>
      <c r="D535" s="2">
        <f>IFERROR(__xludf.DUMMYFUNCTION("""COMPUTED_VALUE"""),46283.0)</f>
        <v>46283</v>
      </c>
      <c r="E535" s="2" t="str">
        <f>IFERROR(__xludf.DUMMYFUNCTION("""COMPUTED_VALUE"""),"VF")</f>
        <v>VF</v>
      </c>
      <c r="F535" s="2">
        <f>IFERROR(__xludf.DUMMYFUNCTION("""COMPUTED_VALUE"""),3.0)</f>
        <v>3</v>
      </c>
      <c r="G535" s="2" t="str">
        <f>IFERROR(__xludf.DUMMYFUNCTION("""COMPUTED_VALUE"""),"PR006")</f>
        <v>PR006</v>
      </c>
      <c r="H535" s="2" t="str">
        <f>IFERROR(__xludf.DUMMYFUNCTION("""COMPUTED_VALUE"""),"VD022")</f>
        <v>VD022</v>
      </c>
      <c r="I535" s="2">
        <f>IFERROR(__xludf.DUMMYFUNCTION("""COMPUTED_VALUE"""),18.0)</f>
        <v>18</v>
      </c>
      <c r="J535" s="2">
        <f>IFERROR(__xludf.DUMMYFUNCTION("""COMPUTED_VALUE"""),725.38)</f>
        <v>725.38</v>
      </c>
      <c r="K535" s="2">
        <f>IFERROR(__xludf.DUMMYFUNCTION("""COMPUTED_VALUE"""),725.38)</f>
        <v>725.38</v>
      </c>
    </row>
    <row r="536">
      <c r="A536" s="2">
        <f>IFERROR(__xludf.DUMMYFUNCTION("""COMPUTED_VALUE"""),1000.0)</f>
        <v>1000</v>
      </c>
      <c r="B536" s="2">
        <f>IFERROR(__xludf.DUMMYFUNCTION("""COMPUTED_VALUE"""),183842.0)</f>
        <v>183842</v>
      </c>
      <c r="C536" s="2">
        <f>IFERROR(__xludf.DUMMYFUNCTION("""COMPUTED_VALUE"""),2026.0)</f>
        <v>2026</v>
      </c>
      <c r="D536" s="2">
        <f>IFERROR(__xludf.DUMMYFUNCTION("""COMPUTED_VALUE"""),46283.0)</f>
        <v>46283</v>
      </c>
      <c r="E536" s="2" t="str">
        <f>IFERROR(__xludf.DUMMYFUNCTION("""COMPUTED_VALUE"""),"VF")</f>
        <v>VF</v>
      </c>
      <c r="F536" s="2">
        <f>IFERROR(__xludf.DUMMYFUNCTION("""COMPUTED_VALUE"""),1.0)</f>
        <v>1</v>
      </c>
      <c r="G536" s="2" t="str">
        <f>IFERROR(__xludf.DUMMYFUNCTION("""COMPUTED_VALUE"""),"PR051")</f>
        <v>PR051</v>
      </c>
      <c r="H536" s="2" t="str">
        <f>IFERROR(__xludf.DUMMYFUNCTION("""COMPUTED_VALUE"""),"VD027")</f>
        <v>VD027</v>
      </c>
      <c r="I536" s="2">
        <f>IFERROR(__xludf.DUMMYFUNCTION("""COMPUTED_VALUE"""),18.0)</f>
        <v>18</v>
      </c>
      <c r="J536" s="2">
        <f>IFERROR(__xludf.DUMMYFUNCTION("""COMPUTED_VALUE"""),633.65)</f>
        <v>633.65</v>
      </c>
      <c r="K536" s="2">
        <f>IFERROR(__xludf.DUMMYFUNCTION("""COMPUTED_VALUE"""),633.65)</f>
        <v>633.65</v>
      </c>
    </row>
    <row r="537">
      <c r="A537" s="2">
        <f>IFERROR(__xludf.DUMMYFUNCTION("""COMPUTED_VALUE"""),2000.0)</f>
        <v>2000</v>
      </c>
      <c r="B537" s="2">
        <f>IFERROR(__xludf.DUMMYFUNCTION("""COMPUTED_VALUE"""),183843.0)</f>
        <v>183843</v>
      </c>
      <c r="C537" s="2">
        <f>IFERROR(__xludf.DUMMYFUNCTION("""COMPUTED_VALUE"""),2026.0)</f>
        <v>2026</v>
      </c>
      <c r="D537" s="2">
        <f>IFERROR(__xludf.DUMMYFUNCTION("""COMPUTED_VALUE"""),46282.0)</f>
        <v>46282</v>
      </c>
      <c r="E537" s="2" t="str">
        <f>IFERROR(__xludf.DUMMYFUNCTION("""COMPUTED_VALUE"""),"VF")</f>
        <v>VF</v>
      </c>
      <c r="F537" s="2">
        <f>IFERROR(__xludf.DUMMYFUNCTION("""COMPUTED_VALUE"""),1.0)</f>
        <v>1</v>
      </c>
      <c r="G537" s="2" t="str">
        <f>IFERROR(__xludf.DUMMYFUNCTION("""COMPUTED_VALUE"""),"PR057")</f>
        <v>PR057</v>
      </c>
      <c r="H537" s="2" t="str">
        <f>IFERROR(__xludf.DUMMYFUNCTION("""COMPUTED_VALUE"""),"VD019")</f>
        <v>VD019</v>
      </c>
      <c r="I537" s="2">
        <f>IFERROR(__xludf.DUMMYFUNCTION("""COMPUTED_VALUE"""),16.0)</f>
        <v>16</v>
      </c>
      <c r="J537" s="2">
        <f>IFERROR(__xludf.DUMMYFUNCTION("""COMPUTED_VALUE"""),1539.09)</f>
        <v>1539.09</v>
      </c>
      <c r="K537" s="2">
        <f>IFERROR(__xludf.DUMMYFUNCTION("""COMPUTED_VALUE"""),1539.09)</f>
        <v>1539.09</v>
      </c>
    </row>
    <row r="538">
      <c r="A538" s="2">
        <f>IFERROR(__xludf.DUMMYFUNCTION("""COMPUTED_VALUE"""),2000.0)</f>
        <v>2000</v>
      </c>
      <c r="B538" s="2">
        <f>IFERROR(__xludf.DUMMYFUNCTION("""COMPUTED_VALUE"""),183843.0)</f>
        <v>183843</v>
      </c>
      <c r="C538" s="2">
        <f>IFERROR(__xludf.DUMMYFUNCTION("""COMPUTED_VALUE"""),2026.0)</f>
        <v>2026</v>
      </c>
      <c r="D538" s="2">
        <f>IFERROR(__xludf.DUMMYFUNCTION("""COMPUTED_VALUE"""),46282.0)</f>
        <v>46282</v>
      </c>
      <c r="E538" s="2" t="str">
        <f>IFERROR(__xludf.DUMMYFUNCTION("""COMPUTED_VALUE"""),"VF")</f>
        <v>VF</v>
      </c>
      <c r="F538" s="2">
        <f>IFERROR(__xludf.DUMMYFUNCTION("""COMPUTED_VALUE"""),2.0)</f>
        <v>2</v>
      </c>
      <c r="G538" s="2" t="str">
        <f>IFERROR(__xludf.DUMMYFUNCTION("""COMPUTED_VALUE"""),"PR004")</f>
        <v>PR004</v>
      </c>
      <c r="H538" s="2" t="str">
        <f>IFERROR(__xludf.DUMMYFUNCTION("""COMPUTED_VALUE"""),"VD037")</f>
        <v>VD037</v>
      </c>
      <c r="I538" s="2">
        <f>IFERROR(__xludf.DUMMYFUNCTION("""COMPUTED_VALUE"""),16.0)</f>
        <v>16</v>
      </c>
      <c r="J538" s="2">
        <f>IFERROR(__xludf.DUMMYFUNCTION("""COMPUTED_VALUE"""),2343.2)</f>
        <v>2343.2</v>
      </c>
      <c r="K538" s="2">
        <f>IFERROR(__xludf.DUMMYFUNCTION("""COMPUTED_VALUE"""),2343.2)</f>
        <v>2343.2</v>
      </c>
    </row>
    <row r="539">
      <c r="A539" s="2">
        <f>IFERROR(__xludf.DUMMYFUNCTION("""COMPUTED_VALUE"""),1000.0)</f>
        <v>1000</v>
      </c>
      <c r="B539" s="2">
        <f>IFERROR(__xludf.DUMMYFUNCTION("""COMPUTED_VALUE"""),183844.0)</f>
        <v>183844</v>
      </c>
      <c r="C539" s="2">
        <f>IFERROR(__xludf.DUMMYFUNCTION("""COMPUTED_VALUE"""),2026.0)</f>
        <v>2026</v>
      </c>
      <c r="D539" s="2">
        <f>IFERROR(__xludf.DUMMYFUNCTION("""COMPUTED_VALUE"""),46282.0)</f>
        <v>46282</v>
      </c>
      <c r="E539" s="2" t="str">
        <f>IFERROR(__xludf.DUMMYFUNCTION("""COMPUTED_VALUE"""),"VF")</f>
        <v>VF</v>
      </c>
      <c r="F539" s="2">
        <f>IFERROR(__xludf.DUMMYFUNCTION("""COMPUTED_VALUE"""),1.0)</f>
        <v>1</v>
      </c>
      <c r="G539" s="2" t="str">
        <f>IFERROR(__xludf.DUMMYFUNCTION("""COMPUTED_VALUE"""),"PR046")</f>
        <v>PR046</v>
      </c>
      <c r="H539" s="2" t="str">
        <f>IFERROR(__xludf.DUMMYFUNCTION("""COMPUTED_VALUE"""),"VD041")</f>
        <v>VD041</v>
      </c>
      <c r="I539" s="2">
        <f>IFERROR(__xludf.DUMMYFUNCTION("""COMPUTED_VALUE"""),2.0)</f>
        <v>2</v>
      </c>
      <c r="J539" s="2">
        <f>IFERROR(__xludf.DUMMYFUNCTION("""COMPUTED_VALUE"""),614.59)</f>
        <v>614.59</v>
      </c>
      <c r="K539" s="2">
        <f>IFERROR(__xludf.DUMMYFUNCTION("""COMPUTED_VALUE"""),614.59)</f>
        <v>614.59</v>
      </c>
    </row>
    <row r="540">
      <c r="A540" s="2">
        <f>IFERROR(__xludf.DUMMYFUNCTION("""COMPUTED_VALUE"""),1000.0)</f>
        <v>1000</v>
      </c>
      <c r="B540" s="2">
        <f>IFERROR(__xludf.DUMMYFUNCTION("""COMPUTED_VALUE"""),183845.0)</f>
        <v>183845</v>
      </c>
      <c r="C540" s="2">
        <f>IFERROR(__xludf.DUMMYFUNCTION("""COMPUTED_VALUE"""),2026.0)</f>
        <v>2026</v>
      </c>
      <c r="D540" s="2">
        <f>IFERROR(__xludf.DUMMYFUNCTION("""COMPUTED_VALUE"""),46282.0)</f>
        <v>46282</v>
      </c>
      <c r="E540" s="2" t="str">
        <f>IFERROR(__xludf.DUMMYFUNCTION("""COMPUTED_VALUE"""),"VF")</f>
        <v>VF</v>
      </c>
      <c r="F540" s="2">
        <f>IFERROR(__xludf.DUMMYFUNCTION("""COMPUTED_VALUE"""),1.0)</f>
        <v>1</v>
      </c>
      <c r="G540" s="2" t="str">
        <f>IFERROR(__xludf.DUMMYFUNCTION("""COMPUTED_VALUE"""),"PR030")</f>
        <v>PR030</v>
      </c>
      <c r="H540" s="2" t="str">
        <f>IFERROR(__xludf.DUMMYFUNCTION("""COMPUTED_VALUE"""),"VD015")</f>
        <v>VD015</v>
      </c>
      <c r="I540" s="2">
        <f>IFERROR(__xludf.DUMMYFUNCTION("""COMPUTED_VALUE"""),1.0)</f>
        <v>1</v>
      </c>
      <c r="J540" s="2">
        <f>IFERROR(__xludf.DUMMYFUNCTION("""COMPUTED_VALUE"""),265.1)</f>
        <v>265.1</v>
      </c>
      <c r="K540" s="2">
        <f>IFERROR(__xludf.DUMMYFUNCTION("""COMPUTED_VALUE"""),265.1)</f>
        <v>265.1</v>
      </c>
    </row>
    <row r="541">
      <c r="A541" s="2">
        <f>IFERROR(__xludf.DUMMYFUNCTION("""COMPUTED_VALUE"""),1000.0)</f>
        <v>1000</v>
      </c>
      <c r="B541" s="2">
        <f>IFERROR(__xludf.DUMMYFUNCTION("""COMPUTED_VALUE"""),183846.0)</f>
        <v>183846</v>
      </c>
      <c r="C541" s="2">
        <f>IFERROR(__xludf.DUMMYFUNCTION("""COMPUTED_VALUE"""),2026.0)</f>
        <v>2026</v>
      </c>
      <c r="D541" s="2">
        <f>IFERROR(__xludf.DUMMYFUNCTION("""COMPUTED_VALUE"""),46282.0)</f>
        <v>46282</v>
      </c>
      <c r="E541" s="2" t="str">
        <f>IFERROR(__xludf.DUMMYFUNCTION("""COMPUTED_VALUE"""),"VF")</f>
        <v>VF</v>
      </c>
      <c r="F541" s="2">
        <f>IFERROR(__xludf.DUMMYFUNCTION("""COMPUTED_VALUE"""),1.0)</f>
        <v>1</v>
      </c>
      <c r="G541" s="2" t="str">
        <f>IFERROR(__xludf.DUMMYFUNCTION("""COMPUTED_VALUE"""),"PR010")</f>
        <v>PR010</v>
      </c>
      <c r="H541" s="2" t="str">
        <f>IFERROR(__xludf.DUMMYFUNCTION("""COMPUTED_VALUE"""),"VD029")</f>
        <v>VD029</v>
      </c>
      <c r="I541" s="2">
        <f>IFERROR(__xludf.DUMMYFUNCTION("""COMPUTED_VALUE"""),5.0)</f>
        <v>5</v>
      </c>
      <c r="J541" s="2">
        <f>IFERROR(__xludf.DUMMYFUNCTION("""COMPUTED_VALUE"""),240.22)</f>
        <v>240.22</v>
      </c>
      <c r="K541" s="2">
        <f>IFERROR(__xludf.DUMMYFUNCTION("""COMPUTED_VALUE"""),240.22)</f>
        <v>240.22</v>
      </c>
    </row>
    <row r="542">
      <c r="A542" s="2">
        <f>IFERROR(__xludf.DUMMYFUNCTION("""COMPUTED_VALUE"""),1000.0)</f>
        <v>1000</v>
      </c>
      <c r="B542" s="2">
        <f>IFERROR(__xludf.DUMMYFUNCTION("""COMPUTED_VALUE"""),183846.0)</f>
        <v>183846</v>
      </c>
      <c r="C542" s="2">
        <f>IFERROR(__xludf.DUMMYFUNCTION("""COMPUTED_VALUE"""),2026.0)</f>
        <v>2026</v>
      </c>
      <c r="D542" s="2">
        <f>IFERROR(__xludf.DUMMYFUNCTION("""COMPUTED_VALUE"""),46282.0)</f>
        <v>46282</v>
      </c>
      <c r="E542" s="2" t="str">
        <f>IFERROR(__xludf.DUMMYFUNCTION("""COMPUTED_VALUE"""),"VF")</f>
        <v>VF</v>
      </c>
      <c r="F542" s="2">
        <f>IFERROR(__xludf.DUMMYFUNCTION("""COMPUTED_VALUE"""),2.0)</f>
        <v>2</v>
      </c>
      <c r="G542" s="2" t="str">
        <f>IFERROR(__xludf.DUMMYFUNCTION("""COMPUTED_VALUE"""),"PR028")</f>
        <v>PR028</v>
      </c>
      <c r="H542" s="2" t="str">
        <f>IFERROR(__xludf.DUMMYFUNCTION("""COMPUTED_VALUE"""),"VD034")</f>
        <v>VD034</v>
      </c>
      <c r="I542" s="2">
        <f>IFERROR(__xludf.DUMMYFUNCTION("""COMPUTED_VALUE"""),8.0)</f>
        <v>8</v>
      </c>
      <c r="J542" s="2">
        <f>IFERROR(__xludf.DUMMYFUNCTION("""COMPUTED_VALUE"""),2179.13)</f>
        <v>2179.13</v>
      </c>
      <c r="K542" s="2">
        <f>IFERROR(__xludf.DUMMYFUNCTION("""COMPUTED_VALUE"""),2179.13)</f>
        <v>2179.13</v>
      </c>
    </row>
    <row r="543">
      <c r="A543" s="2">
        <f>IFERROR(__xludf.DUMMYFUNCTION("""COMPUTED_VALUE"""),1000.0)</f>
        <v>1000</v>
      </c>
      <c r="B543" s="2">
        <f>IFERROR(__xludf.DUMMYFUNCTION("""COMPUTED_VALUE"""),183846.0)</f>
        <v>183846</v>
      </c>
      <c r="C543" s="2">
        <f>IFERROR(__xludf.DUMMYFUNCTION("""COMPUTED_VALUE"""),2026.0)</f>
        <v>2026</v>
      </c>
      <c r="D543" s="2">
        <f>IFERROR(__xludf.DUMMYFUNCTION("""COMPUTED_VALUE"""),46282.0)</f>
        <v>46282</v>
      </c>
      <c r="E543" s="2" t="str">
        <f>IFERROR(__xludf.DUMMYFUNCTION("""COMPUTED_VALUE"""),"VF")</f>
        <v>VF</v>
      </c>
      <c r="F543" s="2">
        <f>IFERROR(__xludf.DUMMYFUNCTION("""COMPUTED_VALUE"""),3.0)</f>
        <v>3</v>
      </c>
      <c r="G543" s="2" t="str">
        <f>IFERROR(__xludf.DUMMYFUNCTION("""COMPUTED_VALUE"""),"PR059")</f>
        <v>PR059</v>
      </c>
      <c r="H543" s="2" t="str">
        <f>IFERROR(__xludf.DUMMYFUNCTION("""COMPUTED_VALUE"""),"VD042")</f>
        <v>VD042</v>
      </c>
      <c r="I543" s="2">
        <f>IFERROR(__xludf.DUMMYFUNCTION("""COMPUTED_VALUE"""),14.0)</f>
        <v>14</v>
      </c>
      <c r="J543" s="2">
        <f>IFERROR(__xludf.DUMMYFUNCTION("""COMPUTED_VALUE"""),2671.2)</f>
        <v>2671.2</v>
      </c>
      <c r="K543" s="2">
        <f>IFERROR(__xludf.DUMMYFUNCTION("""COMPUTED_VALUE"""),2671.2)</f>
        <v>2671.2</v>
      </c>
    </row>
    <row r="544">
      <c r="A544" s="2">
        <f>IFERROR(__xludf.DUMMYFUNCTION("""COMPUTED_VALUE"""),2000.0)</f>
        <v>2000</v>
      </c>
      <c r="B544" s="2">
        <f>IFERROR(__xludf.DUMMYFUNCTION("""COMPUTED_VALUE"""),183847.0)</f>
        <v>183847</v>
      </c>
      <c r="C544" s="2">
        <f>IFERROR(__xludf.DUMMYFUNCTION("""COMPUTED_VALUE"""),2026.0)</f>
        <v>2026</v>
      </c>
      <c r="D544" s="2">
        <f>IFERROR(__xludf.DUMMYFUNCTION("""COMPUTED_VALUE"""),46282.0)</f>
        <v>46282</v>
      </c>
      <c r="E544" s="2" t="str">
        <f>IFERROR(__xludf.DUMMYFUNCTION("""COMPUTED_VALUE"""),"VF")</f>
        <v>VF</v>
      </c>
      <c r="F544" s="2">
        <f>IFERROR(__xludf.DUMMYFUNCTION("""COMPUTED_VALUE"""),1.0)</f>
        <v>1</v>
      </c>
      <c r="G544" s="2" t="str">
        <f>IFERROR(__xludf.DUMMYFUNCTION("""COMPUTED_VALUE"""),"PR033")</f>
        <v>PR033</v>
      </c>
      <c r="H544" s="2" t="str">
        <f>IFERROR(__xludf.DUMMYFUNCTION("""COMPUTED_VALUE"""),"VD019")</f>
        <v>VD019</v>
      </c>
      <c r="I544" s="2">
        <f>IFERROR(__xludf.DUMMYFUNCTION("""COMPUTED_VALUE"""),8.0)</f>
        <v>8</v>
      </c>
      <c r="J544" s="2">
        <f>IFERROR(__xludf.DUMMYFUNCTION("""COMPUTED_VALUE"""),2224.74)</f>
        <v>2224.74</v>
      </c>
      <c r="K544" s="2">
        <f>IFERROR(__xludf.DUMMYFUNCTION("""COMPUTED_VALUE"""),2224.74)</f>
        <v>2224.74</v>
      </c>
    </row>
    <row r="545">
      <c r="A545" s="2">
        <f>IFERROR(__xludf.DUMMYFUNCTION("""COMPUTED_VALUE"""),1000.0)</f>
        <v>1000</v>
      </c>
      <c r="B545" s="2">
        <f>IFERROR(__xludf.DUMMYFUNCTION("""COMPUTED_VALUE"""),183847.0)</f>
        <v>183847</v>
      </c>
      <c r="C545" s="2">
        <f>IFERROR(__xludf.DUMMYFUNCTION("""COMPUTED_VALUE"""),2026.0)</f>
        <v>2026</v>
      </c>
      <c r="D545" s="2">
        <f>IFERROR(__xludf.DUMMYFUNCTION("""COMPUTED_VALUE"""),46281.0)</f>
        <v>46281</v>
      </c>
      <c r="E545" s="2" t="str">
        <f>IFERROR(__xludf.DUMMYFUNCTION("""COMPUTED_VALUE"""),"VF")</f>
        <v>VF</v>
      </c>
      <c r="F545" s="2">
        <f>IFERROR(__xludf.DUMMYFUNCTION("""COMPUTED_VALUE"""),2.0)</f>
        <v>2</v>
      </c>
      <c r="G545" s="2" t="str">
        <f>IFERROR(__xludf.DUMMYFUNCTION("""COMPUTED_VALUE"""),"PR054")</f>
        <v>PR054</v>
      </c>
      <c r="H545" s="2" t="str">
        <f>IFERROR(__xludf.DUMMYFUNCTION("""COMPUTED_VALUE"""),"VD018")</f>
        <v>VD018</v>
      </c>
      <c r="I545" s="2">
        <f>IFERROR(__xludf.DUMMYFUNCTION("""COMPUTED_VALUE"""),16.0)</f>
        <v>16</v>
      </c>
      <c r="J545" s="2">
        <f>IFERROR(__xludf.DUMMYFUNCTION("""COMPUTED_VALUE"""),870.26)</f>
        <v>870.26</v>
      </c>
      <c r="K545" s="2">
        <f>IFERROR(__xludf.DUMMYFUNCTION("""COMPUTED_VALUE"""),870.26)</f>
        <v>870.26</v>
      </c>
    </row>
    <row r="546">
      <c r="A546" s="2">
        <f>IFERROR(__xludf.DUMMYFUNCTION("""COMPUTED_VALUE"""),1000.0)</f>
        <v>1000</v>
      </c>
      <c r="B546" s="2">
        <f>IFERROR(__xludf.DUMMYFUNCTION("""COMPUTED_VALUE"""),183848.0)</f>
        <v>183848</v>
      </c>
      <c r="C546" s="2">
        <f>IFERROR(__xludf.DUMMYFUNCTION("""COMPUTED_VALUE"""),2026.0)</f>
        <v>2026</v>
      </c>
      <c r="D546" s="2">
        <f>IFERROR(__xludf.DUMMYFUNCTION("""COMPUTED_VALUE"""),46281.0)</f>
        <v>46281</v>
      </c>
      <c r="E546" s="2" t="str">
        <f>IFERROR(__xludf.DUMMYFUNCTION("""COMPUTED_VALUE"""),"VF")</f>
        <v>VF</v>
      </c>
      <c r="F546" s="2">
        <f>IFERROR(__xludf.DUMMYFUNCTION("""COMPUTED_VALUE"""),1.0)</f>
        <v>1</v>
      </c>
      <c r="G546" s="2" t="str">
        <f>IFERROR(__xludf.DUMMYFUNCTION("""COMPUTED_VALUE"""),"PR023")</f>
        <v>PR023</v>
      </c>
      <c r="H546" s="2" t="str">
        <f>IFERROR(__xludf.DUMMYFUNCTION("""COMPUTED_VALUE"""),"VD017")</f>
        <v>VD017</v>
      </c>
      <c r="I546" s="2">
        <f>IFERROR(__xludf.DUMMYFUNCTION("""COMPUTED_VALUE"""),4.0)</f>
        <v>4</v>
      </c>
      <c r="J546" s="2">
        <f>IFERROR(__xludf.DUMMYFUNCTION("""COMPUTED_VALUE"""),1089.56)</f>
        <v>1089.56</v>
      </c>
      <c r="K546" s="2">
        <f>IFERROR(__xludf.DUMMYFUNCTION("""COMPUTED_VALUE"""),1089.56)</f>
        <v>1089.56</v>
      </c>
    </row>
    <row r="547">
      <c r="A547" s="2">
        <f>IFERROR(__xludf.DUMMYFUNCTION("""COMPUTED_VALUE"""),1000.0)</f>
        <v>1000</v>
      </c>
      <c r="B547" s="2">
        <f>IFERROR(__xludf.DUMMYFUNCTION("""COMPUTED_VALUE"""),183849.0)</f>
        <v>183849</v>
      </c>
      <c r="C547" s="2">
        <f>IFERROR(__xludf.DUMMYFUNCTION("""COMPUTED_VALUE"""),2026.0)</f>
        <v>2026</v>
      </c>
      <c r="D547" s="2">
        <f>IFERROR(__xludf.DUMMYFUNCTION("""COMPUTED_VALUE"""),46281.0)</f>
        <v>46281</v>
      </c>
      <c r="E547" s="2" t="str">
        <f>IFERROR(__xludf.DUMMYFUNCTION("""COMPUTED_VALUE"""),"VF")</f>
        <v>VF</v>
      </c>
      <c r="F547" s="2">
        <f>IFERROR(__xludf.DUMMYFUNCTION("""COMPUTED_VALUE"""),1.0)</f>
        <v>1</v>
      </c>
      <c r="G547" s="2" t="str">
        <f>IFERROR(__xludf.DUMMYFUNCTION("""COMPUTED_VALUE"""),"PR031")</f>
        <v>PR031</v>
      </c>
      <c r="H547" s="2" t="str">
        <f>IFERROR(__xludf.DUMMYFUNCTION("""COMPUTED_VALUE"""),"VD040")</f>
        <v>VD040</v>
      </c>
      <c r="I547" s="2">
        <f>IFERROR(__xludf.DUMMYFUNCTION("""COMPUTED_VALUE"""),3.0)</f>
        <v>3</v>
      </c>
      <c r="J547" s="2">
        <f>IFERROR(__xludf.DUMMYFUNCTION("""COMPUTED_VALUE"""),757.05)</f>
        <v>757.05</v>
      </c>
      <c r="K547" s="2">
        <f>IFERROR(__xludf.DUMMYFUNCTION("""COMPUTED_VALUE"""),757.05)</f>
        <v>757.05</v>
      </c>
    </row>
    <row r="548">
      <c r="A548" s="2">
        <f>IFERROR(__xludf.DUMMYFUNCTION("""COMPUTED_VALUE"""),1000.0)</f>
        <v>1000</v>
      </c>
      <c r="B548" s="2">
        <f>IFERROR(__xludf.DUMMYFUNCTION("""COMPUTED_VALUE"""),183850.0)</f>
        <v>183850</v>
      </c>
      <c r="C548" s="2">
        <f>IFERROR(__xludf.DUMMYFUNCTION("""COMPUTED_VALUE"""),2026.0)</f>
        <v>2026</v>
      </c>
      <c r="D548" s="2">
        <f>IFERROR(__xludf.DUMMYFUNCTION("""COMPUTED_VALUE"""),46281.0)</f>
        <v>46281</v>
      </c>
      <c r="E548" s="2" t="str">
        <f>IFERROR(__xludf.DUMMYFUNCTION("""COMPUTED_VALUE"""),"VF")</f>
        <v>VF</v>
      </c>
      <c r="F548" s="2">
        <f>IFERROR(__xludf.DUMMYFUNCTION("""COMPUTED_VALUE"""),1.0)</f>
        <v>1</v>
      </c>
      <c r="G548" s="2" t="str">
        <f>IFERROR(__xludf.DUMMYFUNCTION("""COMPUTED_VALUE"""),"PR004")</f>
        <v>PR004</v>
      </c>
      <c r="H548" s="2" t="str">
        <f>IFERROR(__xludf.DUMMYFUNCTION("""COMPUTED_VALUE"""),"VD039")</f>
        <v>VD039</v>
      </c>
      <c r="I548" s="2">
        <f>IFERROR(__xludf.DUMMYFUNCTION("""COMPUTED_VALUE"""),16.0)</f>
        <v>16</v>
      </c>
      <c r="J548" s="2">
        <f>IFERROR(__xludf.DUMMYFUNCTION("""COMPUTED_VALUE"""),2528.8)</f>
        <v>2528.8</v>
      </c>
      <c r="K548" s="2">
        <f>IFERROR(__xludf.DUMMYFUNCTION("""COMPUTED_VALUE"""),2528.8)</f>
        <v>2528.8</v>
      </c>
    </row>
    <row r="549">
      <c r="A549" s="2">
        <f>IFERROR(__xludf.DUMMYFUNCTION("""COMPUTED_VALUE"""),1000.0)</f>
        <v>1000</v>
      </c>
      <c r="B549" s="2">
        <f>IFERROR(__xludf.DUMMYFUNCTION("""COMPUTED_VALUE"""),183850.0)</f>
        <v>183850</v>
      </c>
      <c r="C549" s="2">
        <f>IFERROR(__xludf.DUMMYFUNCTION("""COMPUTED_VALUE"""),2026.0)</f>
        <v>2026</v>
      </c>
      <c r="D549" s="2">
        <f>IFERROR(__xludf.DUMMYFUNCTION("""COMPUTED_VALUE"""),46280.0)</f>
        <v>46280</v>
      </c>
      <c r="E549" s="2" t="str">
        <f>IFERROR(__xludf.DUMMYFUNCTION("""COMPUTED_VALUE"""),"VF")</f>
        <v>VF</v>
      </c>
      <c r="F549" s="2">
        <f>IFERROR(__xludf.DUMMYFUNCTION("""COMPUTED_VALUE"""),2.0)</f>
        <v>2</v>
      </c>
      <c r="G549" s="2" t="str">
        <f>IFERROR(__xludf.DUMMYFUNCTION("""COMPUTED_VALUE"""),"PR029")</f>
        <v>PR029</v>
      </c>
      <c r="H549" s="2" t="str">
        <f>IFERROR(__xludf.DUMMYFUNCTION("""COMPUTED_VALUE"""),"VD048")</f>
        <v>VD048</v>
      </c>
      <c r="I549" s="2">
        <f>IFERROR(__xludf.DUMMYFUNCTION("""COMPUTED_VALUE"""),7.0)</f>
        <v>7</v>
      </c>
      <c r="J549" s="2">
        <f>IFERROR(__xludf.DUMMYFUNCTION("""COMPUTED_VALUE"""),1874.25)</f>
        <v>1874.25</v>
      </c>
      <c r="K549" s="2">
        <f>IFERROR(__xludf.DUMMYFUNCTION("""COMPUTED_VALUE"""),1874.25)</f>
        <v>1874.25</v>
      </c>
    </row>
    <row r="550">
      <c r="A550" s="2">
        <f>IFERROR(__xludf.DUMMYFUNCTION("""COMPUTED_VALUE"""),1000.0)</f>
        <v>1000</v>
      </c>
      <c r="B550" s="2">
        <f>IFERROR(__xludf.DUMMYFUNCTION("""COMPUTED_VALUE"""),183851.0)</f>
        <v>183851</v>
      </c>
      <c r="C550" s="2">
        <f>IFERROR(__xludf.DUMMYFUNCTION("""COMPUTED_VALUE"""),2026.0)</f>
        <v>2026</v>
      </c>
      <c r="D550" s="2">
        <f>IFERROR(__xludf.DUMMYFUNCTION("""COMPUTED_VALUE"""),46280.0)</f>
        <v>46280</v>
      </c>
      <c r="E550" s="2" t="str">
        <f>IFERROR(__xludf.DUMMYFUNCTION("""COMPUTED_VALUE"""),"VF")</f>
        <v>VF</v>
      </c>
      <c r="F550" s="2">
        <f>IFERROR(__xludf.DUMMYFUNCTION("""COMPUTED_VALUE"""),1.0)</f>
        <v>1</v>
      </c>
      <c r="G550" s="2" t="str">
        <f>IFERROR(__xludf.DUMMYFUNCTION("""COMPUTED_VALUE"""),"PR031")</f>
        <v>PR031</v>
      </c>
      <c r="H550" s="2" t="str">
        <f>IFERROR(__xludf.DUMMYFUNCTION("""COMPUTED_VALUE"""),"VD024")</f>
        <v>VD024</v>
      </c>
      <c r="I550" s="2">
        <f>IFERROR(__xludf.DUMMYFUNCTION("""COMPUTED_VALUE"""),5.0)</f>
        <v>5</v>
      </c>
      <c r="J550" s="2">
        <f>IFERROR(__xludf.DUMMYFUNCTION("""COMPUTED_VALUE"""),1286.25)</f>
        <v>1286.25</v>
      </c>
      <c r="K550" s="2">
        <f>IFERROR(__xludf.DUMMYFUNCTION("""COMPUTED_VALUE"""),1286.25)</f>
        <v>1286.25</v>
      </c>
    </row>
    <row r="551">
      <c r="A551" s="2">
        <f>IFERROR(__xludf.DUMMYFUNCTION("""COMPUTED_VALUE"""),1000.0)</f>
        <v>1000</v>
      </c>
      <c r="B551" s="2">
        <f>IFERROR(__xludf.DUMMYFUNCTION("""COMPUTED_VALUE"""),183852.0)</f>
        <v>183852</v>
      </c>
      <c r="C551" s="2">
        <f>IFERROR(__xludf.DUMMYFUNCTION("""COMPUTED_VALUE"""),2026.0)</f>
        <v>2026</v>
      </c>
      <c r="D551" s="2">
        <f>IFERROR(__xludf.DUMMYFUNCTION("""COMPUTED_VALUE"""),46280.0)</f>
        <v>46280</v>
      </c>
      <c r="E551" s="2" t="str">
        <f>IFERROR(__xludf.DUMMYFUNCTION("""COMPUTED_VALUE"""),"VF")</f>
        <v>VF</v>
      </c>
      <c r="F551" s="2">
        <f>IFERROR(__xludf.DUMMYFUNCTION("""COMPUTED_VALUE"""),1.0)</f>
        <v>1</v>
      </c>
      <c r="G551" s="2" t="str">
        <f>IFERROR(__xludf.DUMMYFUNCTION("""COMPUTED_VALUE"""),"PR020")</f>
        <v>PR020</v>
      </c>
      <c r="H551" s="2" t="str">
        <f>IFERROR(__xludf.DUMMYFUNCTION("""COMPUTED_VALUE"""),"VD014")</f>
        <v>VD014</v>
      </c>
      <c r="I551" s="2">
        <f>IFERROR(__xludf.DUMMYFUNCTION("""COMPUTED_VALUE"""),12.0)</f>
        <v>12</v>
      </c>
      <c r="J551" s="2">
        <f>IFERROR(__xludf.DUMMYFUNCTION("""COMPUTED_VALUE"""),3850.72)</f>
        <v>3850.72</v>
      </c>
      <c r="K551" s="2">
        <f>IFERROR(__xludf.DUMMYFUNCTION("""COMPUTED_VALUE"""),3850.72)</f>
        <v>3850.72</v>
      </c>
    </row>
    <row r="552">
      <c r="A552" s="2">
        <f>IFERROR(__xludf.DUMMYFUNCTION("""COMPUTED_VALUE"""),1000.0)</f>
        <v>1000</v>
      </c>
      <c r="B552" s="2">
        <f>IFERROR(__xludf.DUMMYFUNCTION("""COMPUTED_VALUE"""),183852.0)</f>
        <v>183852</v>
      </c>
      <c r="C552" s="2">
        <f>IFERROR(__xludf.DUMMYFUNCTION("""COMPUTED_VALUE"""),2026.0)</f>
        <v>2026</v>
      </c>
      <c r="D552" s="2">
        <f>IFERROR(__xludf.DUMMYFUNCTION("""COMPUTED_VALUE"""),46280.0)</f>
        <v>46280</v>
      </c>
      <c r="E552" s="2" t="str">
        <f>IFERROR(__xludf.DUMMYFUNCTION("""COMPUTED_VALUE"""),"VF")</f>
        <v>VF</v>
      </c>
      <c r="F552" s="2">
        <f>IFERROR(__xludf.DUMMYFUNCTION("""COMPUTED_VALUE"""),2.0)</f>
        <v>2</v>
      </c>
      <c r="G552" s="2" t="str">
        <f>IFERROR(__xludf.DUMMYFUNCTION("""COMPUTED_VALUE"""),"PR006")</f>
        <v>PR006</v>
      </c>
      <c r="H552" s="2" t="str">
        <f>IFERROR(__xludf.DUMMYFUNCTION("""COMPUTED_VALUE"""),"VD011")</f>
        <v>VD011</v>
      </c>
      <c r="I552" s="2">
        <f>IFERROR(__xludf.DUMMYFUNCTION("""COMPUTED_VALUE"""),7.0)</f>
        <v>7</v>
      </c>
      <c r="J552" s="2">
        <f>IFERROR(__xludf.DUMMYFUNCTION("""COMPUTED_VALUE"""),293.27)</f>
        <v>293.27</v>
      </c>
      <c r="K552" s="2">
        <f>IFERROR(__xludf.DUMMYFUNCTION("""COMPUTED_VALUE"""),293.27)</f>
        <v>293.27</v>
      </c>
    </row>
    <row r="553">
      <c r="A553" s="2">
        <f>IFERROR(__xludf.DUMMYFUNCTION("""COMPUTED_VALUE"""),1000.0)</f>
        <v>1000</v>
      </c>
      <c r="B553" s="2">
        <f>IFERROR(__xludf.DUMMYFUNCTION("""COMPUTED_VALUE"""),183852.0)</f>
        <v>183852</v>
      </c>
      <c r="C553" s="2">
        <f>IFERROR(__xludf.DUMMYFUNCTION("""COMPUTED_VALUE"""),2026.0)</f>
        <v>2026</v>
      </c>
      <c r="D553" s="2">
        <f>IFERROR(__xludf.DUMMYFUNCTION("""COMPUTED_VALUE"""),46280.0)</f>
        <v>46280</v>
      </c>
      <c r="E553" s="2" t="str">
        <f>IFERROR(__xludf.DUMMYFUNCTION("""COMPUTED_VALUE"""),"VF")</f>
        <v>VF</v>
      </c>
      <c r="F553" s="2">
        <f>IFERROR(__xludf.DUMMYFUNCTION("""COMPUTED_VALUE"""),3.0)</f>
        <v>3</v>
      </c>
      <c r="G553" s="2" t="str">
        <f>IFERROR(__xludf.DUMMYFUNCTION("""COMPUTED_VALUE"""),"PR060")</f>
        <v>PR060</v>
      </c>
      <c r="H553" s="2" t="str">
        <f>IFERROR(__xludf.DUMMYFUNCTION("""COMPUTED_VALUE"""),"VD021")</f>
        <v>VD021</v>
      </c>
      <c r="I553" s="2">
        <f>IFERROR(__xludf.DUMMYFUNCTION("""COMPUTED_VALUE"""),12.0)</f>
        <v>12</v>
      </c>
      <c r="J553" s="2">
        <f>IFERROR(__xludf.DUMMYFUNCTION("""COMPUTED_VALUE"""),2160.0)</f>
        <v>2160</v>
      </c>
      <c r="K553" s="2">
        <f>IFERROR(__xludf.DUMMYFUNCTION("""COMPUTED_VALUE"""),2160.0)</f>
        <v>2160</v>
      </c>
    </row>
    <row r="554">
      <c r="A554" s="2">
        <f>IFERROR(__xludf.DUMMYFUNCTION("""COMPUTED_VALUE"""),1000.0)</f>
        <v>1000</v>
      </c>
      <c r="B554" s="2">
        <f>IFERROR(__xludf.DUMMYFUNCTION("""COMPUTED_VALUE"""),183853.0)</f>
        <v>183853</v>
      </c>
      <c r="C554" s="2">
        <f>IFERROR(__xludf.DUMMYFUNCTION("""COMPUTED_VALUE"""),2026.0)</f>
        <v>2026</v>
      </c>
      <c r="D554" s="2">
        <f>IFERROR(__xludf.DUMMYFUNCTION("""COMPUTED_VALUE"""),46279.0)</f>
        <v>46279</v>
      </c>
      <c r="E554" s="2" t="str">
        <f>IFERROR(__xludf.DUMMYFUNCTION("""COMPUTED_VALUE"""),"VF")</f>
        <v>VF</v>
      </c>
      <c r="F554" s="2">
        <f>IFERROR(__xludf.DUMMYFUNCTION("""COMPUTED_VALUE"""),1.0)</f>
        <v>1</v>
      </c>
      <c r="G554" s="2" t="str">
        <f>IFERROR(__xludf.DUMMYFUNCTION("""COMPUTED_VALUE"""),"PR052")</f>
        <v>PR052</v>
      </c>
      <c r="H554" s="2" t="str">
        <f>IFERROR(__xludf.DUMMYFUNCTION("""COMPUTED_VALUE"""),"VD039")</f>
        <v>VD039</v>
      </c>
      <c r="I554" s="2">
        <f>IFERROR(__xludf.DUMMYFUNCTION("""COMPUTED_VALUE"""),6.0)</f>
        <v>6</v>
      </c>
      <c r="J554" s="2">
        <f>IFERROR(__xludf.DUMMYFUNCTION("""COMPUTED_VALUE"""),311.38)</f>
        <v>311.38</v>
      </c>
      <c r="K554" s="2">
        <f>IFERROR(__xludf.DUMMYFUNCTION("""COMPUTED_VALUE"""),311.38)</f>
        <v>311.38</v>
      </c>
    </row>
    <row r="555">
      <c r="A555" s="2">
        <f>IFERROR(__xludf.DUMMYFUNCTION("""COMPUTED_VALUE"""),1000.0)</f>
        <v>1000</v>
      </c>
      <c r="B555" s="2">
        <f>IFERROR(__xludf.DUMMYFUNCTION("""COMPUTED_VALUE"""),183853.0)</f>
        <v>183853</v>
      </c>
      <c r="C555" s="2">
        <f>IFERROR(__xludf.DUMMYFUNCTION("""COMPUTED_VALUE"""),2026.0)</f>
        <v>2026</v>
      </c>
      <c r="D555" s="2">
        <f>IFERROR(__xludf.DUMMYFUNCTION("""COMPUTED_VALUE"""),46279.0)</f>
        <v>46279</v>
      </c>
      <c r="E555" s="2" t="str">
        <f>IFERROR(__xludf.DUMMYFUNCTION("""COMPUTED_VALUE"""),"VF")</f>
        <v>VF</v>
      </c>
      <c r="F555" s="2">
        <f>IFERROR(__xludf.DUMMYFUNCTION("""COMPUTED_VALUE"""),2.0)</f>
        <v>2</v>
      </c>
      <c r="G555" s="2" t="str">
        <f>IFERROR(__xludf.DUMMYFUNCTION("""COMPUTED_VALUE"""),"PR008")</f>
        <v>PR008</v>
      </c>
      <c r="H555" s="2" t="str">
        <f>IFERROR(__xludf.DUMMYFUNCTION("""COMPUTED_VALUE"""),"VD027")</f>
        <v>VD027</v>
      </c>
      <c r="I555" s="2">
        <f>IFERROR(__xludf.DUMMYFUNCTION("""COMPUTED_VALUE"""),3.0)</f>
        <v>3</v>
      </c>
      <c r="J555" s="2">
        <f>IFERROR(__xludf.DUMMYFUNCTION("""COMPUTED_VALUE"""),277.79)</f>
        <v>277.79</v>
      </c>
      <c r="K555" s="2">
        <f>IFERROR(__xludf.DUMMYFUNCTION("""COMPUTED_VALUE"""),277.79)</f>
        <v>277.79</v>
      </c>
    </row>
    <row r="556">
      <c r="A556" s="2">
        <f>IFERROR(__xludf.DUMMYFUNCTION("""COMPUTED_VALUE"""),2000.0)</f>
        <v>2000</v>
      </c>
      <c r="B556" s="2">
        <f>IFERROR(__xludf.DUMMYFUNCTION("""COMPUTED_VALUE"""),183854.0)</f>
        <v>183854</v>
      </c>
      <c r="C556" s="2">
        <f>IFERROR(__xludf.DUMMYFUNCTION("""COMPUTED_VALUE"""),2026.0)</f>
        <v>2026</v>
      </c>
      <c r="D556" s="2">
        <f>IFERROR(__xludf.DUMMYFUNCTION("""COMPUTED_VALUE"""),46278.0)</f>
        <v>46278</v>
      </c>
      <c r="E556" s="2" t="str">
        <f>IFERROR(__xludf.DUMMYFUNCTION("""COMPUTED_VALUE"""),"VF")</f>
        <v>VF</v>
      </c>
      <c r="F556" s="2">
        <f>IFERROR(__xludf.DUMMYFUNCTION("""COMPUTED_VALUE"""),1.0)</f>
        <v>1</v>
      </c>
      <c r="G556" s="2" t="str">
        <f>IFERROR(__xludf.DUMMYFUNCTION("""COMPUTED_VALUE"""),"PR004")</f>
        <v>PR004</v>
      </c>
      <c r="H556" s="2" t="str">
        <f>IFERROR(__xludf.DUMMYFUNCTION("""COMPUTED_VALUE"""),"VD032")</f>
        <v>VD032</v>
      </c>
      <c r="I556" s="2">
        <f>IFERROR(__xludf.DUMMYFUNCTION("""COMPUTED_VALUE"""),1.0)</f>
        <v>1</v>
      </c>
      <c r="J556" s="2">
        <f>IFERROR(__xludf.DUMMYFUNCTION("""COMPUTED_VALUE"""),147.9)</f>
        <v>147.9</v>
      </c>
      <c r="K556" s="2">
        <f>IFERROR(__xludf.DUMMYFUNCTION("""COMPUTED_VALUE"""),147.9)</f>
        <v>147.9</v>
      </c>
    </row>
    <row r="557">
      <c r="A557" s="2">
        <f>IFERROR(__xludf.DUMMYFUNCTION("""COMPUTED_VALUE"""),1000.0)</f>
        <v>1000</v>
      </c>
      <c r="B557" s="2">
        <f>IFERROR(__xludf.DUMMYFUNCTION("""COMPUTED_VALUE"""),183855.0)</f>
        <v>183855</v>
      </c>
      <c r="C557" s="2">
        <f>IFERROR(__xludf.DUMMYFUNCTION("""COMPUTED_VALUE"""),2026.0)</f>
        <v>2026</v>
      </c>
      <c r="D557" s="2">
        <f>IFERROR(__xludf.DUMMYFUNCTION("""COMPUTED_VALUE"""),46278.0)</f>
        <v>46278</v>
      </c>
      <c r="E557" s="2" t="str">
        <f>IFERROR(__xludf.DUMMYFUNCTION("""COMPUTED_VALUE"""),"VF")</f>
        <v>VF</v>
      </c>
      <c r="F557" s="2">
        <f>IFERROR(__xludf.DUMMYFUNCTION("""COMPUTED_VALUE"""),1.0)</f>
        <v>1</v>
      </c>
      <c r="G557" s="2" t="str">
        <f>IFERROR(__xludf.DUMMYFUNCTION("""COMPUTED_VALUE"""),"PR057")</f>
        <v>PR057</v>
      </c>
      <c r="H557" s="2" t="str">
        <f>IFERROR(__xludf.DUMMYFUNCTION("""COMPUTED_VALUE"""),"VD049")</f>
        <v>VD049</v>
      </c>
      <c r="I557" s="2">
        <f>IFERROR(__xludf.DUMMYFUNCTION("""COMPUTED_VALUE"""),4.0)</f>
        <v>4</v>
      </c>
      <c r="J557" s="2">
        <f>IFERROR(__xludf.DUMMYFUNCTION("""COMPUTED_VALUE"""),370.39)</f>
        <v>370.39</v>
      </c>
      <c r="K557" s="2">
        <f>IFERROR(__xludf.DUMMYFUNCTION("""COMPUTED_VALUE"""),370.39)</f>
        <v>370.39</v>
      </c>
    </row>
    <row r="558">
      <c r="A558" s="2">
        <f>IFERROR(__xludf.DUMMYFUNCTION("""COMPUTED_VALUE"""),1000.0)</f>
        <v>1000</v>
      </c>
      <c r="B558" s="2">
        <f>IFERROR(__xludf.DUMMYFUNCTION("""COMPUTED_VALUE"""),183856.0)</f>
        <v>183856</v>
      </c>
      <c r="C558" s="2">
        <f>IFERROR(__xludf.DUMMYFUNCTION("""COMPUTED_VALUE"""),2026.0)</f>
        <v>2026</v>
      </c>
      <c r="D558" s="2">
        <f>IFERROR(__xludf.DUMMYFUNCTION("""COMPUTED_VALUE"""),46278.0)</f>
        <v>46278</v>
      </c>
      <c r="E558" s="2" t="str">
        <f>IFERROR(__xludf.DUMMYFUNCTION("""COMPUTED_VALUE"""),"VF")</f>
        <v>VF</v>
      </c>
      <c r="F558" s="2">
        <f>IFERROR(__xludf.DUMMYFUNCTION("""COMPUTED_VALUE"""),1.0)</f>
        <v>1</v>
      </c>
      <c r="G558" s="2" t="str">
        <f>IFERROR(__xludf.DUMMYFUNCTION("""COMPUTED_VALUE"""),"PR016")</f>
        <v>PR016</v>
      </c>
      <c r="H558" s="2" t="str">
        <f>IFERROR(__xludf.DUMMYFUNCTION("""COMPUTED_VALUE"""),"VD044")</f>
        <v>VD044</v>
      </c>
      <c r="I558" s="2">
        <f>IFERROR(__xludf.DUMMYFUNCTION("""COMPUTED_VALUE"""),4.0)</f>
        <v>4</v>
      </c>
      <c r="J558" s="2">
        <f>IFERROR(__xludf.DUMMYFUNCTION("""COMPUTED_VALUE"""),112.92)</f>
        <v>112.92</v>
      </c>
      <c r="K558" s="2">
        <f>IFERROR(__xludf.DUMMYFUNCTION("""COMPUTED_VALUE"""),112.92)</f>
        <v>112.92</v>
      </c>
    </row>
    <row r="559">
      <c r="A559" s="2">
        <f>IFERROR(__xludf.DUMMYFUNCTION("""COMPUTED_VALUE"""),1000.0)</f>
        <v>1000</v>
      </c>
      <c r="B559" s="2">
        <f>IFERROR(__xludf.DUMMYFUNCTION("""COMPUTED_VALUE"""),183857.0)</f>
        <v>183857</v>
      </c>
      <c r="C559" s="2">
        <f>IFERROR(__xludf.DUMMYFUNCTION("""COMPUTED_VALUE"""),2026.0)</f>
        <v>2026</v>
      </c>
      <c r="D559" s="2">
        <f>IFERROR(__xludf.DUMMYFUNCTION("""COMPUTED_VALUE"""),46278.0)</f>
        <v>46278</v>
      </c>
      <c r="E559" s="2" t="str">
        <f>IFERROR(__xludf.DUMMYFUNCTION("""COMPUTED_VALUE"""),"VF")</f>
        <v>VF</v>
      </c>
      <c r="F559" s="2">
        <f>IFERROR(__xludf.DUMMYFUNCTION("""COMPUTED_VALUE"""),1.0)</f>
        <v>1</v>
      </c>
      <c r="G559" s="2" t="str">
        <f>IFERROR(__xludf.DUMMYFUNCTION("""COMPUTED_VALUE"""),"PR025")</f>
        <v>PR025</v>
      </c>
      <c r="H559" s="2" t="str">
        <f>IFERROR(__xludf.DUMMYFUNCTION("""COMPUTED_VALUE"""),"VD012")</f>
        <v>VD012</v>
      </c>
      <c r="I559" s="2">
        <f>IFERROR(__xludf.DUMMYFUNCTION("""COMPUTED_VALUE"""),7.0)</f>
        <v>7</v>
      </c>
      <c r="J559" s="2">
        <f>IFERROR(__xludf.DUMMYFUNCTION("""COMPUTED_VALUE"""),2162.28)</f>
        <v>2162.28</v>
      </c>
      <c r="K559" s="2">
        <f>IFERROR(__xludf.DUMMYFUNCTION("""COMPUTED_VALUE"""),2162.28)</f>
        <v>2162.28</v>
      </c>
    </row>
    <row r="560">
      <c r="A560" s="2">
        <f>IFERROR(__xludf.DUMMYFUNCTION("""COMPUTED_VALUE"""),1000.0)</f>
        <v>1000</v>
      </c>
      <c r="B560" s="2">
        <f>IFERROR(__xludf.DUMMYFUNCTION("""COMPUTED_VALUE"""),183858.0)</f>
        <v>183858</v>
      </c>
      <c r="C560" s="2">
        <f>IFERROR(__xludf.DUMMYFUNCTION("""COMPUTED_VALUE"""),2026.0)</f>
        <v>2026</v>
      </c>
      <c r="D560" s="2">
        <f>IFERROR(__xludf.DUMMYFUNCTION("""COMPUTED_VALUE"""),46278.0)</f>
        <v>46278</v>
      </c>
      <c r="E560" s="2" t="str">
        <f>IFERROR(__xludf.DUMMYFUNCTION("""COMPUTED_VALUE"""),"VF")</f>
        <v>VF</v>
      </c>
      <c r="F560" s="2">
        <f>IFERROR(__xludf.DUMMYFUNCTION("""COMPUTED_VALUE"""),1.0)</f>
        <v>1</v>
      </c>
      <c r="G560" s="2" t="str">
        <f>IFERROR(__xludf.DUMMYFUNCTION("""COMPUTED_VALUE"""),"PR028")</f>
        <v>PR028</v>
      </c>
      <c r="H560" s="2" t="str">
        <f>IFERROR(__xludf.DUMMYFUNCTION("""COMPUTED_VALUE"""),"VD032")</f>
        <v>VD032</v>
      </c>
      <c r="I560" s="2">
        <f>IFERROR(__xludf.DUMMYFUNCTION("""COMPUTED_VALUE"""),18.0)</f>
        <v>18</v>
      </c>
      <c r="J560" s="2">
        <f>IFERROR(__xludf.DUMMYFUNCTION("""COMPUTED_VALUE"""),4813.07)</f>
        <v>4813.07</v>
      </c>
      <c r="K560" s="2">
        <f>IFERROR(__xludf.DUMMYFUNCTION("""COMPUTED_VALUE"""),4813.07)</f>
        <v>4813.07</v>
      </c>
    </row>
    <row r="561">
      <c r="A561" s="2">
        <f>IFERROR(__xludf.DUMMYFUNCTION("""COMPUTED_VALUE"""),2000.0)</f>
        <v>2000</v>
      </c>
      <c r="B561" s="2">
        <f>IFERROR(__xludf.DUMMYFUNCTION("""COMPUTED_VALUE"""),183859.0)</f>
        <v>183859</v>
      </c>
      <c r="C561" s="2">
        <f>IFERROR(__xludf.DUMMYFUNCTION("""COMPUTED_VALUE"""),2026.0)</f>
        <v>2026</v>
      </c>
      <c r="D561" s="2">
        <f>IFERROR(__xludf.DUMMYFUNCTION("""COMPUTED_VALUE"""),46278.0)</f>
        <v>46278</v>
      </c>
      <c r="E561" s="2" t="str">
        <f>IFERROR(__xludf.DUMMYFUNCTION("""COMPUTED_VALUE"""),"VF")</f>
        <v>VF</v>
      </c>
      <c r="F561" s="2">
        <f>IFERROR(__xludf.DUMMYFUNCTION("""COMPUTED_VALUE"""),1.0)</f>
        <v>1</v>
      </c>
      <c r="G561" s="2" t="str">
        <f>IFERROR(__xludf.DUMMYFUNCTION("""COMPUTED_VALUE"""),"PR014")</f>
        <v>PR014</v>
      </c>
      <c r="H561" s="2" t="str">
        <f>IFERROR(__xludf.DUMMYFUNCTION("""COMPUTED_VALUE"""),"VD020")</f>
        <v>VD020</v>
      </c>
      <c r="I561" s="2">
        <f>IFERROR(__xludf.DUMMYFUNCTION("""COMPUTED_VALUE"""),4.0)</f>
        <v>4</v>
      </c>
      <c r="J561" s="2">
        <f>IFERROR(__xludf.DUMMYFUNCTION("""COMPUTED_VALUE"""),164.39)</f>
        <v>164.39</v>
      </c>
      <c r="K561" s="2">
        <f>IFERROR(__xludf.DUMMYFUNCTION("""COMPUTED_VALUE"""),164.39)</f>
        <v>164.39</v>
      </c>
    </row>
    <row r="562">
      <c r="A562" s="2">
        <f>IFERROR(__xludf.DUMMYFUNCTION("""COMPUTED_VALUE"""),1000.0)</f>
        <v>1000</v>
      </c>
      <c r="B562" s="2">
        <f>IFERROR(__xludf.DUMMYFUNCTION("""COMPUTED_VALUE"""),183860.0)</f>
        <v>183860</v>
      </c>
      <c r="C562" s="2">
        <f>IFERROR(__xludf.DUMMYFUNCTION("""COMPUTED_VALUE"""),2026.0)</f>
        <v>2026</v>
      </c>
      <c r="D562" s="2">
        <f>IFERROR(__xludf.DUMMYFUNCTION("""COMPUTED_VALUE"""),46278.0)</f>
        <v>46278</v>
      </c>
      <c r="E562" s="2" t="str">
        <f>IFERROR(__xludf.DUMMYFUNCTION("""COMPUTED_VALUE"""),"VF")</f>
        <v>VF</v>
      </c>
      <c r="F562" s="2">
        <f>IFERROR(__xludf.DUMMYFUNCTION("""COMPUTED_VALUE"""),1.0)</f>
        <v>1</v>
      </c>
      <c r="G562" s="2" t="str">
        <f>IFERROR(__xludf.DUMMYFUNCTION("""COMPUTED_VALUE"""),"PR006")</f>
        <v>PR006</v>
      </c>
      <c r="H562" s="2" t="str">
        <f>IFERROR(__xludf.DUMMYFUNCTION("""COMPUTED_VALUE"""),"VD026")</f>
        <v>VD026</v>
      </c>
      <c r="I562" s="2">
        <f>IFERROR(__xludf.DUMMYFUNCTION("""COMPUTED_VALUE"""),5.0)</f>
        <v>5</v>
      </c>
      <c r="J562" s="2">
        <f>IFERROR(__xludf.DUMMYFUNCTION("""COMPUTED_VALUE"""),215.46)</f>
        <v>215.46</v>
      </c>
      <c r="K562" s="2">
        <f>IFERROR(__xludf.DUMMYFUNCTION("""COMPUTED_VALUE"""),215.46)</f>
        <v>215.46</v>
      </c>
    </row>
    <row r="563">
      <c r="A563" s="2">
        <f>IFERROR(__xludf.DUMMYFUNCTION("""COMPUTED_VALUE"""),1000.0)</f>
        <v>1000</v>
      </c>
      <c r="B563" s="2">
        <f>IFERROR(__xludf.DUMMYFUNCTION("""COMPUTED_VALUE"""),183861.0)</f>
        <v>183861</v>
      </c>
      <c r="C563" s="2">
        <f>IFERROR(__xludf.DUMMYFUNCTION("""COMPUTED_VALUE"""),2026.0)</f>
        <v>2026</v>
      </c>
      <c r="D563" s="2">
        <f>IFERROR(__xludf.DUMMYFUNCTION("""COMPUTED_VALUE"""),46277.0)</f>
        <v>46277</v>
      </c>
      <c r="E563" s="2" t="str">
        <f>IFERROR(__xludf.DUMMYFUNCTION("""COMPUTED_VALUE"""),"VF")</f>
        <v>VF</v>
      </c>
      <c r="F563" s="2">
        <f>IFERROR(__xludf.DUMMYFUNCTION("""COMPUTED_VALUE"""),1.0)</f>
        <v>1</v>
      </c>
      <c r="G563" s="2" t="str">
        <f>IFERROR(__xludf.DUMMYFUNCTION("""COMPUTED_VALUE"""),"PR004")</f>
        <v>PR004</v>
      </c>
      <c r="H563" s="2" t="str">
        <f>IFERROR(__xludf.DUMMYFUNCTION("""COMPUTED_VALUE"""),"VD015")</f>
        <v>VD015</v>
      </c>
      <c r="I563" s="2">
        <f>IFERROR(__xludf.DUMMYFUNCTION("""COMPUTED_VALUE"""),16.0)</f>
        <v>16</v>
      </c>
      <c r="J563" s="2">
        <f>IFERROR(__xludf.DUMMYFUNCTION("""COMPUTED_VALUE"""),2320.0)</f>
        <v>2320</v>
      </c>
      <c r="K563" s="2">
        <f>IFERROR(__xludf.DUMMYFUNCTION("""COMPUTED_VALUE"""),2320.0)</f>
        <v>2320</v>
      </c>
    </row>
    <row r="564">
      <c r="A564" s="2">
        <f>IFERROR(__xludf.DUMMYFUNCTION("""COMPUTED_VALUE"""),1000.0)</f>
        <v>1000</v>
      </c>
      <c r="B564" s="2">
        <f>IFERROR(__xludf.DUMMYFUNCTION("""COMPUTED_VALUE"""),183862.0)</f>
        <v>183862</v>
      </c>
      <c r="C564" s="2">
        <f>IFERROR(__xludf.DUMMYFUNCTION("""COMPUTED_VALUE"""),2026.0)</f>
        <v>2026</v>
      </c>
      <c r="D564" s="2">
        <f>IFERROR(__xludf.DUMMYFUNCTION("""COMPUTED_VALUE"""),46277.0)</f>
        <v>46277</v>
      </c>
      <c r="E564" s="2" t="str">
        <f>IFERROR(__xludf.DUMMYFUNCTION("""COMPUTED_VALUE"""),"VF")</f>
        <v>VF</v>
      </c>
      <c r="F564" s="2">
        <f>IFERROR(__xludf.DUMMYFUNCTION("""COMPUTED_VALUE"""),1.0)</f>
        <v>1</v>
      </c>
      <c r="G564" s="2" t="str">
        <f>IFERROR(__xludf.DUMMYFUNCTION("""COMPUTED_VALUE"""),"PR033")</f>
        <v>PR033</v>
      </c>
      <c r="H564" s="2" t="str">
        <f>IFERROR(__xludf.DUMMYFUNCTION("""COMPUTED_VALUE"""),"VD043")</f>
        <v>VD043</v>
      </c>
      <c r="I564" s="2">
        <f>IFERROR(__xludf.DUMMYFUNCTION("""COMPUTED_VALUE"""),5.0)</f>
        <v>5</v>
      </c>
      <c r="J564" s="2">
        <f>IFERROR(__xludf.DUMMYFUNCTION("""COMPUTED_VALUE"""),1338.49)</f>
        <v>1338.49</v>
      </c>
      <c r="K564" s="2">
        <f>IFERROR(__xludf.DUMMYFUNCTION("""COMPUTED_VALUE"""),1338.49)</f>
        <v>1338.49</v>
      </c>
    </row>
    <row r="565">
      <c r="A565" s="2">
        <f>IFERROR(__xludf.DUMMYFUNCTION("""COMPUTED_VALUE"""),1000.0)</f>
        <v>1000</v>
      </c>
      <c r="B565" s="2">
        <f>IFERROR(__xludf.DUMMYFUNCTION("""COMPUTED_VALUE"""),183862.0)</f>
        <v>183862</v>
      </c>
      <c r="C565" s="2">
        <f>IFERROR(__xludf.DUMMYFUNCTION("""COMPUTED_VALUE"""),2026.0)</f>
        <v>2026</v>
      </c>
      <c r="D565" s="2">
        <f>IFERROR(__xludf.DUMMYFUNCTION("""COMPUTED_VALUE"""),46277.0)</f>
        <v>46277</v>
      </c>
      <c r="E565" s="2" t="str">
        <f>IFERROR(__xludf.DUMMYFUNCTION("""COMPUTED_VALUE"""),"VF")</f>
        <v>VF</v>
      </c>
      <c r="F565" s="2">
        <f>IFERROR(__xludf.DUMMYFUNCTION("""COMPUTED_VALUE"""),2.0)</f>
        <v>2</v>
      </c>
      <c r="G565" s="2" t="str">
        <f>IFERROR(__xludf.DUMMYFUNCTION("""COMPUTED_VALUE"""),"PR027")</f>
        <v>PR027</v>
      </c>
      <c r="H565" s="2" t="str">
        <f>IFERROR(__xludf.DUMMYFUNCTION("""COMPUTED_VALUE"""),"VD037")</f>
        <v>VD037</v>
      </c>
      <c r="I565" s="2">
        <f>IFERROR(__xludf.DUMMYFUNCTION("""COMPUTED_VALUE"""),10.0)</f>
        <v>10</v>
      </c>
      <c r="J565" s="2">
        <f>IFERROR(__xludf.DUMMYFUNCTION("""COMPUTED_VALUE"""),1236.0)</f>
        <v>1236</v>
      </c>
      <c r="K565" s="2">
        <f>IFERROR(__xludf.DUMMYFUNCTION("""COMPUTED_VALUE"""),1236.0)</f>
        <v>1236</v>
      </c>
    </row>
    <row r="566">
      <c r="A566" s="2">
        <f>IFERROR(__xludf.DUMMYFUNCTION("""COMPUTED_VALUE"""),1000.0)</f>
        <v>1000</v>
      </c>
      <c r="B566" s="2">
        <f>IFERROR(__xludf.DUMMYFUNCTION("""COMPUTED_VALUE"""),183863.0)</f>
        <v>183863</v>
      </c>
      <c r="C566" s="2">
        <f>IFERROR(__xludf.DUMMYFUNCTION("""COMPUTED_VALUE"""),2026.0)</f>
        <v>2026</v>
      </c>
      <c r="D566" s="2">
        <f>IFERROR(__xludf.DUMMYFUNCTION("""COMPUTED_VALUE"""),46277.0)</f>
        <v>46277</v>
      </c>
      <c r="E566" s="2" t="str">
        <f>IFERROR(__xludf.DUMMYFUNCTION("""COMPUTED_VALUE"""),"VF")</f>
        <v>VF</v>
      </c>
      <c r="F566" s="2">
        <f>IFERROR(__xludf.DUMMYFUNCTION("""COMPUTED_VALUE"""),1.0)</f>
        <v>1</v>
      </c>
      <c r="G566" s="2" t="str">
        <f>IFERROR(__xludf.DUMMYFUNCTION("""COMPUTED_VALUE"""),"PR053")</f>
        <v>PR053</v>
      </c>
      <c r="H566" s="2" t="str">
        <f>IFERROR(__xludf.DUMMYFUNCTION("""COMPUTED_VALUE"""),"VD047")</f>
        <v>VD047</v>
      </c>
      <c r="I566" s="2">
        <f>IFERROR(__xludf.DUMMYFUNCTION("""COMPUTED_VALUE"""),6.0)</f>
        <v>6</v>
      </c>
      <c r="J566" s="2">
        <f>IFERROR(__xludf.DUMMYFUNCTION("""COMPUTED_VALUE"""),314.37)</f>
        <v>314.37</v>
      </c>
      <c r="K566" s="2">
        <f>IFERROR(__xludf.DUMMYFUNCTION("""COMPUTED_VALUE"""),314.37)</f>
        <v>314.37</v>
      </c>
    </row>
    <row r="567">
      <c r="A567" s="2">
        <f>IFERROR(__xludf.DUMMYFUNCTION("""COMPUTED_VALUE"""),2000.0)</f>
        <v>2000</v>
      </c>
      <c r="B567" s="2">
        <f>IFERROR(__xludf.DUMMYFUNCTION("""COMPUTED_VALUE"""),183863.0)</f>
        <v>183863</v>
      </c>
      <c r="C567" s="2">
        <f>IFERROR(__xludf.DUMMYFUNCTION("""COMPUTED_VALUE"""),2026.0)</f>
        <v>2026</v>
      </c>
      <c r="D567" s="2">
        <f>IFERROR(__xludf.DUMMYFUNCTION("""COMPUTED_VALUE"""),46277.0)</f>
        <v>46277</v>
      </c>
      <c r="E567" s="2" t="str">
        <f>IFERROR(__xludf.DUMMYFUNCTION("""COMPUTED_VALUE"""),"VF")</f>
        <v>VF</v>
      </c>
      <c r="F567" s="2">
        <f>IFERROR(__xludf.DUMMYFUNCTION("""COMPUTED_VALUE"""),2.0)</f>
        <v>2</v>
      </c>
      <c r="G567" s="2" t="str">
        <f>IFERROR(__xludf.DUMMYFUNCTION("""COMPUTED_VALUE"""),"PR025")</f>
        <v>PR025</v>
      </c>
      <c r="H567" s="2" t="str">
        <f>IFERROR(__xludf.DUMMYFUNCTION("""COMPUTED_VALUE"""),"VD037")</f>
        <v>VD037</v>
      </c>
      <c r="I567" s="2">
        <f>IFERROR(__xludf.DUMMYFUNCTION("""COMPUTED_VALUE"""),20.0)</f>
        <v>20</v>
      </c>
      <c r="J567" s="2">
        <f>IFERROR(__xludf.DUMMYFUNCTION("""COMPUTED_VALUE"""),6057.98)</f>
        <v>6057.98</v>
      </c>
      <c r="K567" s="2">
        <f>IFERROR(__xludf.DUMMYFUNCTION("""COMPUTED_VALUE"""),6057.98)</f>
        <v>6057.98</v>
      </c>
    </row>
    <row r="568">
      <c r="A568" s="2">
        <f>IFERROR(__xludf.DUMMYFUNCTION("""COMPUTED_VALUE"""),1000.0)</f>
        <v>1000</v>
      </c>
      <c r="B568" s="2">
        <f>IFERROR(__xludf.DUMMYFUNCTION("""COMPUTED_VALUE"""),183864.0)</f>
        <v>183864</v>
      </c>
      <c r="C568" s="2">
        <f>IFERROR(__xludf.DUMMYFUNCTION("""COMPUTED_VALUE"""),2026.0)</f>
        <v>2026</v>
      </c>
      <c r="D568" s="2">
        <f>IFERROR(__xludf.DUMMYFUNCTION("""COMPUTED_VALUE"""),46277.0)</f>
        <v>46277</v>
      </c>
      <c r="E568" s="2" t="str">
        <f>IFERROR(__xludf.DUMMYFUNCTION("""COMPUTED_VALUE"""),"VF")</f>
        <v>VF</v>
      </c>
      <c r="F568" s="2">
        <f>IFERROR(__xludf.DUMMYFUNCTION("""COMPUTED_VALUE"""),1.0)</f>
        <v>1</v>
      </c>
      <c r="G568" s="2" t="str">
        <f>IFERROR(__xludf.DUMMYFUNCTION("""COMPUTED_VALUE"""),"PR036")</f>
        <v>PR036</v>
      </c>
      <c r="H568" s="2" t="str">
        <f>IFERROR(__xludf.DUMMYFUNCTION("""COMPUTED_VALUE"""),"VD019")</f>
        <v>VD019</v>
      </c>
      <c r="I568" s="2">
        <f>IFERROR(__xludf.DUMMYFUNCTION("""COMPUTED_VALUE"""),2.0)</f>
        <v>2</v>
      </c>
      <c r="J568" s="2">
        <f>IFERROR(__xludf.DUMMYFUNCTION("""COMPUTED_VALUE"""),203.83)</f>
        <v>203.83</v>
      </c>
      <c r="K568" s="2">
        <f>IFERROR(__xludf.DUMMYFUNCTION("""COMPUTED_VALUE"""),203.83)</f>
        <v>203.83</v>
      </c>
    </row>
    <row r="569">
      <c r="A569" s="2">
        <f>IFERROR(__xludf.DUMMYFUNCTION("""COMPUTED_VALUE"""),2000.0)</f>
        <v>2000</v>
      </c>
      <c r="B569" s="2">
        <f>IFERROR(__xludf.DUMMYFUNCTION("""COMPUTED_VALUE"""),183865.0)</f>
        <v>183865</v>
      </c>
      <c r="C569" s="2">
        <f>IFERROR(__xludf.DUMMYFUNCTION("""COMPUTED_VALUE"""),2026.0)</f>
        <v>2026</v>
      </c>
      <c r="D569" s="2">
        <f>IFERROR(__xludf.DUMMYFUNCTION("""COMPUTED_VALUE"""),46277.0)</f>
        <v>46277</v>
      </c>
      <c r="E569" s="2" t="str">
        <f>IFERROR(__xludf.DUMMYFUNCTION("""COMPUTED_VALUE"""),"VF")</f>
        <v>VF</v>
      </c>
      <c r="F569" s="2">
        <f>IFERROR(__xludf.DUMMYFUNCTION("""COMPUTED_VALUE"""),1.0)</f>
        <v>1</v>
      </c>
      <c r="G569" s="2" t="str">
        <f>IFERROR(__xludf.DUMMYFUNCTION("""COMPUTED_VALUE"""),"PR054")</f>
        <v>PR054</v>
      </c>
      <c r="H569" s="2" t="str">
        <f>IFERROR(__xludf.DUMMYFUNCTION("""COMPUTED_VALUE"""),"VD049")</f>
        <v>VD049</v>
      </c>
      <c r="I569" s="2">
        <f>IFERROR(__xludf.DUMMYFUNCTION("""COMPUTED_VALUE"""),6.0)</f>
        <v>6</v>
      </c>
      <c r="J569" s="2">
        <f>IFERROR(__xludf.DUMMYFUNCTION("""COMPUTED_VALUE"""),320.36)</f>
        <v>320.36</v>
      </c>
      <c r="K569" s="2">
        <f>IFERROR(__xludf.DUMMYFUNCTION("""COMPUTED_VALUE"""),320.36)</f>
        <v>320.36</v>
      </c>
    </row>
    <row r="570">
      <c r="A570" s="2">
        <f>IFERROR(__xludf.DUMMYFUNCTION("""COMPUTED_VALUE"""),1000.0)</f>
        <v>1000</v>
      </c>
      <c r="B570" s="2">
        <f>IFERROR(__xludf.DUMMYFUNCTION("""COMPUTED_VALUE"""),183866.0)</f>
        <v>183866</v>
      </c>
      <c r="C570" s="2">
        <f>IFERROR(__xludf.DUMMYFUNCTION("""COMPUTED_VALUE"""),2026.0)</f>
        <v>2026</v>
      </c>
      <c r="D570" s="2">
        <f>IFERROR(__xludf.DUMMYFUNCTION("""COMPUTED_VALUE"""),46276.0)</f>
        <v>46276</v>
      </c>
      <c r="E570" s="2" t="str">
        <f>IFERROR(__xludf.DUMMYFUNCTION("""COMPUTED_VALUE"""),"VF")</f>
        <v>VF</v>
      </c>
      <c r="F570" s="2">
        <f>IFERROR(__xludf.DUMMYFUNCTION("""COMPUTED_VALUE"""),1.0)</f>
        <v>1</v>
      </c>
      <c r="G570" s="2" t="str">
        <f>IFERROR(__xludf.DUMMYFUNCTION("""COMPUTED_VALUE"""),"PR057")</f>
        <v>PR057</v>
      </c>
      <c r="H570" s="2" t="str">
        <f>IFERROR(__xludf.DUMMYFUNCTION("""COMPUTED_VALUE"""),"VD043")</f>
        <v>VD043</v>
      </c>
      <c r="I570" s="2">
        <f>IFERROR(__xludf.DUMMYFUNCTION("""COMPUTED_VALUE"""),6.0)</f>
        <v>6</v>
      </c>
      <c r="J570" s="2">
        <f>IFERROR(__xludf.DUMMYFUNCTION("""COMPUTED_VALUE"""),560.98)</f>
        <v>560.98</v>
      </c>
      <c r="K570" s="2">
        <f>IFERROR(__xludf.DUMMYFUNCTION("""COMPUTED_VALUE"""),560.98)</f>
        <v>560.98</v>
      </c>
    </row>
    <row r="571">
      <c r="A571" s="2">
        <f>IFERROR(__xludf.DUMMYFUNCTION("""COMPUTED_VALUE"""),1000.0)</f>
        <v>1000</v>
      </c>
      <c r="B571" s="2">
        <f>IFERROR(__xludf.DUMMYFUNCTION("""COMPUTED_VALUE"""),183867.0)</f>
        <v>183867</v>
      </c>
      <c r="C571" s="2">
        <f>IFERROR(__xludf.DUMMYFUNCTION("""COMPUTED_VALUE"""),2026.0)</f>
        <v>2026</v>
      </c>
      <c r="D571" s="2">
        <f>IFERROR(__xludf.DUMMYFUNCTION("""COMPUTED_VALUE"""),46276.0)</f>
        <v>46276</v>
      </c>
      <c r="E571" s="2" t="str">
        <f>IFERROR(__xludf.DUMMYFUNCTION("""COMPUTED_VALUE"""),"VF")</f>
        <v>VF</v>
      </c>
      <c r="F571" s="2">
        <f>IFERROR(__xludf.DUMMYFUNCTION("""COMPUTED_VALUE"""),1.0)</f>
        <v>1</v>
      </c>
      <c r="G571" s="2" t="str">
        <f>IFERROR(__xludf.DUMMYFUNCTION("""COMPUTED_VALUE"""),"PR026")</f>
        <v>PR026</v>
      </c>
      <c r="H571" s="2" t="str">
        <f>IFERROR(__xludf.DUMMYFUNCTION("""COMPUTED_VALUE"""),"VD046")</f>
        <v>VD046</v>
      </c>
      <c r="I571" s="2">
        <f>IFERROR(__xludf.DUMMYFUNCTION("""COMPUTED_VALUE"""),10.0)</f>
        <v>10</v>
      </c>
      <c r="J571" s="2">
        <f>IFERROR(__xludf.DUMMYFUNCTION("""COMPUTED_VALUE"""),3743.93)</f>
        <v>3743.93</v>
      </c>
      <c r="K571" s="2">
        <f>IFERROR(__xludf.DUMMYFUNCTION("""COMPUTED_VALUE"""),3743.93)</f>
        <v>3743.93</v>
      </c>
    </row>
    <row r="572">
      <c r="A572" s="2">
        <f>IFERROR(__xludf.DUMMYFUNCTION("""COMPUTED_VALUE"""),1000.0)</f>
        <v>1000</v>
      </c>
      <c r="B572" s="2">
        <f>IFERROR(__xludf.DUMMYFUNCTION("""COMPUTED_VALUE"""),183867.0)</f>
        <v>183867</v>
      </c>
      <c r="C572" s="2">
        <f>IFERROR(__xludf.DUMMYFUNCTION("""COMPUTED_VALUE"""),2026.0)</f>
        <v>2026</v>
      </c>
      <c r="D572" s="2">
        <f>IFERROR(__xludf.DUMMYFUNCTION("""COMPUTED_VALUE"""),46276.0)</f>
        <v>46276</v>
      </c>
      <c r="E572" s="2" t="str">
        <f>IFERROR(__xludf.DUMMYFUNCTION("""COMPUTED_VALUE"""),"VF")</f>
        <v>VF</v>
      </c>
      <c r="F572" s="2">
        <f>IFERROR(__xludf.DUMMYFUNCTION("""COMPUTED_VALUE"""),2.0)</f>
        <v>2</v>
      </c>
      <c r="G572" s="2" t="str">
        <f>IFERROR(__xludf.DUMMYFUNCTION("""COMPUTED_VALUE"""),"PR031")</f>
        <v>PR031</v>
      </c>
      <c r="H572" s="2" t="str">
        <f>IFERROR(__xludf.DUMMYFUNCTION("""COMPUTED_VALUE"""),"VD029")</f>
        <v>VD029</v>
      </c>
      <c r="I572" s="2">
        <f>IFERROR(__xludf.DUMMYFUNCTION("""COMPUTED_VALUE"""),6.0)</f>
        <v>6</v>
      </c>
      <c r="J572" s="2">
        <f>IFERROR(__xludf.DUMMYFUNCTION("""COMPUTED_VALUE"""),1587.6)</f>
        <v>1587.6</v>
      </c>
      <c r="K572" s="2">
        <f>IFERROR(__xludf.DUMMYFUNCTION("""COMPUTED_VALUE"""),1587.6)</f>
        <v>1587.6</v>
      </c>
    </row>
    <row r="573">
      <c r="A573" s="2">
        <f>IFERROR(__xludf.DUMMYFUNCTION("""COMPUTED_VALUE"""),2000.0)</f>
        <v>2000</v>
      </c>
      <c r="B573" s="2">
        <f>IFERROR(__xludf.DUMMYFUNCTION("""COMPUTED_VALUE"""),183868.0)</f>
        <v>183868</v>
      </c>
      <c r="C573" s="2">
        <f>IFERROR(__xludf.DUMMYFUNCTION("""COMPUTED_VALUE"""),2026.0)</f>
        <v>2026</v>
      </c>
      <c r="D573" s="2">
        <f>IFERROR(__xludf.DUMMYFUNCTION("""COMPUTED_VALUE"""),46276.0)</f>
        <v>46276</v>
      </c>
      <c r="E573" s="2" t="str">
        <f>IFERROR(__xludf.DUMMYFUNCTION("""COMPUTED_VALUE"""),"VF")</f>
        <v>VF</v>
      </c>
      <c r="F573" s="2">
        <f>IFERROR(__xludf.DUMMYFUNCTION("""COMPUTED_VALUE"""),1.0)</f>
        <v>1</v>
      </c>
      <c r="G573" s="2" t="str">
        <f>IFERROR(__xludf.DUMMYFUNCTION("""COMPUTED_VALUE"""),"PR028")</f>
        <v>PR028</v>
      </c>
      <c r="H573" s="2" t="str">
        <f>IFERROR(__xludf.DUMMYFUNCTION("""COMPUTED_VALUE"""),"VD029")</f>
        <v>VD029</v>
      </c>
      <c r="I573" s="2">
        <f>IFERROR(__xludf.DUMMYFUNCTION("""COMPUTED_VALUE"""),2.0)</f>
        <v>2</v>
      </c>
      <c r="J573" s="2">
        <f>IFERROR(__xludf.DUMMYFUNCTION("""COMPUTED_VALUE"""),539.78)</f>
        <v>539.78</v>
      </c>
      <c r="K573" s="2">
        <f>IFERROR(__xludf.DUMMYFUNCTION("""COMPUTED_VALUE"""),539.78)</f>
        <v>539.78</v>
      </c>
    </row>
    <row r="574">
      <c r="A574" s="2">
        <f>IFERROR(__xludf.DUMMYFUNCTION("""COMPUTED_VALUE"""),2000.0)</f>
        <v>2000</v>
      </c>
      <c r="B574" s="2">
        <f>IFERROR(__xludf.DUMMYFUNCTION("""COMPUTED_VALUE"""),183869.0)</f>
        <v>183869</v>
      </c>
      <c r="C574" s="2">
        <f>IFERROR(__xludf.DUMMYFUNCTION("""COMPUTED_VALUE"""),2026.0)</f>
        <v>2026</v>
      </c>
      <c r="D574" s="2">
        <f>IFERROR(__xludf.DUMMYFUNCTION("""COMPUTED_VALUE"""),46276.0)</f>
        <v>46276</v>
      </c>
      <c r="E574" s="2" t="str">
        <f>IFERROR(__xludf.DUMMYFUNCTION("""COMPUTED_VALUE"""),"VF")</f>
        <v>VF</v>
      </c>
      <c r="F574" s="2">
        <f>IFERROR(__xludf.DUMMYFUNCTION("""COMPUTED_VALUE"""),1.0)</f>
        <v>1</v>
      </c>
      <c r="G574" s="2" t="str">
        <f>IFERROR(__xludf.DUMMYFUNCTION("""COMPUTED_VALUE"""),"PR019")</f>
        <v>PR019</v>
      </c>
      <c r="H574" s="2" t="str">
        <f>IFERROR(__xludf.DUMMYFUNCTION("""COMPUTED_VALUE"""),"VD046")</f>
        <v>VD046</v>
      </c>
      <c r="I574" s="2">
        <f>IFERROR(__xludf.DUMMYFUNCTION("""COMPUTED_VALUE"""),2.0)</f>
        <v>2</v>
      </c>
      <c r="J574" s="2">
        <f>IFERROR(__xludf.DUMMYFUNCTION("""COMPUTED_VALUE"""),109.78)</f>
        <v>109.78</v>
      </c>
      <c r="K574" s="2">
        <f>IFERROR(__xludf.DUMMYFUNCTION("""COMPUTED_VALUE"""),109.78)</f>
        <v>109.78</v>
      </c>
    </row>
    <row r="575">
      <c r="A575" s="2">
        <f>IFERROR(__xludf.DUMMYFUNCTION("""COMPUTED_VALUE"""),1000.0)</f>
        <v>1000</v>
      </c>
      <c r="B575" s="2">
        <f>IFERROR(__xludf.DUMMYFUNCTION("""COMPUTED_VALUE"""),183869.0)</f>
        <v>183869</v>
      </c>
      <c r="C575" s="2">
        <f>IFERROR(__xludf.DUMMYFUNCTION("""COMPUTED_VALUE"""),2026.0)</f>
        <v>2026</v>
      </c>
      <c r="D575" s="2">
        <f>IFERROR(__xludf.DUMMYFUNCTION("""COMPUTED_VALUE"""),46276.0)</f>
        <v>46276</v>
      </c>
      <c r="E575" s="2" t="str">
        <f>IFERROR(__xludf.DUMMYFUNCTION("""COMPUTED_VALUE"""),"VF")</f>
        <v>VF</v>
      </c>
      <c r="F575" s="2">
        <f>IFERROR(__xludf.DUMMYFUNCTION("""COMPUTED_VALUE"""),2.0)</f>
        <v>2</v>
      </c>
      <c r="G575" s="2" t="str">
        <f>IFERROR(__xludf.DUMMYFUNCTION("""COMPUTED_VALUE"""),"PR056")</f>
        <v>PR056</v>
      </c>
      <c r="H575" s="2" t="str">
        <f>IFERROR(__xludf.DUMMYFUNCTION("""COMPUTED_VALUE"""),"VD028")</f>
        <v>VD028</v>
      </c>
      <c r="I575" s="2">
        <f>IFERROR(__xludf.DUMMYFUNCTION("""COMPUTED_VALUE"""),3.0)</f>
        <v>3</v>
      </c>
      <c r="J575" s="2">
        <f>IFERROR(__xludf.DUMMYFUNCTION("""COMPUTED_VALUE"""),275.09)</f>
        <v>275.09</v>
      </c>
      <c r="K575" s="2">
        <f>IFERROR(__xludf.DUMMYFUNCTION("""COMPUTED_VALUE"""),275.09)</f>
        <v>275.09</v>
      </c>
    </row>
    <row r="576">
      <c r="A576" s="2">
        <f>IFERROR(__xludf.DUMMYFUNCTION("""COMPUTED_VALUE"""),1000.0)</f>
        <v>1000</v>
      </c>
      <c r="B576" s="2">
        <f>IFERROR(__xludf.DUMMYFUNCTION("""COMPUTED_VALUE"""),183869.0)</f>
        <v>183869</v>
      </c>
      <c r="C576" s="2">
        <f>IFERROR(__xludf.DUMMYFUNCTION("""COMPUTED_VALUE"""),2026.0)</f>
        <v>2026</v>
      </c>
      <c r="D576" s="2">
        <f>IFERROR(__xludf.DUMMYFUNCTION("""COMPUTED_VALUE"""),46276.0)</f>
        <v>46276</v>
      </c>
      <c r="E576" s="2" t="str">
        <f>IFERROR(__xludf.DUMMYFUNCTION("""COMPUTED_VALUE"""),"VF")</f>
        <v>VF</v>
      </c>
      <c r="F576" s="2">
        <f>IFERROR(__xludf.DUMMYFUNCTION("""COMPUTED_VALUE"""),3.0)</f>
        <v>3</v>
      </c>
      <c r="G576" s="2" t="str">
        <f>IFERROR(__xludf.DUMMYFUNCTION("""COMPUTED_VALUE"""),"PR006")</f>
        <v>PR006</v>
      </c>
      <c r="H576" s="2" t="str">
        <f>IFERROR(__xludf.DUMMYFUNCTION("""COMPUTED_VALUE"""),"VD029")</f>
        <v>VD029</v>
      </c>
      <c r="I576" s="2">
        <f>IFERROR(__xludf.DUMMYFUNCTION("""COMPUTED_VALUE"""),8.0)</f>
        <v>8</v>
      </c>
      <c r="J576" s="2">
        <f>IFERROR(__xludf.DUMMYFUNCTION("""COMPUTED_VALUE"""),335.16)</f>
        <v>335.16</v>
      </c>
      <c r="K576" s="2">
        <f>IFERROR(__xludf.DUMMYFUNCTION("""COMPUTED_VALUE"""),335.16)</f>
        <v>335.16</v>
      </c>
    </row>
    <row r="577">
      <c r="A577" s="2">
        <f>IFERROR(__xludf.DUMMYFUNCTION("""COMPUTED_VALUE"""),1000.0)</f>
        <v>1000</v>
      </c>
      <c r="B577" s="2">
        <f>IFERROR(__xludf.DUMMYFUNCTION("""COMPUTED_VALUE"""),183869.0)</f>
        <v>183869</v>
      </c>
      <c r="C577" s="2">
        <f>IFERROR(__xludf.DUMMYFUNCTION("""COMPUTED_VALUE"""),2026.0)</f>
        <v>2026</v>
      </c>
      <c r="D577" s="2">
        <f>IFERROR(__xludf.DUMMYFUNCTION("""COMPUTED_VALUE"""),46276.0)</f>
        <v>46276</v>
      </c>
      <c r="E577" s="2" t="str">
        <f>IFERROR(__xludf.DUMMYFUNCTION("""COMPUTED_VALUE"""),"VF")</f>
        <v>VF</v>
      </c>
      <c r="F577" s="2">
        <f>IFERROR(__xludf.DUMMYFUNCTION("""COMPUTED_VALUE"""),4.0)</f>
        <v>4</v>
      </c>
      <c r="G577" s="2" t="str">
        <f>IFERROR(__xludf.DUMMYFUNCTION("""COMPUTED_VALUE"""),"PR010")</f>
        <v>PR010</v>
      </c>
      <c r="H577" s="2" t="str">
        <f>IFERROR(__xludf.DUMMYFUNCTION("""COMPUTED_VALUE"""),"VD028")</f>
        <v>VD028</v>
      </c>
      <c r="I577" s="2">
        <f>IFERROR(__xludf.DUMMYFUNCTION("""COMPUTED_VALUE"""),2.0)</f>
        <v>2</v>
      </c>
      <c r="J577" s="2">
        <f>IFERROR(__xludf.DUMMYFUNCTION("""COMPUTED_VALUE"""),96.98)</f>
        <v>96.98</v>
      </c>
      <c r="K577" s="2">
        <f>IFERROR(__xludf.DUMMYFUNCTION("""COMPUTED_VALUE"""),96.98)</f>
        <v>96.98</v>
      </c>
    </row>
    <row r="578">
      <c r="A578" s="2">
        <f>IFERROR(__xludf.DUMMYFUNCTION("""COMPUTED_VALUE"""),1000.0)</f>
        <v>1000</v>
      </c>
      <c r="B578" s="2">
        <f>IFERROR(__xludf.DUMMYFUNCTION("""COMPUTED_VALUE"""),183870.0)</f>
        <v>183870</v>
      </c>
      <c r="C578" s="2">
        <f>IFERROR(__xludf.DUMMYFUNCTION("""COMPUTED_VALUE"""),2026.0)</f>
        <v>2026</v>
      </c>
      <c r="D578" s="2">
        <f>IFERROR(__xludf.DUMMYFUNCTION("""COMPUTED_VALUE"""),46276.0)</f>
        <v>46276</v>
      </c>
      <c r="E578" s="2" t="str">
        <f>IFERROR(__xludf.DUMMYFUNCTION("""COMPUTED_VALUE"""),"VF")</f>
        <v>VF</v>
      </c>
      <c r="F578" s="2">
        <f>IFERROR(__xludf.DUMMYFUNCTION("""COMPUTED_VALUE"""),1.0)</f>
        <v>1</v>
      </c>
      <c r="G578" s="2" t="str">
        <f>IFERROR(__xludf.DUMMYFUNCTION("""COMPUTED_VALUE"""),"PR029")</f>
        <v>PR029</v>
      </c>
      <c r="H578" s="2" t="str">
        <f>IFERROR(__xludf.DUMMYFUNCTION("""COMPUTED_VALUE"""),"VD022")</f>
        <v>VD022</v>
      </c>
      <c r="I578" s="2">
        <f>IFERROR(__xludf.DUMMYFUNCTION("""COMPUTED_VALUE"""),18.0)</f>
        <v>18</v>
      </c>
      <c r="J578" s="2">
        <f>IFERROR(__xludf.DUMMYFUNCTION("""COMPUTED_VALUE"""),4773.6)</f>
        <v>4773.6</v>
      </c>
      <c r="K578" s="2">
        <f>IFERROR(__xludf.DUMMYFUNCTION("""COMPUTED_VALUE"""),4773.6)</f>
        <v>4773.6</v>
      </c>
    </row>
    <row r="579">
      <c r="A579" s="2">
        <f>IFERROR(__xludf.DUMMYFUNCTION("""COMPUTED_VALUE"""),1000.0)</f>
        <v>1000</v>
      </c>
      <c r="B579" s="2">
        <f>IFERROR(__xludf.DUMMYFUNCTION("""COMPUTED_VALUE"""),183871.0)</f>
        <v>183871</v>
      </c>
      <c r="C579" s="2">
        <f>IFERROR(__xludf.DUMMYFUNCTION("""COMPUTED_VALUE"""),2026.0)</f>
        <v>2026</v>
      </c>
      <c r="D579" s="2">
        <f>IFERROR(__xludf.DUMMYFUNCTION("""COMPUTED_VALUE"""),46276.0)</f>
        <v>46276</v>
      </c>
      <c r="E579" s="2" t="str">
        <f>IFERROR(__xludf.DUMMYFUNCTION("""COMPUTED_VALUE"""),"VF")</f>
        <v>VF</v>
      </c>
      <c r="F579" s="2">
        <f>IFERROR(__xludf.DUMMYFUNCTION("""COMPUTED_VALUE"""),1.0)</f>
        <v>1</v>
      </c>
      <c r="G579" s="2" t="str">
        <f>IFERROR(__xludf.DUMMYFUNCTION("""COMPUTED_VALUE"""),"PR026")</f>
        <v>PR026</v>
      </c>
      <c r="H579" s="2" t="str">
        <f>IFERROR(__xludf.DUMMYFUNCTION("""COMPUTED_VALUE"""),"VD014")</f>
        <v>VD014</v>
      </c>
      <c r="I579" s="2">
        <f>IFERROR(__xludf.DUMMYFUNCTION("""COMPUTED_VALUE"""),14.0)</f>
        <v>14</v>
      </c>
      <c r="J579" s="2">
        <f>IFERROR(__xludf.DUMMYFUNCTION("""COMPUTED_VALUE"""),5241.5)</f>
        <v>5241.5</v>
      </c>
      <c r="K579" s="2">
        <f>IFERROR(__xludf.DUMMYFUNCTION("""COMPUTED_VALUE"""),5241.5)</f>
        <v>5241.5</v>
      </c>
    </row>
    <row r="580">
      <c r="A580" s="2">
        <f>IFERROR(__xludf.DUMMYFUNCTION("""COMPUTED_VALUE"""),1000.0)</f>
        <v>1000</v>
      </c>
      <c r="B580" s="2">
        <f>IFERROR(__xludf.DUMMYFUNCTION("""COMPUTED_VALUE"""),183872.0)</f>
        <v>183872</v>
      </c>
      <c r="C580" s="2">
        <f>IFERROR(__xludf.DUMMYFUNCTION("""COMPUTED_VALUE"""),2026.0)</f>
        <v>2026</v>
      </c>
      <c r="D580" s="2">
        <f>IFERROR(__xludf.DUMMYFUNCTION("""COMPUTED_VALUE"""),46275.0)</f>
        <v>46275</v>
      </c>
      <c r="E580" s="2" t="str">
        <f>IFERROR(__xludf.DUMMYFUNCTION("""COMPUTED_VALUE"""),"VF")</f>
        <v>VF</v>
      </c>
      <c r="F580" s="2">
        <f>IFERROR(__xludf.DUMMYFUNCTION("""COMPUTED_VALUE"""),1.0)</f>
        <v>1</v>
      </c>
      <c r="G580" s="2" t="str">
        <f>IFERROR(__xludf.DUMMYFUNCTION("""COMPUTED_VALUE"""),"PR054")</f>
        <v>PR054</v>
      </c>
      <c r="H580" s="2" t="str">
        <f>IFERROR(__xludf.DUMMYFUNCTION("""COMPUTED_VALUE"""),"VD046")</f>
        <v>VD046</v>
      </c>
      <c r="I580" s="2">
        <f>IFERROR(__xludf.DUMMYFUNCTION("""COMPUTED_VALUE"""),10.0)</f>
        <v>10</v>
      </c>
      <c r="J580" s="2">
        <f>IFERROR(__xludf.DUMMYFUNCTION("""COMPUTED_VALUE"""),503.99)</f>
        <v>503.99</v>
      </c>
      <c r="K580" s="2">
        <f>IFERROR(__xludf.DUMMYFUNCTION("""COMPUTED_VALUE"""),503.99)</f>
        <v>503.99</v>
      </c>
    </row>
    <row r="581">
      <c r="A581" s="2">
        <f>IFERROR(__xludf.DUMMYFUNCTION("""COMPUTED_VALUE"""),2000.0)</f>
        <v>2000</v>
      </c>
      <c r="B581" s="2">
        <f>IFERROR(__xludf.DUMMYFUNCTION("""COMPUTED_VALUE"""),183873.0)</f>
        <v>183873</v>
      </c>
      <c r="C581" s="2">
        <f>IFERROR(__xludf.DUMMYFUNCTION("""COMPUTED_VALUE"""),2026.0)</f>
        <v>2026</v>
      </c>
      <c r="D581" s="2">
        <f>IFERROR(__xludf.DUMMYFUNCTION("""COMPUTED_VALUE"""),46275.0)</f>
        <v>46275</v>
      </c>
      <c r="E581" s="2" t="str">
        <f>IFERROR(__xludf.DUMMYFUNCTION("""COMPUTED_VALUE"""),"VF")</f>
        <v>VF</v>
      </c>
      <c r="F581" s="2">
        <f>IFERROR(__xludf.DUMMYFUNCTION("""COMPUTED_VALUE"""),1.0)</f>
        <v>1</v>
      </c>
      <c r="G581" s="2" t="str">
        <f>IFERROR(__xludf.DUMMYFUNCTION("""COMPUTED_VALUE"""),"PR055")</f>
        <v>PR055</v>
      </c>
      <c r="H581" s="2" t="str">
        <f>IFERROR(__xludf.DUMMYFUNCTION("""COMPUTED_VALUE"""),"VD014")</f>
        <v>VD014</v>
      </c>
      <c r="I581" s="2">
        <f>IFERROR(__xludf.DUMMYFUNCTION("""COMPUTED_VALUE"""),8.0)</f>
        <v>8</v>
      </c>
      <c r="J581" s="2">
        <f>IFERROR(__xludf.DUMMYFUNCTION("""COMPUTED_VALUE"""),747.97)</f>
        <v>747.97</v>
      </c>
      <c r="K581" s="2">
        <f>IFERROR(__xludf.DUMMYFUNCTION("""COMPUTED_VALUE"""),747.97)</f>
        <v>747.97</v>
      </c>
    </row>
    <row r="582">
      <c r="A582" s="2">
        <f>IFERROR(__xludf.DUMMYFUNCTION("""COMPUTED_VALUE"""),1000.0)</f>
        <v>1000</v>
      </c>
      <c r="B582" s="2">
        <f>IFERROR(__xludf.DUMMYFUNCTION("""COMPUTED_VALUE"""),183874.0)</f>
        <v>183874</v>
      </c>
      <c r="C582" s="2">
        <f>IFERROR(__xludf.DUMMYFUNCTION("""COMPUTED_VALUE"""),2026.0)</f>
        <v>2026</v>
      </c>
      <c r="D582" s="2">
        <f>IFERROR(__xludf.DUMMYFUNCTION("""COMPUTED_VALUE"""),46275.0)</f>
        <v>46275</v>
      </c>
      <c r="E582" s="2" t="str">
        <f>IFERROR(__xludf.DUMMYFUNCTION("""COMPUTED_VALUE"""),"VF")</f>
        <v>VF</v>
      </c>
      <c r="F582" s="2">
        <f>IFERROR(__xludf.DUMMYFUNCTION("""COMPUTED_VALUE"""),1.0)</f>
        <v>1</v>
      </c>
      <c r="G582" s="2" t="str">
        <f>IFERROR(__xludf.DUMMYFUNCTION("""COMPUTED_VALUE"""),"PR022")</f>
        <v>PR022</v>
      </c>
      <c r="H582" s="2" t="str">
        <f>IFERROR(__xludf.DUMMYFUNCTION("""COMPUTED_VALUE"""),"VD041")</f>
        <v>VD041</v>
      </c>
      <c r="I582" s="2">
        <f>IFERROR(__xludf.DUMMYFUNCTION("""COMPUTED_VALUE"""),2.0)</f>
        <v>2</v>
      </c>
      <c r="J582" s="2">
        <f>IFERROR(__xludf.DUMMYFUNCTION("""COMPUTED_VALUE"""),630.0)</f>
        <v>630</v>
      </c>
      <c r="K582" s="2">
        <f>IFERROR(__xludf.DUMMYFUNCTION("""COMPUTED_VALUE"""),630.0)</f>
        <v>630</v>
      </c>
    </row>
    <row r="583">
      <c r="A583" s="2">
        <f>IFERROR(__xludf.DUMMYFUNCTION("""COMPUTED_VALUE"""),2000.0)</f>
        <v>2000</v>
      </c>
      <c r="B583" s="2">
        <f>IFERROR(__xludf.DUMMYFUNCTION("""COMPUTED_VALUE"""),183874.0)</f>
        <v>183874</v>
      </c>
      <c r="C583" s="2">
        <f>IFERROR(__xludf.DUMMYFUNCTION("""COMPUTED_VALUE"""),2026.0)</f>
        <v>2026</v>
      </c>
      <c r="D583" s="2">
        <f>IFERROR(__xludf.DUMMYFUNCTION("""COMPUTED_VALUE"""),46275.0)</f>
        <v>46275</v>
      </c>
      <c r="E583" s="2" t="str">
        <f>IFERROR(__xludf.DUMMYFUNCTION("""COMPUTED_VALUE"""),"VF")</f>
        <v>VF</v>
      </c>
      <c r="F583" s="2">
        <f>IFERROR(__xludf.DUMMYFUNCTION("""COMPUTED_VALUE"""),2.0)</f>
        <v>2</v>
      </c>
      <c r="G583" s="2" t="str">
        <f>IFERROR(__xludf.DUMMYFUNCTION("""COMPUTED_VALUE"""),"PR038")</f>
        <v>PR038</v>
      </c>
      <c r="H583" s="2" t="str">
        <f>IFERROR(__xludf.DUMMYFUNCTION("""COMPUTED_VALUE"""),"VD038")</f>
        <v>VD038</v>
      </c>
      <c r="I583" s="2">
        <f>IFERROR(__xludf.DUMMYFUNCTION("""COMPUTED_VALUE"""),3.0)</f>
        <v>3</v>
      </c>
      <c r="J583" s="2">
        <f>IFERROR(__xludf.DUMMYFUNCTION("""COMPUTED_VALUE"""),467.28)</f>
        <v>467.28</v>
      </c>
      <c r="K583" s="2">
        <f>IFERROR(__xludf.DUMMYFUNCTION("""COMPUTED_VALUE"""),467.28)</f>
        <v>467.28</v>
      </c>
    </row>
    <row r="584">
      <c r="A584" s="2">
        <f>IFERROR(__xludf.DUMMYFUNCTION("""COMPUTED_VALUE"""),1000.0)</f>
        <v>1000</v>
      </c>
      <c r="B584" s="2">
        <f>IFERROR(__xludf.DUMMYFUNCTION("""COMPUTED_VALUE"""),183875.0)</f>
        <v>183875</v>
      </c>
      <c r="C584" s="2">
        <f>IFERROR(__xludf.DUMMYFUNCTION("""COMPUTED_VALUE"""),2026.0)</f>
        <v>2026</v>
      </c>
      <c r="D584" s="2">
        <f>IFERROR(__xludf.DUMMYFUNCTION("""COMPUTED_VALUE"""),46275.0)</f>
        <v>46275</v>
      </c>
      <c r="E584" s="2" t="str">
        <f>IFERROR(__xludf.DUMMYFUNCTION("""COMPUTED_VALUE"""),"VF")</f>
        <v>VF</v>
      </c>
      <c r="F584" s="2">
        <f>IFERROR(__xludf.DUMMYFUNCTION("""COMPUTED_VALUE"""),1.0)</f>
        <v>1</v>
      </c>
      <c r="G584" s="2" t="str">
        <f>IFERROR(__xludf.DUMMYFUNCTION("""COMPUTED_VALUE"""),"PR049")</f>
        <v>PR049</v>
      </c>
      <c r="H584" s="2" t="str">
        <f>IFERROR(__xludf.DUMMYFUNCTION("""COMPUTED_VALUE"""),"VD038")</f>
        <v>VD038</v>
      </c>
      <c r="I584" s="2">
        <f>IFERROR(__xludf.DUMMYFUNCTION("""COMPUTED_VALUE"""),4.0)</f>
        <v>4</v>
      </c>
      <c r="J584" s="2">
        <f>IFERROR(__xludf.DUMMYFUNCTION("""COMPUTED_VALUE"""),140.81)</f>
        <v>140.81</v>
      </c>
      <c r="K584" s="2">
        <f>IFERROR(__xludf.DUMMYFUNCTION("""COMPUTED_VALUE"""),140.81)</f>
        <v>140.81</v>
      </c>
    </row>
    <row r="585">
      <c r="A585" s="2">
        <f>IFERROR(__xludf.DUMMYFUNCTION("""COMPUTED_VALUE"""),2000.0)</f>
        <v>2000</v>
      </c>
      <c r="B585" s="2">
        <f>IFERROR(__xludf.DUMMYFUNCTION("""COMPUTED_VALUE"""),183876.0)</f>
        <v>183876</v>
      </c>
      <c r="C585" s="2">
        <f>IFERROR(__xludf.DUMMYFUNCTION("""COMPUTED_VALUE"""),2026.0)</f>
        <v>2026</v>
      </c>
      <c r="D585" s="2">
        <f>IFERROR(__xludf.DUMMYFUNCTION("""COMPUTED_VALUE"""),46275.0)</f>
        <v>46275</v>
      </c>
      <c r="E585" s="2" t="str">
        <f>IFERROR(__xludf.DUMMYFUNCTION("""COMPUTED_VALUE"""),"VF")</f>
        <v>VF</v>
      </c>
      <c r="F585" s="2">
        <f>IFERROR(__xludf.DUMMYFUNCTION("""COMPUTED_VALUE"""),1.0)</f>
        <v>1</v>
      </c>
      <c r="G585" s="2" t="str">
        <f>IFERROR(__xludf.DUMMYFUNCTION("""COMPUTED_VALUE"""),"PR033")</f>
        <v>PR033</v>
      </c>
      <c r="H585" s="2" t="str">
        <f>IFERROR(__xludf.DUMMYFUNCTION("""COMPUTED_VALUE"""),"VD048")</f>
        <v>VD048</v>
      </c>
      <c r="I585" s="2">
        <f>IFERROR(__xludf.DUMMYFUNCTION("""COMPUTED_VALUE"""),12.0)</f>
        <v>12</v>
      </c>
      <c r="J585" s="2">
        <f>IFERROR(__xludf.DUMMYFUNCTION("""COMPUTED_VALUE"""),3243.55)</f>
        <v>3243.55</v>
      </c>
      <c r="K585" s="2">
        <f>IFERROR(__xludf.DUMMYFUNCTION("""COMPUTED_VALUE"""),3243.55)</f>
        <v>3243.55</v>
      </c>
    </row>
    <row r="586">
      <c r="A586" s="2">
        <f>IFERROR(__xludf.DUMMYFUNCTION("""COMPUTED_VALUE"""),1000.0)</f>
        <v>1000</v>
      </c>
      <c r="B586" s="2">
        <f>IFERROR(__xludf.DUMMYFUNCTION("""COMPUTED_VALUE"""),183877.0)</f>
        <v>183877</v>
      </c>
      <c r="C586" s="2">
        <f>IFERROR(__xludf.DUMMYFUNCTION("""COMPUTED_VALUE"""),2026.0)</f>
        <v>2026</v>
      </c>
      <c r="D586" s="2">
        <f>IFERROR(__xludf.DUMMYFUNCTION("""COMPUTED_VALUE"""),46275.0)</f>
        <v>46275</v>
      </c>
      <c r="E586" s="2" t="str">
        <f>IFERROR(__xludf.DUMMYFUNCTION("""COMPUTED_VALUE"""),"VF")</f>
        <v>VF</v>
      </c>
      <c r="F586" s="2">
        <f>IFERROR(__xludf.DUMMYFUNCTION("""COMPUTED_VALUE"""),1.0)</f>
        <v>1</v>
      </c>
      <c r="G586" s="2" t="str">
        <f>IFERROR(__xludf.DUMMYFUNCTION("""COMPUTED_VALUE"""),"PR050")</f>
        <v>PR050</v>
      </c>
      <c r="H586" s="2" t="str">
        <f>IFERROR(__xludf.DUMMYFUNCTION("""COMPUTED_VALUE"""),"VD018")</f>
        <v>VD018</v>
      </c>
      <c r="I586" s="2">
        <f>IFERROR(__xludf.DUMMYFUNCTION("""COMPUTED_VALUE"""),2.0)</f>
        <v>2</v>
      </c>
      <c r="J586" s="2">
        <f>IFERROR(__xludf.DUMMYFUNCTION("""COMPUTED_VALUE"""),67.77)</f>
        <v>67.77</v>
      </c>
      <c r="K586" s="2">
        <f>IFERROR(__xludf.DUMMYFUNCTION("""COMPUTED_VALUE"""),67.77)</f>
        <v>67.77</v>
      </c>
    </row>
    <row r="587">
      <c r="A587" s="2">
        <f>IFERROR(__xludf.DUMMYFUNCTION("""COMPUTED_VALUE"""),1000.0)</f>
        <v>1000</v>
      </c>
      <c r="B587" s="2">
        <f>IFERROR(__xludf.DUMMYFUNCTION("""COMPUTED_VALUE"""),183878.0)</f>
        <v>183878</v>
      </c>
      <c r="C587" s="2">
        <f>IFERROR(__xludf.DUMMYFUNCTION("""COMPUTED_VALUE"""),2026.0)</f>
        <v>2026</v>
      </c>
      <c r="D587" s="2">
        <f>IFERROR(__xludf.DUMMYFUNCTION("""COMPUTED_VALUE"""),46275.0)</f>
        <v>46275</v>
      </c>
      <c r="E587" s="2" t="str">
        <f>IFERROR(__xludf.DUMMYFUNCTION("""COMPUTED_VALUE"""),"VF")</f>
        <v>VF</v>
      </c>
      <c r="F587" s="2">
        <f>IFERROR(__xludf.DUMMYFUNCTION("""COMPUTED_VALUE"""),1.0)</f>
        <v>1</v>
      </c>
      <c r="G587" s="2" t="str">
        <f>IFERROR(__xludf.DUMMYFUNCTION("""COMPUTED_VALUE"""),"PR037")</f>
        <v>PR037</v>
      </c>
      <c r="H587" s="2" t="str">
        <f>IFERROR(__xludf.DUMMYFUNCTION("""COMPUTED_VALUE"""),"VD014")</f>
        <v>VD014</v>
      </c>
      <c r="I587" s="2">
        <f>IFERROR(__xludf.DUMMYFUNCTION("""COMPUTED_VALUE"""),8.0)</f>
        <v>8</v>
      </c>
      <c r="J587" s="2">
        <f>IFERROR(__xludf.DUMMYFUNCTION("""COMPUTED_VALUE"""),1209.6)</f>
        <v>1209.6</v>
      </c>
      <c r="K587" s="2">
        <f>IFERROR(__xludf.DUMMYFUNCTION("""COMPUTED_VALUE"""),1209.6)</f>
        <v>1209.6</v>
      </c>
    </row>
    <row r="588">
      <c r="A588" s="2">
        <f>IFERROR(__xludf.DUMMYFUNCTION("""COMPUTED_VALUE"""),1000.0)</f>
        <v>1000</v>
      </c>
      <c r="B588" s="2">
        <f>IFERROR(__xludf.DUMMYFUNCTION("""COMPUTED_VALUE"""),183878.0)</f>
        <v>183878</v>
      </c>
      <c r="C588" s="2">
        <f>IFERROR(__xludf.DUMMYFUNCTION("""COMPUTED_VALUE"""),2026.0)</f>
        <v>2026</v>
      </c>
      <c r="D588" s="2">
        <f>IFERROR(__xludf.DUMMYFUNCTION("""COMPUTED_VALUE"""),46275.0)</f>
        <v>46275</v>
      </c>
      <c r="E588" s="2" t="str">
        <f>IFERROR(__xludf.DUMMYFUNCTION("""COMPUTED_VALUE"""),"VF")</f>
        <v>VF</v>
      </c>
      <c r="F588" s="2">
        <f>IFERROR(__xludf.DUMMYFUNCTION("""COMPUTED_VALUE"""),2.0)</f>
        <v>2</v>
      </c>
      <c r="G588" s="2" t="str">
        <f>IFERROR(__xludf.DUMMYFUNCTION("""COMPUTED_VALUE"""),"PR001")</f>
        <v>PR001</v>
      </c>
      <c r="H588" s="2" t="str">
        <f>IFERROR(__xludf.DUMMYFUNCTION("""COMPUTED_VALUE"""),"VD010")</f>
        <v>VD010</v>
      </c>
      <c r="I588" s="2">
        <f>IFERROR(__xludf.DUMMYFUNCTION("""COMPUTED_VALUE"""),8.0)</f>
        <v>8</v>
      </c>
      <c r="J588" s="2">
        <f>IFERROR(__xludf.DUMMYFUNCTION("""COMPUTED_VALUE"""),537.74)</f>
        <v>537.74</v>
      </c>
      <c r="K588" s="2">
        <f>IFERROR(__xludf.DUMMYFUNCTION("""COMPUTED_VALUE"""),537.74)</f>
        <v>537.74</v>
      </c>
    </row>
    <row r="589">
      <c r="A589" s="2">
        <f>IFERROR(__xludf.DUMMYFUNCTION("""COMPUTED_VALUE"""),1000.0)</f>
        <v>1000</v>
      </c>
      <c r="B589" s="2">
        <f>IFERROR(__xludf.DUMMYFUNCTION("""COMPUTED_VALUE"""),183879.0)</f>
        <v>183879</v>
      </c>
      <c r="C589" s="2">
        <f>IFERROR(__xludf.DUMMYFUNCTION("""COMPUTED_VALUE"""),2026.0)</f>
        <v>2026</v>
      </c>
      <c r="D589" s="2">
        <f>IFERROR(__xludf.DUMMYFUNCTION("""COMPUTED_VALUE"""),46274.0)</f>
        <v>46274</v>
      </c>
      <c r="E589" s="2" t="str">
        <f>IFERROR(__xludf.DUMMYFUNCTION("""COMPUTED_VALUE"""),"VF")</f>
        <v>VF</v>
      </c>
      <c r="F589" s="2">
        <f>IFERROR(__xludf.DUMMYFUNCTION("""COMPUTED_VALUE"""),1.0)</f>
        <v>1</v>
      </c>
      <c r="G589" s="2" t="str">
        <f>IFERROR(__xludf.DUMMYFUNCTION("""COMPUTED_VALUE"""),"PR049")</f>
        <v>PR049</v>
      </c>
      <c r="H589" s="2" t="str">
        <f>IFERROR(__xludf.DUMMYFUNCTION("""COMPUTED_VALUE"""),"VD015")</f>
        <v>VD015</v>
      </c>
      <c r="I589" s="2">
        <f>IFERROR(__xludf.DUMMYFUNCTION("""COMPUTED_VALUE"""),16.0)</f>
        <v>16</v>
      </c>
      <c r="J589" s="2">
        <f>IFERROR(__xludf.DUMMYFUNCTION("""COMPUTED_VALUE"""),573.78)</f>
        <v>573.78</v>
      </c>
      <c r="K589" s="2">
        <f>IFERROR(__xludf.DUMMYFUNCTION("""COMPUTED_VALUE"""),573.78)</f>
        <v>573.78</v>
      </c>
    </row>
    <row r="590">
      <c r="A590" s="2">
        <f>IFERROR(__xludf.DUMMYFUNCTION("""COMPUTED_VALUE"""),1000.0)</f>
        <v>1000</v>
      </c>
      <c r="B590" s="2">
        <f>IFERROR(__xludf.DUMMYFUNCTION("""COMPUTED_VALUE"""),183880.0)</f>
        <v>183880</v>
      </c>
      <c r="C590" s="2">
        <f>IFERROR(__xludf.DUMMYFUNCTION("""COMPUTED_VALUE"""),2026.0)</f>
        <v>2026</v>
      </c>
      <c r="D590" s="2">
        <f>IFERROR(__xludf.DUMMYFUNCTION("""COMPUTED_VALUE"""),46274.0)</f>
        <v>46274</v>
      </c>
      <c r="E590" s="2" t="str">
        <f>IFERROR(__xludf.DUMMYFUNCTION("""COMPUTED_VALUE"""),"VF")</f>
        <v>VF</v>
      </c>
      <c r="F590" s="2">
        <f>IFERROR(__xludf.DUMMYFUNCTION("""COMPUTED_VALUE"""),1.0)</f>
        <v>1</v>
      </c>
      <c r="G590" s="2" t="str">
        <f>IFERROR(__xludf.DUMMYFUNCTION("""COMPUTED_VALUE"""),"PR013")</f>
        <v>PR013</v>
      </c>
      <c r="H590" s="2" t="str">
        <f>IFERROR(__xludf.DUMMYFUNCTION("""COMPUTED_VALUE"""),"VD020")</f>
        <v>VD020</v>
      </c>
      <c r="I590" s="2">
        <f>IFERROR(__xludf.DUMMYFUNCTION("""COMPUTED_VALUE"""),6.0)</f>
        <v>6</v>
      </c>
      <c r="J590" s="2">
        <f>IFERROR(__xludf.DUMMYFUNCTION("""COMPUTED_VALUE"""),248.98)</f>
        <v>248.98</v>
      </c>
      <c r="K590" s="2">
        <f>IFERROR(__xludf.DUMMYFUNCTION("""COMPUTED_VALUE"""),248.98)</f>
        <v>248.98</v>
      </c>
    </row>
    <row r="591">
      <c r="A591" s="2">
        <f>IFERROR(__xludf.DUMMYFUNCTION("""COMPUTED_VALUE"""),1000.0)</f>
        <v>1000</v>
      </c>
      <c r="B591" s="2">
        <f>IFERROR(__xludf.DUMMYFUNCTION("""COMPUTED_VALUE"""),183881.0)</f>
        <v>183881</v>
      </c>
      <c r="C591" s="2">
        <f>IFERROR(__xludf.DUMMYFUNCTION("""COMPUTED_VALUE"""),2026.0)</f>
        <v>2026</v>
      </c>
      <c r="D591" s="2">
        <f>IFERROR(__xludf.DUMMYFUNCTION("""COMPUTED_VALUE"""),46274.0)</f>
        <v>46274</v>
      </c>
      <c r="E591" s="2" t="str">
        <f>IFERROR(__xludf.DUMMYFUNCTION("""COMPUTED_VALUE"""),"VF")</f>
        <v>VF</v>
      </c>
      <c r="F591" s="2">
        <f>IFERROR(__xludf.DUMMYFUNCTION("""COMPUTED_VALUE"""),1.0)</f>
        <v>1</v>
      </c>
      <c r="G591" s="2" t="str">
        <f>IFERROR(__xludf.DUMMYFUNCTION("""COMPUTED_VALUE"""),"PR003")</f>
        <v>PR003</v>
      </c>
      <c r="H591" s="2" t="str">
        <f>IFERROR(__xludf.DUMMYFUNCTION("""COMPUTED_VALUE"""),"VD031")</f>
        <v>VD031</v>
      </c>
      <c r="I591" s="2">
        <f>IFERROR(__xludf.DUMMYFUNCTION("""COMPUTED_VALUE"""),9.0)</f>
        <v>9</v>
      </c>
      <c r="J591" s="2">
        <f>IFERROR(__xludf.DUMMYFUNCTION("""COMPUTED_VALUE"""),657.24)</f>
        <v>657.24</v>
      </c>
      <c r="K591" s="2">
        <f>IFERROR(__xludf.DUMMYFUNCTION("""COMPUTED_VALUE"""),657.24)</f>
        <v>657.24</v>
      </c>
    </row>
    <row r="592">
      <c r="A592" s="2">
        <f>IFERROR(__xludf.DUMMYFUNCTION("""COMPUTED_VALUE"""),1000.0)</f>
        <v>1000</v>
      </c>
      <c r="B592" s="2">
        <f>IFERROR(__xludf.DUMMYFUNCTION("""COMPUTED_VALUE"""),183881.0)</f>
        <v>183881</v>
      </c>
      <c r="C592" s="2">
        <f>IFERROR(__xludf.DUMMYFUNCTION("""COMPUTED_VALUE"""),2026.0)</f>
        <v>2026</v>
      </c>
      <c r="D592" s="2">
        <f>IFERROR(__xludf.DUMMYFUNCTION("""COMPUTED_VALUE"""),46274.0)</f>
        <v>46274</v>
      </c>
      <c r="E592" s="2" t="str">
        <f>IFERROR(__xludf.DUMMYFUNCTION("""COMPUTED_VALUE"""),"VF")</f>
        <v>VF</v>
      </c>
      <c r="F592" s="2">
        <f>IFERROR(__xludf.DUMMYFUNCTION("""COMPUTED_VALUE"""),2.0)</f>
        <v>2</v>
      </c>
      <c r="G592" s="2" t="str">
        <f>IFERROR(__xludf.DUMMYFUNCTION("""COMPUTED_VALUE"""),"PR057")</f>
        <v>PR057</v>
      </c>
      <c r="H592" s="2" t="str">
        <f>IFERROR(__xludf.DUMMYFUNCTION("""COMPUTED_VALUE"""),"VD045")</f>
        <v>VD045</v>
      </c>
      <c r="I592" s="2">
        <f>IFERROR(__xludf.DUMMYFUNCTION("""COMPUTED_VALUE"""),7.0)</f>
        <v>7</v>
      </c>
      <c r="J592" s="2">
        <f>IFERROR(__xludf.DUMMYFUNCTION("""COMPUTED_VALUE"""),679.64)</f>
        <v>679.64</v>
      </c>
      <c r="K592" s="2">
        <f>IFERROR(__xludf.DUMMYFUNCTION("""COMPUTED_VALUE"""),679.64)</f>
        <v>679.64</v>
      </c>
    </row>
    <row r="593">
      <c r="A593" s="2">
        <f>IFERROR(__xludf.DUMMYFUNCTION("""COMPUTED_VALUE"""),1000.0)</f>
        <v>1000</v>
      </c>
      <c r="B593" s="2">
        <f>IFERROR(__xludf.DUMMYFUNCTION("""COMPUTED_VALUE"""),183881.0)</f>
        <v>183881</v>
      </c>
      <c r="C593" s="2">
        <f>IFERROR(__xludf.DUMMYFUNCTION("""COMPUTED_VALUE"""),2026.0)</f>
        <v>2026</v>
      </c>
      <c r="D593" s="2">
        <f>IFERROR(__xludf.DUMMYFUNCTION("""COMPUTED_VALUE"""),46274.0)</f>
        <v>46274</v>
      </c>
      <c r="E593" s="2" t="str">
        <f>IFERROR(__xludf.DUMMYFUNCTION("""COMPUTED_VALUE"""),"VF")</f>
        <v>VF</v>
      </c>
      <c r="F593" s="2">
        <f>IFERROR(__xludf.DUMMYFUNCTION("""COMPUTED_VALUE"""),3.0)</f>
        <v>3</v>
      </c>
      <c r="G593" s="2" t="str">
        <f>IFERROR(__xludf.DUMMYFUNCTION("""COMPUTED_VALUE"""),"PR025")</f>
        <v>PR025</v>
      </c>
      <c r="H593" s="2" t="str">
        <f>IFERROR(__xludf.DUMMYFUNCTION("""COMPUTED_VALUE"""),"VD035")</f>
        <v>VD035</v>
      </c>
      <c r="I593" s="2">
        <f>IFERROR(__xludf.DUMMYFUNCTION("""COMPUTED_VALUE"""),1.0)</f>
        <v>1</v>
      </c>
      <c r="J593" s="2">
        <f>IFERROR(__xludf.DUMMYFUNCTION("""COMPUTED_VALUE"""),305.9)</f>
        <v>305.9</v>
      </c>
      <c r="K593" s="2">
        <f>IFERROR(__xludf.DUMMYFUNCTION("""COMPUTED_VALUE"""),305.9)</f>
        <v>305.9</v>
      </c>
    </row>
    <row r="594">
      <c r="A594" s="2">
        <f>IFERROR(__xludf.DUMMYFUNCTION("""COMPUTED_VALUE"""),1000.0)</f>
        <v>1000</v>
      </c>
      <c r="B594" s="2">
        <f>IFERROR(__xludf.DUMMYFUNCTION("""COMPUTED_VALUE"""),183882.0)</f>
        <v>183882</v>
      </c>
      <c r="C594" s="2">
        <f>IFERROR(__xludf.DUMMYFUNCTION("""COMPUTED_VALUE"""),2026.0)</f>
        <v>2026</v>
      </c>
      <c r="D594" s="2">
        <f>IFERROR(__xludf.DUMMYFUNCTION("""COMPUTED_VALUE"""),46274.0)</f>
        <v>46274</v>
      </c>
      <c r="E594" s="2" t="str">
        <f>IFERROR(__xludf.DUMMYFUNCTION("""COMPUTED_VALUE"""),"VF")</f>
        <v>VF</v>
      </c>
      <c r="F594" s="2">
        <f>IFERROR(__xludf.DUMMYFUNCTION("""COMPUTED_VALUE"""),1.0)</f>
        <v>1</v>
      </c>
      <c r="G594" s="2" t="str">
        <f>IFERROR(__xludf.DUMMYFUNCTION("""COMPUTED_VALUE"""),"PR047")</f>
        <v>PR047</v>
      </c>
      <c r="H594" s="2" t="str">
        <f>IFERROR(__xludf.DUMMYFUNCTION("""COMPUTED_VALUE"""),"VD023")</f>
        <v>VD023</v>
      </c>
      <c r="I594" s="2">
        <f>IFERROR(__xludf.DUMMYFUNCTION("""COMPUTED_VALUE"""),20.0)</f>
        <v>20</v>
      </c>
      <c r="J594" s="2">
        <f>IFERROR(__xludf.DUMMYFUNCTION("""COMPUTED_VALUE"""),6029.92)</f>
        <v>6029.92</v>
      </c>
      <c r="K594" s="2">
        <f>IFERROR(__xludf.DUMMYFUNCTION("""COMPUTED_VALUE"""),6029.92)</f>
        <v>6029.92</v>
      </c>
    </row>
    <row r="595">
      <c r="A595" s="2">
        <f>IFERROR(__xludf.DUMMYFUNCTION("""COMPUTED_VALUE"""),1000.0)</f>
        <v>1000</v>
      </c>
      <c r="B595" s="2">
        <f>IFERROR(__xludf.DUMMYFUNCTION("""COMPUTED_VALUE"""),183883.0)</f>
        <v>183883</v>
      </c>
      <c r="C595" s="2">
        <f>IFERROR(__xludf.DUMMYFUNCTION("""COMPUTED_VALUE"""),2026.0)</f>
        <v>2026</v>
      </c>
      <c r="D595" s="2">
        <f>IFERROR(__xludf.DUMMYFUNCTION("""COMPUTED_VALUE"""),46273.0)</f>
        <v>46273</v>
      </c>
      <c r="E595" s="2" t="str">
        <f>IFERROR(__xludf.DUMMYFUNCTION("""COMPUTED_VALUE"""),"VF")</f>
        <v>VF</v>
      </c>
      <c r="F595" s="2">
        <f>IFERROR(__xludf.DUMMYFUNCTION("""COMPUTED_VALUE"""),1.0)</f>
        <v>1</v>
      </c>
      <c r="G595" s="2" t="str">
        <f>IFERROR(__xludf.DUMMYFUNCTION("""COMPUTED_VALUE"""),"PR060")</f>
        <v>PR060</v>
      </c>
      <c r="H595" s="2" t="str">
        <f>IFERROR(__xludf.DUMMYFUNCTION("""COMPUTED_VALUE"""),"VD030")</f>
        <v>VD030</v>
      </c>
      <c r="I595" s="2">
        <f>IFERROR(__xludf.DUMMYFUNCTION("""COMPUTED_VALUE"""),18.0)</f>
        <v>18</v>
      </c>
      <c r="J595" s="2">
        <f>IFERROR(__xludf.DUMMYFUNCTION("""COMPUTED_VALUE"""),3402.0)</f>
        <v>3402</v>
      </c>
      <c r="K595" s="2">
        <f>IFERROR(__xludf.DUMMYFUNCTION("""COMPUTED_VALUE"""),3402.0)</f>
        <v>3402</v>
      </c>
    </row>
    <row r="596">
      <c r="A596" s="2">
        <f>IFERROR(__xludf.DUMMYFUNCTION("""COMPUTED_VALUE"""),2000.0)</f>
        <v>2000</v>
      </c>
      <c r="B596" s="2">
        <f>IFERROR(__xludf.DUMMYFUNCTION("""COMPUTED_VALUE"""),183884.0)</f>
        <v>183884</v>
      </c>
      <c r="C596" s="2">
        <f>IFERROR(__xludf.DUMMYFUNCTION("""COMPUTED_VALUE"""),2026.0)</f>
        <v>2026</v>
      </c>
      <c r="D596" s="2">
        <f>IFERROR(__xludf.DUMMYFUNCTION("""COMPUTED_VALUE"""),46273.0)</f>
        <v>46273</v>
      </c>
      <c r="E596" s="2" t="str">
        <f>IFERROR(__xludf.DUMMYFUNCTION("""COMPUTED_VALUE"""),"VF")</f>
        <v>VF</v>
      </c>
      <c r="F596" s="2">
        <f>IFERROR(__xludf.DUMMYFUNCTION("""COMPUTED_VALUE"""),1.0)</f>
        <v>1</v>
      </c>
      <c r="G596" s="2" t="str">
        <f>IFERROR(__xludf.DUMMYFUNCTION("""COMPUTED_VALUE"""),"PR017")</f>
        <v>PR017</v>
      </c>
      <c r="H596" s="2" t="str">
        <f>IFERROR(__xludf.DUMMYFUNCTION("""COMPUTED_VALUE"""),"VD049")</f>
        <v>VD049</v>
      </c>
      <c r="I596" s="2">
        <f>IFERROR(__xludf.DUMMYFUNCTION("""COMPUTED_VALUE"""),18.0)</f>
        <v>18</v>
      </c>
      <c r="J596" s="2">
        <f>IFERROR(__xludf.DUMMYFUNCTION("""COMPUTED_VALUE"""),581.26)</f>
        <v>581.26</v>
      </c>
      <c r="K596" s="2">
        <f>IFERROR(__xludf.DUMMYFUNCTION("""COMPUTED_VALUE"""),581.26)</f>
        <v>581.26</v>
      </c>
    </row>
    <row r="597">
      <c r="A597" s="2">
        <f>IFERROR(__xludf.DUMMYFUNCTION("""COMPUTED_VALUE"""),1000.0)</f>
        <v>1000</v>
      </c>
      <c r="B597" s="2">
        <f>IFERROR(__xludf.DUMMYFUNCTION("""COMPUTED_VALUE"""),183885.0)</f>
        <v>183885</v>
      </c>
      <c r="C597" s="2">
        <f>IFERROR(__xludf.DUMMYFUNCTION("""COMPUTED_VALUE"""),2026.0)</f>
        <v>2026</v>
      </c>
      <c r="D597" s="2">
        <f>IFERROR(__xludf.DUMMYFUNCTION("""COMPUTED_VALUE"""),46273.0)</f>
        <v>46273</v>
      </c>
      <c r="E597" s="2" t="str">
        <f>IFERROR(__xludf.DUMMYFUNCTION("""COMPUTED_VALUE"""),"VF")</f>
        <v>VF</v>
      </c>
      <c r="F597" s="2">
        <f>IFERROR(__xludf.DUMMYFUNCTION("""COMPUTED_VALUE"""),1.0)</f>
        <v>1</v>
      </c>
      <c r="G597" s="2" t="str">
        <f>IFERROR(__xludf.DUMMYFUNCTION("""COMPUTED_VALUE"""),"PR024")</f>
        <v>PR024</v>
      </c>
      <c r="H597" s="2" t="str">
        <f>IFERROR(__xludf.DUMMYFUNCTION("""COMPUTED_VALUE"""),"VD026")</f>
        <v>VD026</v>
      </c>
      <c r="I597" s="2">
        <f>IFERROR(__xludf.DUMMYFUNCTION("""COMPUTED_VALUE"""),10.0)</f>
        <v>10</v>
      </c>
      <c r="J597" s="2">
        <f>IFERROR(__xludf.DUMMYFUNCTION("""COMPUTED_VALUE"""),2806.92)</f>
        <v>2806.92</v>
      </c>
      <c r="K597" s="2">
        <f>IFERROR(__xludf.DUMMYFUNCTION("""COMPUTED_VALUE"""),2806.92)</f>
        <v>2806.92</v>
      </c>
    </row>
    <row r="598">
      <c r="A598" s="2">
        <f>IFERROR(__xludf.DUMMYFUNCTION("""COMPUTED_VALUE"""),1000.0)</f>
        <v>1000</v>
      </c>
      <c r="B598" s="2">
        <f>IFERROR(__xludf.DUMMYFUNCTION("""COMPUTED_VALUE"""),183885.0)</f>
        <v>183885</v>
      </c>
      <c r="C598" s="2">
        <f>IFERROR(__xludf.DUMMYFUNCTION("""COMPUTED_VALUE"""),2026.0)</f>
        <v>2026</v>
      </c>
      <c r="D598" s="2">
        <f>IFERROR(__xludf.DUMMYFUNCTION("""COMPUTED_VALUE"""),46273.0)</f>
        <v>46273</v>
      </c>
      <c r="E598" s="2" t="str">
        <f>IFERROR(__xludf.DUMMYFUNCTION("""COMPUTED_VALUE"""),"VF")</f>
        <v>VF</v>
      </c>
      <c r="F598" s="2">
        <f>IFERROR(__xludf.DUMMYFUNCTION("""COMPUTED_VALUE"""),2.0)</f>
        <v>2</v>
      </c>
      <c r="G598" s="2" t="str">
        <f>IFERROR(__xludf.DUMMYFUNCTION("""COMPUTED_VALUE"""),"PR013")</f>
        <v>PR013</v>
      </c>
      <c r="H598" s="2" t="str">
        <f>IFERROR(__xludf.DUMMYFUNCTION("""COMPUTED_VALUE"""),"VD013")</f>
        <v>VD013</v>
      </c>
      <c r="I598" s="2">
        <f>IFERROR(__xludf.DUMMYFUNCTION("""COMPUTED_VALUE"""),16.0)</f>
        <v>16</v>
      </c>
      <c r="J598" s="2">
        <f>IFERROR(__xludf.DUMMYFUNCTION("""COMPUTED_VALUE"""),702.24)</f>
        <v>702.24</v>
      </c>
      <c r="K598" s="2">
        <f>IFERROR(__xludf.DUMMYFUNCTION("""COMPUTED_VALUE"""),702.24)</f>
        <v>702.24</v>
      </c>
    </row>
    <row r="599">
      <c r="A599" s="2">
        <f>IFERROR(__xludf.DUMMYFUNCTION("""COMPUTED_VALUE"""),1000.0)</f>
        <v>1000</v>
      </c>
      <c r="B599" s="2">
        <f>IFERROR(__xludf.DUMMYFUNCTION("""COMPUTED_VALUE"""),183885.0)</f>
        <v>183885</v>
      </c>
      <c r="C599" s="2">
        <f>IFERROR(__xludf.DUMMYFUNCTION("""COMPUTED_VALUE"""),2026.0)</f>
        <v>2026</v>
      </c>
      <c r="D599" s="2">
        <f>IFERROR(__xludf.DUMMYFUNCTION("""COMPUTED_VALUE"""),46273.0)</f>
        <v>46273</v>
      </c>
      <c r="E599" s="2" t="str">
        <f>IFERROR(__xludf.DUMMYFUNCTION("""COMPUTED_VALUE"""),"VF")</f>
        <v>VF</v>
      </c>
      <c r="F599" s="2">
        <f>IFERROR(__xludf.DUMMYFUNCTION("""COMPUTED_VALUE"""),3.0)</f>
        <v>3</v>
      </c>
      <c r="G599" s="2" t="str">
        <f>IFERROR(__xludf.DUMMYFUNCTION("""COMPUTED_VALUE"""),"PR057")</f>
        <v>PR057</v>
      </c>
      <c r="H599" s="2" t="str">
        <f>IFERROR(__xludf.DUMMYFUNCTION("""COMPUTED_VALUE"""),"VD027")</f>
        <v>VD027</v>
      </c>
      <c r="I599" s="2">
        <f>IFERROR(__xludf.DUMMYFUNCTION("""COMPUTED_VALUE"""),18.0)</f>
        <v>18</v>
      </c>
      <c r="J599" s="2">
        <f>IFERROR(__xludf.DUMMYFUNCTION("""COMPUTED_VALUE"""),1666.75)</f>
        <v>1666.75</v>
      </c>
      <c r="K599" s="2">
        <f>IFERROR(__xludf.DUMMYFUNCTION("""COMPUTED_VALUE"""),1666.75)</f>
        <v>1666.75</v>
      </c>
    </row>
    <row r="600">
      <c r="A600" s="2">
        <f>IFERROR(__xludf.DUMMYFUNCTION("""COMPUTED_VALUE"""),1000.0)</f>
        <v>1000</v>
      </c>
      <c r="B600" s="2">
        <f>IFERROR(__xludf.DUMMYFUNCTION("""COMPUTED_VALUE"""),183886.0)</f>
        <v>183886</v>
      </c>
      <c r="C600" s="2">
        <f>IFERROR(__xludf.DUMMYFUNCTION("""COMPUTED_VALUE"""),2026.0)</f>
        <v>2026</v>
      </c>
      <c r="D600" s="2">
        <f>IFERROR(__xludf.DUMMYFUNCTION("""COMPUTED_VALUE"""),46273.0)</f>
        <v>46273</v>
      </c>
      <c r="E600" s="2" t="str">
        <f>IFERROR(__xludf.DUMMYFUNCTION("""COMPUTED_VALUE"""),"VF")</f>
        <v>VF</v>
      </c>
      <c r="F600" s="2">
        <f>IFERROR(__xludf.DUMMYFUNCTION("""COMPUTED_VALUE"""),1.0)</f>
        <v>1</v>
      </c>
      <c r="G600" s="2" t="str">
        <f>IFERROR(__xludf.DUMMYFUNCTION("""COMPUTED_VALUE"""),"PR057")</f>
        <v>PR057</v>
      </c>
      <c r="H600" s="2" t="str">
        <f>IFERROR(__xludf.DUMMYFUNCTION("""COMPUTED_VALUE"""),"VD038")</f>
        <v>VD038</v>
      </c>
      <c r="I600" s="2">
        <f>IFERROR(__xludf.DUMMYFUNCTION("""COMPUTED_VALUE"""),8.0)</f>
        <v>8</v>
      </c>
      <c r="J600" s="2">
        <f>IFERROR(__xludf.DUMMYFUNCTION("""COMPUTED_VALUE"""),733.58)</f>
        <v>733.58</v>
      </c>
      <c r="K600" s="2">
        <f>IFERROR(__xludf.DUMMYFUNCTION("""COMPUTED_VALUE"""),733.58)</f>
        <v>733.58</v>
      </c>
    </row>
    <row r="601">
      <c r="A601" s="2">
        <f>IFERROR(__xludf.DUMMYFUNCTION("""COMPUTED_VALUE"""),2000.0)</f>
        <v>2000</v>
      </c>
      <c r="B601" s="2">
        <f>IFERROR(__xludf.DUMMYFUNCTION("""COMPUTED_VALUE"""),183886.0)</f>
        <v>183886</v>
      </c>
      <c r="C601" s="2">
        <f>IFERROR(__xludf.DUMMYFUNCTION("""COMPUTED_VALUE"""),2026.0)</f>
        <v>2026</v>
      </c>
      <c r="D601" s="2">
        <f>IFERROR(__xludf.DUMMYFUNCTION("""COMPUTED_VALUE"""),46273.0)</f>
        <v>46273</v>
      </c>
      <c r="E601" s="2" t="str">
        <f>IFERROR(__xludf.DUMMYFUNCTION("""COMPUTED_VALUE"""),"VF")</f>
        <v>VF</v>
      </c>
      <c r="F601" s="2">
        <f>IFERROR(__xludf.DUMMYFUNCTION("""COMPUTED_VALUE"""),2.0)</f>
        <v>2</v>
      </c>
      <c r="G601" s="2" t="str">
        <f>IFERROR(__xludf.DUMMYFUNCTION("""COMPUTED_VALUE"""),"PR020")</f>
        <v>PR020</v>
      </c>
      <c r="H601" s="2" t="str">
        <f>IFERROR(__xludf.DUMMYFUNCTION("""COMPUTED_VALUE"""),"VD021")</f>
        <v>VD021</v>
      </c>
      <c r="I601" s="2">
        <f>IFERROR(__xludf.DUMMYFUNCTION("""COMPUTED_VALUE"""),2.0)</f>
        <v>2</v>
      </c>
      <c r="J601" s="2">
        <f>IFERROR(__xludf.DUMMYFUNCTION("""COMPUTED_VALUE"""),617.79)</f>
        <v>617.79</v>
      </c>
      <c r="K601" s="2">
        <f>IFERROR(__xludf.DUMMYFUNCTION("""COMPUTED_VALUE"""),617.79)</f>
        <v>617.79</v>
      </c>
    </row>
    <row r="602">
      <c r="A602" s="2">
        <f>IFERROR(__xludf.DUMMYFUNCTION("""COMPUTED_VALUE"""),1000.0)</f>
        <v>1000</v>
      </c>
      <c r="B602" s="2">
        <f>IFERROR(__xludf.DUMMYFUNCTION("""COMPUTED_VALUE"""),183887.0)</f>
        <v>183887</v>
      </c>
      <c r="C602" s="2">
        <f>IFERROR(__xludf.DUMMYFUNCTION("""COMPUTED_VALUE"""),2026.0)</f>
        <v>2026</v>
      </c>
      <c r="D602" s="2">
        <f>IFERROR(__xludf.DUMMYFUNCTION("""COMPUTED_VALUE"""),46273.0)</f>
        <v>46273</v>
      </c>
      <c r="E602" s="2" t="str">
        <f>IFERROR(__xludf.DUMMYFUNCTION("""COMPUTED_VALUE"""),"VF")</f>
        <v>VF</v>
      </c>
      <c r="F602" s="2">
        <f>IFERROR(__xludf.DUMMYFUNCTION("""COMPUTED_VALUE"""),1.0)</f>
        <v>1</v>
      </c>
      <c r="G602" s="2" t="str">
        <f>IFERROR(__xludf.DUMMYFUNCTION("""COMPUTED_VALUE"""),"PR007")</f>
        <v>PR007</v>
      </c>
      <c r="H602" s="2" t="str">
        <f>IFERROR(__xludf.DUMMYFUNCTION("""COMPUTED_VALUE"""),"VD033")</f>
        <v>VD033</v>
      </c>
      <c r="I602" s="2">
        <f>IFERROR(__xludf.DUMMYFUNCTION("""COMPUTED_VALUE"""),8.0)</f>
        <v>8</v>
      </c>
      <c r="J602" s="2">
        <f>IFERROR(__xludf.DUMMYFUNCTION("""COMPUTED_VALUE"""),749.05)</f>
        <v>749.05</v>
      </c>
      <c r="K602" s="2">
        <f>IFERROR(__xludf.DUMMYFUNCTION("""COMPUTED_VALUE"""),749.05)</f>
        <v>749.05</v>
      </c>
    </row>
    <row r="603">
      <c r="A603" s="2">
        <f>IFERROR(__xludf.DUMMYFUNCTION("""COMPUTED_VALUE"""),2000.0)</f>
        <v>2000</v>
      </c>
      <c r="B603" s="2">
        <f>IFERROR(__xludf.DUMMYFUNCTION("""COMPUTED_VALUE"""),183888.0)</f>
        <v>183888</v>
      </c>
      <c r="C603" s="2">
        <f>IFERROR(__xludf.DUMMYFUNCTION("""COMPUTED_VALUE"""),2026.0)</f>
        <v>2026</v>
      </c>
      <c r="D603" s="2">
        <f>IFERROR(__xludf.DUMMYFUNCTION("""COMPUTED_VALUE"""),46273.0)</f>
        <v>46273</v>
      </c>
      <c r="E603" s="2" t="str">
        <f>IFERROR(__xludf.DUMMYFUNCTION("""COMPUTED_VALUE"""),"VF")</f>
        <v>VF</v>
      </c>
      <c r="F603" s="2">
        <f>IFERROR(__xludf.DUMMYFUNCTION("""COMPUTED_VALUE"""),1.0)</f>
        <v>1</v>
      </c>
      <c r="G603" s="2" t="str">
        <f>IFERROR(__xludf.DUMMYFUNCTION("""COMPUTED_VALUE"""),"PR040")</f>
        <v>PR040</v>
      </c>
      <c r="H603" s="2" t="str">
        <f>IFERROR(__xludf.DUMMYFUNCTION("""COMPUTED_VALUE"""),"VD023")</f>
        <v>VD023</v>
      </c>
      <c r="I603" s="2">
        <f>IFERROR(__xludf.DUMMYFUNCTION("""COMPUTED_VALUE"""),4.0)</f>
        <v>4</v>
      </c>
      <c r="J603" s="2">
        <f>IFERROR(__xludf.DUMMYFUNCTION("""COMPUTED_VALUE"""),308.0)</f>
        <v>308</v>
      </c>
      <c r="K603" s="2">
        <f>IFERROR(__xludf.DUMMYFUNCTION("""COMPUTED_VALUE"""),308.0)</f>
        <v>308</v>
      </c>
    </row>
    <row r="604">
      <c r="A604" s="2">
        <f>IFERROR(__xludf.DUMMYFUNCTION("""COMPUTED_VALUE"""),1000.0)</f>
        <v>1000</v>
      </c>
      <c r="B604" s="2">
        <f>IFERROR(__xludf.DUMMYFUNCTION("""COMPUTED_VALUE"""),183888.0)</f>
        <v>183888</v>
      </c>
      <c r="C604" s="2">
        <f>IFERROR(__xludf.DUMMYFUNCTION("""COMPUTED_VALUE"""),2026.0)</f>
        <v>2026</v>
      </c>
      <c r="D604" s="2">
        <f>IFERROR(__xludf.DUMMYFUNCTION("""COMPUTED_VALUE"""),46273.0)</f>
        <v>46273</v>
      </c>
      <c r="E604" s="2" t="str">
        <f>IFERROR(__xludf.DUMMYFUNCTION("""COMPUTED_VALUE"""),"VF")</f>
        <v>VF</v>
      </c>
      <c r="F604" s="2">
        <f>IFERROR(__xludf.DUMMYFUNCTION("""COMPUTED_VALUE"""),2.0)</f>
        <v>2</v>
      </c>
      <c r="G604" s="2" t="str">
        <f>IFERROR(__xludf.DUMMYFUNCTION("""COMPUTED_VALUE"""),"PR024")</f>
        <v>PR024</v>
      </c>
      <c r="H604" s="2" t="str">
        <f>IFERROR(__xludf.DUMMYFUNCTION("""COMPUTED_VALUE"""),"VD018")</f>
        <v>VD018</v>
      </c>
      <c r="I604" s="2">
        <f>IFERROR(__xludf.DUMMYFUNCTION("""COMPUTED_VALUE"""),2.0)</f>
        <v>2</v>
      </c>
      <c r="J604" s="2">
        <f>IFERROR(__xludf.DUMMYFUNCTION("""COMPUTED_VALUE"""),535.39)</f>
        <v>535.39</v>
      </c>
      <c r="K604" s="2">
        <f>IFERROR(__xludf.DUMMYFUNCTION("""COMPUTED_VALUE"""),535.39)</f>
        <v>535.39</v>
      </c>
    </row>
    <row r="605">
      <c r="A605" s="2">
        <f>IFERROR(__xludf.DUMMYFUNCTION("""COMPUTED_VALUE"""),1000.0)</f>
        <v>1000</v>
      </c>
      <c r="B605" s="2">
        <f>IFERROR(__xludf.DUMMYFUNCTION("""COMPUTED_VALUE"""),183888.0)</f>
        <v>183888</v>
      </c>
      <c r="C605" s="2">
        <f>IFERROR(__xludf.DUMMYFUNCTION("""COMPUTED_VALUE"""),2026.0)</f>
        <v>2026</v>
      </c>
      <c r="D605" s="2">
        <f>IFERROR(__xludf.DUMMYFUNCTION("""COMPUTED_VALUE"""),46273.0)</f>
        <v>46273</v>
      </c>
      <c r="E605" s="2" t="str">
        <f>IFERROR(__xludf.DUMMYFUNCTION("""COMPUTED_VALUE"""),"VF")</f>
        <v>VF</v>
      </c>
      <c r="F605" s="2">
        <f>IFERROR(__xludf.DUMMYFUNCTION("""COMPUTED_VALUE"""),3.0)</f>
        <v>3</v>
      </c>
      <c r="G605" s="2" t="str">
        <f>IFERROR(__xludf.DUMMYFUNCTION("""COMPUTED_VALUE"""),"PR004")</f>
        <v>PR004</v>
      </c>
      <c r="H605" s="2" t="str">
        <f>IFERROR(__xludf.DUMMYFUNCTION("""COMPUTED_VALUE"""),"VD031")</f>
        <v>VD031</v>
      </c>
      <c r="I605" s="2">
        <f>IFERROR(__xludf.DUMMYFUNCTION("""COMPUTED_VALUE"""),4.0)</f>
        <v>4</v>
      </c>
      <c r="J605" s="2">
        <f>IFERROR(__xludf.DUMMYFUNCTION("""COMPUTED_VALUE"""),603.2)</f>
        <v>603.2</v>
      </c>
      <c r="K605" s="2">
        <f>IFERROR(__xludf.DUMMYFUNCTION("""COMPUTED_VALUE"""),603.2)</f>
        <v>603.2</v>
      </c>
    </row>
    <row r="606">
      <c r="A606" s="2">
        <f>IFERROR(__xludf.DUMMYFUNCTION("""COMPUTED_VALUE"""),1000.0)</f>
        <v>1000</v>
      </c>
      <c r="B606" s="2">
        <f>IFERROR(__xludf.DUMMYFUNCTION("""COMPUTED_VALUE"""),183889.0)</f>
        <v>183889</v>
      </c>
      <c r="C606" s="2">
        <f>IFERROR(__xludf.DUMMYFUNCTION("""COMPUTED_VALUE"""),2026.0)</f>
        <v>2026</v>
      </c>
      <c r="D606" s="2">
        <f>IFERROR(__xludf.DUMMYFUNCTION("""COMPUTED_VALUE"""),46273.0)</f>
        <v>46273</v>
      </c>
      <c r="E606" s="2" t="str">
        <f>IFERROR(__xludf.DUMMYFUNCTION("""COMPUTED_VALUE"""),"VF")</f>
        <v>VF</v>
      </c>
      <c r="F606" s="2">
        <f>IFERROR(__xludf.DUMMYFUNCTION("""COMPUTED_VALUE"""),1.0)</f>
        <v>1</v>
      </c>
      <c r="G606" s="2" t="str">
        <f>IFERROR(__xludf.DUMMYFUNCTION("""COMPUTED_VALUE"""),"PR016")</f>
        <v>PR016</v>
      </c>
      <c r="H606" s="2" t="str">
        <f>IFERROR(__xludf.DUMMYFUNCTION("""COMPUTED_VALUE"""),"VD010")</f>
        <v>VD010</v>
      </c>
      <c r="I606" s="2">
        <f>IFERROR(__xludf.DUMMYFUNCTION("""COMPUTED_VALUE"""),8.0)</f>
        <v>8</v>
      </c>
      <c r="J606" s="2">
        <f>IFERROR(__xludf.DUMMYFUNCTION("""COMPUTED_VALUE"""),221.7)</f>
        <v>221.7</v>
      </c>
      <c r="K606" s="2">
        <f>IFERROR(__xludf.DUMMYFUNCTION("""COMPUTED_VALUE"""),221.7)</f>
        <v>221.7</v>
      </c>
    </row>
    <row r="607">
      <c r="A607" s="2">
        <f>IFERROR(__xludf.DUMMYFUNCTION("""COMPUTED_VALUE"""),1000.0)</f>
        <v>1000</v>
      </c>
      <c r="B607" s="2">
        <f>IFERROR(__xludf.DUMMYFUNCTION("""COMPUTED_VALUE"""),183890.0)</f>
        <v>183890</v>
      </c>
      <c r="C607" s="2">
        <f>IFERROR(__xludf.DUMMYFUNCTION("""COMPUTED_VALUE"""),2026.0)</f>
        <v>2026</v>
      </c>
      <c r="D607" s="2">
        <f>IFERROR(__xludf.DUMMYFUNCTION("""COMPUTED_VALUE"""),46272.0)</f>
        <v>46272</v>
      </c>
      <c r="E607" s="2" t="str">
        <f>IFERROR(__xludf.DUMMYFUNCTION("""COMPUTED_VALUE"""),"VF")</f>
        <v>VF</v>
      </c>
      <c r="F607" s="2">
        <f>IFERROR(__xludf.DUMMYFUNCTION("""COMPUTED_VALUE"""),1.0)</f>
        <v>1</v>
      </c>
      <c r="G607" s="2" t="str">
        <f>IFERROR(__xludf.DUMMYFUNCTION("""COMPUTED_VALUE"""),"PR029")</f>
        <v>PR029</v>
      </c>
      <c r="H607" s="2" t="str">
        <f>IFERROR(__xludf.DUMMYFUNCTION("""COMPUTED_VALUE"""),"VD030")</f>
        <v>VD030</v>
      </c>
      <c r="I607" s="2">
        <f>IFERROR(__xludf.DUMMYFUNCTION("""COMPUTED_VALUE"""),5.0)</f>
        <v>5</v>
      </c>
      <c r="J607" s="2">
        <f>IFERROR(__xludf.DUMMYFUNCTION("""COMPUTED_VALUE"""),1287.75)</f>
        <v>1287.75</v>
      </c>
      <c r="K607" s="2">
        <f>IFERROR(__xludf.DUMMYFUNCTION("""COMPUTED_VALUE"""),1287.75)</f>
        <v>1287.75</v>
      </c>
    </row>
    <row r="608">
      <c r="A608" s="2">
        <f>IFERROR(__xludf.DUMMYFUNCTION("""COMPUTED_VALUE"""),1000.0)</f>
        <v>1000</v>
      </c>
      <c r="B608" s="2">
        <f>IFERROR(__xludf.DUMMYFUNCTION("""COMPUTED_VALUE"""),183891.0)</f>
        <v>183891</v>
      </c>
      <c r="C608" s="2">
        <f>IFERROR(__xludf.DUMMYFUNCTION("""COMPUTED_VALUE"""),2026.0)</f>
        <v>2026</v>
      </c>
      <c r="D608" s="2">
        <f>IFERROR(__xludf.DUMMYFUNCTION("""COMPUTED_VALUE"""),46272.0)</f>
        <v>46272</v>
      </c>
      <c r="E608" s="2" t="str">
        <f>IFERROR(__xludf.DUMMYFUNCTION("""COMPUTED_VALUE"""),"VF")</f>
        <v>VF</v>
      </c>
      <c r="F608" s="2">
        <f>IFERROR(__xludf.DUMMYFUNCTION("""COMPUTED_VALUE"""),1.0)</f>
        <v>1</v>
      </c>
      <c r="G608" s="2" t="str">
        <f>IFERROR(__xludf.DUMMYFUNCTION("""COMPUTED_VALUE"""),"PR007")</f>
        <v>PR007</v>
      </c>
      <c r="H608" s="2" t="str">
        <f>IFERROR(__xludf.DUMMYFUNCTION("""COMPUTED_VALUE"""),"VD046")</f>
        <v>VD046</v>
      </c>
      <c r="I608" s="2">
        <f>IFERROR(__xludf.DUMMYFUNCTION("""COMPUTED_VALUE"""),9.0)</f>
        <v>9</v>
      </c>
      <c r="J608" s="2">
        <f>IFERROR(__xludf.DUMMYFUNCTION("""COMPUTED_VALUE"""),804.02)</f>
        <v>804.02</v>
      </c>
      <c r="K608" s="2">
        <f>IFERROR(__xludf.DUMMYFUNCTION("""COMPUTED_VALUE"""),804.02)</f>
        <v>804.02</v>
      </c>
    </row>
    <row r="609">
      <c r="A609" s="2">
        <f>IFERROR(__xludf.DUMMYFUNCTION("""COMPUTED_VALUE"""),1000.0)</f>
        <v>1000</v>
      </c>
      <c r="B609" s="2">
        <f>IFERROR(__xludf.DUMMYFUNCTION("""COMPUTED_VALUE"""),183892.0)</f>
        <v>183892</v>
      </c>
      <c r="C609" s="2">
        <f>IFERROR(__xludf.DUMMYFUNCTION("""COMPUTED_VALUE"""),2026.0)</f>
        <v>2026</v>
      </c>
      <c r="D609" s="2">
        <f>IFERROR(__xludf.DUMMYFUNCTION("""COMPUTED_VALUE"""),46271.0)</f>
        <v>46271</v>
      </c>
      <c r="E609" s="2" t="str">
        <f>IFERROR(__xludf.DUMMYFUNCTION("""COMPUTED_VALUE"""),"VF")</f>
        <v>VF</v>
      </c>
      <c r="F609" s="2">
        <f>IFERROR(__xludf.DUMMYFUNCTION("""COMPUTED_VALUE"""),1.0)</f>
        <v>1</v>
      </c>
      <c r="G609" s="2" t="str">
        <f>IFERROR(__xludf.DUMMYFUNCTION("""COMPUTED_VALUE"""),"PR049")</f>
        <v>PR049</v>
      </c>
      <c r="H609" s="2" t="str">
        <f>IFERROR(__xludf.DUMMYFUNCTION("""COMPUTED_VALUE"""),"VD032")</f>
        <v>VD032</v>
      </c>
      <c r="I609" s="2">
        <f>IFERROR(__xludf.DUMMYFUNCTION("""COMPUTED_VALUE"""),14.0)</f>
        <v>14</v>
      </c>
      <c r="J609" s="2">
        <f>IFERROR(__xludf.DUMMYFUNCTION("""COMPUTED_VALUE"""),492.84)</f>
        <v>492.84</v>
      </c>
      <c r="K609" s="2">
        <f>IFERROR(__xludf.DUMMYFUNCTION("""COMPUTED_VALUE"""),492.84)</f>
        <v>492.84</v>
      </c>
    </row>
    <row r="610">
      <c r="A610" s="2">
        <f>IFERROR(__xludf.DUMMYFUNCTION("""COMPUTED_VALUE"""),1000.0)</f>
        <v>1000</v>
      </c>
      <c r="B610" s="2">
        <f>IFERROR(__xludf.DUMMYFUNCTION("""COMPUTED_VALUE"""),183893.0)</f>
        <v>183893</v>
      </c>
      <c r="C610" s="2">
        <f>IFERROR(__xludf.DUMMYFUNCTION("""COMPUTED_VALUE"""),2026.0)</f>
        <v>2026</v>
      </c>
      <c r="D610" s="2">
        <f>IFERROR(__xludf.DUMMYFUNCTION("""COMPUTED_VALUE"""),46271.0)</f>
        <v>46271</v>
      </c>
      <c r="E610" s="2" t="str">
        <f>IFERROR(__xludf.DUMMYFUNCTION("""COMPUTED_VALUE"""),"VF")</f>
        <v>VF</v>
      </c>
      <c r="F610" s="2">
        <f>IFERROR(__xludf.DUMMYFUNCTION("""COMPUTED_VALUE"""),1.0)</f>
        <v>1</v>
      </c>
      <c r="G610" s="2" t="str">
        <f>IFERROR(__xludf.DUMMYFUNCTION("""COMPUTED_VALUE"""),"PR039")</f>
        <v>PR039</v>
      </c>
      <c r="H610" s="2" t="str">
        <f>IFERROR(__xludf.DUMMYFUNCTION("""COMPUTED_VALUE"""),"VD035")</f>
        <v>VD035</v>
      </c>
      <c r="I610" s="2">
        <f>IFERROR(__xludf.DUMMYFUNCTION("""COMPUTED_VALUE"""),16.0)</f>
        <v>16</v>
      </c>
      <c r="J610" s="2">
        <f>IFERROR(__xludf.DUMMYFUNCTION("""COMPUTED_VALUE"""),2452.8)</f>
        <v>2452.8</v>
      </c>
      <c r="K610" s="2">
        <f>IFERROR(__xludf.DUMMYFUNCTION("""COMPUTED_VALUE"""),2452.8)</f>
        <v>2452.8</v>
      </c>
    </row>
    <row r="611">
      <c r="A611" s="2">
        <f>IFERROR(__xludf.DUMMYFUNCTION("""COMPUTED_VALUE"""),1000.0)</f>
        <v>1000</v>
      </c>
      <c r="B611" s="2">
        <f>IFERROR(__xludf.DUMMYFUNCTION("""COMPUTED_VALUE"""),183893.0)</f>
        <v>183893</v>
      </c>
      <c r="C611" s="2">
        <f>IFERROR(__xludf.DUMMYFUNCTION("""COMPUTED_VALUE"""),2026.0)</f>
        <v>2026</v>
      </c>
      <c r="D611" s="2">
        <f>IFERROR(__xludf.DUMMYFUNCTION("""COMPUTED_VALUE"""),46271.0)</f>
        <v>46271</v>
      </c>
      <c r="E611" s="2" t="str">
        <f>IFERROR(__xludf.DUMMYFUNCTION("""COMPUTED_VALUE"""),"VF")</f>
        <v>VF</v>
      </c>
      <c r="F611" s="2">
        <f>IFERROR(__xludf.DUMMYFUNCTION("""COMPUTED_VALUE"""),2.0)</f>
        <v>2</v>
      </c>
      <c r="G611" s="2" t="str">
        <f>IFERROR(__xludf.DUMMYFUNCTION("""COMPUTED_VALUE"""),"PR022")</f>
        <v>PR022</v>
      </c>
      <c r="H611" s="2" t="str">
        <f>IFERROR(__xludf.DUMMYFUNCTION("""COMPUTED_VALUE"""),"VD022")</f>
        <v>VD022</v>
      </c>
      <c r="I611" s="2">
        <f>IFERROR(__xludf.DUMMYFUNCTION("""COMPUTED_VALUE"""),2.0)</f>
        <v>2</v>
      </c>
      <c r="J611" s="2">
        <f>IFERROR(__xludf.DUMMYFUNCTION("""COMPUTED_VALUE"""),606.0)</f>
        <v>606</v>
      </c>
      <c r="K611" s="2">
        <f>IFERROR(__xludf.DUMMYFUNCTION("""COMPUTED_VALUE"""),606.0)</f>
        <v>606</v>
      </c>
    </row>
    <row r="612">
      <c r="A612" s="2">
        <f>IFERROR(__xludf.DUMMYFUNCTION("""COMPUTED_VALUE"""),1000.0)</f>
        <v>1000</v>
      </c>
      <c r="B612" s="2">
        <f>IFERROR(__xludf.DUMMYFUNCTION("""COMPUTED_VALUE"""),183893.0)</f>
        <v>183893</v>
      </c>
      <c r="C612" s="2">
        <f>IFERROR(__xludf.DUMMYFUNCTION("""COMPUTED_VALUE"""),2026.0)</f>
        <v>2026</v>
      </c>
      <c r="D612" s="2">
        <f>IFERROR(__xludf.DUMMYFUNCTION("""COMPUTED_VALUE"""),46271.0)</f>
        <v>46271</v>
      </c>
      <c r="E612" s="2" t="str">
        <f>IFERROR(__xludf.DUMMYFUNCTION("""COMPUTED_VALUE"""),"VF")</f>
        <v>VF</v>
      </c>
      <c r="F612" s="2">
        <f>IFERROR(__xludf.DUMMYFUNCTION("""COMPUTED_VALUE"""),3.0)</f>
        <v>3</v>
      </c>
      <c r="G612" s="2" t="str">
        <f>IFERROR(__xludf.DUMMYFUNCTION("""COMPUTED_VALUE"""),"PR004")</f>
        <v>PR004</v>
      </c>
      <c r="H612" s="2" t="str">
        <f>IFERROR(__xludf.DUMMYFUNCTION("""COMPUTED_VALUE"""),"VD023")</f>
        <v>VD023</v>
      </c>
      <c r="I612" s="2">
        <f>IFERROR(__xludf.DUMMYFUNCTION("""COMPUTED_VALUE"""),2.0)</f>
        <v>2</v>
      </c>
      <c r="J612" s="2">
        <f>IFERROR(__xludf.DUMMYFUNCTION("""COMPUTED_VALUE"""),319.0)</f>
        <v>319</v>
      </c>
      <c r="K612" s="2">
        <f>IFERROR(__xludf.DUMMYFUNCTION("""COMPUTED_VALUE"""),319.0)</f>
        <v>319</v>
      </c>
    </row>
    <row r="613">
      <c r="A613" s="2">
        <f>IFERROR(__xludf.DUMMYFUNCTION("""COMPUTED_VALUE"""),2000.0)</f>
        <v>2000</v>
      </c>
      <c r="B613" s="2">
        <f>IFERROR(__xludf.DUMMYFUNCTION("""COMPUTED_VALUE"""),183894.0)</f>
        <v>183894</v>
      </c>
      <c r="C613" s="2">
        <f>IFERROR(__xludf.DUMMYFUNCTION("""COMPUTED_VALUE"""),2026.0)</f>
        <v>2026</v>
      </c>
      <c r="D613" s="2">
        <f>IFERROR(__xludf.DUMMYFUNCTION("""COMPUTED_VALUE"""),46271.0)</f>
        <v>46271</v>
      </c>
      <c r="E613" s="2" t="str">
        <f>IFERROR(__xludf.DUMMYFUNCTION("""COMPUTED_VALUE"""),"VF")</f>
        <v>VF</v>
      </c>
      <c r="F613" s="2">
        <f>IFERROR(__xludf.DUMMYFUNCTION("""COMPUTED_VALUE"""),1.0)</f>
        <v>1</v>
      </c>
      <c r="G613" s="2" t="str">
        <f>IFERROR(__xludf.DUMMYFUNCTION("""COMPUTED_VALUE"""),"PR011")</f>
        <v>PR011</v>
      </c>
      <c r="H613" s="2" t="str">
        <f>IFERROR(__xludf.DUMMYFUNCTION("""COMPUTED_VALUE"""),"VD049")</f>
        <v>VD049</v>
      </c>
      <c r="I613" s="2">
        <f>IFERROR(__xludf.DUMMYFUNCTION("""COMPUTED_VALUE"""),9.0)</f>
        <v>9</v>
      </c>
      <c r="J613" s="2">
        <f>IFERROR(__xludf.DUMMYFUNCTION("""COMPUTED_VALUE"""),460.09)</f>
        <v>460.09</v>
      </c>
      <c r="K613" s="2">
        <f>IFERROR(__xludf.DUMMYFUNCTION("""COMPUTED_VALUE"""),460.09)</f>
        <v>460.09</v>
      </c>
    </row>
    <row r="614">
      <c r="A614" s="2">
        <f>IFERROR(__xludf.DUMMYFUNCTION("""COMPUTED_VALUE"""),1000.0)</f>
        <v>1000</v>
      </c>
      <c r="B614" s="2">
        <f>IFERROR(__xludf.DUMMYFUNCTION("""COMPUTED_VALUE"""),183895.0)</f>
        <v>183895</v>
      </c>
      <c r="C614" s="2">
        <f>IFERROR(__xludf.DUMMYFUNCTION("""COMPUTED_VALUE"""),2026.0)</f>
        <v>2026</v>
      </c>
      <c r="D614" s="2">
        <f>IFERROR(__xludf.DUMMYFUNCTION("""COMPUTED_VALUE"""),46271.0)</f>
        <v>46271</v>
      </c>
      <c r="E614" s="2" t="str">
        <f>IFERROR(__xludf.DUMMYFUNCTION("""COMPUTED_VALUE"""),"VF")</f>
        <v>VF</v>
      </c>
      <c r="F614" s="2">
        <f>IFERROR(__xludf.DUMMYFUNCTION("""COMPUTED_VALUE"""),1.0)</f>
        <v>1</v>
      </c>
      <c r="G614" s="2" t="str">
        <f>IFERROR(__xludf.DUMMYFUNCTION("""COMPUTED_VALUE"""),"PR052")</f>
        <v>PR052</v>
      </c>
      <c r="H614" s="2" t="str">
        <f>IFERROR(__xludf.DUMMYFUNCTION("""COMPUTED_VALUE"""),"VD044")</f>
        <v>VD044</v>
      </c>
      <c r="I614" s="2">
        <f>IFERROR(__xludf.DUMMYFUNCTION("""COMPUTED_VALUE"""),20.0)</f>
        <v>20</v>
      </c>
      <c r="J614" s="2">
        <f>IFERROR(__xludf.DUMMYFUNCTION("""COMPUTED_VALUE"""),1077.84)</f>
        <v>1077.84</v>
      </c>
      <c r="K614" s="2">
        <f>IFERROR(__xludf.DUMMYFUNCTION("""COMPUTED_VALUE"""),1077.84)</f>
        <v>1077.84</v>
      </c>
    </row>
    <row r="615">
      <c r="A615" s="2">
        <f>IFERROR(__xludf.DUMMYFUNCTION("""COMPUTED_VALUE"""),1000.0)</f>
        <v>1000</v>
      </c>
      <c r="B615" s="2">
        <f>IFERROR(__xludf.DUMMYFUNCTION("""COMPUTED_VALUE"""),183896.0)</f>
        <v>183896</v>
      </c>
      <c r="C615" s="2">
        <f>IFERROR(__xludf.DUMMYFUNCTION("""COMPUTED_VALUE"""),2026.0)</f>
        <v>2026</v>
      </c>
      <c r="D615" s="2">
        <f>IFERROR(__xludf.DUMMYFUNCTION("""COMPUTED_VALUE"""),46270.0)</f>
        <v>46270</v>
      </c>
      <c r="E615" s="2" t="str">
        <f>IFERROR(__xludf.DUMMYFUNCTION("""COMPUTED_VALUE"""),"VF")</f>
        <v>VF</v>
      </c>
      <c r="F615" s="2">
        <f>IFERROR(__xludf.DUMMYFUNCTION("""COMPUTED_VALUE"""),1.0)</f>
        <v>1</v>
      </c>
      <c r="G615" s="2" t="str">
        <f>IFERROR(__xludf.DUMMYFUNCTION("""COMPUTED_VALUE"""),"PR001")</f>
        <v>PR001</v>
      </c>
      <c r="H615" s="2" t="str">
        <f>IFERROR(__xludf.DUMMYFUNCTION("""COMPUTED_VALUE"""),"VD039")</f>
        <v>VD039</v>
      </c>
      <c r="I615" s="2">
        <f>IFERROR(__xludf.DUMMYFUNCTION("""COMPUTED_VALUE"""),5.0)</f>
        <v>5</v>
      </c>
      <c r="J615" s="2">
        <f>IFERROR(__xludf.DUMMYFUNCTION("""COMPUTED_VALUE"""),345.98)</f>
        <v>345.98</v>
      </c>
      <c r="K615" s="2">
        <f>IFERROR(__xludf.DUMMYFUNCTION("""COMPUTED_VALUE"""),345.98)</f>
        <v>345.98</v>
      </c>
    </row>
    <row r="616">
      <c r="A616" s="2">
        <f>IFERROR(__xludf.DUMMYFUNCTION("""COMPUTED_VALUE"""),1000.0)</f>
        <v>1000</v>
      </c>
      <c r="B616" s="2">
        <f>IFERROR(__xludf.DUMMYFUNCTION("""COMPUTED_VALUE"""),183897.0)</f>
        <v>183897</v>
      </c>
      <c r="C616" s="2">
        <f>IFERROR(__xludf.DUMMYFUNCTION("""COMPUTED_VALUE"""),2026.0)</f>
        <v>2026</v>
      </c>
      <c r="D616" s="2">
        <f>IFERROR(__xludf.DUMMYFUNCTION("""COMPUTED_VALUE"""),46270.0)</f>
        <v>46270</v>
      </c>
      <c r="E616" s="2" t="str">
        <f>IFERROR(__xludf.DUMMYFUNCTION("""COMPUTED_VALUE"""),"VF")</f>
        <v>VF</v>
      </c>
      <c r="F616" s="2">
        <f>IFERROR(__xludf.DUMMYFUNCTION("""COMPUTED_VALUE"""),1.0)</f>
        <v>1</v>
      </c>
      <c r="G616" s="2" t="str">
        <f>IFERROR(__xludf.DUMMYFUNCTION("""COMPUTED_VALUE"""),"PR051")</f>
        <v>PR051</v>
      </c>
      <c r="H616" s="2" t="str">
        <f>IFERROR(__xludf.DUMMYFUNCTION("""COMPUTED_VALUE"""),"VD031")</f>
        <v>VD031</v>
      </c>
      <c r="I616" s="2">
        <f>IFERROR(__xludf.DUMMYFUNCTION("""COMPUTED_VALUE"""),5.0)</f>
        <v>5</v>
      </c>
      <c r="J616" s="2">
        <f>IFERROR(__xludf.DUMMYFUNCTION("""COMPUTED_VALUE"""),164.5)</f>
        <v>164.5</v>
      </c>
      <c r="K616" s="2">
        <f>IFERROR(__xludf.DUMMYFUNCTION("""COMPUTED_VALUE"""),164.5)</f>
        <v>164.5</v>
      </c>
    </row>
    <row r="617">
      <c r="A617" s="2">
        <f>IFERROR(__xludf.DUMMYFUNCTION("""COMPUTED_VALUE"""),1000.0)</f>
        <v>1000</v>
      </c>
      <c r="B617" s="2">
        <f>IFERROR(__xludf.DUMMYFUNCTION("""COMPUTED_VALUE"""),183897.0)</f>
        <v>183897</v>
      </c>
      <c r="C617" s="2">
        <f>IFERROR(__xludf.DUMMYFUNCTION("""COMPUTED_VALUE"""),2026.0)</f>
        <v>2026</v>
      </c>
      <c r="D617" s="2">
        <f>IFERROR(__xludf.DUMMYFUNCTION("""COMPUTED_VALUE"""),46270.0)</f>
        <v>46270</v>
      </c>
      <c r="E617" s="2" t="str">
        <f>IFERROR(__xludf.DUMMYFUNCTION("""COMPUTED_VALUE"""),"VF")</f>
        <v>VF</v>
      </c>
      <c r="F617" s="2">
        <f>IFERROR(__xludf.DUMMYFUNCTION("""COMPUTED_VALUE"""),2.0)</f>
        <v>2</v>
      </c>
      <c r="G617" s="2" t="str">
        <f>IFERROR(__xludf.DUMMYFUNCTION("""COMPUTED_VALUE"""),"PR007")</f>
        <v>PR007</v>
      </c>
      <c r="H617" s="2" t="str">
        <f>IFERROR(__xludf.DUMMYFUNCTION("""COMPUTED_VALUE"""),"VD023")</f>
        <v>VD023</v>
      </c>
      <c r="I617" s="2">
        <f>IFERROR(__xludf.DUMMYFUNCTION("""COMPUTED_VALUE"""),4.0)</f>
        <v>4</v>
      </c>
      <c r="J617" s="2">
        <f>IFERROR(__xludf.DUMMYFUNCTION("""COMPUTED_VALUE"""),367.65)</f>
        <v>367.65</v>
      </c>
      <c r="K617" s="2">
        <f>IFERROR(__xludf.DUMMYFUNCTION("""COMPUTED_VALUE"""),367.65)</f>
        <v>367.65</v>
      </c>
    </row>
    <row r="618">
      <c r="A618" s="2">
        <f>IFERROR(__xludf.DUMMYFUNCTION("""COMPUTED_VALUE"""),1000.0)</f>
        <v>1000</v>
      </c>
      <c r="B618" s="2">
        <f>IFERROR(__xludf.DUMMYFUNCTION("""COMPUTED_VALUE"""),183898.0)</f>
        <v>183898</v>
      </c>
      <c r="C618" s="2">
        <f>IFERROR(__xludf.DUMMYFUNCTION("""COMPUTED_VALUE"""),2026.0)</f>
        <v>2026</v>
      </c>
      <c r="D618" s="2">
        <f>IFERROR(__xludf.DUMMYFUNCTION("""COMPUTED_VALUE"""),46270.0)</f>
        <v>46270</v>
      </c>
      <c r="E618" s="2" t="str">
        <f>IFERROR(__xludf.DUMMYFUNCTION("""COMPUTED_VALUE"""),"VF")</f>
        <v>VF</v>
      </c>
      <c r="F618" s="2">
        <f>IFERROR(__xludf.DUMMYFUNCTION("""COMPUTED_VALUE"""),1.0)</f>
        <v>1</v>
      </c>
      <c r="G618" s="2" t="str">
        <f>IFERROR(__xludf.DUMMYFUNCTION("""COMPUTED_VALUE"""),"PR039")</f>
        <v>PR039</v>
      </c>
      <c r="H618" s="2" t="str">
        <f>IFERROR(__xludf.DUMMYFUNCTION("""COMPUTED_VALUE"""),"VD019")</f>
        <v>VD019</v>
      </c>
      <c r="I618" s="2">
        <f>IFERROR(__xludf.DUMMYFUNCTION("""COMPUTED_VALUE"""),3.0)</f>
        <v>3</v>
      </c>
      <c r="J618" s="2">
        <f>IFERROR(__xludf.DUMMYFUNCTION("""COMPUTED_VALUE"""),459.9)</f>
        <v>459.9</v>
      </c>
      <c r="K618" s="2">
        <f>IFERROR(__xludf.DUMMYFUNCTION("""COMPUTED_VALUE"""),459.9)</f>
        <v>459.9</v>
      </c>
    </row>
    <row r="619">
      <c r="A619" s="2">
        <f>IFERROR(__xludf.DUMMYFUNCTION("""COMPUTED_VALUE"""),1000.0)</f>
        <v>1000</v>
      </c>
      <c r="B619" s="2">
        <f>IFERROR(__xludf.DUMMYFUNCTION("""COMPUTED_VALUE"""),183898.0)</f>
        <v>183898</v>
      </c>
      <c r="C619" s="2">
        <f>IFERROR(__xludf.DUMMYFUNCTION("""COMPUTED_VALUE"""),2026.0)</f>
        <v>2026</v>
      </c>
      <c r="D619" s="2">
        <f>IFERROR(__xludf.DUMMYFUNCTION("""COMPUTED_VALUE"""),46270.0)</f>
        <v>46270</v>
      </c>
      <c r="E619" s="2" t="str">
        <f>IFERROR(__xludf.DUMMYFUNCTION("""COMPUTED_VALUE"""),"VF")</f>
        <v>VF</v>
      </c>
      <c r="F619" s="2">
        <f>IFERROR(__xludf.DUMMYFUNCTION("""COMPUTED_VALUE"""),2.0)</f>
        <v>2</v>
      </c>
      <c r="G619" s="2" t="str">
        <f>IFERROR(__xludf.DUMMYFUNCTION("""COMPUTED_VALUE"""),"PR033")</f>
        <v>PR033</v>
      </c>
      <c r="H619" s="2" t="str">
        <f>IFERROR(__xludf.DUMMYFUNCTION("""COMPUTED_VALUE"""),"VD041")</f>
        <v>VD041</v>
      </c>
      <c r="I619" s="2">
        <f>IFERROR(__xludf.DUMMYFUNCTION("""COMPUTED_VALUE"""),5.0)</f>
        <v>5</v>
      </c>
      <c r="J619" s="2">
        <f>IFERROR(__xludf.DUMMYFUNCTION("""COMPUTED_VALUE"""),1351.48)</f>
        <v>1351.48</v>
      </c>
      <c r="K619" s="2">
        <f>IFERROR(__xludf.DUMMYFUNCTION("""COMPUTED_VALUE"""),1351.48)</f>
        <v>1351.48</v>
      </c>
    </row>
    <row r="620">
      <c r="A620" s="2">
        <f>IFERROR(__xludf.DUMMYFUNCTION("""COMPUTED_VALUE"""),1000.0)</f>
        <v>1000</v>
      </c>
      <c r="B620" s="2">
        <f>IFERROR(__xludf.DUMMYFUNCTION("""COMPUTED_VALUE"""),183899.0)</f>
        <v>183899</v>
      </c>
      <c r="C620" s="2">
        <f>IFERROR(__xludf.DUMMYFUNCTION("""COMPUTED_VALUE"""),2026.0)</f>
        <v>2026</v>
      </c>
      <c r="D620" s="2">
        <f>IFERROR(__xludf.DUMMYFUNCTION("""COMPUTED_VALUE"""),46269.0)</f>
        <v>46269</v>
      </c>
      <c r="E620" s="2" t="str">
        <f>IFERROR(__xludf.DUMMYFUNCTION("""COMPUTED_VALUE"""),"VF")</f>
        <v>VF</v>
      </c>
      <c r="F620" s="2">
        <f>IFERROR(__xludf.DUMMYFUNCTION("""COMPUTED_VALUE"""),1.0)</f>
        <v>1</v>
      </c>
      <c r="G620" s="2" t="str">
        <f>IFERROR(__xludf.DUMMYFUNCTION("""COMPUTED_VALUE"""),"PR043")</f>
        <v>PR043</v>
      </c>
      <c r="H620" s="2" t="str">
        <f>IFERROR(__xludf.DUMMYFUNCTION("""COMPUTED_VALUE"""),"VD035")</f>
        <v>VD035</v>
      </c>
      <c r="I620" s="2">
        <f>IFERROR(__xludf.DUMMYFUNCTION("""COMPUTED_VALUE"""),6.0)</f>
        <v>6</v>
      </c>
      <c r="J620" s="2">
        <f>IFERROR(__xludf.DUMMYFUNCTION("""COMPUTED_VALUE"""),474.15)</f>
        <v>474.15</v>
      </c>
      <c r="K620" s="2">
        <f>IFERROR(__xludf.DUMMYFUNCTION("""COMPUTED_VALUE"""),474.15)</f>
        <v>474.15</v>
      </c>
    </row>
    <row r="621">
      <c r="A621" s="2">
        <f>IFERROR(__xludf.DUMMYFUNCTION("""COMPUTED_VALUE"""),2000.0)</f>
        <v>2000</v>
      </c>
      <c r="B621" s="2">
        <f>IFERROR(__xludf.DUMMYFUNCTION("""COMPUTED_VALUE"""),183900.0)</f>
        <v>183900</v>
      </c>
      <c r="C621" s="2">
        <f>IFERROR(__xludf.DUMMYFUNCTION("""COMPUTED_VALUE"""),2026.0)</f>
        <v>2026</v>
      </c>
      <c r="D621" s="2">
        <f>IFERROR(__xludf.DUMMYFUNCTION("""COMPUTED_VALUE"""),46269.0)</f>
        <v>46269</v>
      </c>
      <c r="E621" s="2" t="str">
        <f>IFERROR(__xludf.DUMMYFUNCTION("""COMPUTED_VALUE"""),"VF")</f>
        <v>VF</v>
      </c>
      <c r="F621" s="2">
        <f>IFERROR(__xludf.DUMMYFUNCTION("""COMPUTED_VALUE"""),1.0)</f>
        <v>1</v>
      </c>
      <c r="G621" s="2" t="str">
        <f>IFERROR(__xludf.DUMMYFUNCTION("""COMPUTED_VALUE"""),"PR056")</f>
        <v>PR056</v>
      </c>
      <c r="H621" s="2" t="str">
        <f>IFERROR(__xludf.DUMMYFUNCTION("""COMPUTED_VALUE"""),"VD025")</f>
        <v>VD025</v>
      </c>
      <c r="I621" s="2">
        <f>IFERROR(__xludf.DUMMYFUNCTION("""COMPUTED_VALUE"""),1.0)</f>
        <v>1</v>
      </c>
      <c r="J621" s="2">
        <f>IFERROR(__xludf.DUMMYFUNCTION("""COMPUTED_VALUE"""),92.6)</f>
        <v>92.6</v>
      </c>
      <c r="K621" s="2">
        <f>IFERROR(__xludf.DUMMYFUNCTION("""COMPUTED_VALUE"""),92.6)</f>
        <v>92.6</v>
      </c>
    </row>
    <row r="622">
      <c r="A622" s="2">
        <f>IFERROR(__xludf.DUMMYFUNCTION("""COMPUTED_VALUE"""),1000.0)</f>
        <v>1000</v>
      </c>
      <c r="B622" s="2">
        <f>IFERROR(__xludf.DUMMYFUNCTION("""COMPUTED_VALUE"""),183901.0)</f>
        <v>183901</v>
      </c>
      <c r="C622" s="2">
        <f>IFERROR(__xludf.DUMMYFUNCTION("""COMPUTED_VALUE"""),2026.0)</f>
        <v>2026</v>
      </c>
      <c r="D622" s="2">
        <f>IFERROR(__xludf.DUMMYFUNCTION("""COMPUTED_VALUE"""),46269.0)</f>
        <v>46269</v>
      </c>
      <c r="E622" s="2" t="str">
        <f>IFERROR(__xludf.DUMMYFUNCTION("""COMPUTED_VALUE"""),"VF")</f>
        <v>VF</v>
      </c>
      <c r="F622" s="2">
        <f>IFERROR(__xludf.DUMMYFUNCTION("""COMPUTED_VALUE"""),1.0)</f>
        <v>1</v>
      </c>
      <c r="G622" s="2" t="str">
        <f>IFERROR(__xludf.DUMMYFUNCTION("""COMPUTED_VALUE"""),"PR032")</f>
        <v>PR032</v>
      </c>
      <c r="H622" s="2" t="str">
        <f>IFERROR(__xludf.DUMMYFUNCTION("""COMPUTED_VALUE"""),"VD033")</f>
        <v>VD033</v>
      </c>
      <c r="I622" s="2">
        <f>IFERROR(__xludf.DUMMYFUNCTION("""COMPUTED_VALUE"""),7.0)</f>
        <v>7</v>
      </c>
      <c r="J622" s="2">
        <f>IFERROR(__xludf.DUMMYFUNCTION("""COMPUTED_VALUE"""),1820.0)</f>
        <v>1820</v>
      </c>
      <c r="K622" s="2">
        <f>IFERROR(__xludf.DUMMYFUNCTION("""COMPUTED_VALUE"""),1820.0)</f>
        <v>1820</v>
      </c>
    </row>
    <row r="623">
      <c r="A623" s="2">
        <f>IFERROR(__xludf.DUMMYFUNCTION("""COMPUTED_VALUE"""),1000.0)</f>
        <v>1000</v>
      </c>
      <c r="B623" s="2">
        <f>IFERROR(__xludf.DUMMYFUNCTION("""COMPUTED_VALUE"""),183902.0)</f>
        <v>183902</v>
      </c>
      <c r="C623" s="2">
        <f>IFERROR(__xludf.DUMMYFUNCTION("""COMPUTED_VALUE"""),2026.0)</f>
        <v>2026</v>
      </c>
      <c r="D623" s="2">
        <f>IFERROR(__xludf.DUMMYFUNCTION("""COMPUTED_VALUE"""),46269.0)</f>
        <v>46269</v>
      </c>
      <c r="E623" s="2" t="str">
        <f>IFERROR(__xludf.DUMMYFUNCTION("""COMPUTED_VALUE"""),"VF")</f>
        <v>VF</v>
      </c>
      <c r="F623" s="2">
        <f>IFERROR(__xludf.DUMMYFUNCTION("""COMPUTED_VALUE"""),1.0)</f>
        <v>1</v>
      </c>
      <c r="G623" s="2" t="str">
        <f>IFERROR(__xludf.DUMMYFUNCTION("""COMPUTED_VALUE"""),"PR035")</f>
        <v>PR035</v>
      </c>
      <c r="H623" s="2" t="str">
        <f>IFERROR(__xludf.DUMMYFUNCTION("""COMPUTED_VALUE"""),"VD042")</f>
        <v>VD042</v>
      </c>
      <c r="I623" s="2">
        <f>IFERROR(__xludf.DUMMYFUNCTION("""COMPUTED_VALUE"""),4.0)</f>
        <v>4</v>
      </c>
      <c r="J623" s="2">
        <f>IFERROR(__xludf.DUMMYFUNCTION("""COMPUTED_VALUE"""),398.5)</f>
        <v>398.5</v>
      </c>
      <c r="K623" s="2">
        <f>IFERROR(__xludf.DUMMYFUNCTION("""COMPUTED_VALUE"""),398.5)</f>
        <v>398.5</v>
      </c>
    </row>
    <row r="624">
      <c r="A624" s="2">
        <f>IFERROR(__xludf.DUMMYFUNCTION("""COMPUTED_VALUE"""),1000.0)</f>
        <v>1000</v>
      </c>
      <c r="B624" s="2">
        <f>IFERROR(__xludf.DUMMYFUNCTION("""COMPUTED_VALUE"""),183903.0)</f>
        <v>183903</v>
      </c>
      <c r="C624" s="2">
        <f>IFERROR(__xludf.DUMMYFUNCTION("""COMPUTED_VALUE"""),2026.0)</f>
        <v>2026</v>
      </c>
      <c r="D624" s="2">
        <f>IFERROR(__xludf.DUMMYFUNCTION("""COMPUTED_VALUE"""),46269.0)</f>
        <v>46269</v>
      </c>
      <c r="E624" s="2" t="str">
        <f>IFERROR(__xludf.DUMMYFUNCTION("""COMPUTED_VALUE"""),"VF")</f>
        <v>VF</v>
      </c>
      <c r="F624" s="2">
        <f>IFERROR(__xludf.DUMMYFUNCTION("""COMPUTED_VALUE"""),1.0)</f>
        <v>1</v>
      </c>
      <c r="G624" s="2" t="str">
        <f>IFERROR(__xludf.DUMMYFUNCTION("""COMPUTED_VALUE"""),"PR011")</f>
        <v>PR011</v>
      </c>
      <c r="H624" s="2" t="str">
        <f>IFERROR(__xludf.DUMMYFUNCTION("""COMPUTED_VALUE"""),"VD030")</f>
        <v>VD030</v>
      </c>
      <c r="I624" s="2">
        <f>IFERROR(__xludf.DUMMYFUNCTION("""COMPUTED_VALUE"""),4.0)</f>
        <v>4</v>
      </c>
      <c r="J624" s="2">
        <f>IFERROR(__xludf.DUMMYFUNCTION("""COMPUTED_VALUE"""),193.23)</f>
        <v>193.23</v>
      </c>
      <c r="K624" s="2">
        <f>IFERROR(__xludf.DUMMYFUNCTION("""COMPUTED_VALUE"""),193.23)</f>
        <v>193.23</v>
      </c>
    </row>
    <row r="625">
      <c r="A625" s="2">
        <f>IFERROR(__xludf.DUMMYFUNCTION("""COMPUTED_VALUE"""),1000.0)</f>
        <v>1000</v>
      </c>
      <c r="B625" s="2">
        <f>IFERROR(__xludf.DUMMYFUNCTION("""COMPUTED_VALUE"""),183903.0)</f>
        <v>183903</v>
      </c>
      <c r="C625" s="2">
        <f>IFERROR(__xludf.DUMMYFUNCTION("""COMPUTED_VALUE"""),2026.0)</f>
        <v>2026</v>
      </c>
      <c r="D625" s="2">
        <f>IFERROR(__xludf.DUMMYFUNCTION("""COMPUTED_VALUE"""),46269.0)</f>
        <v>46269</v>
      </c>
      <c r="E625" s="2" t="str">
        <f>IFERROR(__xludf.DUMMYFUNCTION("""COMPUTED_VALUE"""),"VF")</f>
        <v>VF</v>
      </c>
      <c r="F625" s="2">
        <f>IFERROR(__xludf.DUMMYFUNCTION("""COMPUTED_VALUE"""),2.0)</f>
        <v>2</v>
      </c>
      <c r="G625" s="2" t="str">
        <f>IFERROR(__xludf.DUMMYFUNCTION("""COMPUTED_VALUE"""),"PR011")</f>
        <v>PR011</v>
      </c>
      <c r="H625" s="2" t="str">
        <f>IFERROR(__xludf.DUMMYFUNCTION("""COMPUTED_VALUE"""),"VD036")</f>
        <v>VD036</v>
      </c>
      <c r="I625" s="2">
        <f>IFERROR(__xludf.DUMMYFUNCTION("""COMPUTED_VALUE"""),2.0)</f>
        <v>2</v>
      </c>
      <c r="J625" s="2">
        <f>IFERROR(__xludf.DUMMYFUNCTION("""COMPUTED_VALUE"""),93.8)</f>
        <v>93.8</v>
      </c>
      <c r="K625" s="2">
        <f>IFERROR(__xludf.DUMMYFUNCTION("""COMPUTED_VALUE"""),93.8)</f>
        <v>93.8</v>
      </c>
    </row>
    <row r="626">
      <c r="A626" s="2">
        <f>IFERROR(__xludf.DUMMYFUNCTION("""COMPUTED_VALUE"""),1000.0)</f>
        <v>1000</v>
      </c>
      <c r="B626" s="2">
        <f>IFERROR(__xludf.DUMMYFUNCTION("""COMPUTED_VALUE"""),183904.0)</f>
        <v>183904</v>
      </c>
      <c r="C626" s="2">
        <f>IFERROR(__xludf.DUMMYFUNCTION("""COMPUTED_VALUE"""),2026.0)</f>
        <v>2026</v>
      </c>
      <c r="D626" s="2">
        <f>IFERROR(__xludf.DUMMYFUNCTION("""COMPUTED_VALUE"""),46268.0)</f>
        <v>46268</v>
      </c>
      <c r="E626" s="2" t="str">
        <f>IFERROR(__xludf.DUMMYFUNCTION("""COMPUTED_VALUE"""),"VF")</f>
        <v>VF</v>
      </c>
      <c r="F626" s="2">
        <f>IFERROR(__xludf.DUMMYFUNCTION("""COMPUTED_VALUE"""),1.0)</f>
        <v>1</v>
      </c>
      <c r="G626" s="2" t="str">
        <f>IFERROR(__xludf.DUMMYFUNCTION("""COMPUTED_VALUE"""),"PR039")</f>
        <v>PR039</v>
      </c>
      <c r="H626" s="2" t="str">
        <f>IFERROR(__xludf.DUMMYFUNCTION("""COMPUTED_VALUE"""),"VD031")</f>
        <v>VD031</v>
      </c>
      <c r="I626" s="2">
        <f>IFERROR(__xludf.DUMMYFUNCTION("""COMPUTED_VALUE"""),4.0)</f>
        <v>4</v>
      </c>
      <c r="J626" s="2">
        <f>IFERROR(__xludf.DUMMYFUNCTION("""COMPUTED_VALUE"""),624.88)</f>
        <v>624.88</v>
      </c>
      <c r="K626" s="2">
        <f>IFERROR(__xludf.DUMMYFUNCTION("""COMPUTED_VALUE"""),624.88)</f>
        <v>624.88</v>
      </c>
    </row>
    <row r="627">
      <c r="A627" s="2">
        <f>IFERROR(__xludf.DUMMYFUNCTION("""COMPUTED_VALUE"""),1000.0)</f>
        <v>1000</v>
      </c>
      <c r="B627" s="2">
        <f>IFERROR(__xludf.DUMMYFUNCTION("""COMPUTED_VALUE"""),183905.0)</f>
        <v>183905</v>
      </c>
      <c r="C627" s="2">
        <f>IFERROR(__xludf.DUMMYFUNCTION("""COMPUTED_VALUE"""),2026.0)</f>
        <v>2026</v>
      </c>
      <c r="D627" s="2">
        <f>IFERROR(__xludf.DUMMYFUNCTION("""COMPUTED_VALUE"""),46268.0)</f>
        <v>46268</v>
      </c>
      <c r="E627" s="2" t="str">
        <f>IFERROR(__xludf.DUMMYFUNCTION("""COMPUTED_VALUE"""),"VF")</f>
        <v>VF</v>
      </c>
      <c r="F627" s="2">
        <f>IFERROR(__xludf.DUMMYFUNCTION("""COMPUTED_VALUE"""),1.0)</f>
        <v>1</v>
      </c>
      <c r="G627" s="2" t="str">
        <f>IFERROR(__xludf.DUMMYFUNCTION("""COMPUTED_VALUE"""),"PR026")</f>
        <v>PR026</v>
      </c>
      <c r="H627" s="2" t="str">
        <f>IFERROR(__xludf.DUMMYFUNCTION("""COMPUTED_VALUE"""),"VD045")</f>
        <v>VD045</v>
      </c>
      <c r="I627" s="2">
        <f>IFERROR(__xludf.DUMMYFUNCTION("""COMPUTED_VALUE"""),16.0)</f>
        <v>16</v>
      </c>
      <c r="J627" s="2">
        <f>IFERROR(__xludf.DUMMYFUNCTION("""COMPUTED_VALUE"""),5822.34)</f>
        <v>5822.34</v>
      </c>
      <c r="K627" s="2">
        <f>IFERROR(__xludf.DUMMYFUNCTION("""COMPUTED_VALUE"""),5822.34)</f>
        <v>5822.34</v>
      </c>
    </row>
    <row r="628">
      <c r="A628" s="2">
        <f>IFERROR(__xludf.DUMMYFUNCTION("""COMPUTED_VALUE"""),1000.0)</f>
        <v>1000</v>
      </c>
      <c r="B628" s="2">
        <f>IFERROR(__xludf.DUMMYFUNCTION("""COMPUTED_VALUE"""),183906.0)</f>
        <v>183906</v>
      </c>
      <c r="C628" s="2">
        <f>IFERROR(__xludf.DUMMYFUNCTION("""COMPUTED_VALUE"""),2026.0)</f>
        <v>2026</v>
      </c>
      <c r="D628" s="2">
        <f>IFERROR(__xludf.DUMMYFUNCTION("""COMPUTED_VALUE"""),46268.0)</f>
        <v>46268</v>
      </c>
      <c r="E628" s="2" t="str">
        <f>IFERROR(__xludf.DUMMYFUNCTION("""COMPUTED_VALUE"""),"VF")</f>
        <v>VF</v>
      </c>
      <c r="F628" s="2">
        <f>IFERROR(__xludf.DUMMYFUNCTION("""COMPUTED_VALUE"""),1.0)</f>
        <v>1</v>
      </c>
      <c r="G628" s="2" t="str">
        <f>IFERROR(__xludf.DUMMYFUNCTION("""COMPUTED_VALUE"""),"PR048")</f>
        <v>PR048</v>
      </c>
      <c r="H628" s="2" t="str">
        <f>IFERROR(__xludf.DUMMYFUNCTION("""COMPUTED_VALUE"""),"VD029")</f>
        <v>VD029</v>
      </c>
      <c r="I628" s="2">
        <f>IFERROR(__xludf.DUMMYFUNCTION("""COMPUTED_VALUE"""),20.0)</f>
        <v>20</v>
      </c>
      <c r="J628" s="2">
        <f>IFERROR(__xludf.DUMMYFUNCTION("""COMPUTED_VALUE"""),6145.88)</f>
        <v>6145.88</v>
      </c>
      <c r="K628" s="2">
        <f>IFERROR(__xludf.DUMMYFUNCTION("""COMPUTED_VALUE"""),6145.88)</f>
        <v>6145.88</v>
      </c>
    </row>
    <row r="629">
      <c r="A629" s="2">
        <f>IFERROR(__xludf.DUMMYFUNCTION("""COMPUTED_VALUE"""),2000.0)</f>
        <v>2000</v>
      </c>
      <c r="B629" s="2">
        <f>IFERROR(__xludf.DUMMYFUNCTION("""COMPUTED_VALUE"""),183907.0)</f>
        <v>183907</v>
      </c>
      <c r="C629" s="2">
        <f>IFERROR(__xludf.DUMMYFUNCTION("""COMPUTED_VALUE"""),2026.0)</f>
        <v>2026</v>
      </c>
      <c r="D629" s="2">
        <f>IFERROR(__xludf.DUMMYFUNCTION("""COMPUTED_VALUE"""),46268.0)</f>
        <v>46268</v>
      </c>
      <c r="E629" s="2" t="str">
        <f>IFERROR(__xludf.DUMMYFUNCTION("""COMPUTED_VALUE"""),"VF")</f>
        <v>VF</v>
      </c>
      <c r="F629" s="2">
        <f>IFERROR(__xludf.DUMMYFUNCTION("""COMPUTED_VALUE"""),1.0)</f>
        <v>1</v>
      </c>
      <c r="G629" s="2" t="str">
        <f>IFERROR(__xludf.DUMMYFUNCTION("""COMPUTED_VALUE"""),"PR021")</f>
        <v>PR021</v>
      </c>
      <c r="H629" s="2" t="str">
        <f>IFERROR(__xludf.DUMMYFUNCTION("""COMPUTED_VALUE"""),"VD045")</f>
        <v>VD045</v>
      </c>
      <c r="I629" s="2">
        <f>IFERROR(__xludf.DUMMYFUNCTION("""COMPUTED_VALUE"""),6.0)</f>
        <v>6</v>
      </c>
      <c r="J629" s="2">
        <f>IFERROR(__xludf.DUMMYFUNCTION("""COMPUTED_VALUE"""),1817.4)</f>
        <v>1817.4</v>
      </c>
      <c r="K629" s="2">
        <f>IFERROR(__xludf.DUMMYFUNCTION("""COMPUTED_VALUE"""),1817.4)</f>
        <v>1817.4</v>
      </c>
    </row>
    <row r="630">
      <c r="A630" s="2">
        <f>IFERROR(__xludf.DUMMYFUNCTION("""COMPUTED_VALUE"""),1000.0)</f>
        <v>1000</v>
      </c>
      <c r="B630" s="2">
        <f>IFERROR(__xludf.DUMMYFUNCTION("""COMPUTED_VALUE"""),183908.0)</f>
        <v>183908</v>
      </c>
      <c r="C630" s="2">
        <f>IFERROR(__xludf.DUMMYFUNCTION("""COMPUTED_VALUE"""),2026.0)</f>
        <v>2026</v>
      </c>
      <c r="D630" s="2">
        <f>IFERROR(__xludf.DUMMYFUNCTION("""COMPUTED_VALUE"""),46268.0)</f>
        <v>46268</v>
      </c>
      <c r="E630" s="2" t="str">
        <f>IFERROR(__xludf.DUMMYFUNCTION("""COMPUTED_VALUE"""),"VF")</f>
        <v>VF</v>
      </c>
      <c r="F630" s="2">
        <f>IFERROR(__xludf.DUMMYFUNCTION("""COMPUTED_VALUE"""),1.0)</f>
        <v>1</v>
      </c>
      <c r="G630" s="2" t="str">
        <f>IFERROR(__xludf.DUMMYFUNCTION("""COMPUTED_VALUE"""),"PR047")</f>
        <v>PR047</v>
      </c>
      <c r="H630" s="2" t="str">
        <f>IFERROR(__xludf.DUMMYFUNCTION("""COMPUTED_VALUE"""),"VD030")</f>
        <v>VD030</v>
      </c>
      <c r="I630" s="2">
        <f>IFERROR(__xludf.DUMMYFUNCTION("""COMPUTED_VALUE"""),14.0)</f>
        <v>14</v>
      </c>
      <c r="J630" s="2">
        <f>IFERROR(__xludf.DUMMYFUNCTION("""COMPUTED_VALUE"""),4180.36)</f>
        <v>4180.36</v>
      </c>
      <c r="K630" s="2">
        <f>IFERROR(__xludf.DUMMYFUNCTION("""COMPUTED_VALUE"""),4180.36)</f>
        <v>4180.36</v>
      </c>
    </row>
    <row r="631">
      <c r="A631" s="2">
        <f>IFERROR(__xludf.DUMMYFUNCTION("""COMPUTED_VALUE"""),1000.0)</f>
        <v>1000</v>
      </c>
      <c r="B631" s="2">
        <f>IFERROR(__xludf.DUMMYFUNCTION("""COMPUTED_VALUE"""),183908.0)</f>
        <v>183908</v>
      </c>
      <c r="C631" s="2">
        <f>IFERROR(__xludf.DUMMYFUNCTION("""COMPUTED_VALUE"""),2026.0)</f>
        <v>2026</v>
      </c>
      <c r="D631" s="2">
        <f>IFERROR(__xludf.DUMMYFUNCTION("""COMPUTED_VALUE"""),46268.0)</f>
        <v>46268</v>
      </c>
      <c r="E631" s="2" t="str">
        <f>IFERROR(__xludf.DUMMYFUNCTION("""COMPUTED_VALUE"""),"VF")</f>
        <v>VF</v>
      </c>
      <c r="F631" s="2">
        <f>IFERROR(__xludf.DUMMYFUNCTION("""COMPUTED_VALUE"""),2.0)</f>
        <v>2</v>
      </c>
      <c r="G631" s="2" t="str">
        <f>IFERROR(__xludf.DUMMYFUNCTION("""COMPUTED_VALUE"""),"PR002")</f>
        <v>PR002</v>
      </c>
      <c r="H631" s="2" t="str">
        <f>IFERROR(__xludf.DUMMYFUNCTION("""COMPUTED_VALUE"""),"VD030")</f>
        <v>VD030</v>
      </c>
      <c r="I631" s="2">
        <f>IFERROR(__xludf.DUMMYFUNCTION("""COMPUTED_VALUE"""),8.0)</f>
        <v>8</v>
      </c>
      <c r="J631" s="2">
        <f>IFERROR(__xludf.DUMMYFUNCTION("""COMPUTED_VALUE"""),609.53)</f>
        <v>609.53</v>
      </c>
      <c r="K631" s="2">
        <f>IFERROR(__xludf.DUMMYFUNCTION("""COMPUTED_VALUE"""),609.53)</f>
        <v>609.53</v>
      </c>
    </row>
    <row r="632">
      <c r="A632" s="2">
        <f>IFERROR(__xludf.DUMMYFUNCTION("""COMPUTED_VALUE"""),1000.0)</f>
        <v>1000</v>
      </c>
      <c r="B632" s="2">
        <f>IFERROR(__xludf.DUMMYFUNCTION("""COMPUTED_VALUE"""),183909.0)</f>
        <v>183909</v>
      </c>
      <c r="C632" s="2">
        <f>IFERROR(__xludf.DUMMYFUNCTION("""COMPUTED_VALUE"""),2026.0)</f>
        <v>2026</v>
      </c>
      <c r="D632" s="2">
        <f>IFERROR(__xludf.DUMMYFUNCTION("""COMPUTED_VALUE"""),46268.0)</f>
        <v>46268</v>
      </c>
      <c r="E632" s="2" t="str">
        <f>IFERROR(__xludf.DUMMYFUNCTION("""COMPUTED_VALUE"""),"VF")</f>
        <v>VF</v>
      </c>
      <c r="F632" s="2">
        <f>IFERROR(__xludf.DUMMYFUNCTION("""COMPUTED_VALUE"""),1.0)</f>
        <v>1</v>
      </c>
      <c r="G632" s="2" t="str">
        <f>IFERROR(__xludf.DUMMYFUNCTION("""COMPUTED_VALUE"""),"PR048")</f>
        <v>PR048</v>
      </c>
      <c r="H632" s="2" t="str">
        <f>IFERROR(__xludf.DUMMYFUNCTION("""COMPUTED_VALUE"""),"VD040")</f>
        <v>VD040</v>
      </c>
      <c r="I632" s="2">
        <f>IFERROR(__xludf.DUMMYFUNCTION("""COMPUTED_VALUE"""),4.0)</f>
        <v>4</v>
      </c>
      <c r="J632" s="2">
        <f>IFERROR(__xludf.DUMMYFUNCTION("""COMPUTED_VALUE"""),1263.96)</f>
        <v>1263.96</v>
      </c>
      <c r="K632" s="2">
        <f>IFERROR(__xludf.DUMMYFUNCTION("""COMPUTED_VALUE"""),1263.96)</f>
        <v>1263.96</v>
      </c>
    </row>
    <row r="633">
      <c r="A633" s="2">
        <f>IFERROR(__xludf.DUMMYFUNCTION("""COMPUTED_VALUE"""),1000.0)</f>
        <v>1000</v>
      </c>
      <c r="B633" s="2">
        <f>IFERROR(__xludf.DUMMYFUNCTION("""COMPUTED_VALUE"""),183910.0)</f>
        <v>183910</v>
      </c>
      <c r="C633" s="2">
        <f>IFERROR(__xludf.DUMMYFUNCTION("""COMPUTED_VALUE"""),2026.0)</f>
        <v>2026</v>
      </c>
      <c r="D633" s="2">
        <f>IFERROR(__xludf.DUMMYFUNCTION("""COMPUTED_VALUE"""),46268.0)</f>
        <v>46268</v>
      </c>
      <c r="E633" s="2" t="str">
        <f>IFERROR(__xludf.DUMMYFUNCTION("""COMPUTED_VALUE"""),"VF")</f>
        <v>VF</v>
      </c>
      <c r="F633" s="2">
        <f>IFERROR(__xludf.DUMMYFUNCTION("""COMPUTED_VALUE"""),1.0)</f>
        <v>1</v>
      </c>
      <c r="G633" s="2" t="str">
        <f>IFERROR(__xludf.DUMMYFUNCTION("""COMPUTED_VALUE"""),"PR017")</f>
        <v>PR017</v>
      </c>
      <c r="H633" s="2" t="str">
        <f>IFERROR(__xludf.DUMMYFUNCTION("""COMPUTED_VALUE"""),"VD019")</f>
        <v>VD019</v>
      </c>
      <c r="I633" s="2">
        <f>IFERROR(__xludf.DUMMYFUNCTION("""COMPUTED_VALUE"""),10.0)</f>
        <v>10</v>
      </c>
      <c r="J633" s="2">
        <f>IFERROR(__xludf.DUMMYFUNCTION("""COMPUTED_VALUE"""),304.98)</f>
        <v>304.98</v>
      </c>
      <c r="K633" s="2">
        <f>IFERROR(__xludf.DUMMYFUNCTION("""COMPUTED_VALUE"""),304.98)</f>
        <v>304.98</v>
      </c>
    </row>
    <row r="634">
      <c r="A634" s="2">
        <f>IFERROR(__xludf.DUMMYFUNCTION("""COMPUTED_VALUE"""),1000.0)</f>
        <v>1000</v>
      </c>
      <c r="B634" s="2">
        <f>IFERROR(__xludf.DUMMYFUNCTION("""COMPUTED_VALUE"""),183910.0)</f>
        <v>183910</v>
      </c>
      <c r="C634" s="2">
        <f>IFERROR(__xludf.DUMMYFUNCTION("""COMPUTED_VALUE"""),2026.0)</f>
        <v>2026</v>
      </c>
      <c r="D634" s="2">
        <f>IFERROR(__xludf.DUMMYFUNCTION("""COMPUTED_VALUE"""),46268.0)</f>
        <v>46268</v>
      </c>
      <c r="E634" s="2" t="str">
        <f>IFERROR(__xludf.DUMMYFUNCTION("""COMPUTED_VALUE"""),"VF")</f>
        <v>VF</v>
      </c>
      <c r="F634" s="2">
        <f>IFERROR(__xludf.DUMMYFUNCTION("""COMPUTED_VALUE"""),2.0)</f>
        <v>2</v>
      </c>
      <c r="G634" s="2" t="str">
        <f>IFERROR(__xludf.DUMMYFUNCTION("""COMPUTED_VALUE"""),"PR058")</f>
        <v>PR058</v>
      </c>
      <c r="H634" s="2" t="str">
        <f>IFERROR(__xludf.DUMMYFUNCTION("""COMPUTED_VALUE"""),"VD046")</f>
        <v>VD046</v>
      </c>
      <c r="I634" s="2">
        <f>IFERROR(__xludf.DUMMYFUNCTION("""COMPUTED_VALUE"""),1.0)</f>
        <v>1</v>
      </c>
      <c r="J634" s="2">
        <f>IFERROR(__xludf.DUMMYFUNCTION("""COMPUTED_VALUE"""),189.0)</f>
        <v>189</v>
      </c>
      <c r="K634" s="2">
        <f>IFERROR(__xludf.DUMMYFUNCTION("""COMPUTED_VALUE"""),189.0)</f>
        <v>189</v>
      </c>
    </row>
    <row r="635">
      <c r="A635" s="2">
        <f>IFERROR(__xludf.DUMMYFUNCTION("""COMPUTED_VALUE"""),1000.0)</f>
        <v>1000</v>
      </c>
      <c r="B635" s="2">
        <f>IFERROR(__xludf.DUMMYFUNCTION("""COMPUTED_VALUE"""),183911.0)</f>
        <v>183911</v>
      </c>
      <c r="C635" s="2">
        <f>IFERROR(__xludf.DUMMYFUNCTION("""COMPUTED_VALUE"""),2026.0)</f>
        <v>2026</v>
      </c>
      <c r="D635" s="2">
        <f>IFERROR(__xludf.DUMMYFUNCTION("""COMPUTED_VALUE"""),46267.0)</f>
        <v>46267</v>
      </c>
      <c r="E635" s="2" t="str">
        <f>IFERROR(__xludf.DUMMYFUNCTION("""COMPUTED_VALUE"""),"VF")</f>
        <v>VF</v>
      </c>
      <c r="F635" s="2">
        <f>IFERROR(__xludf.DUMMYFUNCTION("""COMPUTED_VALUE"""),1.0)</f>
        <v>1</v>
      </c>
      <c r="G635" s="2" t="str">
        <f>IFERROR(__xludf.DUMMYFUNCTION("""COMPUTED_VALUE"""),"PR040")</f>
        <v>PR040</v>
      </c>
      <c r="H635" s="2" t="str">
        <f>IFERROR(__xludf.DUMMYFUNCTION("""COMPUTED_VALUE"""),"VD020")</f>
        <v>VD020</v>
      </c>
      <c r="I635" s="2">
        <f>IFERROR(__xludf.DUMMYFUNCTION("""COMPUTED_VALUE"""),10.0)</f>
        <v>10</v>
      </c>
      <c r="J635" s="2">
        <f>IFERROR(__xludf.DUMMYFUNCTION("""COMPUTED_VALUE"""),770.0)</f>
        <v>770</v>
      </c>
      <c r="K635" s="2">
        <f>IFERROR(__xludf.DUMMYFUNCTION("""COMPUTED_VALUE"""),770.0)</f>
        <v>770</v>
      </c>
    </row>
    <row r="636">
      <c r="A636" s="2">
        <f>IFERROR(__xludf.DUMMYFUNCTION("""COMPUTED_VALUE"""),2000.0)</f>
        <v>2000</v>
      </c>
      <c r="B636" s="2">
        <f>IFERROR(__xludf.DUMMYFUNCTION("""COMPUTED_VALUE"""),183912.0)</f>
        <v>183912</v>
      </c>
      <c r="C636" s="2">
        <f>IFERROR(__xludf.DUMMYFUNCTION("""COMPUTED_VALUE"""),2026.0)</f>
        <v>2026</v>
      </c>
      <c r="D636" s="2">
        <f>IFERROR(__xludf.DUMMYFUNCTION("""COMPUTED_VALUE"""),46267.0)</f>
        <v>46267</v>
      </c>
      <c r="E636" s="2" t="str">
        <f>IFERROR(__xludf.DUMMYFUNCTION("""COMPUTED_VALUE"""),"VF")</f>
        <v>VF</v>
      </c>
      <c r="F636" s="2">
        <f>IFERROR(__xludf.DUMMYFUNCTION("""COMPUTED_VALUE"""),1.0)</f>
        <v>1</v>
      </c>
      <c r="G636" s="2" t="str">
        <f>IFERROR(__xludf.DUMMYFUNCTION("""COMPUTED_VALUE"""),"PR014")</f>
        <v>PR014</v>
      </c>
      <c r="H636" s="2" t="str">
        <f>IFERROR(__xludf.DUMMYFUNCTION("""COMPUTED_VALUE"""),"VD028")</f>
        <v>VD028</v>
      </c>
      <c r="I636" s="2">
        <f>IFERROR(__xludf.DUMMYFUNCTION("""COMPUTED_VALUE"""),8.0)</f>
        <v>8</v>
      </c>
      <c r="J636" s="2">
        <f>IFERROR(__xludf.DUMMYFUNCTION("""COMPUTED_VALUE"""),331.97)</f>
        <v>331.97</v>
      </c>
      <c r="K636" s="2">
        <f>IFERROR(__xludf.DUMMYFUNCTION("""COMPUTED_VALUE"""),331.97)</f>
        <v>331.97</v>
      </c>
    </row>
    <row r="637">
      <c r="A637" s="2">
        <f>IFERROR(__xludf.DUMMYFUNCTION("""COMPUTED_VALUE"""),1000.0)</f>
        <v>1000</v>
      </c>
      <c r="B637" s="2">
        <f>IFERROR(__xludf.DUMMYFUNCTION("""COMPUTED_VALUE"""),183913.0)</f>
        <v>183913</v>
      </c>
      <c r="C637" s="2">
        <f>IFERROR(__xludf.DUMMYFUNCTION("""COMPUTED_VALUE"""),2026.0)</f>
        <v>2026</v>
      </c>
      <c r="D637" s="2">
        <f>IFERROR(__xludf.DUMMYFUNCTION("""COMPUTED_VALUE"""),46266.0)</f>
        <v>46266</v>
      </c>
      <c r="E637" s="2" t="str">
        <f>IFERROR(__xludf.DUMMYFUNCTION("""COMPUTED_VALUE"""),"VF")</f>
        <v>VF</v>
      </c>
      <c r="F637" s="2">
        <f>IFERROR(__xludf.DUMMYFUNCTION("""COMPUTED_VALUE"""),1.0)</f>
        <v>1</v>
      </c>
      <c r="G637" s="2" t="str">
        <f>IFERROR(__xludf.DUMMYFUNCTION("""COMPUTED_VALUE"""),"PR021")</f>
        <v>PR021</v>
      </c>
      <c r="H637" s="2" t="str">
        <f>IFERROR(__xludf.DUMMYFUNCTION("""COMPUTED_VALUE"""),"VD022")</f>
        <v>VD022</v>
      </c>
      <c r="I637" s="2">
        <f>IFERROR(__xludf.DUMMYFUNCTION("""COMPUTED_VALUE"""),8.0)</f>
        <v>8</v>
      </c>
      <c r="J637" s="2">
        <f>IFERROR(__xludf.DUMMYFUNCTION("""COMPUTED_VALUE"""),2447.43)</f>
        <v>2447.43</v>
      </c>
      <c r="K637" s="2">
        <f>IFERROR(__xludf.DUMMYFUNCTION("""COMPUTED_VALUE"""),2447.43)</f>
        <v>2447.43</v>
      </c>
    </row>
    <row r="638">
      <c r="A638" s="2">
        <f>IFERROR(__xludf.DUMMYFUNCTION("""COMPUTED_VALUE"""),1000.0)</f>
        <v>1000</v>
      </c>
      <c r="B638" s="2">
        <f>IFERROR(__xludf.DUMMYFUNCTION("""COMPUTED_VALUE"""),183914.0)</f>
        <v>183914</v>
      </c>
      <c r="C638" s="2">
        <f>IFERROR(__xludf.DUMMYFUNCTION("""COMPUTED_VALUE"""),2026.0)</f>
        <v>2026</v>
      </c>
      <c r="D638" s="2">
        <f>IFERROR(__xludf.DUMMYFUNCTION("""COMPUTED_VALUE"""),46266.0)</f>
        <v>46266</v>
      </c>
      <c r="E638" s="2" t="str">
        <f>IFERROR(__xludf.DUMMYFUNCTION("""COMPUTED_VALUE"""),"VF")</f>
        <v>VF</v>
      </c>
      <c r="F638" s="2">
        <f>IFERROR(__xludf.DUMMYFUNCTION("""COMPUTED_VALUE"""),1.0)</f>
        <v>1</v>
      </c>
      <c r="G638" s="2" t="str">
        <f>IFERROR(__xludf.DUMMYFUNCTION("""COMPUTED_VALUE"""),"PR028")</f>
        <v>PR028</v>
      </c>
      <c r="H638" s="2" t="str">
        <f>IFERROR(__xludf.DUMMYFUNCTION("""COMPUTED_VALUE"""),"VD021")</f>
        <v>VD021</v>
      </c>
      <c r="I638" s="2">
        <f>IFERROR(__xludf.DUMMYFUNCTION("""COMPUTED_VALUE"""),10.0)</f>
        <v>10</v>
      </c>
      <c r="J638" s="2">
        <f>IFERROR(__xludf.DUMMYFUNCTION("""COMPUTED_VALUE"""),2723.91)</f>
        <v>2723.91</v>
      </c>
      <c r="K638" s="2">
        <f>IFERROR(__xludf.DUMMYFUNCTION("""COMPUTED_VALUE"""),2723.91)</f>
        <v>2723.91</v>
      </c>
    </row>
    <row r="639">
      <c r="A639" s="2">
        <f>IFERROR(__xludf.DUMMYFUNCTION("""COMPUTED_VALUE"""),2000.0)</f>
        <v>2000</v>
      </c>
      <c r="B639" s="2">
        <f>IFERROR(__xludf.DUMMYFUNCTION("""COMPUTED_VALUE"""),183915.0)</f>
        <v>183915</v>
      </c>
      <c r="C639" s="2">
        <f>IFERROR(__xludf.DUMMYFUNCTION("""COMPUTED_VALUE"""),2026.0)</f>
        <v>2026</v>
      </c>
      <c r="D639" s="2">
        <f>IFERROR(__xludf.DUMMYFUNCTION("""COMPUTED_VALUE"""),46266.0)</f>
        <v>46266</v>
      </c>
      <c r="E639" s="2" t="str">
        <f>IFERROR(__xludf.DUMMYFUNCTION("""COMPUTED_VALUE"""),"VF")</f>
        <v>VF</v>
      </c>
      <c r="F639" s="2">
        <f>IFERROR(__xludf.DUMMYFUNCTION("""COMPUTED_VALUE"""),1.0)</f>
        <v>1</v>
      </c>
      <c r="G639" s="2" t="str">
        <f>IFERROR(__xludf.DUMMYFUNCTION("""COMPUTED_VALUE"""),"PR052")</f>
        <v>PR052</v>
      </c>
      <c r="H639" s="2" t="str">
        <f>IFERROR(__xludf.DUMMYFUNCTION("""COMPUTED_VALUE"""),"VD018")</f>
        <v>VD018</v>
      </c>
      <c r="I639" s="2">
        <f>IFERROR(__xludf.DUMMYFUNCTION("""COMPUTED_VALUE"""),5.0)</f>
        <v>5</v>
      </c>
      <c r="J639" s="2">
        <f>IFERROR(__xludf.DUMMYFUNCTION("""COMPUTED_VALUE"""),259.48)</f>
        <v>259.48</v>
      </c>
      <c r="K639" s="2">
        <f>IFERROR(__xludf.DUMMYFUNCTION("""COMPUTED_VALUE"""),259.48)</f>
        <v>259.48</v>
      </c>
    </row>
    <row r="640">
      <c r="A640" s="2">
        <f>IFERROR(__xludf.DUMMYFUNCTION("""COMPUTED_VALUE"""),2000.0)</f>
        <v>2000</v>
      </c>
      <c r="B640" s="2">
        <f>IFERROR(__xludf.DUMMYFUNCTION("""COMPUTED_VALUE"""),183915.0)</f>
        <v>183915</v>
      </c>
      <c r="C640" s="2">
        <f>IFERROR(__xludf.DUMMYFUNCTION("""COMPUTED_VALUE"""),2026.0)</f>
        <v>2026</v>
      </c>
      <c r="D640" s="2">
        <f>IFERROR(__xludf.DUMMYFUNCTION("""COMPUTED_VALUE"""),46266.0)</f>
        <v>46266</v>
      </c>
      <c r="E640" s="2" t="str">
        <f>IFERROR(__xludf.DUMMYFUNCTION("""COMPUTED_VALUE"""),"VF")</f>
        <v>VF</v>
      </c>
      <c r="F640" s="2">
        <f>IFERROR(__xludf.DUMMYFUNCTION("""COMPUTED_VALUE"""),2.0)</f>
        <v>2</v>
      </c>
      <c r="G640" s="2" t="str">
        <f>IFERROR(__xludf.DUMMYFUNCTION("""COMPUTED_VALUE"""),"PR042")</f>
        <v>PR042</v>
      </c>
      <c r="H640" s="2" t="str">
        <f>IFERROR(__xludf.DUMMYFUNCTION("""COMPUTED_VALUE"""),"VD011")</f>
        <v>VD011</v>
      </c>
      <c r="I640" s="2">
        <f>IFERROR(__xludf.DUMMYFUNCTION("""COMPUTED_VALUE"""),9.0)</f>
        <v>9</v>
      </c>
      <c r="J640" s="2">
        <f>IFERROR(__xludf.DUMMYFUNCTION("""COMPUTED_VALUE"""),523.75)</f>
        <v>523.75</v>
      </c>
      <c r="K640" s="2">
        <f>IFERROR(__xludf.DUMMYFUNCTION("""COMPUTED_VALUE"""),523.75)</f>
        <v>523.75</v>
      </c>
    </row>
    <row r="641">
      <c r="A641" s="2">
        <f>IFERROR(__xludf.DUMMYFUNCTION("""COMPUTED_VALUE"""),1000.0)</f>
        <v>1000</v>
      </c>
      <c r="B641" s="2">
        <f>IFERROR(__xludf.DUMMYFUNCTION("""COMPUTED_VALUE"""),183916.0)</f>
        <v>183916</v>
      </c>
      <c r="C641" s="2">
        <f>IFERROR(__xludf.DUMMYFUNCTION("""COMPUTED_VALUE"""),2026.0)</f>
        <v>2026</v>
      </c>
      <c r="D641" s="2">
        <f>IFERROR(__xludf.DUMMYFUNCTION("""COMPUTED_VALUE"""),46265.0)</f>
        <v>46265</v>
      </c>
      <c r="E641" s="2" t="str">
        <f>IFERROR(__xludf.DUMMYFUNCTION("""COMPUTED_VALUE"""),"VF")</f>
        <v>VF</v>
      </c>
      <c r="F641" s="2">
        <f>IFERROR(__xludf.DUMMYFUNCTION("""COMPUTED_VALUE"""),1.0)</f>
        <v>1</v>
      </c>
      <c r="G641" s="2" t="str">
        <f>IFERROR(__xludf.DUMMYFUNCTION("""COMPUTED_VALUE"""),"PR034")</f>
        <v>PR034</v>
      </c>
      <c r="H641" s="2" t="str">
        <f>IFERROR(__xludf.DUMMYFUNCTION("""COMPUTED_VALUE"""),"VD033")</f>
        <v>VD033</v>
      </c>
      <c r="I641" s="2">
        <f>IFERROR(__xludf.DUMMYFUNCTION("""COMPUTED_VALUE"""),6.0)</f>
        <v>6</v>
      </c>
      <c r="J641" s="2">
        <f>IFERROR(__xludf.DUMMYFUNCTION("""COMPUTED_VALUE"""),539.4)</f>
        <v>539.4</v>
      </c>
      <c r="K641" s="2">
        <f>IFERROR(__xludf.DUMMYFUNCTION("""COMPUTED_VALUE"""),539.4)</f>
        <v>539.4</v>
      </c>
    </row>
    <row r="642">
      <c r="A642" s="2">
        <f>IFERROR(__xludf.DUMMYFUNCTION("""COMPUTED_VALUE"""),1000.0)</f>
        <v>1000</v>
      </c>
      <c r="B642" s="2">
        <f>IFERROR(__xludf.DUMMYFUNCTION("""COMPUTED_VALUE"""),183917.0)</f>
        <v>183917</v>
      </c>
      <c r="C642" s="2">
        <f>IFERROR(__xludf.DUMMYFUNCTION("""COMPUTED_VALUE"""),2026.0)</f>
        <v>2026</v>
      </c>
      <c r="D642" s="2">
        <f>IFERROR(__xludf.DUMMYFUNCTION("""COMPUTED_VALUE"""),46265.0)</f>
        <v>46265</v>
      </c>
      <c r="E642" s="2" t="str">
        <f>IFERROR(__xludf.DUMMYFUNCTION("""COMPUTED_VALUE"""),"VF")</f>
        <v>VF</v>
      </c>
      <c r="F642" s="2">
        <f>IFERROR(__xludf.DUMMYFUNCTION("""COMPUTED_VALUE"""),1.0)</f>
        <v>1</v>
      </c>
      <c r="G642" s="2" t="str">
        <f>IFERROR(__xludf.DUMMYFUNCTION("""COMPUTED_VALUE"""),"PR040")</f>
        <v>PR040</v>
      </c>
      <c r="H642" s="2" t="str">
        <f>IFERROR(__xludf.DUMMYFUNCTION("""COMPUTED_VALUE"""),"VD011")</f>
        <v>VD011</v>
      </c>
      <c r="I642" s="2">
        <f>IFERROR(__xludf.DUMMYFUNCTION("""COMPUTED_VALUE"""),2.0)</f>
        <v>2</v>
      </c>
      <c r="J642" s="2">
        <f>IFERROR(__xludf.DUMMYFUNCTION("""COMPUTED_VALUE"""),140.0)</f>
        <v>140</v>
      </c>
      <c r="K642" s="2">
        <f>IFERROR(__xludf.DUMMYFUNCTION("""COMPUTED_VALUE"""),140.0)</f>
        <v>140</v>
      </c>
    </row>
    <row r="643">
      <c r="A643" s="2">
        <f>IFERROR(__xludf.DUMMYFUNCTION("""COMPUTED_VALUE"""),1000.0)</f>
        <v>1000</v>
      </c>
      <c r="B643" s="2">
        <f>IFERROR(__xludf.DUMMYFUNCTION("""COMPUTED_VALUE"""),183918.0)</f>
        <v>183918</v>
      </c>
      <c r="C643" s="2">
        <f>IFERROR(__xludf.DUMMYFUNCTION("""COMPUTED_VALUE"""),2026.0)</f>
        <v>2026</v>
      </c>
      <c r="D643" s="2">
        <f>IFERROR(__xludf.DUMMYFUNCTION("""COMPUTED_VALUE"""),46265.0)</f>
        <v>46265</v>
      </c>
      <c r="E643" s="2" t="str">
        <f>IFERROR(__xludf.DUMMYFUNCTION("""COMPUTED_VALUE"""),"VF")</f>
        <v>VF</v>
      </c>
      <c r="F643" s="2">
        <f>IFERROR(__xludf.DUMMYFUNCTION("""COMPUTED_VALUE"""),1.0)</f>
        <v>1</v>
      </c>
      <c r="G643" s="2" t="str">
        <f>IFERROR(__xludf.DUMMYFUNCTION("""COMPUTED_VALUE"""),"PR004")</f>
        <v>PR004</v>
      </c>
      <c r="H643" s="2" t="str">
        <f>IFERROR(__xludf.DUMMYFUNCTION("""COMPUTED_VALUE"""),"VD012")</f>
        <v>VD012</v>
      </c>
      <c r="I643" s="2">
        <f>IFERROR(__xludf.DUMMYFUNCTION("""COMPUTED_VALUE"""),6.0)</f>
        <v>6</v>
      </c>
      <c r="J643" s="2">
        <f>IFERROR(__xludf.DUMMYFUNCTION("""COMPUTED_VALUE"""),948.3)</f>
        <v>948.3</v>
      </c>
      <c r="K643" s="2">
        <f>IFERROR(__xludf.DUMMYFUNCTION("""COMPUTED_VALUE"""),948.3)</f>
        <v>948.3</v>
      </c>
    </row>
    <row r="644">
      <c r="A644" s="2">
        <f>IFERROR(__xludf.DUMMYFUNCTION("""COMPUTED_VALUE"""),1000.0)</f>
        <v>1000</v>
      </c>
      <c r="B644" s="2">
        <f>IFERROR(__xludf.DUMMYFUNCTION("""COMPUTED_VALUE"""),183919.0)</f>
        <v>183919</v>
      </c>
      <c r="C644" s="2">
        <f>IFERROR(__xludf.DUMMYFUNCTION("""COMPUTED_VALUE"""),2026.0)</f>
        <v>2026</v>
      </c>
      <c r="D644" s="2">
        <f>IFERROR(__xludf.DUMMYFUNCTION("""COMPUTED_VALUE"""),46265.0)</f>
        <v>46265</v>
      </c>
      <c r="E644" s="2" t="str">
        <f>IFERROR(__xludf.DUMMYFUNCTION("""COMPUTED_VALUE"""),"VF")</f>
        <v>VF</v>
      </c>
      <c r="F644" s="2">
        <f>IFERROR(__xludf.DUMMYFUNCTION("""COMPUTED_VALUE"""),1.0)</f>
        <v>1</v>
      </c>
      <c r="G644" s="2" t="str">
        <f>IFERROR(__xludf.DUMMYFUNCTION("""COMPUTED_VALUE"""),"PR050")</f>
        <v>PR050</v>
      </c>
      <c r="H644" s="2" t="str">
        <f>IFERROR(__xludf.DUMMYFUNCTION("""COMPUTED_VALUE"""),"VD040")</f>
        <v>VD040</v>
      </c>
      <c r="I644" s="2">
        <f>IFERROR(__xludf.DUMMYFUNCTION("""COMPUTED_VALUE"""),6.0)</f>
        <v>6</v>
      </c>
      <c r="J644" s="2">
        <f>IFERROR(__xludf.DUMMYFUNCTION("""COMPUTED_VALUE"""),213.19)</f>
        <v>213.19</v>
      </c>
      <c r="K644" s="2">
        <f>IFERROR(__xludf.DUMMYFUNCTION("""COMPUTED_VALUE"""),213.19)</f>
        <v>213.19</v>
      </c>
    </row>
    <row r="645">
      <c r="A645" s="2">
        <f>IFERROR(__xludf.DUMMYFUNCTION("""COMPUTED_VALUE"""),2000.0)</f>
        <v>2000</v>
      </c>
      <c r="B645" s="2">
        <f>IFERROR(__xludf.DUMMYFUNCTION("""COMPUTED_VALUE"""),183919.0)</f>
        <v>183919</v>
      </c>
      <c r="C645" s="2">
        <f>IFERROR(__xludf.DUMMYFUNCTION("""COMPUTED_VALUE"""),2026.0)</f>
        <v>2026</v>
      </c>
      <c r="D645" s="2">
        <f>IFERROR(__xludf.DUMMYFUNCTION("""COMPUTED_VALUE"""),46265.0)</f>
        <v>46265</v>
      </c>
      <c r="E645" s="2" t="str">
        <f>IFERROR(__xludf.DUMMYFUNCTION("""COMPUTED_VALUE"""),"VF")</f>
        <v>VF</v>
      </c>
      <c r="F645" s="2">
        <f>IFERROR(__xludf.DUMMYFUNCTION("""COMPUTED_VALUE"""),2.0)</f>
        <v>2</v>
      </c>
      <c r="G645" s="2" t="str">
        <f>IFERROR(__xludf.DUMMYFUNCTION("""COMPUTED_VALUE"""),"PR059")</f>
        <v>PR059</v>
      </c>
      <c r="H645" s="2" t="str">
        <f>IFERROR(__xludf.DUMMYFUNCTION("""COMPUTED_VALUE"""),"VD027")</f>
        <v>VD027</v>
      </c>
      <c r="I645" s="2">
        <f>IFERROR(__xludf.DUMMYFUNCTION("""COMPUTED_VALUE"""),2.0)</f>
        <v>2</v>
      </c>
      <c r="J645" s="2">
        <f>IFERROR(__xludf.DUMMYFUNCTION("""COMPUTED_VALUE"""),378.0)</f>
        <v>378</v>
      </c>
      <c r="K645" s="2">
        <f>IFERROR(__xludf.DUMMYFUNCTION("""COMPUTED_VALUE"""),378.0)</f>
        <v>378</v>
      </c>
    </row>
    <row r="646">
      <c r="A646" s="2">
        <f>IFERROR(__xludf.DUMMYFUNCTION("""COMPUTED_VALUE"""),1000.0)</f>
        <v>1000</v>
      </c>
      <c r="B646" s="2">
        <f>IFERROR(__xludf.DUMMYFUNCTION("""COMPUTED_VALUE"""),183919.0)</f>
        <v>183919</v>
      </c>
      <c r="C646" s="2">
        <f>IFERROR(__xludf.DUMMYFUNCTION("""COMPUTED_VALUE"""),2026.0)</f>
        <v>2026</v>
      </c>
      <c r="D646" s="2">
        <f>IFERROR(__xludf.DUMMYFUNCTION("""COMPUTED_VALUE"""),46264.0)</f>
        <v>46264</v>
      </c>
      <c r="E646" s="2" t="str">
        <f>IFERROR(__xludf.DUMMYFUNCTION("""COMPUTED_VALUE"""),"VF")</f>
        <v>VF</v>
      </c>
      <c r="F646" s="2">
        <f>IFERROR(__xludf.DUMMYFUNCTION("""COMPUTED_VALUE"""),3.0)</f>
        <v>3</v>
      </c>
      <c r="G646" s="2" t="str">
        <f>IFERROR(__xludf.DUMMYFUNCTION("""COMPUTED_VALUE"""),"PR058")</f>
        <v>PR058</v>
      </c>
      <c r="H646" s="2" t="str">
        <f>IFERROR(__xludf.DUMMYFUNCTION("""COMPUTED_VALUE"""),"VD031")</f>
        <v>VD031</v>
      </c>
      <c r="I646" s="2">
        <f>IFERROR(__xludf.DUMMYFUNCTION("""COMPUTED_VALUE"""),5.0)</f>
        <v>5</v>
      </c>
      <c r="J646" s="2">
        <f>IFERROR(__xludf.DUMMYFUNCTION("""COMPUTED_VALUE"""),927.0)</f>
        <v>927</v>
      </c>
      <c r="K646" s="2">
        <f>IFERROR(__xludf.DUMMYFUNCTION("""COMPUTED_VALUE"""),927.0)</f>
        <v>927</v>
      </c>
    </row>
    <row r="647">
      <c r="A647" s="2">
        <f>IFERROR(__xludf.DUMMYFUNCTION("""COMPUTED_VALUE"""),1000.0)</f>
        <v>1000</v>
      </c>
      <c r="B647" s="2">
        <f>IFERROR(__xludf.DUMMYFUNCTION("""COMPUTED_VALUE"""),183919.0)</f>
        <v>183919</v>
      </c>
      <c r="C647" s="2">
        <f>IFERROR(__xludf.DUMMYFUNCTION("""COMPUTED_VALUE"""),2026.0)</f>
        <v>2026</v>
      </c>
      <c r="D647" s="2">
        <f>IFERROR(__xludf.DUMMYFUNCTION("""COMPUTED_VALUE"""),46264.0)</f>
        <v>46264</v>
      </c>
      <c r="E647" s="2" t="str">
        <f>IFERROR(__xludf.DUMMYFUNCTION("""COMPUTED_VALUE"""),"VF")</f>
        <v>VF</v>
      </c>
      <c r="F647" s="2">
        <f>IFERROR(__xludf.DUMMYFUNCTION("""COMPUTED_VALUE"""),4.0)</f>
        <v>4</v>
      </c>
      <c r="G647" s="2" t="str">
        <f>IFERROR(__xludf.DUMMYFUNCTION("""COMPUTED_VALUE"""),"PR039")</f>
        <v>PR039</v>
      </c>
      <c r="H647" s="2" t="str">
        <f>IFERROR(__xludf.DUMMYFUNCTION("""COMPUTED_VALUE"""),"VD048")</f>
        <v>VD048</v>
      </c>
      <c r="I647" s="2">
        <f>IFERROR(__xludf.DUMMYFUNCTION("""COMPUTED_VALUE"""),1.0)</f>
        <v>1</v>
      </c>
      <c r="J647" s="2">
        <f>IFERROR(__xludf.DUMMYFUNCTION("""COMPUTED_VALUE"""),153.3)</f>
        <v>153.3</v>
      </c>
      <c r="K647" s="2">
        <f>IFERROR(__xludf.DUMMYFUNCTION("""COMPUTED_VALUE"""),153.3)</f>
        <v>153.3</v>
      </c>
    </row>
    <row r="648">
      <c r="A648" s="2">
        <f>IFERROR(__xludf.DUMMYFUNCTION("""COMPUTED_VALUE"""),1000.0)</f>
        <v>1000</v>
      </c>
      <c r="B648" s="2">
        <f>IFERROR(__xludf.DUMMYFUNCTION("""COMPUTED_VALUE"""),183920.0)</f>
        <v>183920</v>
      </c>
      <c r="C648" s="2">
        <f>IFERROR(__xludf.DUMMYFUNCTION("""COMPUTED_VALUE"""),2026.0)</f>
        <v>2026</v>
      </c>
      <c r="D648" s="2">
        <f>IFERROR(__xludf.DUMMYFUNCTION("""COMPUTED_VALUE"""),46264.0)</f>
        <v>46264</v>
      </c>
      <c r="E648" s="2" t="str">
        <f>IFERROR(__xludf.DUMMYFUNCTION("""COMPUTED_VALUE"""),"VF")</f>
        <v>VF</v>
      </c>
      <c r="F648" s="2">
        <f>IFERROR(__xludf.DUMMYFUNCTION("""COMPUTED_VALUE"""),1.0)</f>
        <v>1</v>
      </c>
      <c r="G648" s="2" t="str">
        <f>IFERROR(__xludf.DUMMYFUNCTION("""COMPUTED_VALUE"""),"PR001")</f>
        <v>PR001</v>
      </c>
      <c r="H648" s="2" t="str">
        <f>IFERROR(__xludf.DUMMYFUNCTION("""COMPUTED_VALUE"""),"VD028")</f>
        <v>VD028</v>
      </c>
      <c r="I648" s="2">
        <f>IFERROR(__xludf.DUMMYFUNCTION("""COMPUTED_VALUE"""),5.0)</f>
        <v>5</v>
      </c>
      <c r="J648" s="2">
        <f>IFERROR(__xludf.DUMMYFUNCTION("""COMPUTED_VALUE"""),336.09)</f>
        <v>336.09</v>
      </c>
      <c r="K648" s="2">
        <f>IFERROR(__xludf.DUMMYFUNCTION("""COMPUTED_VALUE"""),336.09)</f>
        <v>336.09</v>
      </c>
    </row>
    <row r="649">
      <c r="A649" s="2">
        <f>IFERROR(__xludf.DUMMYFUNCTION("""COMPUTED_VALUE"""),1000.0)</f>
        <v>1000</v>
      </c>
      <c r="B649" s="2">
        <f>IFERROR(__xludf.DUMMYFUNCTION("""COMPUTED_VALUE"""),183920.0)</f>
        <v>183920</v>
      </c>
      <c r="C649" s="2">
        <f>IFERROR(__xludf.DUMMYFUNCTION("""COMPUTED_VALUE"""),2026.0)</f>
        <v>2026</v>
      </c>
      <c r="D649" s="2">
        <f>IFERROR(__xludf.DUMMYFUNCTION("""COMPUTED_VALUE"""),46263.0)</f>
        <v>46263</v>
      </c>
      <c r="E649" s="2" t="str">
        <f>IFERROR(__xludf.DUMMYFUNCTION("""COMPUTED_VALUE"""),"VF")</f>
        <v>VF</v>
      </c>
      <c r="F649" s="2">
        <f>IFERROR(__xludf.DUMMYFUNCTION("""COMPUTED_VALUE"""),2.0)</f>
        <v>2</v>
      </c>
      <c r="G649" s="2" t="str">
        <f>IFERROR(__xludf.DUMMYFUNCTION("""COMPUTED_VALUE"""),"PR006")</f>
        <v>PR006</v>
      </c>
      <c r="H649" s="2" t="str">
        <f>IFERROR(__xludf.DUMMYFUNCTION("""COMPUTED_VALUE"""),"VD027")</f>
        <v>VD027</v>
      </c>
      <c r="I649" s="2">
        <f>IFERROR(__xludf.DUMMYFUNCTION("""COMPUTED_VALUE"""),8.0)</f>
        <v>8</v>
      </c>
      <c r="J649" s="2">
        <f>IFERROR(__xludf.DUMMYFUNCTION("""COMPUTED_VALUE"""),347.93)</f>
        <v>347.93</v>
      </c>
      <c r="K649" s="2">
        <f>IFERROR(__xludf.DUMMYFUNCTION("""COMPUTED_VALUE"""),347.93)</f>
        <v>347.93</v>
      </c>
    </row>
    <row r="650">
      <c r="A650" s="2">
        <f>IFERROR(__xludf.DUMMYFUNCTION("""COMPUTED_VALUE"""),1000.0)</f>
        <v>1000</v>
      </c>
      <c r="B650" s="2">
        <f>IFERROR(__xludf.DUMMYFUNCTION("""COMPUTED_VALUE"""),183921.0)</f>
        <v>183921</v>
      </c>
      <c r="C650" s="2">
        <f>IFERROR(__xludf.DUMMYFUNCTION("""COMPUTED_VALUE"""),2026.0)</f>
        <v>2026</v>
      </c>
      <c r="D650" s="2">
        <f>IFERROR(__xludf.DUMMYFUNCTION("""COMPUTED_VALUE"""),46263.0)</f>
        <v>46263</v>
      </c>
      <c r="E650" s="2" t="str">
        <f>IFERROR(__xludf.DUMMYFUNCTION("""COMPUTED_VALUE"""),"VF")</f>
        <v>VF</v>
      </c>
      <c r="F650" s="2">
        <f>IFERROR(__xludf.DUMMYFUNCTION("""COMPUTED_VALUE"""),1.0)</f>
        <v>1</v>
      </c>
      <c r="G650" s="2" t="str">
        <f>IFERROR(__xludf.DUMMYFUNCTION("""COMPUTED_VALUE"""),"PR049")</f>
        <v>PR049</v>
      </c>
      <c r="H650" s="2" t="str">
        <f>IFERROR(__xludf.DUMMYFUNCTION("""COMPUTED_VALUE"""),"VD017")</f>
        <v>VD017</v>
      </c>
      <c r="I650" s="2">
        <f>IFERROR(__xludf.DUMMYFUNCTION("""COMPUTED_VALUE"""),16.0)</f>
        <v>16</v>
      </c>
      <c r="J650" s="2">
        <f>IFERROR(__xludf.DUMMYFUNCTION("""COMPUTED_VALUE"""),536.93)</f>
        <v>536.93</v>
      </c>
      <c r="K650" s="2">
        <f>IFERROR(__xludf.DUMMYFUNCTION("""COMPUTED_VALUE"""),536.93)</f>
        <v>536.93</v>
      </c>
    </row>
    <row r="651">
      <c r="A651" s="2">
        <f>IFERROR(__xludf.DUMMYFUNCTION("""COMPUTED_VALUE"""),1000.0)</f>
        <v>1000</v>
      </c>
      <c r="B651" s="2">
        <f>IFERROR(__xludf.DUMMYFUNCTION("""COMPUTED_VALUE"""),183921.0)</f>
        <v>183921</v>
      </c>
      <c r="C651" s="2">
        <f>IFERROR(__xludf.DUMMYFUNCTION("""COMPUTED_VALUE"""),2026.0)</f>
        <v>2026</v>
      </c>
      <c r="D651" s="2">
        <f>IFERROR(__xludf.DUMMYFUNCTION("""COMPUTED_VALUE"""),46263.0)</f>
        <v>46263</v>
      </c>
      <c r="E651" s="2" t="str">
        <f>IFERROR(__xludf.DUMMYFUNCTION("""COMPUTED_VALUE"""),"VF")</f>
        <v>VF</v>
      </c>
      <c r="F651" s="2">
        <f>IFERROR(__xludf.DUMMYFUNCTION("""COMPUTED_VALUE"""),2.0)</f>
        <v>2</v>
      </c>
      <c r="G651" s="2" t="str">
        <f>IFERROR(__xludf.DUMMYFUNCTION("""COMPUTED_VALUE"""),"PR029")</f>
        <v>PR029</v>
      </c>
      <c r="H651" s="2" t="str">
        <f>IFERROR(__xludf.DUMMYFUNCTION("""COMPUTED_VALUE"""),"VD035")</f>
        <v>VD035</v>
      </c>
      <c r="I651" s="2">
        <f>IFERROR(__xludf.DUMMYFUNCTION("""COMPUTED_VALUE"""),8.0)</f>
        <v>8</v>
      </c>
      <c r="J651" s="2">
        <f>IFERROR(__xludf.DUMMYFUNCTION("""COMPUTED_VALUE"""),2121.6)</f>
        <v>2121.6</v>
      </c>
      <c r="K651" s="2">
        <f>IFERROR(__xludf.DUMMYFUNCTION("""COMPUTED_VALUE"""),2121.6)</f>
        <v>2121.6</v>
      </c>
    </row>
    <row r="652">
      <c r="A652" s="2">
        <f>IFERROR(__xludf.DUMMYFUNCTION("""COMPUTED_VALUE"""),1000.0)</f>
        <v>1000</v>
      </c>
      <c r="B652" s="2">
        <f>IFERROR(__xludf.DUMMYFUNCTION("""COMPUTED_VALUE"""),183922.0)</f>
        <v>183922</v>
      </c>
      <c r="C652" s="2">
        <f>IFERROR(__xludf.DUMMYFUNCTION("""COMPUTED_VALUE"""),2026.0)</f>
        <v>2026</v>
      </c>
      <c r="D652" s="2">
        <f>IFERROR(__xludf.DUMMYFUNCTION("""COMPUTED_VALUE"""),46263.0)</f>
        <v>46263</v>
      </c>
      <c r="E652" s="2" t="str">
        <f>IFERROR(__xludf.DUMMYFUNCTION("""COMPUTED_VALUE"""),"VF")</f>
        <v>VF</v>
      </c>
      <c r="F652" s="2">
        <f>IFERROR(__xludf.DUMMYFUNCTION("""COMPUTED_VALUE"""),1.0)</f>
        <v>1</v>
      </c>
      <c r="G652" s="2" t="str">
        <f>IFERROR(__xludf.DUMMYFUNCTION("""COMPUTED_VALUE"""),"PR053")</f>
        <v>PR053</v>
      </c>
      <c r="H652" s="2" t="str">
        <f>IFERROR(__xludf.DUMMYFUNCTION("""COMPUTED_VALUE"""),"VD017")</f>
        <v>VD017</v>
      </c>
      <c r="I652" s="2">
        <f>IFERROR(__xludf.DUMMYFUNCTION("""COMPUTED_VALUE"""),3.0)</f>
        <v>3</v>
      </c>
      <c r="J652" s="2">
        <f>IFERROR(__xludf.DUMMYFUNCTION("""COMPUTED_VALUE"""),164.67)</f>
        <v>164.67</v>
      </c>
      <c r="K652" s="2">
        <f>IFERROR(__xludf.DUMMYFUNCTION("""COMPUTED_VALUE"""),164.67)</f>
        <v>164.67</v>
      </c>
    </row>
    <row r="653">
      <c r="A653" s="2">
        <f>IFERROR(__xludf.DUMMYFUNCTION("""COMPUTED_VALUE"""),1000.0)</f>
        <v>1000</v>
      </c>
      <c r="B653" s="2">
        <f>IFERROR(__xludf.DUMMYFUNCTION("""COMPUTED_VALUE"""),183923.0)</f>
        <v>183923</v>
      </c>
      <c r="C653" s="2">
        <f>IFERROR(__xludf.DUMMYFUNCTION("""COMPUTED_VALUE"""),2026.0)</f>
        <v>2026</v>
      </c>
      <c r="D653" s="2">
        <f>IFERROR(__xludf.DUMMYFUNCTION("""COMPUTED_VALUE"""),46263.0)</f>
        <v>46263</v>
      </c>
      <c r="E653" s="2" t="str">
        <f>IFERROR(__xludf.DUMMYFUNCTION("""COMPUTED_VALUE"""),"VF")</f>
        <v>VF</v>
      </c>
      <c r="F653" s="2">
        <f>IFERROR(__xludf.DUMMYFUNCTION("""COMPUTED_VALUE"""),1.0)</f>
        <v>1</v>
      </c>
      <c r="G653" s="2" t="str">
        <f>IFERROR(__xludf.DUMMYFUNCTION("""COMPUTED_VALUE"""),"PR058")</f>
        <v>PR058</v>
      </c>
      <c r="H653" s="2" t="str">
        <f>IFERROR(__xludf.DUMMYFUNCTION("""COMPUTED_VALUE"""),"VD038")</f>
        <v>VD038</v>
      </c>
      <c r="I653" s="2">
        <f>IFERROR(__xludf.DUMMYFUNCTION("""COMPUTED_VALUE"""),5.0)</f>
        <v>5</v>
      </c>
      <c r="J653" s="2">
        <f>IFERROR(__xludf.DUMMYFUNCTION("""COMPUTED_VALUE"""),909.0)</f>
        <v>909</v>
      </c>
      <c r="K653" s="2">
        <f>IFERROR(__xludf.DUMMYFUNCTION("""COMPUTED_VALUE"""),909.0)</f>
        <v>909</v>
      </c>
    </row>
    <row r="654">
      <c r="A654" s="2">
        <f>IFERROR(__xludf.DUMMYFUNCTION("""COMPUTED_VALUE"""),1000.0)</f>
        <v>1000</v>
      </c>
      <c r="B654" s="2">
        <f>IFERROR(__xludf.DUMMYFUNCTION("""COMPUTED_VALUE"""),183924.0)</f>
        <v>183924</v>
      </c>
      <c r="C654" s="2">
        <f>IFERROR(__xludf.DUMMYFUNCTION("""COMPUTED_VALUE"""),2026.0)</f>
        <v>2026</v>
      </c>
      <c r="D654" s="2">
        <f>IFERROR(__xludf.DUMMYFUNCTION("""COMPUTED_VALUE"""),46263.0)</f>
        <v>46263</v>
      </c>
      <c r="E654" s="2" t="str">
        <f>IFERROR(__xludf.DUMMYFUNCTION("""COMPUTED_VALUE"""),"VF")</f>
        <v>VF</v>
      </c>
      <c r="F654" s="2">
        <f>IFERROR(__xludf.DUMMYFUNCTION("""COMPUTED_VALUE"""),1.0)</f>
        <v>1</v>
      </c>
      <c r="G654" s="2" t="str">
        <f>IFERROR(__xludf.DUMMYFUNCTION("""COMPUTED_VALUE"""),"PR054")</f>
        <v>PR054</v>
      </c>
      <c r="H654" s="2" t="str">
        <f>IFERROR(__xludf.DUMMYFUNCTION("""COMPUTED_VALUE"""),"VD021")</f>
        <v>VD021</v>
      </c>
      <c r="I654" s="2">
        <f>IFERROR(__xludf.DUMMYFUNCTION("""COMPUTED_VALUE"""),12.0)</f>
        <v>12</v>
      </c>
      <c r="J654" s="2">
        <f>IFERROR(__xludf.DUMMYFUNCTION("""COMPUTED_VALUE"""),604.79)</f>
        <v>604.79</v>
      </c>
      <c r="K654" s="2">
        <f>IFERROR(__xludf.DUMMYFUNCTION("""COMPUTED_VALUE"""),604.79)</f>
        <v>604.79</v>
      </c>
    </row>
    <row r="655">
      <c r="A655" s="2">
        <f>IFERROR(__xludf.DUMMYFUNCTION("""COMPUTED_VALUE"""),1000.0)</f>
        <v>1000</v>
      </c>
      <c r="B655" s="2">
        <f>IFERROR(__xludf.DUMMYFUNCTION("""COMPUTED_VALUE"""),183924.0)</f>
        <v>183924</v>
      </c>
      <c r="C655" s="2">
        <f>IFERROR(__xludf.DUMMYFUNCTION("""COMPUTED_VALUE"""),2026.0)</f>
        <v>2026</v>
      </c>
      <c r="D655" s="2">
        <f>IFERROR(__xludf.DUMMYFUNCTION("""COMPUTED_VALUE"""),46262.0)</f>
        <v>46262</v>
      </c>
      <c r="E655" s="2" t="str">
        <f>IFERROR(__xludf.DUMMYFUNCTION("""COMPUTED_VALUE"""),"VF")</f>
        <v>VF</v>
      </c>
      <c r="F655" s="2">
        <f>IFERROR(__xludf.DUMMYFUNCTION("""COMPUTED_VALUE"""),2.0)</f>
        <v>2</v>
      </c>
      <c r="G655" s="2" t="str">
        <f>IFERROR(__xludf.DUMMYFUNCTION("""COMPUTED_VALUE"""),"PR035")</f>
        <v>PR035</v>
      </c>
      <c r="H655" s="2" t="str">
        <f>IFERROR(__xludf.DUMMYFUNCTION("""COMPUTED_VALUE"""),"VD039")</f>
        <v>VD039</v>
      </c>
      <c r="I655" s="2">
        <f>IFERROR(__xludf.DUMMYFUNCTION("""COMPUTED_VALUE"""),1.0)</f>
        <v>1</v>
      </c>
      <c r="J655" s="2">
        <f>IFERROR(__xludf.DUMMYFUNCTION("""COMPUTED_VALUE"""),94.14)</f>
        <v>94.14</v>
      </c>
      <c r="K655" s="2">
        <f>IFERROR(__xludf.DUMMYFUNCTION("""COMPUTED_VALUE"""),94.14)</f>
        <v>94.14</v>
      </c>
    </row>
    <row r="656">
      <c r="A656" s="2">
        <f>IFERROR(__xludf.DUMMYFUNCTION("""COMPUTED_VALUE"""),1000.0)</f>
        <v>1000</v>
      </c>
      <c r="B656" s="2">
        <f>IFERROR(__xludf.DUMMYFUNCTION("""COMPUTED_VALUE"""),183925.0)</f>
        <v>183925</v>
      </c>
      <c r="C656" s="2">
        <f>IFERROR(__xludf.DUMMYFUNCTION("""COMPUTED_VALUE"""),2026.0)</f>
        <v>2026</v>
      </c>
      <c r="D656" s="2">
        <f>IFERROR(__xludf.DUMMYFUNCTION("""COMPUTED_VALUE"""),46262.0)</f>
        <v>46262</v>
      </c>
      <c r="E656" s="2" t="str">
        <f>IFERROR(__xludf.DUMMYFUNCTION("""COMPUTED_VALUE"""),"VF")</f>
        <v>VF</v>
      </c>
      <c r="F656" s="2">
        <f>IFERROR(__xludf.DUMMYFUNCTION("""COMPUTED_VALUE"""),1.0)</f>
        <v>1</v>
      </c>
      <c r="G656" s="2" t="str">
        <f>IFERROR(__xludf.DUMMYFUNCTION("""COMPUTED_VALUE"""),"PR013")</f>
        <v>PR013</v>
      </c>
      <c r="H656" s="2" t="str">
        <f>IFERROR(__xludf.DUMMYFUNCTION("""COMPUTED_VALUE"""),"VD020")</f>
        <v>VD020</v>
      </c>
      <c r="I656" s="2">
        <f>IFERROR(__xludf.DUMMYFUNCTION("""COMPUTED_VALUE"""),18.0)</f>
        <v>18</v>
      </c>
      <c r="J656" s="2">
        <f>IFERROR(__xludf.DUMMYFUNCTION("""COMPUTED_VALUE"""),761.29)</f>
        <v>761.29</v>
      </c>
      <c r="K656" s="2">
        <f>IFERROR(__xludf.DUMMYFUNCTION("""COMPUTED_VALUE"""),761.29)</f>
        <v>761.29</v>
      </c>
    </row>
    <row r="657">
      <c r="A657" s="2">
        <f>IFERROR(__xludf.DUMMYFUNCTION("""COMPUTED_VALUE"""),1000.0)</f>
        <v>1000</v>
      </c>
      <c r="B657" s="2">
        <f>IFERROR(__xludf.DUMMYFUNCTION("""COMPUTED_VALUE"""),183926.0)</f>
        <v>183926</v>
      </c>
      <c r="C657" s="2">
        <f>IFERROR(__xludf.DUMMYFUNCTION("""COMPUTED_VALUE"""),2026.0)</f>
        <v>2026</v>
      </c>
      <c r="D657" s="2">
        <f>IFERROR(__xludf.DUMMYFUNCTION("""COMPUTED_VALUE"""),46262.0)</f>
        <v>46262</v>
      </c>
      <c r="E657" s="2" t="str">
        <f>IFERROR(__xludf.DUMMYFUNCTION("""COMPUTED_VALUE"""),"VF")</f>
        <v>VF</v>
      </c>
      <c r="F657" s="2">
        <f>IFERROR(__xludf.DUMMYFUNCTION("""COMPUTED_VALUE"""),1.0)</f>
        <v>1</v>
      </c>
      <c r="G657" s="2" t="str">
        <f>IFERROR(__xludf.DUMMYFUNCTION("""COMPUTED_VALUE"""),"PR011")</f>
        <v>PR011</v>
      </c>
      <c r="H657" s="2" t="str">
        <f>IFERROR(__xludf.DUMMYFUNCTION("""COMPUTED_VALUE"""),"VD032")</f>
        <v>VD032</v>
      </c>
      <c r="I657" s="2">
        <f>IFERROR(__xludf.DUMMYFUNCTION("""COMPUTED_VALUE"""),18.0)</f>
        <v>18</v>
      </c>
      <c r="J657" s="2">
        <f>IFERROR(__xludf.DUMMYFUNCTION("""COMPUTED_VALUE"""),886.41)</f>
        <v>886.41</v>
      </c>
      <c r="K657" s="2">
        <f>IFERROR(__xludf.DUMMYFUNCTION("""COMPUTED_VALUE"""),886.41)</f>
        <v>886.41</v>
      </c>
    </row>
    <row r="658">
      <c r="A658" s="2">
        <f>IFERROR(__xludf.DUMMYFUNCTION("""COMPUTED_VALUE"""),1000.0)</f>
        <v>1000</v>
      </c>
      <c r="B658" s="2">
        <f>IFERROR(__xludf.DUMMYFUNCTION("""COMPUTED_VALUE"""),183927.0)</f>
        <v>183927</v>
      </c>
      <c r="C658" s="2">
        <f>IFERROR(__xludf.DUMMYFUNCTION("""COMPUTED_VALUE"""),2026.0)</f>
        <v>2026</v>
      </c>
      <c r="D658" s="2">
        <f>IFERROR(__xludf.DUMMYFUNCTION("""COMPUTED_VALUE"""),46261.0)</f>
        <v>46261</v>
      </c>
      <c r="E658" s="2" t="str">
        <f>IFERROR(__xludf.DUMMYFUNCTION("""COMPUTED_VALUE"""),"VF")</f>
        <v>VF</v>
      </c>
      <c r="F658" s="2">
        <f>IFERROR(__xludf.DUMMYFUNCTION("""COMPUTED_VALUE"""),1.0)</f>
        <v>1</v>
      </c>
      <c r="G658" s="2" t="str">
        <f>IFERROR(__xludf.DUMMYFUNCTION("""COMPUTED_VALUE"""),"PR037")</f>
        <v>PR037</v>
      </c>
      <c r="H658" s="2" t="str">
        <f>IFERROR(__xludf.DUMMYFUNCTION("""COMPUTED_VALUE"""),"VD010")</f>
        <v>VD010</v>
      </c>
      <c r="I658" s="2">
        <f>IFERROR(__xludf.DUMMYFUNCTION("""COMPUTED_VALUE"""),10.0)</f>
        <v>10</v>
      </c>
      <c r="J658" s="2">
        <f>IFERROR(__xludf.DUMMYFUNCTION("""COMPUTED_VALUE"""),1540.0)</f>
        <v>1540</v>
      </c>
      <c r="K658" s="2">
        <f>IFERROR(__xludf.DUMMYFUNCTION("""COMPUTED_VALUE"""),1540.0)</f>
        <v>1540</v>
      </c>
    </row>
    <row r="659">
      <c r="A659" s="2">
        <f>IFERROR(__xludf.DUMMYFUNCTION("""COMPUTED_VALUE"""),1000.0)</f>
        <v>1000</v>
      </c>
      <c r="B659" s="2">
        <f>IFERROR(__xludf.DUMMYFUNCTION("""COMPUTED_VALUE"""),183928.0)</f>
        <v>183928</v>
      </c>
      <c r="C659" s="2">
        <f>IFERROR(__xludf.DUMMYFUNCTION("""COMPUTED_VALUE"""),2026.0)</f>
        <v>2026</v>
      </c>
      <c r="D659" s="2">
        <f>IFERROR(__xludf.DUMMYFUNCTION("""COMPUTED_VALUE"""),46261.0)</f>
        <v>46261</v>
      </c>
      <c r="E659" s="2" t="str">
        <f>IFERROR(__xludf.DUMMYFUNCTION("""COMPUTED_VALUE"""),"VF")</f>
        <v>VF</v>
      </c>
      <c r="F659" s="2">
        <f>IFERROR(__xludf.DUMMYFUNCTION("""COMPUTED_VALUE"""),1.0)</f>
        <v>1</v>
      </c>
      <c r="G659" s="2" t="str">
        <f>IFERROR(__xludf.DUMMYFUNCTION("""COMPUTED_VALUE"""),"PR038")</f>
        <v>PR038</v>
      </c>
      <c r="H659" s="2" t="str">
        <f>IFERROR(__xludf.DUMMYFUNCTION("""COMPUTED_VALUE"""),"VD040")</f>
        <v>VD040</v>
      </c>
      <c r="I659" s="2">
        <f>IFERROR(__xludf.DUMMYFUNCTION("""COMPUTED_VALUE"""),6.0)</f>
        <v>6</v>
      </c>
      <c r="J659" s="2">
        <f>IFERROR(__xludf.DUMMYFUNCTION("""COMPUTED_VALUE"""),908.84)</f>
        <v>908.84</v>
      </c>
      <c r="K659" s="2">
        <f>IFERROR(__xludf.DUMMYFUNCTION("""COMPUTED_VALUE"""),908.84)</f>
        <v>908.84</v>
      </c>
    </row>
    <row r="660">
      <c r="A660" s="2">
        <f>IFERROR(__xludf.DUMMYFUNCTION("""COMPUTED_VALUE"""),1000.0)</f>
        <v>1000</v>
      </c>
      <c r="B660" s="2">
        <f>IFERROR(__xludf.DUMMYFUNCTION("""COMPUTED_VALUE"""),183929.0)</f>
        <v>183929</v>
      </c>
      <c r="C660" s="2">
        <f>IFERROR(__xludf.DUMMYFUNCTION("""COMPUTED_VALUE"""),2026.0)</f>
        <v>2026</v>
      </c>
      <c r="D660" s="2">
        <f>IFERROR(__xludf.DUMMYFUNCTION("""COMPUTED_VALUE"""),46261.0)</f>
        <v>46261</v>
      </c>
      <c r="E660" s="2" t="str">
        <f>IFERROR(__xludf.DUMMYFUNCTION("""COMPUTED_VALUE"""),"VF")</f>
        <v>VF</v>
      </c>
      <c r="F660" s="2">
        <f>IFERROR(__xludf.DUMMYFUNCTION("""COMPUTED_VALUE"""),1.0)</f>
        <v>1</v>
      </c>
      <c r="G660" s="2" t="str">
        <f>IFERROR(__xludf.DUMMYFUNCTION("""COMPUTED_VALUE"""),"PR049")</f>
        <v>PR049</v>
      </c>
      <c r="H660" s="2" t="str">
        <f>IFERROR(__xludf.DUMMYFUNCTION("""COMPUTED_VALUE"""),"VD020")</f>
        <v>VD020</v>
      </c>
      <c r="I660" s="2">
        <f>IFERROR(__xludf.DUMMYFUNCTION("""COMPUTED_VALUE"""),2.0)</f>
        <v>2</v>
      </c>
      <c r="J660" s="2">
        <f>IFERROR(__xludf.DUMMYFUNCTION("""COMPUTED_VALUE"""),68.43)</f>
        <v>68.43</v>
      </c>
      <c r="K660" s="2">
        <f>IFERROR(__xludf.DUMMYFUNCTION("""COMPUTED_VALUE"""),68.43)</f>
        <v>68.43</v>
      </c>
    </row>
    <row r="661">
      <c r="A661" s="2">
        <f>IFERROR(__xludf.DUMMYFUNCTION("""COMPUTED_VALUE"""),2000.0)</f>
        <v>2000</v>
      </c>
      <c r="B661" s="2">
        <f>IFERROR(__xludf.DUMMYFUNCTION("""COMPUTED_VALUE"""),183929.0)</f>
        <v>183929</v>
      </c>
      <c r="C661" s="2">
        <f>IFERROR(__xludf.DUMMYFUNCTION("""COMPUTED_VALUE"""),2026.0)</f>
        <v>2026</v>
      </c>
      <c r="D661" s="2">
        <f>IFERROR(__xludf.DUMMYFUNCTION("""COMPUTED_VALUE"""),46261.0)</f>
        <v>46261</v>
      </c>
      <c r="E661" s="2" t="str">
        <f>IFERROR(__xludf.DUMMYFUNCTION("""COMPUTED_VALUE"""),"VF")</f>
        <v>VF</v>
      </c>
      <c r="F661" s="2">
        <f>IFERROR(__xludf.DUMMYFUNCTION("""COMPUTED_VALUE"""),2.0)</f>
        <v>2</v>
      </c>
      <c r="G661" s="2" t="str">
        <f>IFERROR(__xludf.DUMMYFUNCTION("""COMPUTED_VALUE"""),"PR006")</f>
        <v>PR006</v>
      </c>
      <c r="H661" s="2" t="str">
        <f>IFERROR(__xludf.DUMMYFUNCTION("""COMPUTED_VALUE"""),"VD048")</f>
        <v>VD048</v>
      </c>
      <c r="I661" s="2">
        <f>IFERROR(__xludf.DUMMYFUNCTION("""COMPUTED_VALUE"""),7.0)</f>
        <v>7</v>
      </c>
      <c r="J661" s="2">
        <f>IFERROR(__xludf.DUMMYFUNCTION("""COMPUTED_VALUE"""),307.23)</f>
        <v>307.23</v>
      </c>
      <c r="K661" s="2">
        <f>IFERROR(__xludf.DUMMYFUNCTION("""COMPUTED_VALUE"""),307.23)</f>
        <v>307.23</v>
      </c>
    </row>
    <row r="662">
      <c r="A662" s="2">
        <f>IFERROR(__xludf.DUMMYFUNCTION("""COMPUTED_VALUE"""),1000.0)</f>
        <v>1000</v>
      </c>
      <c r="B662" s="2">
        <f>IFERROR(__xludf.DUMMYFUNCTION("""COMPUTED_VALUE"""),183930.0)</f>
        <v>183930</v>
      </c>
      <c r="C662" s="2">
        <f>IFERROR(__xludf.DUMMYFUNCTION("""COMPUTED_VALUE"""),2026.0)</f>
        <v>2026</v>
      </c>
      <c r="D662" s="2">
        <f>IFERROR(__xludf.DUMMYFUNCTION("""COMPUTED_VALUE"""),46260.0)</f>
        <v>46260</v>
      </c>
      <c r="E662" s="2" t="str">
        <f>IFERROR(__xludf.DUMMYFUNCTION("""COMPUTED_VALUE"""),"VF")</f>
        <v>VF</v>
      </c>
      <c r="F662" s="2">
        <f>IFERROR(__xludf.DUMMYFUNCTION("""COMPUTED_VALUE"""),1.0)</f>
        <v>1</v>
      </c>
      <c r="G662" s="2" t="str">
        <f>IFERROR(__xludf.DUMMYFUNCTION("""COMPUTED_VALUE"""),"PR058")</f>
        <v>PR058</v>
      </c>
      <c r="H662" s="2" t="str">
        <f>IFERROR(__xludf.DUMMYFUNCTION("""COMPUTED_VALUE"""),"VD021")</f>
        <v>VD021</v>
      </c>
      <c r="I662" s="2">
        <f>IFERROR(__xludf.DUMMYFUNCTION("""COMPUTED_VALUE"""),6.0)</f>
        <v>6</v>
      </c>
      <c r="J662" s="2">
        <f>IFERROR(__xludf.DUMMYFUNCTION("""COMPUTED_VALUE"""),1166.4)</f>
        <v>1166.4</v>
      </c>
      <c r="K662" s="2">
        <f>IFERROR(__xludf.DUMMYFUNCTION("""COMPUTED_VALUE"""),1166.4)</f>
        <v>1166.4</v>
      </c>
    </row>
    <row r="663">
      <c r="A663" s="2">
        <f>IFERROR(__xludf.DUMMYFUNCTION("""COMPUTED_VALUE"""),1000.0)</f>
        <v>1000</v>
      </c>
      <c r="B663" s="2">
        <f>IFERROR(__xludf.DUMMYFUNCTION("""COMPUTED_VALUE"""),183930.0)</f>
        <v>183930</v>
      </c>
      <c r="C663" s="2">
        <f>IFERROR(__xludf.DUMMYFUNCTION("""COMPUTED_VALUE"""),2026.0)</f>
        <v>2026</v>
      </c>
      <c r="D663" s="2">
        <f>IFERROR(__xludf.DUMMYFUNCTION("""COMPUTED_VALUE"""),46260.0)</f>
        <v>46260</v>
      </c>
      <c r="E663" s="2" t="str">
        <f>IFERROR(__xludf.DUMMYFUNCTION("""COMPUTED_VALUE"""),"VF")</f>
        <v>VF</v>
      </c>
      <c r="F663" s="2">
        <f>IFERROR(__xludf.DUMMYFUNCTION("""COMPUTED_VALUE"""),2.0)</f>
        <v>2</v>
      </c>
      <c r="G663" s="2" t="str">
        <f>IFERROR(__xludf.DUMMYFUNCTION("""COMPUTED_VALUE"""),"PR059")</f>
        <v>PR059</v>
      </c>
      <c r="H663" s="2" t="str">
        <f>IFERROR(__xludf.DUMMYFUNCTION("""COMPUTED_VALUE"""),"VD033")</f>
        <v>VD033</v>
      </c>
      <c r="I663" s="2">
        <f>IFERROR(__xludf.DUMMYFUNCTION("""COMPUTED_VALUE"""),6.0)</f>
        <v>6</v>
      </c>
      <c r="J663" s="2">
        <f>IFERROR(__xludf.DUMMYFUNCTION("""COMPUTED_VALUE"""),1166.4)</f>
        <v>1166.4</v>
      </c>
      <c r="K663" s="2">
        <f>IFERROR(__xludf.DUMMYFUNCTION("""COMPUTED_VALUE"""),1166.4)</f>
        <v>1166.4</v>
      </c>
    </row>
    <row r="664">
      <c r="A664" s="2">
        <f>IFERROR(__xludf.DUMMYFUNCTION("""COMPUTED_VALUE"""),1000.0)</f>
        <v>1000</v>
      </c>
      <c r="B664" s="2">
        <f>IFERROR(__xludf.DUMMYFUNCTION("""COMPUTED_VALUE"""),183931.0)</f>
        <v>183931</v>
      </c>
      <c r="C664" s="2">
        <f>IFERROR(__xludf.DUMMYFUNCTION("""COMPUTED_VALUE"""),2026.0)</f>
        <v>2026</v>
      </c>
      <c r="D664" s="2">
        <f>IFERROR(__xludf.DUMMYFUNCTION("""COMPUTED_VALUE"""),46260.0)</f>
        <v>46260</v>
      </c>
      <c r="E664" s="2" t="str">
        <f>IFERROR(__xludf.DUMMYFUNCTION("""COMPUTED_VALUE"""),"VF")</f>
        <v>VF</v>
      </c>
      <c r="F664" s="2">
        <f>IFERROR(__xludf.DUMMYFUNCTION("""COMPUTED_VALUE"""),1.0)</f>
        <v>1</v>
      </c>
      <c r="G664" s="2" t="str">
        <f>IFERROR(__xludf.DUMMYFUNCTION("""COMPUTED_VALUE"""),"PR051")</f>
        <v>PR051</v>
      </c>
      <c r="H664" s="2" t="str">
        <f>IFERROR(__xludf.DUMMYFUNCTION("""COMPUTED_VALUE"""),"VD024")</f>
        <v>VD024</v>
      </c>
      <c r="I664" s="2">
        <f>IFERROR(__xludf.DUMMYFUNCTION("""COMPUTED_VALUE"""),1.0)</f>
        <v>1</v>
      </c>
      <c r="J664" s="2">
        <f>IFERROR(__xludf.DUMMYFUNCTION("""COMPUTED_VALUE"""),33.56)</f>
        <v>33.56</v>
      </c>
      <c r="K664" s="2">
        <f>IFERROR(__xludf.DUMMYFUNCTION("""COMPUTED_VALUE"""),33.56)</f>
        <v>33.56</v>
      </c>
    </row>
    <row r="665">
      <c r="A665" s="2">
        <f>IFERROR(__xludf.DUMMYFUNCTION("""COMPUTED_VALUE"""),1000.0)</f>
        <v>1000</v>
      </c>
      <c r="B665" s="2">
        <f>IFERROR(__xludf.DUMMYFUNCTION("""COMPUTED_VALUE"""),183932.0)</f>
        <v>183932</v>
      </c>
      <c r="C665" s="2">
        <f>IFERROR(__xludf.DUMMYFUNCTION("""COMPUTED_VALUE"""),2026.0)</f>
        <v>2026</v>
      </c>
      <c r="D665" s="2">
        <f>IFERROR(__xludf.DUMMYFUNCTION("""COMPUTED_VALUE"""),46260.0)</f>
        <v>46260</v>
      </c>
      <c r="E665" s="2" t="str">
        <f>IFERROR(__xludf.DUMMYFUNCTION("""COMPUTED_VALUE"""),"VF")</f>
        <v>VF</v>
      </c>
      <c r="F665" s="2">
        <f>IFERROR(__xludf.DUMMYFUNCTION("""COMPUTED_VALUE"""),1.0)</f>
        <v>1</v>
      </c>
      <c r="G665" s="2" t="str">
        <f>IFERROR(__xludf.DUMMYFUNCTION("""COMPUTED_VALUE"""),"PR038")</f>
        <v>PR038</v>
      </c>
      <c r="H665" s="2" t="str">
        <f>IFERROR(__xludf.DUMMYFUNCTION("""COMPUTED_VALUE"""),"VD013")</f>
        <v>VD013</v>
      </c>
      <c r="I665" s="2">
        <f>IFERROR(__xludf.DUMMYFUNCTION("""COMPUTED_VALUE"""),7.0)</f>
        <v>7</v>
      </c>
      <c r="J665" s="2">
        <f>IFERROR(__xludf.DUMMYFUNCTION("""COMPUTED_VALUE"""),1020.31)</f>
        <v>1020.31</v>
      </c>
      <c r="K665" s="2">
        <f>IFERROR(__xludf.DUMMYFUNCTION("""COMPUTED_VALUE"""),1020.31)</f>
        <v>1020.31</v>
      </c>
    </row>
    <row r="666">
      <c r="A666" s="2">
        <f>IFERROR(__xludf.DUMMYFUNCTION("""COMPUTED_VALUE"""),1000.0)</f>
        <v>1000</v>
      </c>
      <c r="B666" s="2">
        <f>IFERROR(__xludf.DUMMYFUNCTION("""COMPUTED_VALUE"""),183933.0)</f>
        <v>183933</v>
      </c>
      <c r="C666" s="2">
        <f>IFERROR(__xludf.DUMMYFUNCTION("""COMPUTED_VALUE"""),2026.0)</f>
        <v>2026</v>
      </c>
      <c r="D666" s="2">
        <f>IFERROR(__xludf.DUMMYFUNCTION("""COMPUTED_VALUE"""),46260.0)</f>
        <v>46260</v>
      </c>
      <c r="E666" s="2" t="str">
        <f>IFERROR(__xludf.DUMMYFUNCTION("""COMPUTED_VALUE"""),"VF")</f>
        <v>VF</v>
      </c>
      <c r="F666" s="2">
        <f>IFERROR(__xludf.DUMMYFUNCTION("""COMPUTED_VALUE"""),1.0)</f>
        <v>1</v>
      </c>
      <c r="G666" s="2" t="str">
        <f>IFERROR(__xludf.DUMMYFUNCTION("""COMPUTED_VALUE"""),"PR005")</f>
        <v>PR005</v>
      </c>
      <c r="H666" s="2" t="str">
        <f>IFERROR(__xludf.DUMMYFUNCTION("""COMPUTED_VALUE"""),"VD048")</f>
        <v>VD048</v>
      </c>
      <c r="I666" s="2">
        <f>IFERROR(__xludf.DUMMYFUNCTION("""COMPUTED_VALUE"""),1.0)</f>
        <v>1</v>
      </c>
      <c r="J666" s="2">
        <f>IFERROR(__xludf.DUMMYFUNCTION("""COMPUTED_VALUE"""),275.49)</f>
        <v>275.49</v>
      </c>
      <c r="K666" s="2">
        <f>IFERROR(__xludf.DUMMYFUNCTION("""COMPUTED_VALUE"""),275.49)</f>
        <v>275.49</v>
      </c>
    </row>
    <row r="667">
      <c r="A667" s="2">
        <f>IFERROR(__xludf.DUMMYFUNCTION("""COMPUTED_VALUE"""),1000.0)</f>
        <v>1000</v>
      </c>
      <c r="B667" s="2">
        <f>IFERROR(__xludf.DUMMYFUNCTION("""COMPUTED_VALUE"""),183934.0)</f>
        <v>183934</v>
      </c>
      <c r="C667" s="2">
        <f>IFERROR(__xludf.DUMMYFUNCTION("""COMPUTED_VALUE"""),2026.0)</f>
        <v>2026</v>
      </c>
      <c r="D667" s="2">
        <f>IFERROR(__xludf.DUMMYFUNCTION("""COMPUTED_VALUE"""),46260.0)</f>
        <v>46260</v>
      </c>
      <c r="E667" s="2" t="str">
        <f>IFERROR(__xludf.DUMMYFUNCTION("""COMPUTED_VALUE"""),"VF")</f>
        <v>VF</v>
      </c>
      <c r="F667" s="2">
        <f>IFERROR(__xludf.DUMMYFUNCTION("""COMPUTED_VALUE"""),1.0)</f>
        <v>1</v>
      </c>
      <c r="G667" s="2" t="str">
        <f>IFERROR(__xludf.DUMMYFUNCTION("""COMPUTED_VALUE"""),"PR008")</f>
        <v>PR008</v>
      </c>
      <c r="H667" s="2" t="str">
        <f>IFERROR(__xludf.DUMMYFUNCTION("""COMPUTED_VALUE"""),"VD015")</f>
        <v>VD015</v>
      </c>
      <c r="I667" s="2">
        <f>IFERROR(__xludf.DUMMYFUNCTION("""COMPUTED_VALUE"""),20.0)</f>
        <v>20</v>
      </c>
      <c r="J667" s="2">
        <f>IFERROR(__xludf.DUMMYFUNCTION("""COMPUTED_VALUE"""),1977.8)</f>
        <v>1977.8</v>
      </c>
      <c r="K667" s="2">
        <f>IFERROR(__xludf.DUMMYFUNCTION("""COMPUTED_VALUE"""),1977.8)</f>
        <v>1977.8</v>
      </c>
    </row>
    <row r="668">
      <c r="A668" s="2">
        <f>IFERROR(__xludf.DUMMYFUNCTION("""COMPUTED_VALUE"""),1000.0)</f>
        <v>1000</v>
      </c>
      <c r="B668" s="2">
        <f>IFERROR(__xludf.DUMMYFUNCTION("""COMPUTED_VALUE"""),183935.0)</f>
        <v>183935</v>
      </c>
      <c r="C668" s="2">
        <f>IFERROR(__xludf.DUMMYFUNCTION("""COMPUTED_VALUE"""),2026.0)</f>
        <v>2026</v>
      </c>
      <c r="D668" s="2">
        <f>IFERROR(__xludf.DUMMYFUNCTION("""COMPUTED_VALUE"""),46259.0)</f>
        <v>46259</v>
      </c>
      <c r="E668" s="2" t="str">
        <f>IFERROR(__xludf.DUMMYFUNCTION("""COMPUTED_VALUE"""),"VF")</f>
        <v>VF</v>
      </c>
      <c r="F668" s="2">
        <f>IFERROR(__xludf.DUMMYFUNCTION("""COMPUTED_VALUE"""),1.0)</f>
        <v>1</v>
      </c>
      <c r="G668" s="2" t="str">
        <f>IFERROR(__xludf.DUMMYFUNCTION("""COMPUTED_VALUE"""),"PR044")</f>
        <v>PR044</v>
      </c>
      <c r="H668" s="2" t="str">
        <f>IFERROR(__xludf.DUMMYFUNCTION("""COMPUTED_VALUE"""),"VD046")</f>
        <v>VD046</v>
      </c>
      <c r="I668" s="2">
        <f>IFERROR(__xludf.DUMMYFUNCTION("""COMPUTED_VALUE"""),5.0)</f>
        <v>5</v>
      </c>
      <c r="J668" s="2">
        <f>IFERROR(__xludf.DUMMYFUNCTION("""COMPUTED_VALUE"""),387.88)</f>
        <v>387.88</v>
      </c>
      <c r="K668" s="2">
        <f>IFERROR(__xludf.DUMMYFUNCTION("""COMPUTED_VALUE"""),387.88)</f>
        <v>387.88</v>
      </c>
    </row>
    <row r="669">
      <c r="A669" s="2">
        <f>IFERROR(__xludf.DUMMYFUNCTION("""COMPUTED_VALUE"""),1000.0)</f>
        <v>1000</v>
      </c>
      <c r="B669" s="2">
        <f>IFERROR(__xludf.DUMMYFUNCTION("""COMPUTED_VALUE"""),183935.0)</f>
        <v>183935</v>
      </c>
      <c r="C669" s="2">
        <f>IFERROR(__xludf.DUMMYFUNCTION("""COMPUTED_VALUE"""),2026.0)</f>
        <v>2026</v>
      </c>
      <c r="D669" s="2">
        <f>IFERROR(__xludf.DUMMYFUNCTION("""COMPUTED_VALUE"""),46259.0)</f>
        <v>46259</v>
      </c>
      <c r="E669" s="2" t="str">
        <f>IFERROR(__xludf.DUMMYFUNCTION("""COMPUTED_VALUE"""),"VF")</f>
        <v>VF</v>
      </c>
      <c r="F669" s="2">
        <f>IFERROR(__xludf.DUMMYFUNCTION("""COMPUTED_VALUE"""),2.0)</f>
        <v>2</v>
      </c>
      <c r="G669" s="2" t="str">
        <f>IFERROR(__xludf.DUMMYFUNCTION("""COMPUTED_VALUE"""),"PR022")</f>
        <v>PR022</v>
      </c>
      <c r="H669" s="2" t="str">
        <f>IFERROR(__xludf.DUMMYFUNCTION("""COMPUTED_VALUE"""),"VD021")</f>
        <v>VD021</v>
      </c>
      <c r="I669" s="2">
        <f>IFERROR(__xludf.DUMMYFUNCTION("""COMPUTED_VALUE"""),3.0)</f>
        <v>3</v>
      </c>
      <c r="J669" s="2">
        <f>IFERROR(__xludf.DUMMYFUNCTION("""COMPUTED_VALUE"""),963.0)</f>
        <v>963</v>
      </c>
      <c r="K669" s="2">
        <f>IFERROR(__xludf.DUMMYFUNCTION("""COMPUTED_VALUE"""),963.0)</f>
        <v>963</v>
      </c>
    </row>
    <row r="670">
      <c r="A670" s="2">
        <f>IFERROR(__xludf.DUMMYFUNCTION("""COMPUTED_VALUE"""),1000.0)</f>
        <v>1000</v>
      </c>
      <c r="B670" s="2">
        <f>IFERROR(__xludf.DUMMYFUNCTION("""COMPUTED_VALUE"""),183935.0)</f>
        <v>183935</v>
      </c>
      <c r="C670" s="2">
        <f>IFERROR(__xludf.DUMMYFUNCTION("""COMPUTED_VALUE"""),2026.0)</f>
        <v>2026</v>
      </c>
      <c r="D670" s="2">
        <f>IFERROR(__xludf.DUMMYFUNCTION("""COMPUTED_VALUE"""),46258.0)</f>
        <v>46258</v>
      </c>
      <c r="E670" s="2" t="str">
        <f>IFERROR(__xludf.DUMMYFUNCTION("""COMPUTED_VALUE"""),"VF")</f>
        <v>VF</v>
      </c>
      <c r="F670" s="2">
        <f>IFERROR(__xludf.DUMMYFUNCTION("""COMPUTED_VALUE"""),3.0)</f>
        <v>3</v>
      </c>
      <c r="G670" s="2" t="str">
        <f>IFERROR(__xludf.DUMMYFUNCTION("""COMPUTED_VALUE"""),"PR017")</f>
        <v>PR017</v>
      </c>
      <c r="H670" s="2" t="str">
        <f>IFERROR(__xludf.DUMMYFUNCTION("""COMPUTED_VALUE"""),"VD042")</f>
        <v>VD042</v>
      </c>
      <c r="I670" s="2">
        <f>IFERROR(__xludf.DUMMYFUNCTION("""COMPUTED_VALUE"""),4.0)</f>
        <v>4</v>
      </c>
      <c r="J670" s="2">
        <f>IFERROR(__xludf.DUMMYFUNCTION("""COMPUTED_VALUE"""),121.99)</f>
        <v>121.99</v>
      </c>
      <c r="K670" s="2">
        <f>IFERROR(__xludf.DUMMYFUNCTION("""COMPUTED_VALUE"""),121.99)</f>
        <v>121.99</v>
      </c>
    </row>
    <row r="671">
      <c r="A671" s="2">
        <f>IFERROR(__xludf.DUMMYFUNCTION("""COMPUTED_VALUE"""),1000.0)</f>
        <v>1000</v>
      </c>
      <c r="B671" s="2">
        <f>IFERROR(__xludf.DUMMYFUNCTION("""COMPUTED_VALUE"""),183935.0)</f>
        <v>183935</v>
      </c>
      <c r="C671" s="2">
        <f>IFERROR(__xludf.DUMMYFUNCTION("""COMPUTED_VALUE"""),2026.0)</f>
        <v>2026</v>
      </c>
      <c r="D671" s="2">
        <f>IFERROR(__xludf.DUMMYFUNCTION("""COMPUTED_VALUE"""),46258.0)</f>
        <v>46258</v>
      </c>
      <c r="E671" s="2" t="str">
        <f>IFERROR(__xludf.DUMMYFUNCTION("""COMPUTED_VALUE"""),"VF")</f>
        <v>VF</v>
      </c>
      <c r="F671" s="2">
        <f>IFERROR(__xludf.DUMMYFUNCTION("""COMPUTED_VALUE"""),4.0)</f>
        <v>4</v>
      </c>
      <c r="G671" s="2" t="str">
        <f>IFERROR(__xludf.DUMMYFUNCTION("""COMPUTED_VALUE"""),"PR008")</f>
        <v>PR008</v>
      </c>
      <c r="H671" s="2" t="str">
        <f>IFERROR(__xludf.DUMMYFUNCTION("""COMPUTED_VALUE"""),"VD043")</f>
        <v>VD043</v>
      </c>
      <c r="I671" s="2">
        <f>IFERROR(__xludf.DUMMYFUNCTION("""COMPUTED_VALUE"""),10.0)</f>
        <v>10</v>
      </c>
      <c r="J671" s="2">
        <f>IFERROR(__xludf.DUMMYFUNCTION("""COMPUTED_VALUE"""),943.95)</f>
        <v>943.95</v>
      </c>
      <c r="K671" s="2">
        <f>IFERROR(__xludf.DUMMYFUNCTION("""COMPUTED_VALUE"""),943.95)</f>
        <v>943.95</v>
      </c>
    </row>
    <row r="672">
      <c r="A672" s="2">
        <f>IFERROR(__xludf.DUMMYFUNCTION("""COMPUTED_VALUE"""),1000.0)</f>
        <v>1000</v>
      </c>
      <c r="B672" s="2">
        <f>IFERROR(__xludf.DUMMYFUNCTION("""COMPUTED_VALUE"""),183936.0)</f>
        <v>183936</v>
      </c>
      <c r="C672" s="2">
        <f>IFERROR(__xludf.DUMMYFUNCTION("""COMPUTED_VALUE"""),2026.0)</f>
        <v>2026</v>
      </c>
      <c r="D672" s="2">
        <f>IFERROR(__xludf.DUMMYFUNCTION("""COMPUTED_VALUE"""),46258.0)</f>
        <v>46258</v>
      </c>
      <c r="E672" s="2" t="str">
        <f>IFERROR(__xludf.DUMMYFUNCTION("""COMPUTED_VALUE"""),"VF")</f>
        <v>VF</v>
      </c>
      <c r="F672" s="2">
        <f>IFERROR(__xludf.DUMMYFUNCTION("""COMPUTED_VALUE"""),1.0)</f>
        <v>1</v>
      </c>
      <c r="G672" s="2" t="str">
        <f>IFERROR(__xludf.DUMMYFUNCTION("""COMPUTED_VALUE"""),"PR047")</f>
        <v>PR047</v>
      </c>
      <c r="H672" s="2" t="str">
        <f>IFERROR(__xludf.DUMMYFUNCTION("""COMPUTED_VALUE"""),"VD025")</f>
        <v>VD025</v>
      </c>
      <c r="I672" s="2">
        <f>IFERROR(__xludf.DUMMYFUNCTION("""COMPUTED_VALUE"""),6.0)</f>
        <v>6</v>
      </c>
      <c r="J672" s="2">
        <f>IFERROR(__xludf.DUMMYFUNCTION("""COMPUTED_VALUE"""),1861.16)</f>
        <v>1861.16</v>
      </c>
      <c r="K672" s="2">
        <f>IFERROR(__xludf.DUMMYFUNCTION("""COMPUTED_VALUE"""),1861.16)</f>
        <v>1861.16</v>
      </c>
    </row>
    <row r="673">
      <c r="A673" s="2">
        <f>IFERROR(__xludf.DUMMYFUNCTION("""COMPUTED_VALUE"""),1000.0)</f>
        <v>1000</v>
      </c>
      <c r="B673" s="2">
        <f>IFERROR(__xludf.DUMMYFUNCTION("""COMPUTED_VALUE"""),183936.0)</f>
        <v>183936</v>
      </c>
      <c r="C673" s="2">
        <f>IFERROR(__xludf.DUMMYFUNCTION("""COMPUTED_VALUE"""),2026.0)</f>
        <v>2026</v>
      </c>
      <c r="D673" s="2">
        <f>IFERROR(__xludf.DUMMYFUNCTION("""COMPUTED_VALUE"""),46258.0)</f>
        <v>46258</v>
      </c>
      <c r="E673" s="2" t="str">
        <f>IFERROR(__xludf.DUMMYFUNCTION("""COMPUTED_VALUE"""),"VF")</f>
        <v>VF</v>
      </c>
      <c r="F673" s="2">
        <f>IFERROR(__xludf.DUMMYFUNCTION("""COMPUTED_VALUE"""),2.0)</f>
        <v>2</v>
      </c>
      <c r="G673" s="2" t="str">
        <f>IFERROR(__xludf.DUMMYFUNCTION("""COMPUTED_VALUE"""),"PR041")</f>
        <v>PR041</v>
      </c>
      <c r="H673" s="2" t="str">
        <f>IFERROR(__xludf.DUMMYFUNCTION("""COMPUTED_VALUE"""),"VD041")</f>
        <v>VD041</v>
      </c>
      <c r="I673" s="2">
        <f>IFERROR(__xludf.DUMMYFUNCTION("""COMPUTED_VALUE"""),2.0)</f>
        <v>2</v>
      </c>
      <c r="J673" s="2">
        <f>IFERROR(__xludf.DUMMYFUNCTION("""COMPUTED_VALUE"""),116.39)</f>
        <v>116.39</v>
      </c>
      <c r="K673" s="2">
        <f>IFERROR(__xludf.DUMMYFUNCTION("""COMPUTED_VALUE"""),116.39)</f>
        <v>116.39</v>
      </c>
    </row>
    <row r="674">
      <c r="A674" s="2">
        <f>IFERROR(__xludf.DUMMYFUNCTION("""COMPUTED_VALUE"""),1000.0)</f>
        <v>1000</v>
      </c>
      <c r="B674" s="2">
        <f>IFERROR(__xludf.DUMMYFUNCTION("""COMPUTED_VALUE"""),183937.0)</f>
        <v>183937</v>
      </c>
      <c r="C674" s="2">
        <f>IFERROR(__xludf.DUMMYFUNCTION("""COMPUTED_VALUE"""),2026.0)</f>
        <v>2026</v>
      </c>
      <c r="D674" s="2">
        <f>IFERROR(__xludf.DUMMYFUNCTION("""COMPUTED_VALUE"""),46257.0)</f>
        <v>46257</v>
      </c>
      <c r="E674" s="2" t="str">
        <f>IFERROR(__xludf.DUMMYFUNCTION("""COMPUTED_VALUE"""),"VF")</f>
        <v>VF</v>
      </c>
      <c r="F674" s="2">
        <f>IFERROR(__xludf.DUMMYFUNCTION("""COMPUTED_VALUE"""),1.0)</f>
        <v>1</v>
      </c>
      <c r="G674" s="2" t="str">
        <f>IFERROR(__xludf.DUMMYFUNCTION("""COMPUTED_VALUE"""),"PR051")</f>
        <v>PR051</v>
      </c>
      <c r="H674" s="2" t="str">
        <f>IFERROR(__xludf.DUMMYFUNCTION("""COMPUTED_VALUE"""),"VD044")</f>
        <v>VD044</v>
      </c>
      <c r="I674" s="2">
        <f>IFERROR(__xludf.DUMMYFUNCTION("""COMPUTED_VALUE"""),10.0)</f>
        <v>10</v>
      </c>
      <c r="J674" s="2">
        <f>IFERROR(__xludf.DUMMYFUNCTION("""COMPUTED_VALUE"""),358.61)</f>
        <v>358.61</v>
      </c>
      <c r="K674" s="2">
        <f>IFERROR(__xludf.DUMMYFUNCTION("""COMPUTED_VALUE"""),358.61)</f>
        <v>358.61</v>
      </c>
    </row>
    <row r="675">
      <c r="A675" s="2">
        <f>IFERROR(__xludf.DUMMYFUNCTION("""COMPUTED_VALUE"""),1000.0)</f>
        <v>1000</v>
      </c>
      <c r="B675" s="2">
        <f>IFERROR(__xludf.DUMMYFUNCTION("""COMPUTED_VALUE"""),183937.0)</f>
        <v>183937</v>
      </c>
      <c r="C675" s="2">
        <f>IFERROR(__xludf.DUMMYFUNCTION("""COMPUTED_VALUE"""),2026.0)</f>
        <v>2026</v>
      </c>
      <c r="D675" s="2">
        <f>IFERROR(__xludf.DUMMYFUNCTION("""COMPUTED_VALUE"""),46257.0)</f>
        <v>46257</v>
      </c>
      <c r="E675" s="2" t="str">
        <f>IFERROR(__xludf.DUMMYFUNCTION("""COMPUTED_VALUE"""),"VF")</f>
        <v>VF</v>
      </c>
      <c r="F675" s="2">
        <f>IFERROR(__xludf.DUMMYFUNCTION("""COMPUTED_VALUE"""),2.0)</f>
        <v>2</v>
      </c>
      <c r="G675" s="2" t="str">
        <f>IFERROR(__xludf.DUMMYFUNCTION("""COMPUTED_VALUE"""),"PR001")</f>
        <v>PR001</v>
      </c>
      <c r="H675" s="2" t="str">
        <f>IFERROR(__xludf.DUMMYFUNCTION("""COMPUTED_VALUE"""),"VD032")</f>
        <v>VD032</v>
      </c>
      <c r="I675" s="2">
        <f>IFERROR(__xludf.DUMMYFUNCTION("""COMPUTED_VALUE"""),6.0)</f>
        <v>6</v>
      </c>
      <c r="J675" s="2">
        <f>IFERROR(__xludf.DUMMYFUNCTION("""COMPUTED_VALUE"""),427.03)</f>
        <v>427.03</v>
      </c>
      <c r="K675" s="2">
        <f>IFERROR(__xludf.DUMMYFUNCTION("""COMPUTED_VALUE"""),427.03)</f>
        <v>427.03</v>
      </c>
    </row>
    <row r="676">
      <c r="A676" s="2">
        <f>IFERROR(__xludf.DUMMYFUNCTION("""COMPUTED_VALUE"""),1000.0)</f>
        <v>1000</v>
      </c>
      <c r="B676" s="2">
        <f>IFERROR(__xludf.DUMMYFUNCTION("""COMPUTED_VALUE"""),183938.0)</f>
        <v>183938</v>
      </c>
      <c r="C676" s="2">
        <f>IFERROR(__xludf.DUMMYFUNCTION("""COMPUTED_VALUE"""),2026.0)</f>
        <v>2026</v>
      </c>
      <c r="D676" s="2">
        <f>IFERROR(__xludf.DUMMYFUNCTION("""COMPUTED_VALUE"""),46257.0)</f>
        <v>46257</v>
      </c>
      <c r="E676" s="2" t="str">
        <f>IFERROR(__xludf.DUMMYFUNCTION("""COMPUTED_VALUE"""),"VF")</f>
        <v>VF</v>
      </c>
      <c r="F676" s="2">
        <f>IFERROR(__xludf.DUMMYFUNCTION("""COMPUTED_VALUE"""),1.0)</f>
        <v>1</v>
      </c>
      <c r="G676" s="2" t="str">
        <f>IFERROR(__xludf.DUMMYFUNCTION("""COMPUTED_VALUE"""),"PR010")</f>
        <v>PR010</v>
      </c>
      <c r="H676" s="2" t="str">
        <f>IFERROR(__xludf.DUMMYFUNCTION("""COMPUTED_VALUE"""),"VD037")</f>
        <v>VD037</v>
      </c>
      <c r="I676" s="2">
        <f>IFERROR(__xludf.DUMMYFUNCTION("""COMPUTED_VALUE"""),20.0)</f>
        <v>20</v>
      </c>
      <c r="J676" s="2">
        <f>IFERROR(__xludf.DUMMYFUNCTION("""COMPUTED_VALUE"""),942.9)</f>
        <v>942.9</v>
      </c>
      <c r="K676" s="2">
        <f>IFERROR(__xludf.DUMMYFUNCTION("""COMPUTED_VALUE"""),942.9)</f>
        <v>942.9</v>
      </c>
    </row>
    <row r="677">
      <c r="A677" s="2">
        <f>IFERROR(__xludf.DUMMYFUNCTION("""COMPUTED_VALUE"""),1000.0)</f>
        <v>1000</v>
      </c>
      <c r="B677" s="2">
        <f>IFERROR(__xludf.DUMMYFUNCTION("""COMPUTED_VALUE"""),183938.0)</f>
        <v>183938</v>
      </c>
      <c r="C677" s="2">
        <f>IFERROR(__xludf.DUMMYFUNCTION("""COMPUTED_VALUE"""),2026.0)</f>
        <v>2026</v>
      </c>
      <c r="D677" s="2">
        <f>IFERROR(__xludf.DUMMYFUNCTION("""COMPUTED_VALUE"""),46257.0)</f>
        <v>46257</v>
      </c>
      <c r="E677" s="2" t="str">
        <f>IFERROR(__xludf.DUMMYFUNCTION("""COMPUTED_VALUE"""),"VF")</f>
        <v>VF</v>
      </c>
      <c r="F677" s="2">
        <f>IFERROR(__xludf.DUMMYFUNCTION("""COMPUTED_VALUE"""),2.0)</f>
        <v>2</v>
      </c>
      <c r="G677" s="2" t="str">
        <f>IFERROR(__xludf.DUMMYFUNCTION("""COMPUTED_VALUE"""),"PR047")</f>
        <v>PR047</v>
      </c>
      <c r="H677" s="2" t="str">
        <f>IFERROR(__xludf.DUMMYFUNCTION("""COMPUTED_VALUE"""),"VD033")</f>
        <v>VD033</v>
      </c>
      <c r="I677" s="2">
        <f>IFERROR(__xludf.DUMMYFUNCTION("""COMPUTED_VALUE"""),8.0)</f>
        <v>8</v>
      </c>
      <c r="J677" s="2">
        <f>IFERROR(__xludf.DUMMYFUNCTION("""COMPUTED_VALUE"""),2388.78)</f>
        <v>2388.78</v>
      </c>
      <c r="K677" s="2">
        <f>IFERROR(__xludf.DUMMYFUNCTION("""COMPUTED_VALUE"""),2388.78)</f>
        <v>2388.78</v>
      </c>
    </row>
    <row r="678">
      <c r="A678" s="2">
        <f>IFERROR(__xludf.DUMMYFUNCTION("""COMPUTED_VALUE"""),1000.0)</f>
        <v>1000</v>
      </c>
      <c r="B678" s="2">
        <f>IFERROR(__xludf.DUMMYFUNCTION("""COMPUTED_VALUE"""),183939.0)</f>
        <v>183939</v>
      </c>
      <c r="C678" s="2">
        <f>IFERROR(__xludf.DUMMYFUNCTION("""COMPUTED_VALUE"""),2026.0)</f>
        <v>2026</v>
      </c>
      <c r="D678" s="2">
        <f>IFERROR(__xludf.DUMMYFUNCTION("""COMPUTED_VALUE"""),46257.0)</f>
        <v>46257</v>
      </c>
      <c r="E678" s="2" t="str">
        <f>IFERROR(__xludf.DUMMYFUNCTION("""COMPUTED_VALUE"""),"VF")</f>
        <v>VF</v>
      </c>
      <c r="F678" s="2">
        <f>IFERROR(__xludf.DUMMYFUNCTION("""COMPUTED_VALUE"""),1.0)</f>
        <v>1</v>
      </c>
      <c r="G678" s="2" t="str">
        <f>IFERROR(__xludf.DUMMYFUNCTION("""COMPUTED_VALUE"""),"PR029")</f>
        <v>PR029</v>
      </c>
      <c r="H678" s="2" t="str">
        <f>IFERROR(__xludf.DUMMYFUNCTION("""COMPUTED_VALUE"""),"VD013")</f>
        <v>VD013</v>
      </c>
      <c r="I678" s="2">
        <f>IFERROR(__xludf.DUMMYFUNCTION("""COMPUTED_VALUE"""),14.0)</f>
        <v>14</v>
      </c>
      <c r="J678" s="2">
        <f>IFERROR(__xludf.DUMMYFUNCTION("""COMPUTED_VALUE"""),3641.4)</f>
        <v>3641.4</v>
      </c>
      <c r="K678" s="2">
        <f>IFERROR(__xludf.DUMMYFUNCTION("""COMPUTED_VALUE"""),3641.4)</f>
        <v>3641.4</v>
      </c>
    </row>
    <row r="679">
      <c r="A679" s="2">
        <f>IFERROR(__xludf.DUMMYFUNCTION("""COMPUTED_VALUE"""),1000.0)</f>
        <v>1000</v>
      </c>
      <c r="B679" s="2">
        <f>IFERROR(__xludf.DUMMYFUNCTION("""COMPUTED_VALUE"""),183940.0)</f>
        <v>183940</v>
      </c>
      <c r="C679" s="2">
        <f>IFERROR(__xludf.DUMMYFUNCTION("""COMPUTED_VALUE"""),2026.0)</f>
        <v>2026</v>
      </c>
      <c r="D679" s="2">
        <f>IFERROR(__xludf.DUMMYFUNCTION("""COMPUTED_VALUE"""),46257.0)</f>
        <v>46257</v>
      </c>
      <c r="E679" s="2" t="str">
        <f>IFERROR(__xludf.DUMMYFUNCTION("""COMPUTED_VALUE"""),"VF")</f>
        <v>VF</v>
      </c>
      <c r="F679" s="2">
        <f>IFERROR(__xludf.DUMMYFUNCTION("""COMPUTED_VALUE"""),1.0)</f>
        <v>1</v>
      </c>
      <c r="G679" s="2" t="str">
        <f>IFERROR(__xludf.DUMMYFUNCTION("""COMPUTED_VALUE"""),"PR031")</f>
        <v>PR031</v>
      </c>
      <c r="H679" s="2" t="str">
        <f>IFERROR(__xludf.DUMMYFUNCTION("""COMPUTED_VALUE"""),"VD036")</f>
        <v>VD036</v>
      </c>
      <c r="I679" s="2">
        <f>IFERROR(__xludf.DUMMYFUNCTION("""COMPUTED_VALUE"""),2.0)</f>
        <v>2</v>
      </c>
      <c r="J679" s="2">
        <f>IFERROR(__xludf.DUMMYFUNCTION("""COMPUTED_VALUE"""),499.8)</f>
        <v>499.8</v>
      </c>
      <c r="K679" s="2">
        <f>IFERROR(__xludf.DUMMYFUNCTION("""COMPUTED_VALUE"""),499.8)</f>
        <v>499.8</v>
      </c>
    </row>
    <row r="680">
      <c r="A680" s="2">
        <f>IFERROR(__xludf.DUMMYFUNCTION("""COMPUTED_VALUE"""),1000.0)</f>
        <v>1000</v>
      </c>
      <c r="B680" s="2">
        <f>IFERROR(__xludf.DUMMYFUNCTION("""COMPUTED_VALUE"""),183941.0)</f>
        <v>183941</v>
      </c>
      <c r="C680" s="2">
        <f>IFERROR(__xludf.DUMMYFUNCTION("""COMPUTED_VALUE"""),2026.0)</f>
        <v>2026</v>
      </c>
      <c r="D680" s="2">
        <f>IFERROR(__xludf.DUMMYFUNCTION("""COMPUTED_VALUE"""),46257.0)</f>
        <v>46257</v>
      </c>
      <c r="E680" s="2" t="str">
        <f>IFERROR(__xludf.DUMMYFUNCTION("""COMPUTED_VALUE"""),"VF")</f>
        <v>VF</v>
      </c>
      <c r="F680" s="2">
        <f>IFERROR(__xludf.DUMMYFUNCTION("""COMPUTED_VALUE"""),1.0)</f>
        <v>1</v>
      </c>
      <c r="G680" s="2" t="str">
        <f>IFERROR(__xludf.DUMMYFUNCTION("""COMPUTED_VALUE"""),"PR032")</f>
        <v>PR032</v>
      </c>
      <c r="H680" s="2" t="str">
        <f>IFERROR(__xludf.DUMMYFUNCTION("""COMPUTED_VALUE"""),"VD021")</f>
        <v>VD021</v>
      </c>
      <c r="I680" s="2">
        <f>IFERROR(__xludf.DUMMYFUNCTION("""COMPUTED_VALUE"""),3.0)</f>
        <v>3</v>
      </c>
      <c r="J680" s="2">
        <f>IFERROR(__xludf.DUMMYFUNCTION("""COMPUTED_VALUE"""),772.5)</f>
        <v>772.5</v>
      </c>
      <c r="K680" s="2">
        <f>IFERROR(__xludf.DUMMYFUNCTION("""COMPUTED_VALUE"""),772.5)</f>
        <v>772.5</v>
      </c>
    </row>
    <row r="681">
      <c r="A681" s="2">
        <f>IFERROR(__xludf.DUMMYFUNCTION("""COMPUTED_VALUE"""),1000.0)</f>
        <v>1000</v>
      </c>
      <c r="B681" s="2">
        <f>IFERROR(__xludf.DUMMYFUNCTION("""COMPUTED_VALUE"""),183942.0)</f>
        <v>183942</v>
      </c>
      <c r="C681" s="2">
        <f>IFERROR(__xludf.DUMMYFUNCTION("""COMPUTED_VALUE"""),2026.0)</f>
        <v>2026</v>
      </c>
      <c r="D681" s="2">
        <f>IFERROR(__xludf.DUMMYFUNCTION("""COMPUTED_VALUE"""),46256.0)</f>
        <v>46256</v>
      </c>
      <c r="E681" s="2" t="str">
        <f>IFERROR(__xludf.DUMMYFUNCTION("""COMPUTED_VALUE"""),"VF")</f>
        <v>VF</v>
      </c>
      <c r="F681" s="2">
        <f>IFERROR(__xludf.DUMMYFUNCTION("""COMPUTED_VALUE"""),1.0)</f>
        <v>1</v>
      </c>
      <c r="G681" s="2" t="str">
        <f>IFERROR(__xludf.DUMMYFUNCTION("""COMPUTED_VALUE"""),"PR037")</f>
        <v>PR037</v>
      </c>
      <c r="H681" s="2" t="str">
        <f>IFERROR(__xludf.DUMMYFUNCTION("""COMPUTED_VALUE"""),"VD049")</f>
        <v>VD049</v>
      </c>
      <c r="I681" s="2">
        <f>IFERROR(__xludf.DUMMYFUNCTION("""COMPUTED_VALUE"""),3.0)</f>
        <v>3</v>
      </c>
      <c r="J681" s="2">
        <f>IFERROR(__xludf.DUMMYFUNCTION("""COMPUTED_VALUE"""),432.6)</f>
        <v>432.6</v>
      </c>
      <c r="K681" s="2">
        <f>IFERROR(__xludf.DUMMYFUNCTION("""COMPUTED_VALUE"""),432.6)</f>
        <v>432.6</v>
      </c>
    </row>
    <row r="682">
      <c r="A682" s="2">
        <f>IFERROR(__xludf.DUMMYFUNCTION("""COMPUTED_VALUE"""),1000.0)</f>
        <v>1000</v>
      </c>
      <c r="B682" s="2">
        <f>IFERROR(__xludf.DUMMYFUNCTION("""COMPUTED_VALUE"""),183943.0)</f>
        <v>183943</v>
      </c>
      <c r="C682" s="2">
        <f>IFERROR(__xludf.DUMMYFUNCTION("""COMPUTED_VALUE"""),2026.0)</f>
        <v>2026</v>
      </c>
      <c r="D682" s="2">
        <f>IFERROR(__xludf.DUMMYFUNCTION("""COMPUTED_VALUE"""),46256.0)</f>
        <v>46256</v>
      </c>
      <c r="E682" s="2" t="str">
        <f>IFERROR(__xludf.DUMMYFUNCTION("""COMPUTED_VALUE"""),"VF")</f>
        <v>VF</v>
      </c>
      <c r="F682" s="2">
        <f>IFERROR(__xludf.DUMMYFUNCTION("""COMPUTED_VALUE"""),1.0)</f>
        <v>1</v>
      </c>
      <c r="G682" s="2" t="str">
        <f>IFERROR(__xludf.DUMMYFUNCTION("""COMPUTED_VALUE"""),"PR018")</f>
        <v>PR018</v>
      </c>
      <c r="H682" s="2" t="str">
        <f>IFERROR(__xludf.DUMMYFUNCTION("""COMPUTED_VALUE"""),"VD026")</f>
        <v>VD026</v>
      </c>
      <c r="I682" s="2">
        <f>IFERROR(__xludf.DUMMYFUNCTION("""COMPUTED_VALUE"""),3.0)</f>
        <v>3</v>
      </c>
      <c r="J682" s="2">
        <f>IFERROR(__xludf.DUMMYFUNCTION("""COMPUTED_VALUE"""),107.58)</f>
        <v>107.58</v>
      </c>
      <c r="K682" s="2">
        <f>IFERROR(__xludf.DUMMYFUNCTION("""COMPUTED_VALUE"""),107.58)</f>
        <v>107.58</v>
      </c>
    </row>
    <row r="683">
      <c r="A683" s="2">
        <f>IFERROR(__xludf.DUMMYFUNCTION("""COMPUTED_VALUE"""),1000.0)</f>
        <v>1000</v>
      </c>
      <c r="B683" s="2">
        <f>IFERROR(__xludf.DUMMYFUNCTION("""COMPUTED_VALUE"""),183944.0)</f>
        <v>183944</v>
      </c>
      <c r="C683" s="2">
        <f>IFERROR(__xludf.DUMMYFUNCTION("""COMPUTED_VALUE"""),2026.0)</f>
        <v>2026</v>
      </c>
      <c r="D683" s="2">
        <f>IFERROR(__xludf.DUMMYFUNCTION("""COMPUTED_VALUE"""),46255.0)</f>
        <v>46255</v>
      </c>
      <c r="E683" s="2" t="str">
        <f>IFERROR(__xludf.DUMMYFUNCTION("""COMPUTED_VALUE"""),"VF")</f>
        <v>VF</v>
      </c>
      <c r="F683" s="2">
        <f>IFERROR(__xludf.DUMMYFUNCTION("""COMPUTED_VALUE"""),1.0)</f>
        <v>1</v>
      </c>
      <c r="G683" s="2" t="str">
        <f>IFERROR(__xludf.DUMMYFUNCTION("""COMPUTED_VALUE"""),"PR048")</f>
        <v>PR048</v>
      </c>
      <c r="H683" s="2" t="str">
        <f>IFERROR(__xludf.DUMMYFUNCTION("""COMPUTED_VALUE"""),"VD040")</f>
        <v>VD040</v>
      </c>
      <c r="I683" s="2">
        <f>IFERROR(__xludf.DUMMYFUNCTION("""COMPUTED_VALUE"""),2.0)</f>
        <v>2</v>
      </c>
      <c r="J683" s="2">
        <f>IFERROR(__xludf.DUMMYFUNCTION("""COMPUTED_VALUE"""),591.4)</f>
        <v>591.4</v>
      </c>
      <c r="K683" s="2">
        <f>IFERROR(__xludf.DUMMYFUNCTION("""COMPUTED_VALUE"""),591.4)</f>
        <v>591.4</v>
      </c>
    </row>
    <row r="684">
      <c r="A684" s="2">
        <f>IFERROR(__xludf.DUMMYFUNCTION("""COMPUTED_VALUE"""),2000.0)</f>
        <v>2000</v>
      </c>
      <c r="B684" s="2">
        <f>IFERROR(__xludf.DUMMYFUNCTION("""COMPUTED_VALUE"""),183945.0)</f>
        <v>183945</v>
      </c>
      <c r="C684" s="2">
        <f>IFERROR(__xludf.DUMMYFUNCTION("""COMPUTED_VALUE"""),2026.0)</f>
        <v>2026</v>
      </c>
      <c r="D684" s="2">
        <f>IFERROR(__xludf.DUMMYFUNCTION("""COMPUTED_VALUE"""),46255.0)</f>
        <v>46255</v>
      </c>
      <c r="E684" s="2" t="str">
        <f>IFERROR(__xludf.DUMMYFUNCTION("""COMPUTED_VALUE"""),"VF")</f>
        <v>VF</v>
      </c>
      <c r="F684" s="2">
        <f>IFERROR(__xludf.DUMMYFUNCTION("""COMPUTED_VALUE"""),1.0)</f>
        <v>1</v>
      </c>
      <c r="G684" s="2" t="str">
        <f>IFERROR(__xludf.DUMMYFUNCTION("""COMPUTED_VALUE"""),"PR011")</f>
        <v>PR011</v>
      </c>
      <c r="H684" s="2" t="str">
        <f>IFERROR(__xludf.DUMMYFUNCTION("""COMPUTED_VALUE"""),"VD036")</f>
        <v>VD036</v>
      </c>
      <c r="I684" s="2">
        <f>IFERROR(__xludf.DUMMYFUNCTION("""COMPUTED_VALUE"""),9.0)</f>
        <v>9</v>
      </c>
      <c r="J684" s="2">
        <f>IFERROR(__xludf.DUMMYFUNCTION("""COMPUTED_VALUE"""),464.31)</f>
        <v>464.31</v>
      </c>
      <c r="K684" s="2">
        <f>IFERROR(__xludf.DUMMYFUNCTION("""COMPUTED_VALUE"""),464.31)</f>
        <v>464.31</v>
      </c>
    </row>
    <row r="685">
      <c r="A685" s="2">
        <f>IFERROR(__xludf.DUMMYFUNCTION("""COMPUTED_VALUE"""),1000.0)</f>
        <v>1000</v>
      </c>
      <c r="B685" s="2">
        <f>IFERROR(__xludf.DUMMYFUNCTION("""COMPUTED_VALUE"""),183946.0)</f>
        <v>183946</v>
      </c>
      <c r="C685" s="2">
        <f>IFERROR(__xludf.DUMMYFUNCTION("""COMPUTED_VALUE"""),2026.0)</f>
        <v>2026</v>
      </c>
      <c r="D685" s="2">
        <f>IFERROR(__xludf.DUMMYFUNCTION("""COMPUTED_VALUE"""),46255.0)</f>
        <v>46255</v>
      </c>
      <c r="E685" s="2" t="str">
        <f>IFERROR(__xludf.DUMMYFUNCTION("""COMPUTED_VALUE"""),"VF")</f>
        <v>VF</v>
      </c>
      <c r="F685" s="2">
        <f>IFERROR(__xludf.DUMMYFUNCTION("""COMPUTED_VALUE"""),1.0)</f>
        <v>1</v>
      </c>
      <c r="G685" s="2" t="str">
        <f>IFERROR(__xludf.DUMMYFUNCTION("""COMPUTED_VALUE"""),"PR021")</f>
        <v>PR021</v>
      </c>
      <c r="H685" s="2" t="str">
        <f>IFERROR(__xludf.DUMMYFUNCTION("""COMPUTED_VALUE"""),"VD019")</f>
        <v>VD019</v>
      </c>
      <c r="I685" s="2">
        <f>IFERROR(__xludf.DUMMYFUNCTION("""COMPUTED_VALUE"""),2.0)</f>
        <v>2</v>
      </c>
      <c r="J685" s="2">
        <f>IFERROR(__xludf.DUMMYFUNCTION("""COMPUTED_VALUE"""),623.97)</f>
        <v>623.97</v>
      </c>
      <c r="K685" s="2">
        <f>IFERROR(__xludf.DUMMYFUNCTION("""COMPUTED_VALUE"""),623.97)</f>
        <v>623.97</v>
      </c>
    </row>
    <row r="686">
      <c r="A686" s="2">
        <f>IFERROR(__xludf.DUMMYFUNCTION("""COMPUTED_VALUE"""),1000.0)</f>
        <v>1000</v>
      </c>
      <c r="B686" s="2">
        <f>IFERROR(__xludf.DUMMYFUNCTION("""COMPUTED_VALUE"""),183947.0)</f>
        <v>183947</v>
      </c>
      <c r="C686" s="2">
        <f>IFERROR(__xludf.DUMMYFUNCTION("""COMPUTED_VALUE"""),2026.0)</f>
        <v>2026</v>
      </c>
      <c r="D686" s="2">
        <f>IFERROR(__xludf.DUMMYFUNCTION("""COMPUTED_VALUE"""),46255.0)</f>
        <v>46255</v>
      </c>
      <c r="E686" s="2" t="str">
        <f>IFERROR(__xludf.DUMMYFUNCTION("""COMPUTED_VALUE"""),"VF")</f>
        <v>VF</v>
      </c>
      <c r="F686" s="2">
        <f>IFERROR(__xludf.DUMMYFUNCTION("""COMPUTED_VALUE"""),1.0)</f>
        <v>1</v>
      </c>
      <c r="G686" s="2" t="str">
        <f>IFERROR(__xludf.DUMMYFUNCTION("""COMPUTED_VALUE"""),"PR021")</f>
        <v>PR021</v>
      </c>
      <c r="H686" s="2" t="str">
        <f>IFERROR(__xludf.DUMMYFUNCTION("""COMPUTED_VALUE"""),"VD038")</f>
        <v>VD038</v>
      </c>
      <c r="I686" s="2">
        <f>IFERROR(__xludf.DUMMYFUNCTION("""COMPUTED_VALUE"""),6.0)</f>
        <v>6</v>
      </c>
      <c r="J686" s="2">
        <f>IFERROR(__xludf.DUMMYFUNCTION("""COMPUTED_VALUE"""),1926.44)</f>
        <v>1926.44</v>
      </c>
      <c r="K686" s="2">
        <f>IFERROR(__xludf.DUMMYFUNCTION("""COMPUTED_VALUE"""),1926.44)</f>
        <v>1926.44</v>
      </c>
    </row>
    <row r="687">
      <c r="A687" s="2">
        <f>IFERROR(__xludf.DUMMYFUNCTION("""COMPUTED_VALUE"""),1000.0)</f>
        <v>1000</v>
      </c>
      <c r="B687" s="2">
        <f>IFERROR(__xludf.DUMMYFUNCTION("""COMPUTED_VALUE"""),183947.0)</f>
        <v>183947</v>
      </c>
      <c r="C687" s="2">
        <f>IFERROR(__xludf.DUMMYFUNCTION("""COMPUTED_VALUE"""),2026.0)</f>
        <v>2026</v>
      </c>
      <c r="D687" s="2">
        <f>IFERROR(__xludf.DUMMYFUNCTION("""COMPUTED_VALUE"""),46255.0)</f>
        <v>46255</v>
      </c>
      <c r="E687" s="2" t="str">
        <f>IFERROR(__xludf.DUMMYFUNCTION("""COMPUTED_VALUE"""),"VF")</f>
        <v>VF</v>
      </c>
      <c r="F687" s="2">
        <f>IFERROR(__xludf.DUMMYFUNCTION("""COMPUTED_VALUE"""),2.0)</f>
        <v>2</v>
      </c>
      <c r="G687" s="2" t="str">
        <f>IFERROR(__xludf.DUMMYFUNCTION("""COMPUTED_VALUE"""),"PR049")</f>
        <v>PR049</v>
      </c>
      <c r="H687" s="2" t="str">
        <f>IFERROR(__xludf.DUMMYFUNCTION("""COMPUTED_VALUE"""),"VD021")</f>
        <v>VD021</v>
      </c>
      <c r="I687" s="2">
        <f>IFERROR(__xludf.DUMMYFUNCTION("""COMPUTED_VALUE"""),2.0)</f>
        <v>2</v>
      </c>
      <c r="J687" s="2">
        <f>IFERROR(__xludf.DUMMYFUNCTION("""COMPUTED_VALUE"""),67.77)</f>
        <v>67.77</v>
      </c>
      <c r="K687" s="2">
        <f>IFERROR(__xludf.DUMMYFUNCTION("""COMPUTED_VALUE"""),67.77)</f>
        <v>67.77</v>
      </c>
    </row>
    <row r="688">
      <c r="A688" s="2">
        <f>IFERROR(__xludf.DUMMYFUNCTION("""COMPUTED_VALUE"""),1000.0)</f>
        <v>1000</v>
      </c>
      <c r="B688" s="2">
        <f>IFERROR(__xludf.DUMMYFUNCTION("""COMPUTED_VALUE"""),183948.0)</f>
        <v>183948</v>
      </c>
      <c r="C688" s="2">
        <f>IFERROR(__xludf.DUMMYFUNCTION("""COMPUTED_VALUE"""),2026.0)</f>
        <v>2026</v>
      </c>
      <c r="D688" s="2">
        <f>IFERROR(__xludf.DUMMYFUNCTION("""COMPUTED_VALUE"""),46255.0)</f>
        <v>46255</v>
      </c>
      <c r="E688" s="2" t="str">
        <f>IFERROR(__xludf.DUMMYFUNCTION("""COMPUTED_VALUE"""),"VF")</f>
        <v>VF</v>
      </c>
      <c r="F688" s="2">
        <f>IFERROR(__xludf.DUMMYFUNCTION("""COMPUTED_VALUE"""),1.0)</f>
        <v>1</v>
      </c>
      <c r="G688" s="2" t="str">
        <f>IFERROR(__xludf.DUMMYFUNCTION("""COMPUTED_VALUE"""),"PR056")</f>
        <v>PR056</v>
      </c>
      <c r="H688" s="2" t="str">
        <f>IFERROR(__xludf.DUMMYFUNCTION("""COMPUTED_VALUE"""),"VD030")</f>
        <v>VD030</v>
      </c>
      <c r="I688" s="2">
        <f>IFERROR(__xludf.DUMMYFUNCTION("""COMPUTED_VALUE"""),7.0)</f>
        <v>7</v>
      </c>
      <c r="J688" s="2">
        <f>IFERROR(__xludf.DUMMYFUNCTION("""COMPUTED_VALUE"""),692.23)</f>
        <v>692.23</v>
      </c>
      <c r="K688" s="2">
        <f>IFERROR(__xludf.DUMMYFUNCTION("""COMPUTED_VALUE"""),692.23)</f>
        <v>692.23</v>
      </c>
    </row>
    <row r="689">
      <c r="A689" s="2">
        <f>IFERROR(__xludf.DUMMYFUNCTION("""COMPUTED_VALUE"""),1000.0)</f>
        <v>1000</v>
      </c>
      <c r="B689" s="2">
        <f>IFERROR(__xludf.DUMMYFUNCTION("""COMPUTED_VALUE"""),183949.0)</f>
        <v>183949</v>
      </c>
      <c r="C689" s="2">
        <f>IFERROR(__xludf.DUMMYFUNCTION("""COMPUTED_VALUE"""),2026.0)</f>
        <v>2026</v>
      </c>
      <c r="D689" s="2">
        <f>IFERROR(__xludf.DUMMYFUNCTION("""COMPUTED_VALUE"""),46255.0)</f>
        <v>46255</v>
      </c>
      <c r="E689" s="2" t="str">
        <f>IFERROR(__xludf.DUMMYFUNCTION("""COMPUTED_VALUE"""),"VF")</f>
        <v>VF</v>
      </c>
      <c r="F689" s="2">
        <f>IFERROR(__xludf.DUMMYFUNCTION("""COMPUTED_VALUE"""),1.0)</f>
        <v>1</v>
      </c>
      <c r="G689" s="2" t="str">
        <f>IFERROR(__xludf.DUMMYFUNCTION("""COMPUTED_VALUE"""),"PR005")</f>
        <v>PR005</v>
      </c>
      <c r="H689" s="2" t="str">
        <f>IFERROR(__xludf.DUMMYFUNCTION("""COMPUTED_VALUE"""),"VD028")</f>
        <v>VD028</v>
      </c>
      <c r="I689" s="2">
        <f>IFERROR(__xludf.DUMMYFUNCTION("""COMPUTED_VALUE"""),6.0)</f>
        <v>6</v>
      </c>
      <c r="J689" s="2">
        <f>IFERROR(__xludf.DUMMYFUNCTION("""COMPUTED_VALUE"""),1684.15)</f>
        <v>1684.15</v>
      </c>
      <c r="K689" s="2">
        <f>IFERROR(__xludf.DUMMYFUNCTION("""COMPUTED_VALUE"""),1684.15)</f>
        <v>1684.15</v>
      </c>
    </row>
    <row r="690">
      <c r="A690" s="2">
        <f>IFERROR(__xludf.DUMMYFUNCTION("""COMPUTED_VALUE"""),1000.0)</f>
        <v>1000</v>
      </c>
      <c r="B690" s="2">
        <f>IFERROR(__xludf.DUMMYFUNCTION("""COMPUTED_VALUE"""),183949.0)</f>
        <v>183949</v>
      </c>
      <c r="C690" s="2">
        <f>IFERROR(__xludf.DUMMYFUNCTION("""COMPUTED_VALUE"""),2026.0)</f>
        <v>2026</v>
      </c>
      <c r="D690" s="2">
        <f>IFERROR(__xludf.DUMMYFUNCTION("""COMPUTED_VALUE"""),46255.0)</f>
        <v>46255</v>
      </c>
      <c r="E690" s="2" t="str">
        <f>IFERROR(__xludf.DUMMYFUNCTION("""COMPUTED_VALUE"""),"VF")</f>
        <v>VF</v>
      </c>
      <c r="F690" s="2">
        <f>IFERROR(__xludf.DUMMYFUNCTION("""COMPUTED_VALUE"""),2.0)</f>
        <v>2</v>
      </c>
      <c r="G690" s="2" t="str">
        <f>IFERROR(__xludf.DUMMYFUNCTION("""COMPUTED_VALUE"""),"PR029")</f>
        <v>PR029</v>
      </c>
      <c r="H690" s="2" t="str">
        <f>IFERROR(__xludf.DUMMYFUNCTION("""COMPUTED_VALUE"""),"VD010")</f>
        <v>VD010</v>
      </c>
      <c r="I690" s="2">
        <f>IFERROR(__xludf.DUMMYFUNCTION("""COMPUTED_VALUE"""),8.0)</f>
        <v>8</v>
      </c>
      <c r="J690" s="2">
        <f>IFERROR(__xludf.DUMMYFUNCTION("""COMPUTED_VALUE"""),2060.4)</f>
        <v>2060.4</v>
      </c>
      <c r="K690" s="2">
        <f>IFERROR(__xludf.DUMMYFUNCTION("""COMPUTED_VALUE"""),2060.4)</f>
        <v>2060.4</v>
      </c>
    </row>
    <row r="691">
      <c r="A691" s="2">
        <f>IFERROR(__xludf.DUMMYFUNCTION("""COMPUTED_VALUE"""),2000.0)</f>
        <v>2000</v>
      </c>
      <c r="B691" s="2">
        <f>IFERROR(__xludf.DUMMYFUNCTION("""COMPUTED_VALUE"""),183950.0)</f>
        <v>183950</v>
      </c>
      <c r="C691" s="2">
        <f>IFERROR(__xludf.DUMMYFUNCTION("""COMPUTED_VALUE"""),2026.0)</f>
        <v>2026</v>
      </c>
      <c r="D691" s="2">
        <f>IFERROR(__xludf.DUMMYFUNCTION("""COMPUTED_VALUE"""),46255.0)</f>
        <v>46255</v>
      </c>
      <c r="E691" s="2" t="str">
        <f>IFERROR(__xludf.DUMMYFUNCTION("""COMPUTED_VALUE"""),"VF")</f>
        <v>VF</v>
      </c>
      <c r="F691" s="2">
        <f>IFERROR(__xludf.DUMMYFUNCTION("""COMPUTED_VALUE"""),1.0)</f>
        <v>1</v>
      </c>
      <c r="G691" s="2" t="str">
        <f>IFERROR(__xludf.DUMMYFUNCTION("""COMPUTED_VALUE"""),"PR054")</f>
        <v>PR054</v>
      </c>
      <c r="H691" s="2" t="str">
        <f>IFERROR(__xludf.DUMMYFUNCTION("""COMPUTED_VALUE"""),"VD032")</f>
        <v>VD032</v>
      </c>
      <c r="I691" s="2">
        <f>IFERROR(__xludf.DUMMYFUNCTION("""COMPUTED_VALUE"""),10.0)</f>
        <v>10</v>
      </c>
      <c r="J691" s="2">
        <f>IFERROR(__xludf.DUMMYFUNCTION("""COMPUTED_VALUE"""),538.92)</f>
        <v>538.92</v>
      </c>
      <c r="K691" s="2">
        <f>IFERROR(__xludf.DUMMYFUNCTION("""COMPUTED_VALUE"""),538.92)</f>
        <v>538.92</v>
      </c>
    </row>
    <row r="692">
      <c r="A692" s="2">
        <f>IFERROR(__xludf.DUMMYFUNCTION("""COMPUTED_VALUE"""),1000.0)</f>
        <v>1000</v>
      </c>
      <c r="B692" s="2">
        <f>IFERROR(__xludf.DUMMYFUNCTION("""COMPUTED_VALUE"""),183951.0)</f>
        <v>183951</v>
      </c>
      <c r="C692" s="2">
        <f>IFERROR(__xludf.DUMMYFUNCTION("""COMPUTED_VALUE"""),2026.0)</f>
        <v>2026</v>
      </c>
      <c r="D692" s="2">
        <f>IFERROR(__xludf.DUMMYFUNCTION("""COMPUTED_VALUE"""),46255.0)</f>
        <v>46255</v>
      </c>
      <c r="E692" s="2" t="str">
        <f>IFERROR(__xludf.DUMMYFUNCTION("""COMPUTED_VALUE"""),"VF")</f>
        <v>VF</v>
      </c>
      <c r="F692" s="2">
        <f>IFERROR(__xludf.DUMMYFUNCTION("""COMPUTED_VALUE"""),1.0)</f>
        <v>1</v>
      </c>
      <c r="G692" s="2" t="str">
        <f>IFERROR(__xludf.DUMMYFUNCTION("""COMPUTED_VALUE"""),"PR038")</f>
        <v>PR038</v>
      </c>
      <c r="H692" s="2" t="str">
        <f>IFERROR(__xludf.DUMMYFUNCTION("""COMPUTED_VALUE"""),"VD040")</f>
        <v>VD040</v>
      </c>
      <c r="I692" s="2">
        <f>IFERROR(__xludf.DUMMYFUNCTION("""COMPUTED_VALUE"""),6.0)</f>
        <v>6</v>
      </c>
      <c r="J692" s="2">
        <f>IFERROR(__xludf.DUMMYFUNCTION("""COMPUTED_VALUE"""),917.42)</f>
        <v>917.42</v>
      </c>
      <c r="K692" s="2">
        <f>IFERROR(__xludf.DUMMYFUNCTION("""COMPUTED_VALUE"""),917.42)</f>
        <v>917.42</v>
      </c>
    </row>
    <row r="693">
      <c r="A693" s="2">
        <f>IFERROR(__xludf.DUMMYFUNCTION("""COMPUTED_VALUE"""),1000.0)</f>
        <v>1000</v>
      </c>
      <c r="B693" s="2">
        <f>IFERROR(__xludf.DUMMYFUNCTION("""COMPUTED_VALUE"""),183952.0)</f>
        <v>183952</v>
      </c>
      <c r="C693" s="2">
        <f>IFERROR(__xludf.DUMMYFUNCTION("""COMPUTED_VALUE"""),2026.0)</f>
        <v>2026</v>
      </c>
      <c r="D693" s="2">
        <f>IFERROR(__xludf.DUMMYFUNCTION("""COMPUTED_VALUE"""),46255.0)</f>
        <v>46255</v>
      </c>
      <c r="E693" s="2" t="str">
        <f>IFERROR(__xludf.DUMMYFUNCTION("""COMPUTED_VALUE"""),"VF")</f>
        <v>VF</v>
      </c>
      <c r="F693" s="2">
        <f>IFERROR(__xludf.DUMMYFUNCTION("""COMPUTED_VALUE"""),1.0)</f>
        <v>1</v>
      </c>
      <c r="G693" s="2" t="str">
        <f>IFERROR(__xludf.DUMMYFUNCTION("""COMPUTED_VALUE"""),"PR042")</f>
        <v>PR042</v>
      </c>
      <c r="H693" s="2" t="str">
        <f>IFERROR(__xludf.DUMMYFUNCTION("""COMPUTED_VALUE"""),"VD012")</f>
        <v>VD012</v>
      </c>
      <c r="I693" s="2">
        <f>IFERROR(__xludf.DUMMYFUNCTION("""COMPUTED_VALUE"""),8.0)</f>
        <v>8</v>
      </c>
      <c r="J693" s="2">
        <f>IFERROR(__xludf.DUMMYFUNCTION("""COMPUTED_VALUE"""),452.38)</f>
        <v>452.38</v>
      </c>
      <c r="K693" s="2">
        <f>IFERROR(__xludf.DUMMYFUNCTION("""COMPUTED_VALUE"""),452.38)</f>
        <v>452.38</v>
      </c>
    </row>
    <row r="694">
      <c r="A694" s="2">
        <f>IFERROR(__xludf.DUMMYFUNCTION("""COMPUTED_VALUE"""),2000.0)</f>
        <v>2000</v>
      </c>
      <c r="B694" s="2">
        <f>IFERROR(__xludf.DUMMYFUNCTION("""COMPUTED_VALUE"""),183952.0)</f>
        <v>183952</v>
      </c>
      <c r="C694" s="2">
        <f>IFERROR(__xludf.DUMMYFUNCTION("""COMPUTED_VALUE"""),2026.0)</f>
        <v>2026</v>
      </c>
      <c r="D694" s="2">
        <f>IFERROR(__xludf.DUMMYFUNCTION("""COMPUTED_VALUE"""),46255.0)</f>
        <v>46255</v>
      </c>
      <c r="E694" s="2" t="str">
        <f>IFERROR(__xludf.DUMMYFUNCTION("""COMPUTED_VALUE"""),"VF")</f>
        <v>VF</v>
      </c>
      <c r="F694" s="2">
        <f>IFERROR(__xludf.DUMMYFUNCTION("""COMPUTED_VALUE"""),2.0)</f>
        <v>2</v>
      </c>
      <c r="G694" s="2" t="str">
        <f>IFERROR(__xludf.DUMMYFUNCTION("""COMPUTED_VALUE"""),"PR028")</f>
        <v>PR028</v>
      </c>
      <c r="H694" s="2" t="str">
        <f>IFERROR(__xludf.DUMMYFUNCTION("""COMPUTED_VALUE"""),"VD032")</f>
        <v>VD032</v>
      </c>
      <c r="I694" s="2">
        <f>IFERROR(__xludf.DUMMYFUNCTION("""COMPUTED_VALUE"""),9.0)</f>
        <v>9</v>
      </c>
      <c r="J694" s="2">
        <f>IFERROR(__xludf.DUMMYFUNCTION("""COMPUTED_VALUE"""),2429.03)</f>
        <v>2429.03</v>
      </c>
      <c r="K694" s="2">
        <f>IFERROR(__xludf.DUMMYFUNCTION("""COMPUTED_VALUE"""),2429.03)</f>
        <v>2429.03</v>
      </c>
    </row>
    <row r="695">
      <c r="A695" s="2">
        <f>IFERROR(__xludf.DUMMYFUNCTION("""COMPUTED_VALUE"""),1000.0)</f>
        <v>1000</v>
      </c>
      <c r="B695" s="2">
        <f>IFERROR(__xludf.DUMMYFUNCTION("""COMPUTED_VALUE"""),183953.0)</f>
        <v>183953</v>
      </c>
      <c r="C695" s="2">
        <f>IFERROR(__xludf.DUMMYFUNCTION("""COMPUTED_VALUE"""),2026.0)</f>
        <v>2026</v>
      </c>
      <c r="D695" s="2">
        <f>IFERROR(__xludf.DUMMYFUNCTION("""COMPUTED_VALUE"""),46255.0)</f>
        <v>46255</v>
      </c>
      <c r="E695" s="2" t="str">
        <f>IFERROR(__xludf.DUMMYFUNCTION("""COMPUTED_VALUE"""),"VF")</f>
        <v>VF</v>
      </c>
      <c r="F695" s="2">
        <f>IFERROR(__xludf.DUMMYFUNCTION("""COMPUTED_VALUE"""),1.0)</f>
        <v>1</v>
      </c>
      <c r="G695" s="2" t="str">
        <f>IFERROR(__xludf.DUMMYFUNCTION("""COMPUTED_VALUE"""),"PR039")</f>
        <v>PR039</v>
      </c>
      <c r="H695" s="2" t="str">
        <f>IFERROR(__xludf.DUMMYFUNCTION("""COMPUTED_VALUE"""),"VD027")</f>
        <v>VD027</v>
      </c>
      <c r="I695" s="2">
        <f>IFERROR(__xludf.DUMMYFUNCTION("""COMPUTED_VALUE"""),6.0)</f>
        <v>6</v>
      </c>
      <c r="J695" s="2">
        <f>IFERROR(__xludf.DUMMYFUNCTION("""COMPUTED_VALUE"""),928.56)</f>
        <v>928.56</v>
      </c>
      <c r="K695" s="2">
        <f>IFERROR(__xludf.DUMMYFUNCTION("""COMPUTED_VALUE"""),928.56)</f>
        <v>928.56</v>
      </c>
    </row>
    <row r="696">
      <c r="A696" s="2">
        <f>IFERROR(__xludf.DUMMYFUNCTION("""COMPUTED_VALUE"""),2000.0)</f>
        <v>2000</v>
      </c>
      <c r="B696" s="2">
        <f>IFERROR(__xludf.DUMMYFUNCTION("""COMPUTED_VALUE"""),183954.0)</f>
        <v>183954</v>
      </c>
      <c r="C696" s="2">
        <f>IFERROR(__xludf.DUMMYFUNCTION("""COMPUTED_VALUE"""),2026.0)</f>
        <v>2026</v>
      </c>
      <c r="D696" s="2">
        <f>IFERROR(__xludf.DUMMYFUNCTION("""COMPUTED_VALUE"""),46255.0)</f>
        <v>46255</v>
      </c>
      <c r="E696" s="2" t="str">
        <f>IFERROR(__xludf.DUMMYFUNCTION("""COMPUTED_VALUE"""),"VF")</f>
        <v>VF</v>
      </c>
      <c r="F696" s="2">
        <f>IFERROR(__xludf.DUMMYFUNCTION("""COMPUTED_VALUE"""),1.0)</f>
        <v>1</v>
      </c>
      <c r="G696" s="2" t="str">
        <f>IFERROR(__xludf.DUMMYFUNCTION("""COMPUTED_VALUE"""),"PR010")</f>
        <v>PR010</v>
      </c>
      <c r="H696" s="2" t="str">
        <f>IFERROR(__xludf.DUMMYFUNCTION("""COMPUTED_VALUE"""),"VD027")</f>
        <v>VD027</v>
      </c>
      <c r="I696" s="2">
        <f>IFERROR(__xludf.DUMMYFUNCTION("""COMPUTED_VALUE"""),1.0)</f>
        <v>1</v>
      </c>
      <c r="J696" s="2">
        <f>IFERROR(__xludf.DUMMYFUNCTION("""COMPUTED_VALUE"""),45.8)</f>
        <v>45.8</v>
      </c>
      <c r="K696" s="2">
        <f>IFERROR(__xludf.DUMMYFUNCTION("""COMPUTED_VALUE"""),45.8)</f>
        <v>45.8</v>
      </c>
    </row>
    <row r="697">
      <c r="A697" s="2">
        <f>IFERROR(__xludf.DUMMYFUNCTION("""COMPUTED_VALUE"""),1000.0)</f>
        <v>1000</v>
      </c>
      <c r="B697" s="2">
        <f>IFERROR(__xludf.DUMMYFUNCTION("""COMPUTED_VALUE"""),183955.0)</f>
        <v>183955</v>
      </c>
      <c r="C697" s="2">
        <f>IFERROR(__xludf.DUMMYFUNCTION("""COMPUTED_VALUE"""),2026.0)</f>
        <v>2026</v>
      </c>
      <c r="D697" s="2">
        <f>IFERROR(__xludf.DUMMYFUNCTION("""COMPUTED_VALUE"""),46255.0)</f>
        <v>46255</v>
      </c>
      <c r="E697" s="2" t="str">
        <f>IFERROR(__xludf.DUMMYFUNCTION("""COMPUTED_VALUE"""),"VF")</f>
        <v>VF</v>
      </c>
      <c r="F697" s="2">
        <f>IFERROR(__xludf.DUMMYFUNCTION("""COMPUTED_VALUE"""),1.0)</f>
        <v>1</v>
      </c>
      <c r="G697" s="2" t="str">
        <f>IFERROR(__xludf.DUMMYFUNCTION("""COMPUTED_VALUE"""),"PR050")</f>
        <v>PR050</v>
      </c>
      <c r="H697" s="2" t="str">
        <f>IFERROR(__xludf.DUMMYFUNCTION("""COMPUTED_VALUE"""),"VD029")</f>
        <v>VD029</v>
      </c>
      <c r="I697" s="2">
        <f>IFERROR(__xludf.DUMMYFUNCTION("""COMPUTED_VALUE"""),16.0)</f>
        <v>16</v>
      </c>
      <c r="J697" s="2">
        <f>IFERROR(__xludf.DUMMYFUNCTION("""COMPUTED_VALUE"""),526.4)</f>
        <v>526.4</v>
      </c>
      <c r="K697" s="2">
        <f>IFERROR(__xludf.DUMMYFUNCTION("""COMPUTED_VALUE"""),526.4)</f>
        <v>526.4</v>
      </c>
    </row>
    <row r="698">
      <c r="A698" s="2">
        <f>IFERROR(__xludf.DUMMYFUNCTION("""COMPUTED_VALUE"""),1000.0)</f>
        <v>1000</v>
      </c>
      <c r="B698" s="2">
        <f>IFERROR(__xludf.DUMMYFUNCTION("""COMPUTED_VALUE"""),183956.0)</f>
        <v>183956</v>
      </c>
      <c r="C698" s="2">
        <f>IFERROR(__xludf.DUMMYFUNCTION("""COMPUTED_VALUE"""),2026.0)</f>
        <v>2026</v>
      </c>
      <c r="D698" s="2">
        <f>IFERROR(__xludf.DUMMYFUNCTION("""COMPUTED_VALUE"""),46255.0)</f>
        <v>46255</v>
      </c>
      <c r="E698" s="2" t="str">
        <f>IFERROR(__xludf.DUMMYFUNCTION("""COMPUTED_VALUE"""),"VF")</f>
        <v>VF</v>
      </c>
      <c r="F698" s="2">
        <f>IFERROR(__xludf.DUMMYFUNCTION("""COMPUTED_VALUE"""),1.0)</f>
        <v>1</v>
      </c>
      <c r="G698" s="2" t="str">
        <f>IFERROR(__xludf.DUMMYFUNCTION("""COMPUTED_VALUE"""),"PR046")</f>
        <v>PR046</v>
      </c>
      <c r="H698" s="2" t="str">
        <f>IFERROR(__xludf.DUMMYFUNCTION("""COMPUTED_VALUE"""),"VD025")</f>
        <v>VD025</v>
      </c>
      <c r="I698" s="2">
        <f>IFERROR(__xludf.DUMMYFUNCTION("""COMPUTED_VALUE"""),6.0)</f>
        <v>6</v>
      </c>
      <c r="J698" s="2">
        <f>IFERROR(__xludf.DUMMYFUNCTION("""COMPUTED_VALUE"""),1826.37)</f>
        <v>1826.37</v>
      </c>
      <c r="K698" s="2">
        <f>IFERROR(__xludf.DUMMYFUNCTION("""COMPUTED_VALUE"""),1826.37)</f>
        <v>1826.37</v>
      </c>
    </row>
    <row r="699">
      <c r="A699" s="2">
        <f>IFERROR(__xludf.DUMMYFUNCTION("""COMPUTED_VALUE"""),1000.0)</f>
        <v>1000</v>
      </c>
      <c r="B699" s="2">
        <f>IFERROR(__xludf.DUMMYFUNCTION("""COMPUTED_VALUE"""),183956.0)</f>
        <v>183956</v>
      </c>
      <c r="C699" s="2">
        <f>IFERROR(__xludf.DUMMYFUNCTION("""COMPUTED_VALUE"""),2026.0)</f>
        <v>2026</v>
      </c>
      <c r="D699" s="2">
        <f>IFERROR(__xludf.DUMMYFUNCTION("""COMPUTED_VALUE"""),46254.0)</f>
        <v>46254</v>
      </c>
      <c r="E699" s="2" t="str">
        <f>IFERROR(__xludf.DUMMYFUNCTION("""COMPUTED_VALUE"""),"VF")</f>
        <v>VF</v>
      </c>
      <c r="F699" s="2">
        <f>IFERROR(__xludf.DUMMYFUNCTION("""COMPUTED_VALUE"""),2.0)</f>
        <v>2</v>
      </c>
      <c r="G699" s="2" t="str">
        <f>IFERROR(__xludf.DUMMYFUNCTION("""COMPUTED_VALUE"""),"PR036")</f>
        <v>PR036</v>
      </c>
      <c r="H699" s="2" t="str">
        <f>IFERROR(__xludf.DUMMYFUNCTION("""COMPUTED_VALUE"""),"VD024")</f>
        <v>VD024</v>
      </c>
      <c r="I699" s="2">
        <f>IFERROR(__xludf.DUMMYFUNCTION("""COMPUTED_VALUE"""),2.0)</f>
        <v>2</v>
      </c>
      <c r="J699" s="2">
        <f>IFERROR(__xludf.DUMMYFUNCTION("""COMPUTED_VALUE"""),203.83)</f>
        <v>203.83</v>
      </c>
      <c r="K699" s="2">
        <f>IFERROR(__xludf.DUMMYFUNCTION("""COMPUTED_VALUE"""),203.83)</f>
        <v>203.83</v>
      </c>
    </row>
    <row r="700">
      <c r="A700" s="2">
        <f>IFERROR(__xludf.DUMMYFUNCTION("""COMPUTED_VALUE"""),1000.0)</f>
        <v>1000</v>
      </c>
      <c r="B700" s="2">
        <f>IFERROR(__xludf.DUMMYFUNCTION("""COMPUTED_VALUE"""),183957.0)</f>
        <v>183957</v>
      </c>
      <c r="C700" s="2">
        <f>IFERROR(__xludf.DUMMYFUNCTION("""COMPUTED_VALUE"""),2026.0)</f>
        <v>2026</v>
      </c>
      <c r="D700" s="2">
        <f>IFERROR(__xludf.DUMMYFUNCTION("""COMPUTED_VALUE"""),46254.0)</f>
        <v>46254</v>
      </c>
      <c r="E700" s="2" t="str">
        <f>IFERROR(__xludf.DUMMYFUNCTION("""COMPUTED_VALUE"""),"VF")</f>
        <v>VF</v>
      </c>
      <c r="F700" s="2">
        <f>IFERROR(__xludf.DUMMYFUNCTION("""COMPUTED_VALUE"""),1.0)</f>
        <v>1</v>
      </c>
      <c r="G700" s="2" t="str">
        <f>IFERROR(__xludf.DUMMYFUNCTION("""COMPUTED_VALUE"""),"PR047")</f>
        <v>PR047</v>
      </c>
      <c r="H700" s="2" t="str">
        <f>IFERROR(__xludf.DUMMYFUNCTION("""COMPUTED_VALUE"""),"VD035")</f>
        <v>VD035</v>
      </c>
      <c r="I700" s="2">
        <f>IFERROR(__xludf.DUMMYFUNCTION("""COMPUTED_VALUE"""),1.0)</f>
        <v>1</v>
      </c>
      <c r="J700" s="2">
        <f>IFERROR(__xludf.DUMMYFUNCTION("""COMPUTED_VALUE"""),313.09)</f>
        <v>313.09</v>
      </c>
      <c r="K700" s="2">
        <f>IFERROR(__xludf.DUMMYFUNCTION("""COMPUTED_VALUE"""),313.09)</f>
        <v>313.09</v>
      </c>
    </row>
    <row r="701">
      <c r="A701" s="2">
        <f>IFERROR(__xludf.DUMMYFUNCTION("""COMPUTED_VALUE"""),2000.0)</f>
        <v>2000</v>
      </c>
      <c r="B701" s="2">
        <f>IFERROR(__xludf.DUMMYFUNCTION("""COMPUTED_VALUE"""),183958.0)</f>
        <v>183958</v>
      </c>
      <c r="C701" s="2">
        <f>IFERROR(__xludf.DUMMYFUNCTION("""COMPUTED_VALUE"""),2026.0)</f>
        <v>2026</v>
      </c>
      <c r="D701" s="2">
        <f>IFERROR(__xludf.DUMMYFUNCTION("""COMPUTED_VALUE"""),46254.0)</f>
        <v>46254</v>
      </c>
      <c r="E701" s="2" t="str">
        <f>IFERROR(__xludf.DUMMYFUNCTION("""COMPUTED_VALUE"""),"VF")</f>
        <v>VF</v>
      </c>
      <c r="F701" s="2">
        <f>IFERROR(__xludf.DUMMYFUNCTION("""COMPUTED_VALUE"""),1.0)</f>
        <v>1</v>
      </c>
      <c r="G701" s="2" t="str">
        <f>IFERROR(__xludf.DUMMYFUNCTION("""COMPUTED_VALUE"""),"PR014")</f>
        <v>PR014</v>
      </c>
      <c r="H701" s="2" t="str">
        <f>IFERROR(__xludf.DUMMYFUNCTION("""COMPUTED_VALUE"""),"VD028")</f>
        <v>VD028</v>
      </c>
      <c r="I701" s="2">
        <f>IFERROR(__xludf.DUMMYFUNCTION("""COMPUTED_VALUE"""),4.0)</f>
        <v>4</v>
      </c>
      <c r="J701" s="2">
        <f>IFERROR(__xludf.DUMMYFUNCTION("""COMPUTED_VALUE"""),161.2)</f>
        <v>161.2</v>
      </c>
      <c r="K701" s="2">
        <f>IFERROR(__xludf.DUMMYFUNCTION("""COMPUTED_VALUE"""),161.2)</f>
        <v>161.2</v>
      </c>
    </row>
    <row r="702">
      <c r="A702" s="2">
        <f>IFERROR(__xludf.DUMMYFUNCTION("""COMPUTED_VALUE"""),1000.0)</f>
        <v>1000</v>
      </c>
      <c r="B702" s="2">
        <f>IFERROR(__xludf.DUMMYFUNCTION("""COMPUTED_VALUE"""),183959.0)</f>
        <v>183959</v>
      </c>
      <c r="C702" s="2">
        <f>IFERROR(__xludf.DUMMYFUNCTION("""COMPUTED_VALUE"""),2026.0)</f>
        <v>2026</v>
      </c>
      <c r="D702" s="2">
        <f>IFERROR(__xludf.DUMMYFUNCTION("""COMPUTED_VALUE"""),46254.0)</f>
        <v>46254</v>
      </c>
      <c r="E702" s="2" t="str">
        <f>IFERROR(__xludf.DUMMYFUNCTION("""COMPUTED_VALUE"""),"VF")</f>
        <v>VF</v>
      </c>
      <c r="F702" s="2">
        <f>IFERROR(__xludf.DUMMYFUNCTION("""COMPUTED_VALUE"""),1.0)</f>
        <v>1</v>
      </c>
      <c r="G702" s="2" t="str">
        <f>IFERROR(__xludf.DUMMYFUNCTION("""COMPUTED_VALUE"""),"PR039")</f>
        <v>PR039</v>
      </c>
      <c r="H702" s="2" t="str">
        <f>IFERROR(__xludf.DUMMYFUNCTION("""COMPUTED_VALUE"""),"VD012")</f>
        <v>VD012</v>
      </c>
      <c r="I702" s="2">
        <f>IFERROR(__xludf.DUMMYFUNCTION("""COMPUTED_VALUE"""),20.0)</f>
        <v>20</v>
      </c>
      <c r="J702" s="2">
        <f>IFERROR(__xludf.DUMMYFUNCTION("""COMPUTED_VALUE"""),3124.4)</f>
        <v>3124.4</v>
      </c>
      <c r="K702" s="2">
        <f>IFERROR(__xludf.DUMMYFUNCTION("""COMPUTED_VALUE"""),3124.4)</f>
        <v>3124.4</v>
      </c>
    </row>
    <row r="703">
      <c r="A703" s="2">
        <f>IFERROR(__xludf.DUMMYFUNCTION("""COMPUTED_VALUE"""),1000.0)</f>
        <v>1000</v>
      </c>
      <c r="B703" s="2">
        <f>IFERROR(__xludf.DUMMYFUNCTION("""COMPUTED_VALUE"""),183959.0)</f>
        <v>183959</v>
      </c>
      <c r="C703" s="2">
        <f>IFERROR(__xludf.DUMMYFUNCTION("""COMPUTED_VALUE"""),2026.0)</f>
        <v>2026</v>
      </c>
      <c r="D703" s="2">
        <f>IFERROR(__xludf.DUMMYFUNCTION("""COMPUTED_VALUE"""),46254.0)</f>
        <v>46254</v>
      </c>
      <c r="E703" s="2" t="str">
        <f>IFERROR(__xludf.DUMMYFUNCTION("""COMPUTED_VALUE"""),"VF")</f>
        <v>VF</v>
      </c>
      <c r="F703" s="2">
        <f>IFERROR(__xludf.DUMMYFUNCTION("""COMPUTED_VALUE"""),2.0)</f>
        <v>2</v>
      </c>
      <c r="G703" s="2" t="str">
        <f>IFERROR(__xludf.DUMMYFUNCTION("""COMPUTED_VALUE"""),"PR051")</f>
        <v>PR051</v>
      </c>
      <c r="H703" s="2" t="str">
        <f>IFERROR(__xludf.DUMMYFUNCTION("""COMPUTED_VALUE"""),"VD034")</f>
        <v>VD034</v>
      </c>
      <c r="I703" s="2">
        <f>IFERROR(__xludf.DUMMYFUNCTION("""COMPUTED_VALUE"""),6.0)</f>
        <v>6</v>
      </c>
      <c r="J703" s="2">
        <f>IFERROR(__xludf.DUMMYFUNCTION("""COMPUTED_VALUE"""),211.22)</f>
        <v>211.22</v>
      </c>
      <c r="K703" s="2">
        <f>IFERROR(__xludf.DUMMYFUNCTION("""COMPUTED_VALUE"""),211.22)</f>
        <v>211.22</v>
      </c>
    </row>
    <row r="704">
      <c r="A704" s="2">
        <f>IFERROR(__xludf.DUMMYFUNCTION("""COMPUTED_VALUE"""),1000.0)</f>
        <v>1000</v>
      </c>
      <c r="B704" s="2">
        <f>IFERROR(__xludf.DUMMYFUNCTION("""COMPUTED_VALUE"""),183960.0)</f>
        <v>183960</v>
      </c>
      <c r="C704" s="2">
        <f>IFERROR(__xludf.DUMMYFUNCTION("""COMPUTED_VALUE"""),2026.0)</f>
        <v>2026</v>
      </c>
      <c r="D704" s="2">
        <f>IFERROR(__xludf.DUMMYFUNCTION("""COMPUTED_VALUE"""),46253.0)</f>
        <v>46253</v>
      </c>
      <c r="E704" s="2" t="str">
        <f>IFERROR(__xludf.DUMMYFUNCTION("""COMPUTED_VALUE"""),"VF")</f>
        <v>VF</v>
      </c>
      <c r="F704" s="2">
        <f>IFERROR(__xludf.DUMMYFUNCTION("""COMPUTED_VALUE"""),1.0)</f>
        <v>1</v>
      </c>
      <c r="G704" s="2" t="str">
        <f>IFERROR(__xludf.DUMMYFUNCTION("""COMPUTED_VALUE"""),"PR060")</f>
        <v>PR060</v>
      </c>
      <c r="H704" s="2" t="str">
        <f>IFERROR(__xludf.DUMMYFUNCTION("""COMPUTED_VALUE"""),"VD043")</f>
        <v>VD043</v>
      </c>
      <c r="I704" s="2">
        <f>IFERROR(__xludf.DUMMYFUNCTION("""COMPUTED_VALUE"""),8.0)</f>
        <v>8</v>
      </c>
      <c r="J704" s="2">
        <f>IFERROR(__xludf.DUMMYFUNCTION("""COMPUTED_VALUE"""),1483.2)</f>
        <v>1483.2</v>
      </c>
      <c r="K704" s="2">
        <f>IFERROR(__xludf.DUMMYFUNCTION("""COMPUTED_VALUE"""),1483.2)</f>
        <v>1483.2</v>
      </c>
    </row>
    <row r="705">
      <c r="A705" s="2">
        <f>IFERROR(__xludf.DUMMYFUNCTION("""COMPUTED_VALUE"""),2000.0)</f>
        <v>2000</v>
      </c>
      <c r="B705" s="2">
        <f>IFERROR(__xludf.DUMMYFUNCTION("""COMPUTED_VALUE"""),183961.0)</f>
        <v>183961</v>
      </c>
      <c r="C705" s="2">
        <f>IFERROR(__xludf.DUMMYFUNCTION("""COMPUTED_VALUE"""),2026.0)</f>
        <v>2026</v>
      </c>
      <c r="D705" s="2">
        <f>IFERROR(__xludf.DUMMYFUNCTION("""COMPUTED_VALUE"""),46253.0)</f>
        <v>46253</v>
      </c>
      <c r="E705" s="2" t="str">
        <f>IFERROR(__xludf.DUMMYFUNCTION("""COMPUTED_VALUE"""),"VF")</f>
        <v>VF</v>
      </c>
      <c r="F705" s="2">
        <f>IFERROR(__xludf.DUMMYFUNCTION("""COMPUTED_VALUE"""),1.0)</f>
        <v>1</v>
      </c>
      <c r="G705" s="2" t="str">
        <f>IFERROR(__xludf.DUMMYFUNCTION("""COMPUTED_VALUE"""),"PR050")</f>
        <v>PR050</v>
      </c>
      <c r="H705" s="2" t="str">
        <f>IFERROR(__xludf.DUMMYFUNCTION("""COMPUTED_VALUE"""),"VD040")</f>
        <v>VD040</v>
      </c>
      <c r="I705" s="2">
        <f>IFERROR(__xludf.DUMMYFUNCTION("""COMPUTED_VALUE"""),10.0)</f>
        <v>10</v>
      </c>
      <c r="J705" s="2">
        <f>IFERROR(__xludf.DUMMYFUNCTION("""COMPUTED_VALUE"""),329.0)</f>
        <v>329</v>
      </c>
      <c r="K705" s="2">
        <f>IFERROR(__xludf.DUMMYFUNCTION("""COMPUTED_VALUE"""),329.0)</f>
        <v>329</v>
      </c>
    </row>
    <row r="706">
      <c r="A706" s="2">
        <f>IFERROR(__xludf.DUMMYFUNCTION("""COMPUTED_VALUE"""),1000.0)</f>
        <v>1000</v>
      </c>
      <c r="B706" s="2">
        <f>IFERROR(__xludf.DUMMYFUNCTION("""COMPUTED_VALUE"""),183962.0)</f>
        <v>183962</v>
      </c>
      <c r="C706" s="2">
        <f>IFERROR(__xludf.DUMMYFUNCTION("""COMPUTED_VALUE"""),2026.0)</f>
        <v>2026</v>
      </c>
      <c r="D706" s="2">
        <f>IFERROR(__xludf.DUMMYFUNCTION("""COMPUTED_VALUE"""),46253.0)</f>
        <v>46253</v>
      </c>
      <c r="E706" s="2" t="str">
        <f>IFERROR(__xludf.DUMMYFUNCTION("""COMPUTED_VALUE"""),"VF")</f>
        <v>VF</v>
      </c>
      <c r="F706" s="2">
        <f>IFERROR(__xludf.DUMMYFUNCTION("""COMPUTED_VALUE"""),1.0)</f>
        <v>1</v>
      </c>
      <c r="G706" s="2" t="str">
        <f>IFERROR(__xludf.DUMMYFUNCTION("""COMPUTED_VALUE"""),"PR044")</f>
        <v>PR044</v>
      </c>
      <c r="H706" s="2" t="str">
        <f>IFERROR(__xludf.DUMMYFUNCTION("""COMPUTED_VALUE"""),"VD012")</f>
        <v>VD012</v>
      </c>
      <c r="I706" s="2">
        <f>IFERROR(__xludf.DUMMYFUNCTION("""COMPUTED_VALUE"""),4.0)</f>
        <v>4</v>
      </c>
      <c r="J706" s="2">
        <f>IFERROR(__xludf.DUMMYFUNCTION("""COMPUTED_VALUE"""),301.6)</f>
        <v>301.6</v>
      </c>
      <c r="K706" s="2">
        <f>IFERROR(__xludf.DUMMYFUNCTION("""COMPUTED_VALUE"""),301.6)</f>
        <v>301.6</v>
      </c>
    </row>
    <row r="707">
      <c r="A707" s="2">
        <f>IFERROR(__xludf.DUMMYFUNCTION("""COMPUTED_VALUE"""),1000.0)</f>
        <v>1000</v>
      </c>
      <c r="B707" s="2">
        <f>IFERROR(__xludf.DUMMYFUNCTION("""COMPUTED_VALUE"""),183963.0)</f>
        <v>183963</v>
      </c>
      <c r="C707" s="2">
        <f>IFERROR(__xludf.DUMMYFUNCTION("""COMPUTED_VALUE"""),2026.0)</f>
        <v>2026</v>
      </c>
      <c r="D707" s="2">
        <f>IFERROR(__xludf.DUMMYFUNCTION("""COMPUTED_VALUE"""),46253.0)</f>
        <v>46253</v>
      </c>
      <c r="E707" s="2" t="str">
        <f>IFERROR(__xludf.DUMMYFUNCTION("""COMPUTED_VALUE"""),"VF")</f>
        <v>VF</v>
      </c>
      <c r="F707" s="2">
        <f>IFERROR(__xludf.DUMMYFUNCTION("""COMPUTED_VALUE"""),1.0)</f>
        <v>1</v>
      </c>
      <c r="G707" s="2" t="str">
        <f>IFERROR(__xludf.DUMMYFUNCTION("""COMPUTED_VALUE"""),"PR013")</f>
        <v>PR013</v>
      </c>
      <c r="H707" s="2" t="str">
        <f>IFERROR(__xludf.DUMMYFUNCTION("""COMPUTED_VALUE"""),"VD031")</f>
        <v>VD031</v>
      </c>
      <c r="I707" s="2">
        <f>IFERROR(__xludf.DUMMYFUNCTION("""COMPUTED_VALUE"""),14.0)</f>
        <v>14</v>
      </c>
      <c r="J707" s="2">
        <f>IFERROR(__xludf.DUMMYFUNCTION("""COMPUTED_VALUE"""),608.87)</f>
        <v>608.87</v>
      </c>
      <c r="K707" s="2">
        <f>IFERROR(__xludf.DUMMYFUNCTION("""COMPUTED_VALUE"""),608.87)</f>
        <v>608.87</v>
      </c>
    </row>
    <row r="708">
      <c r="A708" s="2">
        <f>IFERROR(__xludf.DUMMYFUNCTION("""COMPUTED_VALUE"""),1000.0)</f>
        <v>1000</v>
      </c>
      <c r="B708" s="2">
        <f>IFERROR(__xludf.DUMMYFUNCTION("""COMPUTED_VALUE"""),183964.0)</f>
        <v>183964</v>
      </c>
      <c r="C708" s="2">
        <f>IFERROR(__xludf.DUMMYFUNCTION("""COMPUTED_VALUE"""),2026.0)</f>
        <v>2026</v>
      </c>
      <c r="D708" s="2">
        <f>IFERROR(__xludf.DUMMYFUNCTION("""COMPUTED_VALUE"""),46253.0)</f>
        <v>46253</v>
      </c>
      <c r="E708" s="2" t="str">
        <f>IFERROR(__xludf.DUMMYFUNCTION("""COMPUTED_VALUE"""),"VF")</f>
        <v>VF</v>
      </c>
      <c r="F708" s="2">
        <f>IFERROR(__xludf.DUMMYFUNCTION("""COMPUTED_VALUE"""),1.0)</f>
        <v>1</v>
      </c>
      <c r="G708" s="2" t="str">
        <f>IFERROR(__xludf.DUMMYFUNCTION("""COMPUTED_VALUE"""),"PR002")</f>
        <v>PR002</v>
      </c>
      <c r="H708" s="2" t="str">
        <f>IFERROR(__xludf.DUMMYFUNCTION("""COMPUTED_VALUE"""),"VD027")</f>
        <v>VD027</v>
      </c>
      <c r="I708" s="2">
        <f>IFERROR(__xludf.DUMMYFUNCTION("""COMPUTED_VALUE"""),6.0)</f>
        <v>6</v>
      </c>
      <c r="J708" s="2">
        <f>IFERROR(__xludf.DUMMYFUNCTION("""COMPUTED_VALUE"""),452.95)</f>
        <v>452.95</v>
      </c>
      <c r="K708" s="2">
        <f>IFERROR(__xludf.DUMMYFUNCTION("""COMPUTED_VALUE"""),452.95)</f>
        <v>452.95</v>
      </c>
    </row>
    <row r="709">
      <c r="A709" s="2">
        <f>IFERROR(__xludf.DUMMYFUNCTION("""COMPUTED_VALUE"""),1000.0)</f>
        <v>1000</v>
      </c>
      <c r="B709" s="2">
        <f>IFERROR(__xludf.DUMMYFUNCTION("""COMPUTED_VALUE"""),183965.0)</f>
        <v>183965</v>
      </c>
      <c r="C709" s="2">
        <f>IFERROR(__xludf.DUMMYFUNCTION("""COMPUTED_VALUE"""),2026.0)</f>
        <v>2026</v>
      </c>
      <c r="D709" s="2">
        <f>IFERROR(__xludf.DUMMYFUNCTION("""COMPUTED_VALUE"""),46253.0)</f>
        <v>46253</v>
      </c>
      <c r="E709" s="2" t="str">
        <f>IFERROR(__xludf.DUMMYFUNCTION("""COMPUTED_VALUE"""),"VF")</f>
        <v>VF</v>
      </c>
      <c r="F709" s="2">
        <f>IFERROR(__xludf.DUMMYFUNCTION("""COMPUTED_VALUE"""),1.0)</f>
        <v>1</v>
      </c>
      <c r="G709" s="2" t="str">
        <f>IFERROR(__xludf.DUMMYFUNCTION("""COMPUTED_VALUE"""),"PR031")</f>
        <v>PR031</v>
      </c>
      <c r="H709" s="2" t="str">
        <f>IFERROR(__xludf.DUMMYFUNCTION("""COMPUTED_VALUE"""),"VD024")</f>
        <v>VD024</v>
      </c>
      <c r="I709" s="2">
        <f>IFERROR(__xludf.DUMMYFUNCTION("""COMPUTED_VALUE"""),6.0)</f>
        <v>6</v>
      </c>
      <c r="J709" s="2">
        <f>IFERROR(__xludf.DUMMYFUNCTION("""COMPUTED_VALUE"""),1499.4)</f>
        <v>1499.4</v>
      </c>
      <c r="K709" s="2">
        <f>IFERROR(__xludf.DUMMYFUNCTION("""COMPUTED_VALUE"""),1499.4)</f>
        <v>1499.4</v>
      </c>
    </row>
    <row r="710">
      <c r="A710" s="2">
        <f>IFERROR(__xludf.DUMMYFUNCTION("""COMPUTED_VALUE"""),1000.0)</f>
        <v>1000</v>
      </c>
      <c r="B710" s="2">
        <f>IFERROR(__xludf.DUMMYFUNCTION("""COMPUTED_VALUE"""),183965.0)</f>
        <v>183965</v>
      </c>
      <c r="C710" s="2">
        <f>IFERROR(__xludf.DUMMYFUNCTION("""COMPUTED_VALUE"""),2026.0)</f>
        <v>2026</v>
      </c>
      <c r="D710" s="2">
        <f>IFERROR(__xludf.DUMMYFUNCTION("""COMPUTED_VALUE"""),46253.0)</f>
        <v>46253</v>
      </c>
      <c r="E710" s="2" t="str">
        <f>IFERROR(__xludf.DUMMYFUNCTION("""COMPUTED_VALUE"""),"VF")</f>
        <v>VF</v>
      </c>
      <c r="F710" s="2">
        <f>IFERROR(__xludf.DUMMYFUNCTION("""COMPUTED_VALUE"""),2.0)</f>
        <v>2</v>
      </c>
      <c r="G710" s="2" t="str">
        <f>IFERROR(__xludf.DUMMYFUNCTION("""COMPUTED_VALUE"""),"PR052")</f>
        <v>PR052</v>
      </c>
      <c r="H710" s="2" t="str">
        <f>IFERROR(__xludf.DUMMYFUNCTION("""COMPUTED_VALUE"""),"VD041")</f>
        <v>VD041</v>
      </c>
      <c r="I710" s="2">
        <f>IFERROR(__xludf.DUMMYFUNCTION("""COMPUTED_VALUE"""),14.0)</f>
        <v>14</v>
      </c>
      <c r="J710" s="2">
        <f>IFERROR(__xludf.DUMMYFUNCTION("""COMPUTED_VALUE"""),754.49)</f>
        <v>754.49</v>
      </c>
      <c r="K710" s="2">
        <f>IFERROR(__xludf.DUMMYFUNCTION("""COMPUTED_VALUE"""),754.49)</f>
        <v>754.49</v>
      </c>
    </row>
    <row r="711">
      <c r="A711" s="2">
        <f>IFERROR(__xludf.DUMMYFUNCTION("""COMPUTED_VALUE"""),2000.0)</f>
        <v>2000</v>
      </c>
      <c r="B711" s="2">
        <f>IFERROR(__xludf.DUMMYFUNCTION("""COMPUTED_VALUE"""),183965.0)</f>
        <v>183965</v>
      </c>
      <c r="C711" s="2">
        <f>IFERROR(__xludf.DUMMYFUNCTION("""COMPUTED_VALUE"""),2026.0)</f>
        <v>2026</v>
      </c>
      <c r="D711" s="2">
        <f>IFERROR(__xludf.DUMMYFUNCTION("""COMPUTED_VALUE"""),46253.0)</f>
        <v>46253</v>
      </c>
      <c r="E711" s="2" t="str">
        <f>IFERROR(__xludf.DUMMYFUNCTION("""COMPUTED_VALUE"""),"VF")</f>
        <v>VF</v>
      </c>
      <c r="F711" s="2">
        <f>IFERROR(__xludf.DUMMYFUNCTION("""COMPUTED_VALUE"""),3.0)</f>
        <v>3</v>
      </c>
      <c r="G711" s="2" t="str">
        <f>IFERROR(__xludf.DUMMYFUNCTION("""COMPUTED_VALUE"""),"PR058")</f>
        <v>PR058</v>
      </c>
      <c r="H711" s="2" t="str">
        <f>IFERROR(__xludf.DUMMYFUNCTION("""COMPUTED_VALUE"""),"VD030")</f>
        <v>VD030</v>
      </c>
      <c r="I711" s="2">
        <f>IFERROR(__xludf.DUMMYFUNCTION("""COMPUTED_VALUE"""),2.0)</f>
        <v>2</v>
      </c>
      <c r="J711" s="2">
        <f>IFERROR(__xludf.DUMMYFUNCTION("""COMPUTED_VALUE"""),363.6)</f>
        <v>363.6</v>
      </c>
      <c r="K711" s="2">
        <f>IFERROR(__xludf.DUMMYFUNCTION("""COMPUTED_VALUE"""),363.6)</f>
        <v>363.6</v>
      </c>
    </row>
    <row r="712">
      <c r="A712" s="2">
        <f>IFERROR(__xludf.DUMMYFUNCTION("""COMPUTED_VALUE"""),1000.0)</f>
        <v>1000</v>
      </c>
      <c r="B712" s="2">
        <f>IFERROR(__xludf.DUMMYFUNCTION("""COMPUTED_VALUE"""),183966.0)</f>
        <v>183966</v>
      </c>
      <c r="C712" s="2">
        <f>IFERROR(__xludf.DUMMYFUNCTION("""COMPUTED_VALUE"""),2026.0)</f>
        <v>2026</v>
      </c>
      <c r="D712" s="2">
        <f>IFERROR(__xludf.DUMMYFUNCTION("""COMPUTED_VALUE"""),46253.0)</f>
        <v>46253</v>
      </c>
      <c r="E712" s="2" t="str">
        <f>IFERROR(__xludf.DUMMYFUNCTION("""COMPUTED_VALUE"""),"VF")</f>
        <v>VF</v>
      </c>
      <c r="F712" s="2">
        <f>IFERROR(__xludf.DUMMYFUNCTION("""COMPUTED_VALUE"""),1.0)</f>
        <v>1</v>
      </c>
      <c r="G712" s="2" t="str">
        <f>IFERROR(__xludf.DUMMYFUNCTION("""COMPUTED_VALUE"""),"PR034")</f>
        <v>PR034</v>
      </c>
      <c r="H712" s="2" t="str">
        <f>IFERROR(__xludf.DUMMYFUNCTION("""COMPUTED_VALUE"""),"VD013")</f>
        <v>VD013</v>
      </c>
      <c r="I712" s="2">
        <f>IFERROR(__xludf.DUMMYFUNCTION("""COMPUTED_VALUE"""),7.0)</f>
        <v>7</v>
      </c>
      <c r="J712" s="2">
        <f>IFERROR(__xludf.DUMMYFUNCTION("""COMPUTED_VALUE"""),667.06)</f>
        <v>667.06</v>
      </c>
      <c r="K712" s="2">
        <f>IFERROR(__xludf.DUMMYFUNCTION("""COMPUTED_VALUE"""),667.06)</f>
        <v>667.06</v>
      </c>
    </row>
    <row r="713">
      <c r="A713" s="2">
        <f>IFERROR(__xludf.DUMMYFUNCTION("""COMPUTED_VALUE"""),2000.0)</f>
        <v>2000</v>
      </c>
      <c r="B713" s="2">
        <f>IFERROR(__xludf.DUMMYFUNCTION("""COMPUTED_VALUE"""),183967.0)</f>
        <v>183967</v>
      </c>
      <c r="C713" s="2">
        <f>IFERROR(__xludf.DUMMYFUNCTION("""COMPUTED_VALUE"""),2026.0)</f>
        <v>2026</v>
      </c>
      <c r="D713" s="2">
        <f>IFERROR(__xludf.DUMMYFUNCTION("""COMPUTED_VALUE"""),46252.0)</f>
        <v>46252</v>
      </c>
      <c r="E713" s="2" t="str">
        <f>IFERROR(__xludf.DUMMYFUNCTION("""COMPUTED_VALUE"""),"VF")</f>
        <v>VF</v>
      </c>
      <c r="F713" s="2">
        <f>IFERROR(__xludf.DUMMYFUNCTION("""COMPUTED_VALUE"""),1.0)</f>
        <v>1</v>
      </c>
      <c r="G713" s="2" t="str">
        <f>IFERROR(__xludf.DUMMYFUNCTION("""COMPUTED_VALUE"""),"PR052")</f>
        <v>PR052</v>
      </c>
      <c r="H713" s="2" t="str">
        <f>IFERROR(__xludf.DUMMYFUNCTION("""COMPUTED_VALUE"""),"VD041")</f>
        <v>VD041</v>
      </c>
      <c r="I713" s="2">
        <f>IFERROR(__xludf.DUMMYFUNCTION("""COMPUTED_VALUE"""),18.0)</f>
        <v>18</v>
      </c>
      <c r="J713" s="2">
        <f>IFERROR(__xludf.DUMMYFUNCTION("""COMPUTED_VALUE"""),970.06)</f>
        <v>970.06</v>
      </c>
      <c r="K713" s="2">
        <f>IFERROR(__xludf.DUMMYFUNCTION("""COMPUTED_VALUE"""),970.06)</f>
        <v>970.06</v>
      </c>
    </row>
    <row r="714">
      <c r="A714" s="2">
        <f>IFERROR(__xludf.DUMMYFUNCTION("""COMPUTED_VALUE"""),1000.0)</f>
        <v>1000</v>
      </c>
      <c r="B714" s="2">
        <f>IFERROR(__xludf.DUMMYFUNCTION("""COMPUTED_VALUE"""),183968.0)</f>
        <v>183968</v>
      </c>
      <c r="C714" s="2">
        <f>IFERROR(__xludf.DUMMYFUNCTION("""COMPUTED_VALUE"""),2026.0)</f>
        <v>2026</v>
      </c>
      <c r="D714" s="2">
        <f>IFERROR(__xludf.DUMMYFUNCTION("""COMPUTED_VALUE"""),46252.0)</f>
        <v>46252</v>
      </c>
      <c r="E714" s="2" t="str">
        <f>IFERROR(__xludf.DUMMYFUNCTION("""COMPUTED_VALUE"""),"VF")</f>
        <v>VF</v>
      </c>
      <c r="F714" s="2">
        <f>IFERROR(__xludf.DUMMYFUNCTION("""COMPUTED_VALUE"""),1.0)</f>
        <v>1</v>
      </c>
      <c r="G714" s="2" t="str">
        <f>IFERROR(__xludf.DUMMYFUNCTION("""COMPUTED_VALUE"""),"PR046")</f>
        <v>PR046</v>
      </c>
      <c r="H714" s="2" t="str">
        <f>IFERROR(__xludf.DUMMYFUNCTION("""COMPUTED_VALUE"""),"VD019")</f>
        <v>VD019</v>
      </c>
      <c r="I714" s="2">
        <f>IFERROR(__xludf.DUMMYFUNCTION("""COMPUTED_VALUE"""),4.0)</f>
        <v>4</v>
      </c>
      <c r="J714" s="2">
        <f>IFERROR(__xludf.DUMMYFUNCTION("""COMPUTED_VALUE"""),1240.77)</f>
        <v>1240.77</v>
      </c>
      <c r="K714" s="2">
        <f>IFERROR(__xludf.DUMMYFUNCTION("""COMPUTED_VALUE"""),1240.77)</f>
        <v>1240.77</v>
      </c>
    </row>
    <row r="715">
      <c r="A715" s="2">
        <f>IFERROR(__xludf.DUMMYFUNCTION("""COMPUTED_VALUE"""),1000.0)</f>
        <v>1000</v>
      </c>
      <c r="B715" s="2">
        <f>IFERROR(__xludf.DUMMYFUNCTION("""COMPUTED_VALUE"""),183969.0)</f>
        <v>183969</v>
      </c>
      <c r="C715" s="2">
        <f>IFERROR(__xludf.DUMMYFUNCTION("""COMPUTED_VALUE"""),2026.0)</f>
        <v>2026</v>
      </c>
      <c r="D715" s="2">
        <f>IFERROR(__xludf.DUMMYFUNCTION("""COMPUTED_VALUE"""),46251.0)</f>
        <v>46251</v>
      </c>
      <c r="E715" s="2" t="str">
        <f>IFERROR(__xludf.DUMMYFUNCTION("""COMPUTED_VALUE"""),"VF")</f>
        <v>VF</v>
      </c>
      <c r="F715" s="2">
        <f>IFERROR(__xludf.DUMMYFUNCTION("""COMPUTED_VALUE"""),1.0)</f>
        <v>1</v>
      </c>
      <c r="G715" s="2" t="str">
        <f>IFERROR(__xludf.DUMMYFUNCTION("""COMPUTED_VALUE"""),"PR056")</f>
        <v>PR056</v>
      </c>
      <c r="H715" s="2" t="str">
        <f>IFERROR(__xludf.DUMMYFUNCTION("""COMPUTED_VALUE"""),"VD039")</f>
        <v>VD039</v>
      </c>
      <c r="I715" s="2">
        <f>IFERROR(__xludf.DUMMYFUNCTION("""COMPUTED_VALUE"""),14.0)</f>
        <v>14</v>
      </c>
      <c r="J715" s="2">
        <f>IFERROR(__xludf.DUMMYFUNCTION("""COMPUTED_VALUE"""),1334.12)</f>
        <v>1334.12</v>
      </c>
      <c r="K715" s="2">
        <f>IFERROR(__xludf.DUMMYFUNCTION("""COMPUTED_VALUE"""),1334.12)</f>
        <v>1334.12</v>
      </c>
    </row>
    <row r="716">
      <c r="A716" s="2">
        <f>IFERROR(__xludf.DUMMYFUNCTION("""COMPUTED_VALUE"""),1000.0)</f>
        <v>1000</v>
      </c>
      <c r="B716" s="2">
        <f>IFERROR(__xludf.DUMMYFUNCTION("""COMPUTED_VALUE"""),183970.0)</f>
        <v>183970</v>
      </c>
      <c r="C716" s="2">
        <f>IFERROR(__xludf.DUMMYFUNCTION("""COMPUTED_VALUE"""),2026.0)</f>
        <v>2026</v>
      </c>
      <c r="D716" s="2">
        <f>IFERROR(__xludf.DUMMYFUNCTION("""COMPUTED_VALUE"""),46251.0)</f>
        <v>46251</v>
      </c>
      <c r="E716" s="2" t="str">
        <f>IFERROR(__xludf.DUMMYFUNCTION("""COMPUTED_VALUE"""),"VF")</f>
        <v>VF</v>
      </c>
      <c r="F716" s="2">
        <f>IFERROR(__xludf.DUMMYFUNCTION("""COMPUTED_VALUE"""),1.0)</f>
        <v>1</v>
      </c>
      <c r="G716" s="2" t="str">
        <f>IFERROR(__xludf.DUMMYFUNCTION("""COMPUTED_VALUE"""),"PR034")</f>
        <v>PR034</v>
      </c>
      <c r="H716" s="2" t="str">
        <f>IFERROR(__xludf.DUMMYFUNCTION("""COMPUTED_VALUE"""),"VD042")</f>
        <v>VD042</v>
      </c>
      <c r="I716" s="2">
        <f>IFERROR(__xludf.DUMMYFUNCTION("""COMPUTED_VALUE"""),10.0)</f>
        <v>10</v>
      </c>
      <c r="J716" s="2">
        <f>IFERROR(__xludf.DUMMYFUNCTION("""COMPUTED_VALUE"""),988.9)</f>
        <v>988.9</v>
      </c>
      <c r="K716" s="2">
        <f>IFERROR(__xludf.DUMMYFUNCTION("""COMPUTED_VALUE"""),988.9)</f>
        <v>988.9</v>
      </c>
    </row>
    <row r="717">
      <c r="A717" s="2">
        <f>IFERROR(__xludf.DUMMYFUNCTION("""COMPUTED_VALUE"""),2000.0)</f>
        <v>2000</v>
      </c>
      <c r="B717" s="2">
        <f>IFERROR(__xludf.DUMMYFUNCTION("""COMPUTED_VALUE"""),183970.0)</f>
        <v>183970</v>
      </c>
      <c r="C717" s="2">
        <f>IFERROR(__xludf.DUMMYFUNCTION("""COMPUTED_VALUE"""),2026.0)</f>
        <v>2026</v>
      </c>
      <c r="D717" s="2">
        <f>IFERROR(__xludf.DUMMYFUNCTION("""COMPUTED_VALUE"""),46251.0)</f>
        <v>46251</v>
      </c>
      <c r="E717" s="2" t="str">
        <f>IFERROR(__xludf.DUMMYFUNCTION("""COMPUTED_VALUE"""),"VF")</f>
        <v>VF</v>
      </c>
      <c r="F717" s="2">
        <f>IFERROR(__xludf.DUMMYFUNCTION("""COMPUTED_VALUE"""),2.0)</f>
        <v>2</v>
      </c>
      <c r="G717" s="2" t="str">
        <f>IFERROR(__xludf.DUMMYFUNCTION("""COMPUTED_VALUE"""),"PR029")</f>
        <v>PR029</v>
      </c>
      <c r="H717" s="2" t="str">
        <f>IFERROR(__xludf.DUMMYFUNCTION("""COMPUTED_VALUE"""),"VD043")</f>
        <v>VD043</v>
      </c>
      <c r="I717" s="2">
        <f>IFERROR(__xludf.DUMMYFUNCTION("""COMPUTED_VALUE"""),1.0)</f>
        <v>1</v>
      </c>
      <c r="J717" s="2">
        <f>IFERROR(__xludf.DUMMYFUNCTION("""COMPUTED_VALUE"""),267.75)</f>
        <v>267.75</v>
      </c>
      <c r="K717" s="2">
        <f>IFERROR(__xludf.DUMMYFUNCTION("""COMPUTED_VALUE"""),267.75)</f>
        <v>267.75</v>
      </c>
    </row>
    <row r="718">
      <c r="A718" s="2">
        <f>IFERROR(__xludf.DUMMYFUNCTION("""COMPUTED_VALUE"""),1000.0)</f>
        <v>1000</v>
      </c>
      <c r="B718" s="2">
        <f>IFERROR(__xludf.DUMMYFUNCTION("""COMPUTED_VALUE"""),183971.0)</f>
        <v>183971</v>
      </c>
      <c r="C718" s="2">
        <f>IFERROR(__xludf.DUMMYFUNCTION("""COMPUTED_VALUE"""),2026.0)</f>
        <v>2026</v>
      </c>
      <c r="D718" s="2">
        <f>IFERROR(__xludf.DUMMYFUNCTION("""COMPUTED_VALUE"""),46250.0)</f>
        <v>46250</v>
      </c>
      <c r="E718" s="2" t="str">
        <f>IFERROR(__xludf.DUMMYFUNCTION("""COMPUTED_VALUE"""),"VF")</f>
        <v>VF</v>
      </c>
      <c r="F718" s="2">
        <f>IFERROR(__xludf.DUMMYFUNCTION("""COMPUTED_VALUE"""),1.0)</f>
        <v>1</v>
      </c>
      <c r="G718" s="2" t="str">
        <f>IFERROR(__xludf.DUMMYFUNCTION("""COMPUTED_VALUE"""),"PR043")</f>
        <v>PR043</v>
      </c>
      <c r="H718" s="2" t="str">
        <f>IFERROR(__xludf.DUMMYFUNCTION("""COMPUTED_VALUE"""),"VD023")</f>
        <v>VD023</v>
      </c>
      <c r="I718" s="2">
        <f>IFERROR(__xludf.DUMMYFUNCTION("""COMPUTED_VALUE"""),8.0)</f>
        <v>8</v>
      </c>
      <c r="J718" s="2">
        <f>IFERROR(__xludf.DUMMYFUNCTION("""COMPUTED_VALUE"""),603.2)</f>
        <v>603.2</v>
      </c>
      <c r="K718" s="2">
        <f>IFERROR(__xludf.DUMMYFUNCTION("""COMPUTED_VALUE"""),603.2)</f>
        <v>603.2</v>
      </c>
    </row>
    <row r="719">
      <c r="A719" s="2">
        <f>IFERROR(__xludf.DUMMYFUNCTION("""COMPUTED_VALUE"""),1000.0)</f>
        <v>1000</v>
      </c>
      <c r="B719" s="2">
        <f>IFERROR(__xludf.DUMMYFUNCTION("""COMPUTED_VALUE"""),183972.0)</f>
        <v>183972</v>
      </c>
      <c r="C719" s="2">
        <f>IFERROR(__xludf.DUMMYFUNCTION("""COMPUTED_VALUE"""),2026.0)</f>
        <v>2026</v>
      </c>
      <c r="D719" s="2">
        <f>IFERROR(__xludf.DUMMYFUNCTION("""COMPUTED_VALUE"""),46250.0)</f>
        <v>46250</v>
      </c>
      <c r="E719" s="2" t="str">
        <f>IFERROR(__xludf.DUMMYFUNCTION("""COMPUTED_VALUE"""),"VF")</f>
        <v>VF</v>
      </c>
      <c r="F719" s="2">
        <f>IFERROR(__xludf.DUMMYFUNCTION("""COMPUTED_VALUE"""),1.0)</f>
        <v>1</v>
      </c>
      <c r="G719" s="2" t="str">
        <f>IFERROR(__xludf.DUMMYFUNCTION("""COMPUTED_VALUE"""),"PR014")</f>
        <v>PR014</v>
      </c>
      <c r="H719" s="2" t="str">
        <f>IFERROR(__xludf.DUMMYFUNCTION("""COMPUTED_VALUE"""),"VD035")</f>
        <v>VD035</v>
      </c>
      <c r="I719" s="2">
        <f>IFERROR(__xludf.DUMMYFUNCTION("""COMPUTED_VALUE"""),5.0)</f>
        <v>5</v>
      </c>
      <c r="J719" s="2">
        <f>IFERROR(__xludf.DUMMYFUNCTION("""COMPUTED_VALUE"""),211.47)</f>
        <v>211.47</v>
      </c>
      <c r="K719" s="2">
        <f>IFERROR(__xludf.DUMMYFUNCTION("""COMPUTED_VALUE"""),211.47)</f>
        <v>211.47</v>
      </c>
    </row>
    <row r="720">
      <c r="A720" s="2">
        <f>IFERROR(__xludf.DUMMYFUNCTION("""COMPUTED_VALUE"""),1000.0)</f>
        <v>1000</v>
      </c>
      <c r="B720" s="2">
        <f>IFERROR(__xludf.DUMMYFUNCTION("""COMPUTED_VALUE"""),183973.0)</f>
        <v>183973</v>
      </c>
      <c r="C720" s="2">
        <f>IFERROR(__xludf.DUMMYFUNCTION("""COMPUTED_VALUE"""),2026.0)</f>
        <v>2026</v>
      </c>
      <c r="D720" s="2">
        <f>IFERROR(__xludf.DUMMYFUNCTION("""COMPUTED_VALUE"""),46250.0)</f>
        <v>46250</v>
      </c>
      <c r="E720" s="2" t="str">
        <f>IFERROR(__xludf.DUMMYFUNCTION("""COMPUTED_VALUE"""),"VF")</f>
        <v>VF</v>
      </c>
      <c r="F720" s="2">
        <f>IFERROR(__xludf.DUMMYFUNCTION("""COMPUTED_VALUE"""),1.0)</f>
        <v>1</v>
      </c>
      <c r="G720" s="2" t="str">
        <f>IFERROR(__xludf.DUMMYFUNCTION("""COMPUTED_VALUE"""),"PR019")</f>
        <v>PR019</v>
      </c>
      <c r="H720" s="2" t="str">
        <f>IFERROR(__xludf.DUMMYFUNCTION("""COMPUTED_VALUE"""),"VD018")</f>
        <v>VD018</v>
      </c>
      <c r="I720" s="2">
        <f>IFERROR(__xludf.DUMMYFUNCTION("""COMPUTED_VALUE"""),18.0)</f>
        <v>18</v>
      </c>
      <c r="J720" s="2">
        <f>IFERROR(__xludf.DUMMYFUNCTION("""COMPUTED_VALUE"""),925.15)</f>
        <v>925.15</v>
      </c>
      <c r="K720" s="2">
        <f>IFERROR(__xludf.DUMMYFUNCTION("""COMPUTED_VALUE"""),925.15)</f>
        <v>925.15</v>
      </c>
    </row>
    <row r="721">
      <c r="A721" s="2">
        <f>IFERROR(__xludf.DUMMYFUNCTION("""COMPUTED_VALUE"""),1000.0)</f>
        <v>1000</v>
      </c>
      <c r="B721" s="2">
        <f>IFERROR(__xludf.DUMMYFUNCTION("""COMPUTED_VALUE"""),183974.0)</f>
        <v>183974</v>
      </c>
      <c r="C721" s="2">
        <f>IFERROR(__xludf.DUMMYFUNCTION("""COMPUTED_VALUE"""),2026.0)</f>
        <v>2026</v>
      </c>
      <c r="D721" s="2">
        <f>IFERROR(__xludf.DUMMYFUNCTION("""COMPUTED_VALUE"""),46250.0)</f>
        <v>46250</v>
      </c>
      <c r="E721" s="2" t="str">
        <f>IFERROR(__xludf.DUMMYFUNCTION("""COMPUTED_VALUE"""),"VF")</f>
        <v>VF</v>
      </c>
      <c r="F721" s="2">
        <f>IFERROR(__xludf.DUMMYFUNCTION("""COMPUTED_VALUE"""),1.0)</f>
        <v>1</v>
      </c>
      <c r="G721" s="2" t="str">
        <f>IFERROR(__xludf.DUMMYFUNCTION("""COMPUTED_VALUE"""),"PR057")</f>
        <v>PR057</v>
      </c>
      <c r="H721" s="2" t="str">
        <f>IFERROR(__xludf.DUMMYFUNCTION("""COMPUTED_VALUE"""),"VD028")</f>
        <v>VD028</v>
      </c>
      <c r="I721" s="2">
        <f>IFERROR(__xludf.DUMMYFUNCTION("""COMPUTED_VALUE"""),6.0)</f>
        <v>6</v>
      </c>
      <c r="J721" s="2">
        <f>IFERROR(__xludf.DUMMYFUNCTION("""COMPUTED_VALUE"""),539.4)</f>
        <v>539.4</v>
      </c>
      <c r="K721" s="2">
        <f>IFERROR(__xludf.DUMMYFUNCTION("""COMPUTED_VALUE"""),539.4)</f>
        <v>539.4</v>
      </c>
    </row>
    <row r="722">
      <c r="A722" s="2">
        <f>IFERROR(__xludf.DUMMYFUNCTION("""COMPUTED_VALUE"""),1000.0)</f>
        <v>1000</v>
      </c>
      <c r="B722" s="2">
        <f>IFERROR(__xludf.DUMMYFUNCTION("""COMPUTED_VALUE"""),183975.0)</f>
        <v>183975</v>
      </c>
      <c r="C722" s="2">
        <f>IFERROR(__xludf.DUMMYFUNCTION("""COMPUTED_VALUE"""),2026.0)</f>
        <v>2026</v>
      </c>
      <c r="D722" s="2">
        <f>IFERROR(__xludf.DUMMYFUNCTION("""COMPUTED_VALUE"""),46249.0)</f>
        <v>46249</v>
      </c>
      <c r="E722" s="2" t="str">
        <f>IFERROR(__xludf.DUMMYFUNCTION("""COMPUTED_VALUE"""),"VF")</f>
        <v>VF</v>
      </c>
      <c r="F722" s="2">
        <f>IFERROR(__xludf.DUMMYFUNCTION("""COMPUTED_VALUE"""),1.0)</f>
        <v>1</v>
      </c>
      <c r="G722" s="2" t="str">
        <f>IFERROR(__xludf.DUMMYFUNCTION("""COMPUTED_VALUE"""),"PR047")</f>
        <v>PR047</v>
      </c>
      <c r="H722" s="2" t="str">
        <f>IFERROR(__xludf.DUMMYFUNCTION("""COMPUTED_VALUE"""),"VD047")</f>
        <v>VD047</v>
      </c>
      <c r="I722" s="2">
        <f>IFERROR(__xludf.DUMMYFUNCTION("""COMPUTED_VALUE"""),8.0)</f>
        <v>8</v>
      </c>
      <c r="J722" s="2">
        <f>IFERROR(__xludf.DUMMYFUNCTION("""COMPUTED_VALUE"""),2458.35)</f>
        <v>2458.35</v>
      </c>
      <c r="K722" s="2">
        <f>IFERROR(__xludf.DUMMYFUNCTION("""COMPUTED_VALUE"""),2458.35)</f>
        <v>2458.35</v>
      </c>
    </row>
    <row r="723">
      <c r="A723" s="2">
        <f>IFERROR(__xludf.DUMMYFUNCTION("""COMPUTED_VALUE"""),1000.0)</f>
        <v>1000</v>
      </c>
      <c r="B723" s="2">
        <f>IFERROR(__xludf.DUMMYFUNCTION("""COMPUTED_VALUE"""),183976.0)</f>
        <v>183976</v>
      </c>
      <c r="C723" s="2">
        <f>IFERROR(__xludf.DUMMYFUNCTION("""COMPUTED_VALUE"""),2026.0)</f>
        <v>2026</v>
      </c>
      <c r="D723" s="2">
        <f>IFERROR(__xludf.DUMMYFUNCTION("""COMPUTED_VALUE"""),46249.0)</f>
        <v>46249</v>
      </c>
      <c r="E723" s="2" t="str">
        <f>IFERROR(__xludf.DUMMYFUNCTION("""COMPUTED_VALUE"""),"VF")</f>
        <v>VF</v>
      </c>
      <c r="F723" s="2">
        <f>IFERROR(__xludf.DUMMYFUNCTION("""COMPUTED_VALUE"""),1.0)</f>
        <v>1</v>
      </c>
      <c r="G723" s="2" t="str">
        <f>IFERROR(__xludf.DUMMYFUNCTION("""COMPUTED_VALUE"""),"PR012")</f>
        <v>PR012</v>
      </c>
      <c r="H723" s="2" t="str">
        <f>IFERROR(__xludf.DUMMYFUNCTION("""COMPUTED_VALUE"""),"VD042")</f>
        <v>VD042</v>
      </c>
      <c r="I723" s="2">
        <f>IFERROR(__xludf.DUMMYFUNCTION("""COMPUTED_VALUE"""),16.0)</f>
        <v>16</v>
      </c>
      <c r="J723" s="2">
        <f>IFERROR(__xludf.DUMMYFUNCTION("""COMPUTED_VALUE"""),837.17)</f>
        <v>837.17</v>
      </c>
      <c r="K723" s="2">
        <f>IFERROR(__xludf.DUMMYFUNCTION("""COMPUTED_VALUE"""),837.17)</f>
        <v>837.17</v>
      </c>
    </row>
    <row r="724">
      <c r="A724" s="2">
        <f>IFERROR(__xludf.DUMMYFUNCTION("""COMPUTED_VALUE"""),1000.0)</f>
        <v>1000</v>
      </c>
      <c r="B724" s="2">
        <f>IFERROR(__xludf.DUMMYFUNCTION("""COMPUTED_VALUE"""),183976.0)</f>
        <v>183976</v>
      </c>
      <c r="C724" s="2">
        <f>IFERROR(__xludf.DUMMYFUNCTION("""COMPUTED_VALUE"""),2026.0)</f>
        <v>2026</v>
      </c>
      <c r="D724" s="2">
        <f>IFERROR(__xludf.DUMMYFUNCTION("""COMPUTED_VALUE"""),46249.0)</f>
        <v>46249</v>
      </c>
      <c r="E724" s="2" t="str">
        <f>IFERROR(__xludf.DUMMYFUNCTION("""COMPUTED_VALUE"""),"VF")</f>
        <v>VF</v>
      </c>
      <c r="F724" s="2">
        <f>IFERROR(__xludf.DUMMYFUNCTION("""COMPUTED_VALUE"""),2.0)</f>
        <v>2</v>
      </c>
      <c r="G724" s="2" t="str">
        <f>IFERROR(__xludf.DUMMYFUNCTION("""COMPUTED_VALUE"""),"PR016")</f>
        <v>PR016</v>
      </c>
      <c r="H724" s="2" t="str">
        <f>IFERROR(__xludf.DUMMYFUNCTION("""COMPUTED_VALUE"""),"VD048")</f>
        <v>VD048</v>
      </c>
      <c r="I724" s="2">
        <f>IFERROR(__xludf.DUMMYFUNCTION("""COMPUTED_VALUE"""),14.0)</f>
        <v>14</v>
      </c>
      <c r="J724" s="2">
        <f>IFERROR(__xludf.DUMMYFUNCTION("""COMPUTED_VALUE"""),391.61)</f>
        <v>391.61</v>
      </c>
      <c r="K724" s="2">
        <f>IFERROR(__xludf.DUMMYFUNCTION("""COMPUTED_VALUE"""),391.61)</f>
        <v>391.61</v>
      </c>
    </row>
    <row r="725">
      <c r="A725" s="2">
        <f>IFERROR(__xludf.DUMMYFUNCTION("""COMPUTED_VALUE"""),1000.0)</f>
        <v>1000</v>
      </c>
      <c r="B725" s="2">
        <f>IFERROR(__xludf.DUMMYFUNCTION("""COMPUTED_VALUE"""),183976.0)</f>
        <v>183976</v>
      </c>
      <c r="C725" s="2">
        <f>IFERROR(__xludf.DUMMYFUNCTION("""COMPUTED_VALUE"""),2026.0)</f>
        <v>2026</v>
      </c>
      <c r="D725" s="2">
        <f>IFERROR(__xludf.DUMMYFUNCTION("""COMPUTED_VALUE"""),46249.0)</f>
        <v>46249</v>
      </c>
      <c r="E725" s="2" t="str">
        <f>IFERROR(__xludf.DUMMYFUNCTION("""COMPUTED_VALUE"""),"VF")</f>
        <v>VF</v>
      </c>
      <c r="F725" s="2">
        <f>IFERROR(__xludf.DUMMYFUNCTION("""COMPUTED_VALUE"""),3.0)</f>
        <v>3</v>
      </c>
      <c r="G725" s="2" t="str">
        <f>IFERROR(__xludf.DUMMYFUNCTION("""COMPUTED_VALUE"""),"PR047")</f>
        <v>PR047</v>
      </c>
      <c r="H725" s="2" t="str">
        <f>IFERROR(__xludf.DUMMYFUNCTION("""COMPUTED_VALUE"""),"VD049")</f>
        <v>VD049</v>
      </c>
      <c r="I725" s="2">
        <f>IFERROR(__xludf.DUMMYFUNCTION("""COMPUTED_VALUE"""),2.0)</f>
        <v>2</v>
      </c>
      <c r="J725" s="2">
        <f>IFERROR(__xludf.DUMMYFUNCTION("""COMPUTED_VALUE"""),620.39)</f>
        <v>620.39</v>
      </c>
      <c r="K725" s="2">
        <f>IFERROR(__xludf.DUMMYFUNCTION("""COMPUTED_VALUE"""),620.39)</f>
        <v>620.39</v>
      </c>
    </row>
    <row r="726">
      <c r="A726" s="2">
        <f>IFERROR(__xludf.DUMMYFUNCTION("""COMPUTED_VALUE"""),1000.0)</f>
        <v>1000</v>
      </c>
      <c r="B726" s="2">
        <f>IFERROR(__xludf.DUMMYFUNCTION("""COMPUTED_VALUE"""),183977.0)</f>
        <v>183977</v>
      </c>
      <c r="C726" s="2">
        <f>IFERROR(__xludf.DUMMYFUNCTION("""COMPUTED_VALUE"""),2026.0)</f>
        <v>2026</v>
      </c>
      <c r="D726" s="2">
        <f>IFERROR(__xludf.DUMMYFUNCTION("""COMPUTED_VALUE"""),46248.0)</f>
        <v>46248</v>
      </c>
      <c r="E726" s="2" t="str">
        <f>IFERROR(__xludf.DUMMYFUNCTION("""COMPUTED_VALUE"""),"VF")</f>
        <v>VF</v>
      </c>
      <c r="F726" s="2">
        <f>IFERROR(__xludf.DUMMYFUNCTION("""COMPUTED_VALUE"""),1.0)</f>
        <v>1</v>
      </c>
      <c r="G726" s="2" t="str">
        <f>IFERROR(__xludf.DUMMYFUNCTION("""COMPUTED_VALUE"""),"PR048")</f>
        <v>PR048</v>
      </c>
      <c r="H726" s="2" t="str">
        <f>IFERROR(__xludf.DUMMYFUNCTION("""COMPUTED_VALUE"""),"VD036")</f>
        <v>VD036</v>
      </c>
      <c r="I726" s="2">
        <f>IFERROR(__xludf.DUMMYFUNCTION("""COMPUTED_VALUE"""),4.0)</f>
        <v>4</v>
      </c>
      <c r="J726" s="2">
        <f>IFERROR(__xludf.DUMMYFUNCTION("""COMPUTED_VALUE"""),1275.56)</f>
        <v>1275.56</v>
      </c>
      <c r="K726" s="2">
        <f>IFERROR(__xludf.DUMMYFUNCTION("""COMPUTED_VALUE"""),1275.56)</f>
        <v>1275.56</v>
      </c>
    </row>
    <row r="727">
      <c r="A727" s="2">
        <f>IFERROR(__xludf.DUMMYFUNCTION("""COMPUTED_VALUE"""),1000.0)</f>
        <v>1000</v>
      </c>
      <c r="B727" s="2">
        <f>IFERROR(__xludf.DUMMYFUNCTION("""COMPUTED_VALUE"""),183978.0)</f>
        <v>183978</v>
      </c>
      <c r="C727" s="2">
        <f>IFERROR(__xludf.DUMMYFUNCTION("""COMPUTED_VALUE"""),2026.0)</f>
        <v>2026</v>
      </c>
      <c r="D727" s="2">
        <f>IFERROR(__xludf.DUMMYFUNCTION("""COMPUTED_VALUE"""),46248.0)</f>
        <v>46248</v>
      </c>
      <c r="E727" s="2" t="str">
        <f>IFERROR(__xludf.DUMMYFUNCTION("""COMPUTED_VALUE"""),"VF")</f>
        <v>VF</v>
      </c>
      <c r="F727" s="2">
        <f>IFERROR(__xludf.DUMMYFUNCTION("""COMPUTED_VALUE"""),1.0)</f>
        <v>1</v>
      </c>
      <c r="G727" s="2" t="str">
        <f>IFERROR(__xludf.DUMMYFUNCTION("""COMPUTED_VALUE"""),"PR020")</f>
        <v>PR020</v>
      </c>
      <c r="H727" s="2" t="str">
        <f>IFERROR(__xludf.DUMMYFUNCTION("""COMPUTED_VALUE"""),"VD038")</f>
        <v>VD038</v>
      </c>
      <c r="I727" s="2">
        <f>IFERROR(__xludf.DUMMYFUNCTION("""COMPUTED_VALUE"""),4.0)</f>
        <v>4</v>
      </c>
      <c r="J727" s="2">
        <f>IFERROR(__xludf.DUMMYFUNCTION("""COMPUTED_VALUE"""),1235.59)</f>
        <v>1235.59</v>
      </c>
      <c r="K727" s="2">
        <f>IFERROR(__xludf.DUMMYFUNCTION("""COMPUTED_VALUE"""),1235.59)</f>
        <v>1235.59</v>
      </c>
    </row>
    <row r="728">
      <c r="A728" s="2">
        <f>IFERROR(__xludf.DUMMYFUNCTION("""COMPUTED_VALUE"""),2000.0)</f>
        <v>2000</v>
      </c>
      <c r="B728" s="2">
        <f>IFERROR(__xludf.DUMMYFUNCTION("""COMPUTED_VALUE"""),183979.0)</f>
        <v>183979</v>
      </c>
      <c r="C728" s="2">
        <f>IFERROR(__xludf.DUMMYFUNCTION("""COMPUTED_VALUE"""),2026.0)</f>
        <v>2026</v>
      </c>
      <c r="D728" s="2">
        <f>IFERROR(__xludf.DUMMYFUNCTION("""COMPUTED_VALUE"""),46248.0)</f>
        <v>46248</v>
      </c>
      <c r="E728" s="2" t="str">
        <f>IFERROR(__xludf.DUMMYFUNCTION("""COMPUTED_VALUE"""),"VF")</f>
        <v>VF</v>
      </c>
      <c r="F728" s="2">
        <f>IFERROR(__xludf.DUMMYFUNCTION("""COMPUTED_VALUE"""),1.0)</f>
        <v>1</v>
      </c>
      <c r="G728" s="2" t="str">
        <f>IFERROR(__xludf.DUMMYFUNCTION("""COMPUTED_VALUE"""),"PR011")</f>
        <v>PR011</v>
      </c>
      <c r="H728" s="2" t="str">
        <f>IFERROR(__xludf.DUMMYFUNCTION("""COMPUTED_VALUE"""),"VD018")</f>
        <v>VD018</v>
      </c>
      <c r="I728" s="2">
        <f>IFERROR(__xludf.DUMMYFUNCTION("""COMPUTED_VALUE"""),6.0)</f>
        <v>6</v>
      </c>
      <c r="J728" s="2">
        <f>IFERROR(__xludf.DUMMYFUNCTION("""COMPUTED_VALUE"""),309.54)</f>
        <v>309.54</v>
      </c>
      <c r="K728" s="2">
        <f>IFERROR(__xludf.DUMMYFUNCTION("""COMPUTED_VALUE"""),309.54)</f>
        <v>309.54</v>
      </c>
    </row>
    <row r="729">
      <c r="A729" s="2">
        <f>IFERROR(__xludf.DUMMYFUNCTION("""COMPUTED_VALUE"""),1000.0)</f>
        <v>1000</v>
      </c>
      <c r="B729" s="2">
        <f>IFERROR(__xludf.DUMMYFUNCTION("""COMPUTED_VALUE"""),183979.0)</f>
        <v>183979</v>
      </c>
      <c r="C729" s="2">
        <f>IFERROR(__xludf.DUMMYFUNCTION("""COMPUTED_VALUE"""),2026.0)</f>
        <v>2026</v>
      </c>
      <c r="D729" s="2">
        <f>IFERROR(__xludf.DUMMYFUNCTION("""COMPUTED_VALUE"""),46248.0)</f>
        <v>46248</v>
      </c>
      <c r="E729" s="2" t="str">
        <f>IFERROR(__xludf.DUMMYFUNCTION("""COMPUTED_VALUE"""),"VF")</f>
        <v>VF</v>
      </c>
      <c r="F729" s="2">
        <f>IFERROR(__xludf.DUMMYFUNCTION("""COMPUTED_VALUE"""),2.0)</f>
        <v>2</v>
      </c>
      <c r="G729" s="2" t="str">
        <f>IFERROR(__xludf.DUMMYFUNCTION("""COMPUTED_VALUE"""),"PR049")</f>
        <v>PR049</v>
      </c>
      <c r="H729" s="2" t="str">
        <f>IFERROR(__xludf.DUMMYFUNCTION("""COMPUTED_VALUE"""),"VD043")</f>
        <v>VD043</v>
      </c>
      <c r="I729" s="2">
        <f>IFERROR(__xludf.DUMMYFUNCTION("""COMPUTED_VALUE"""),7.0)</f>
        <v>7</v>
      </c>
      <c r="J729" s="2">
        <f>IFERROR(__xludf.DUMMYFUNCTION("""COMPUTED_VALUE"""),244.12)</f>
        <v>244.12</v>
      </c>
      <c r="K729" s="2">
        <f>IFERROR(__xludf.DUMMYFUNCTION("""COMPUTED_VALUE"""),244.12)</f>
        <v>244.12</v>
      </c>
    </row>
    <row r="730">
      <c r="A730" s="2">
        <f>IFERROR(__xludf.DUMMYFUNCTION("""COMPUTED_VALUE"""),2000.0)</f>
        <v>2000</v>
      </c>
      <c r="B730" s="2">
        <f>IFERROR(__xludf.DUMMYFUNCTION("""COMPUTED_VALUE"""),183980.0)</f>
        <v>183980</v>
      </c>
      <c r="C730" s="2">
        <f>IFERROR(__xludf.DUMMYFUNCTION("""COMPUTED_VALUE"""),2026.0)</f>
        <v>2026</v>
      </c>
      <c r="D730" s="2">
        <f>IFERROR(__xludf.DUMMYFUNCTION("""COMPUTED_VALUE"""),46248.0)</f>
        <v>46248</v>
      </c>
      <c r="E730" s="2" t="str">
        <f>IFERROR(__xludf.DUMMYFUNCTION("""COMPUTED_VALUE"""),"VF")</f>
        <v>VF</v>
      </c>
      <c r="F730" s="2">
        <f>IFERROR(__xludf.DUMMYFUNCTION("""COMPUTED_VALUE"""),1.0)</f>
        <v>1</v>
      </c>
      <c r="G730" s="2" t="str">
        <f>IFERROR(__xludf.DUMMYFUNCTION("""COMPUTED_VALUE"""),"PR018")</f>
        <v>PR018</v>
      </c>
      <c r="H730" s="2" t="str">
        <f>IFERROR(__xludf.DUMMYFUNCTION("""COMPUTED_VALUE"""),"VD033")</f>
        <v>VD033</v>
      </c>
      <c r="I730" s="2">
        <f>IFERROR(__xludf.DUMMYFUNCTION("""COMPUTED_VALUE"""),4.0)</f>
        <v>4</v>
      </c>
      <c r="J730" s="2">
        <f>IFERROR(__xludf.DUMMYFUNCTION("""COMPUTED_VALUE"""),135.55)</f>
        <v>135.55</v>
      </c>
      <c r="K730" s="2">
        <f>IFERROR(__xludf.DUMMYFUNCTION("""COMPUTED_VALUE"""),135.55)</f>
        <v>135.55</v>
      </c>
    </row>
    <row r="731">
      <c r="A731" s="2">
        <f>IFERROR(__xludf.DUMMYFUNCTION("""COMPUTED_VALUE"""),1000.0)</f>
        <v>1000</v>
      </c>
      <c r="B731" s="2">
        <f>IFERROR(__xludf.DUMMYFUNCTION("""COMPUTED_VALUE"""),183981.0)</f>
        <v>183981</v>
      </c>
      <c r="C731" s="2">
        <f>IFERROR(__xludf.DUMMYFUNCTION("""COMPUTED_VALUE"""),2026.0)</f>
        <v>2026</v>
      </c>
      <c r="D731" s="2">
        <f>IFERROR(__xludf.DUMMYFUNCTION("""COMPUTED_VALUE"""),46248.0)</f>
        <v>46248</v>
      </c>
      <c r="E731" s="2" t="str">
        <f>IFERROR(__xludf.DUMMYFUNCTION("""COMPUTED_VALUE"""),"VF")</f>
        <v>VF</v>
      </c>
      <c r="F731" s="2">
        <f>IFERROR(__xludf.DUMMYFUNCTION("""COMPUTED_VALUE"""),1.0)</f>
        <v>1</v>
      </c>
      <c r="G731" s="2" t="str">
        <f>IFERROR(__xludf.DUMMYFUNCTION("""COMPUTED_VALUE"""),"PR051")</f>
        <v>PR051</v>
      </c>
      <c r="H731" s="2" t="str">
        <f>IFERROR(__xludf.DUMMYFUNCTION("""COMPUTED_VALUE"""),"VD010")</f>
        <v>VD010</v>
      </c>
      <c r="I731" s="2">
        <f>IFERROR(__xludf.DUMMYFUNCTION("""COMPUTED_VALUE"""),9.0)</f>
        <v>9</v>
      </c>
      <c r="J731" s="2">
        <f>IFERROR(__xludf.DUMMYFUNCTION("""COMPUTED_VALUE"""),296.1)</f>
        <v>296.1</v>
      </c>
      <c r="K731" s="2">
        <f>IFERROR(__xludf.DUMMYFUNCTION("""COMPUTED_VALUE"""),296.1)</f>
        <v>296.1</v>
      </c>
    </row>
    <row r="732">
      <c r="A732" s="2">
        <f>IFERROR(__xludf.DUMMYFUNCTION("""COMPUTED_VALUE"""),1000.0)</f>
        <v>1000</v>
      </c>
      <c r="B732" s="2">
        <f>IFERROR(__xludf.DUMMYFUNCTION("""COMPUTED_VALUE"""),183981.0)</f>
        <v>183981</v>
      </c>
      <c r="C732" s="2">
        <f>IFERROR(__xludf.DUMMYFUNCTION("""COMPUTED_VALUE"""),2026.0)</f>
        <v>2026</v>
      </c>
      <c r="D732" s="2">
        <f>IFERROR(__xludf.DUMMYFUNCTION("""COMPUTED_VALUE"""),46248.0)</f>
        <v>46248</v>
      </c>
      <c r="E732" s="2" t="str">
        <f>IFERROR(__xludf.DUMMYFUNCTION("""COMPUTED_VALUE"""),"VF")</f>
        <v>VF</v>
      </c>
      <c r="F732" s="2">
        <f>IFERROR(__xludf.DUMMYFUNCTION("""COMPUTED_VALUE"""),2.0)</f>
        <v>2</v>
      </c>
      <c r="G732" s="2" t="str">
        <f>IFERROR(__xludf.DUMMYFUNCTION("""COMPUTED_VALUE"""),"PR007")</f>
        <v>PR007</v>
      </c>
      <c r="H732" s="2" t="str">
        <f>IFERROR(__xludf.DUMMYFUNCTION("""COMPUTED_VALUE"""),"VD041")</f>
        <v>VD041</v>
      </c>
      <c r="I732" s="2">
        <f>IFERROR(__xludf.DUMMYFUNCTION("""COMPUTED_VALUE"""),4.0)</f>
        <v>4</v>
      </c>
      <c r="J732" s="2">
        <f>IFERROR(__xludf.DUMMYFUNCTION("""COMPUTED_VALUE"""),353.91)</f>
        <v>353.91</v>
      </c>
      <c r="K732" s="2">
        <f>IFERROR(__xludf.DUMMYFUNCTION("""COMPUTED_VALUE"""),353.91)</f>
        <v>353.91</v>
      </c>
    </row>
    <row r="733">
      <c r="A733" s="2">
        <f>IFERROR(__xludf.DUMMYFUNCTION("""COMPUTED_VALUE"""),1000.0)</f>
        <v>1000</v>
      </c>
      <c r="B733" s="2">
        <f>IFERROR(__xludf.DUMMYFUNCTION("""COMPUTED_VALUE"""),183982.0)</f>
        <v>183982</v>
      </c>
      <c r="C733" s="2">
        <f>IFERROR(__xludf.DUMMYFUNCTION("""COMPUTED_VALUE"""),2026.0)</f>
        <v>2026</v>
      </c>
      <c r="D733" s="2">
        <f>IFERROR(__xludf.DUMMYFUNCTION("""COMPUTED_VALUE"""),46248.0)</f>
        <v>46248</v>
      </c>
      <c r="E733" s="2" t="str">
        <f>IFERROR(__xludf.DUMMYFUNCTION("""COMPUTED_VALUE"""),"VF")</f>
        <v>VF</v>
      </c>
      <c r="F733" s="2">
        <f>IFERROR(__xludf.DUMMYFUNCTION("""COMPUTED_VALUE"""),1.0)</f>
        <v>1</v>
      </c>
      <c r="G733" s="2" t="str">
        <f>IFERROR(__xludf.DUMMYFUNCTION("""COMPUTED_VALUE"""),"PR008")</f>
        <v>PR008</v>
      </c>
      <c r="H733" s="2" t="str">
        <f>IFERROR(__xludf.DUMMYFUNCTION("""COMPUTED_VALUE"""),"VD046")</f>
        <v>VD046</v>
      </c>
      <c r="I733" s="2">
        <f>IFERROR(__xludf.DUMMYFUNCTION("""COMPUTED_VALUE"""),3.0)</f>
        <v>3</v>
      </c>
      <c r="J733" s="2">
        <f>IFERROR(__xludf.DUMMYFUNCTION("""COMPUTED_VALUE"""),288.58)</f>
        <v>288.58</v>
      </c>
      <c r="K733" s="2">
        <f>IFERROR(__xludf.DUMMYFUNCTION("""COMPUTED_VALUE"""),288.58)</f>
        <v>288.58</v>
      </c>
    </row>
    <row r="734">
      <c r="A734" s="2">
        <f>IFERROR(__xludf.DUMMYFUNCTION("""COMPUTED_VALUE"""),1000.0)</f>
        <v>1000</v>
      </c>
      <c r="B734" s="2">
        <f>IFERROR(__xludf.DUMMYFUNCTION("""COMPUTED_VALUE"""),183983.0)</f>
        <v>183983</v>
      </c>
      <c r="C734" s="2">
        <f>IFERROR(__xludf.DUMMYFUNCTION("""COMPUTED_VALUE"""),2026.0)</f>
        <v>2026</v>
      </c>
      <c r="D734" s="2">
        <f>IFERROR(__xludf.DUMMYFUNCTION("""COMPUTED_VALUE"""),46248.0)</f>
        <v>46248</v>
      </c>
      <c r="E734" s="2" t="str">
        <f>IFERROR(__xludf.DUMMYFUNCTION("""COMPUTED_VALUE"""),"VF")</f>
        <v>VF</v>
      </c>
      <c r="F734" s="2">
        <f>IFERROR(__xludf.DUMMYFUNCTION("""COMPUTED_VALUE"""),1.0)</f>
        <v>1</v>
      </c>
      <c r="G734" s="2" t="str">
        <f>IFERROR(__xludf.DUMMYFUNCTION("""COMPUTED_VALUE"""),"PR053")</f>
        <v>PR053</v>
      </c>
      <c r="H734" s="2" t="str">
        <f>IFERROR(__xludf.DUMMYFUNCTION("""COMPUTED_VALUE"""),"VD029")</f>
        <v>VD029</v>
      </c>
      <c r="I734" s="2">
        <f>IFERROR(__xludf.DUMMYFUNCTION("""COMPUTED_VALUE"""),8.0)</f>
        <v>8</v>
      </c>
      <c r="J734" s="2">
        <f>IFERROR(__xludf.DUMMYFUNCTION("""COMPUTED_VALUE"""),415.17)</f>
        <v>415.17</v>
      </c>
      <c r="K734" s="2">
        <f>IFERROR(__xludf.DUMMYFUNCTION("""COMPUTED_VALUE"""),415.17)</f>
        <v>415.17</v>
      </c>
    </row>
    <row r="735">
      <c r="A735" s="2">
        <f>IFERROR(__xludf.DUMMYFUNCTION("""COMPUTED_VALUE"""),2000.0)</f>
        <v>2000</v>
      </c>
      <c r="B735" s="2">
        <f>IFERROR(__xludf.DUMMYFUNCTION("""COMPUTED_VALUE"""),183984.0)</f>
        <v>183984</v>
      </c>
      <c r="C735" s="2">
        <f>IFERROR(__xludf.DUMMYFUNCTION("""COMPUTED_VALUE"""),2026.0)</f>
        <v>2026</v>
      </c>
      <c r="D735" s="2">
        <f>IFERROR(__xludf.DUMMYFUNCTION("""COMPUTED_VALUE"""),46248.0)</f>
        <v>46248</v>
      </c>
      <c r="E735" s="2" t="str">
        <f>IFERROR(__xludf.DUMMYFUNCTION("""COMPUTED_VALUE"""),"VF")</f>
        <v>VF</v>
      </c>
      <c r="F735" s="2">
        <f>IFERROR(__xludf.DUMMYFUNCTION("""COMPUTED_VALUE"""),1.0)</f>
        <v>1</v>
      </c>
      <c r="G735" s="2" t="str">
        <f>IFERROR(__xludf.DUMMYFUNCTION("""COMPUTED_VALUE"""),"PR060")</f>
        <v>PR060</v>
      </c>
      <c r="H735" s="2" t="str">
        <f>IFERROR(__xludf.DUMMYFUNCTION("""COMPUTED_VALUE"""),"VD015")</f>
        <v>VD015</v>
      </c>
      <c r="I735" s="2">
        <f>IFERROR(__xludf.DUMMYFUNCTION("""COMPUTED_VALUE"""),20.0)</f>
        <v>20</v>
      </c>
      <c r="J735" s="2">
        <f>IFERROR(__xludf.DUMMYFUNCTION("""COMPUTED_VALUE"""),3744.0)</f>
        <v>3744</v>
      </c>
      <c r="K735" s="2">
        <f>IFERROR(__xludf.DUMMYFUNCTION("""COMPUTED_VALUE"""),3744.0)</f>
        <v>3744</v>
      </c>
    </row>
    <row r="736">
      <c r="A736" s="2">
        <f>IFERROR(__xludf.DUMMYFUNCTION("""COMPUTED_VALUE"""),1000.0)</f>
        <v>1000</v>
      </c>
      <c r="B736" s="2">
        <f>IFERROR(__xludf.DUMMYFUNCTION("""COMPUTED_VALUE"""),183985.0)</f>
        <v>183985</v>
      </c>
      <c r="C736" s="2">
        <f>IFERROR(__xludf.DUMMYFUNCTION("""COMPUTED_VALUE"""),2026.0)</f>
        <v>2026</v>
      </c>
      <c r="D736" s="2">
        <f>IFERROR(__xludf.DUMMYFUNCTION("""COMPUTED_VALUE"""),46247.0)</f>
        <v>46247</v>
      </c>
      <c r="E736" s="2" t="str">
        <f>IFERROR(__xludf.DUMMYFUNCTION("""COMPUTED_VALUE"""),"VF")</f>
        <v>VF</v>
      </c>
      <c r="F736" s="2">
        <f>IFERROR(__xludf.DUMMYFUNCTION("""COMPUTED_VALUE"""),1.0)</f>
        <v>1</v>
      </c>
      <c r="G736" s="2" t="str">
        <f>IFERROR(__xludf.DUMMYFUNCTION("""COMPUTED_VALUE"""),"PR037")</f>
        <v>PR037</v>
      </c>
      <c r="H736" s="2" t="str">
        <f>IFERROR(__xludf.DUMMYFUNCTION("""COMPUTED_VALUE"""),"VD040")</f>
        <v>VD040</v>
      </c>
      <c r="I736" s="2">
        <f>IFERROR(__xludf.DUMMYFUNCTION("""COMPUTED_VALUE"""),9.0)</f>
        <v>9</v>
      </c>
      <c r="J736" s="2">
        <f>IFERROR(__xludf.DUMMYFUNCTION("""COMPUTED_VALUE"""),1335.6)</f>
        <v>1335.6</v>
      </c>
      <c r="K736" s="2">
        <f>IFERROR(__xludf.DUMMYFUNCTION("""COMPUTED_VALUE"""),1335.6)</f>
        <v>1335.6</v>
      </c>
    </row>
    <row r="737">
      <c r="A737" s="2">
        <f>IFERROR(__xludf.DUMMYFUNCTION("""COMPUTED_VALUE"""),1000.0)</f>
        <v>1000</v>
      </c>
      <c r="B737" s="2">
        <f>IFERROR(__xludf.DUMMYFUNCTION("""COMPUTED_VALUE"""),183986.0)</f>
        <v>183986</v>
      </c>
      <c r="C737" s="2">
        <f>IFERROR(__xludf.DUMMYFUNCTION("""COMPUTED_VALUE"""),2026.0)</f>
        <v>2026</v>
      </c>
      <c r="D737" s="2">
        <f>IFERROR(__xludf.DUMMYFUNCTION("""COMPUTED_VALUE"""),46247.0)</f>
        <v>46247</v>
      </c>
      <c r="E737" s="2" t="str">
        <f>IFERROR(__xludf.DUMMYFUNCTION("""COMPUTED_VALUE"""),"VF")</f>
        <v>VF</v>
      </c>
      <c r="F737" s="2">
        <f>IFERROR(__xludf.DUMMYFUNCTION("""COMPUTED_VALUE"""),1.0)</f>
        <v>1</v>
      </c>
      <c r="G737" s="2" t="str">
        <f>IFERROR(__xludf.DUMMYFUNCTION("""COMPUTED_VALUE"""),"PR050")</f>
        <v>PR050</v>
      </c>
      <c r="H737" s="2" t="str">
        <f>IFERROR(__xludf.DUMMYFUNCTION("""COMPUTED_VALUE"""),"VD028")</f>
        <v>VD028</v>
      </c>
      <c r="I737" s="2">
        <f>IFERROR(__xludf.DUMMYFUNCTION("""COMPUTED_VALUE"""),2.0)</f>
        <v>2</v>
      </c>
      <c r="J737" s="2">
        <f>IFERROR(__xludf.DUMMYFUNCTION("""COMPUTED_VALUE"""),66.46)</f>
        <v>66.46</v>
      </c>
      <c r="K737" s="2">
        <f>IFERROR(__xludf.DUMMYFUNCTION("""COMPUTED_VALUE"""),66.46)</f>
        <v>66.46</v>
      </c>
    </row>
    <row r="738">
      <c r="A738" s="2">
        <f>IFERROR(__xludf.DUMMYFUNCTION("""COMPUTED_VALUE"""),2000.0)</f>
        <v>2000</v>
      </c>
      <c r="B738" s="2">
        <f>IFERROR(__xludf.DUMMYFUNCTION("""COMPUTED_VALUE"""),183987.0)</f>
        <v>183987</v>
      </c>
      <c r="C738" s="2">
        <f>IFERROR(__xludf.DUMMYFUNCTION("""COMPUTED_VALUE"""),2026.0)</f>
        <v>2026</v>
      </c>
      <c r="D738" s="2">
        <f>IFERROR(__xludf.DUMMYFUNCTION("""COMPUTED_VALUE"""),46246.0)</f>
        <v>46246</v>
      </c>
      <c r="E738" s="2" t="str">
        <f>IFERROR(__xludf.DUMMYFUNCTION("""COMPUTED_VALUE"""),"VF")</f>
        <v>VF</v>
      </c>
      <c r="F738" s="2">
        <f>IFERROR(__xludf.DUMMYFUNCTION("""COMPUTED_VALUE"""),1.0)</f>
        <v>1</v>
      </c>
      <c r="G738" s="2" t="str">
        <f>IFERROR(__xludf.DUMMYFUNCTION("""COMPUTED_VALUE"""),"PR013")</f>
        <v>PR013</v>
      </c>
      <c r="H738" s="2" t="str">
        <f>IFERROR(__xludf.DUMMYFUNCTION("""COMPUTED_VALUE"""),"VD017")</f>
        <v>VD017</v>
      </c>
      <c r="I738" s="2">
        <f>IFERROR(__xludf.DUMMYFUNCTION("""COMPUTED_VALUE"""),8.0)</f>
        <v>8</v>
      </c>
      <c r="J738" s="2">
        <f>IFERROR(__xludf.DUMMYFUNCTION("""COMPUTED_VALUE"""),351.12)</f>
        <v>351.12</v>
      </c>
      <c r="K738" s="2">
        <f>IFERROR(__xludf.DUMMYFUNCTION("""COMPUTED_VALUE"""),351.12)</f>
        <v>351.12</v>
      </c>
    </row>
    <row r="739">
      <c r="A739" s="2">
        <f>IFERROR(__xludf.DUMMYFUNCTION("""COMPUTED_VALUE"""),1000.0)</f>
        <v>1000</v>
      </c>
      <c r="B739" s="2">
        <f>IFERROR(__xludf.DUMMYFUNCTION("""COMPUTED_VALUE"""),183987.0)</f>
        <v>183987</v>
      </c>
      <c r="C739" s="2">
        <f>IFERROR(__xludf.DUMMYFUNCTION("""COMPUTED_VALUE"""),2026.0)</f>
        <v>2026</v>
      </c>
      <c r="D739" s="2">
        <f>IFERROR(__xludf.DUMMYFUNCTION("""COMPUTED_VALUE"""),46246.0)</f>
        <v>46246</v>
      </c>
      <c r="E739" s="2" t="str">
        <f>IFERROR(__xludf.DUMMYFUNCTION("""COMPUTED_VALUE"""),"VF")</f>
        <v>VF</v>
      </c>
      <c r="F739" s="2">
        <f>IFERROR(__xludf.DUMMYFUNCTION("""COMPUTED_VALUE"""),2.0)</f>
        <v>2</v>
      </c>
      <c r="G739" s="2" t="str">
        <f>IFERROR(__xludf.DUMMYFUNCTION("""COMPUTED_VALUE"""),"PR024")</f>
        <v>PR024</v>
      </c>
      <c r="H739" s="2" t="str">
        <f>IFERROR(__xludf.DUMMYFUNCTION("""COMPUTED_VALUE"""),"VD043")</f>
        <v>VD043</v>
      </c>
      <c r="I739" s="2">
        <f>IFERROR(__xludf.DUMMYFUNCTION("""COMPUTED_VALUE"""),10.0)</f>
        <v>10</v>
      </c>
      <c r="J739" s="2">
        <f>IFERROR(__xludf.DUMMYFUNCTION("""COMPUTED_VALUE"""),2650.98)</f>
        <v>2650.98</v>
      </c>
      <c r="K739" s="2">
        <f>IFERROR(__xludf.DUMMYFUNCTION("""COMPUTED_VALUE"""),2650.98)</f>
        <v>2650.98</v>
      </c>
    </row>
    <row r="740">
      <c r="A740" s="2">
        <f>IFERROR(__xludf.DUMMYFUNCTION("""COMPUTED_VALUE"""),1000.0)</f>
        <v>1000</v>
      </c>
      <c r="B740" s="2">
        <f>IFERROR(__xludf.DUMMYFUNCTION("""COMPUTED_VALUE"""),183988.0)</f>
        <v>183988</v>
      </c>
      <c r="C740" s="2">
        <f>IFERROR(__xludf.DUMMYFUNCTION("""COMPUTED_VALUE"""),2026.0)</f>
        <v>2026</v>
      </c>
      <c r="D740" s="2">
        <f>IFERROR(__xludf.DUMMYFUNCTION("""COMPUTED_VALUE"""),46246.0)</f>
        <v>46246</v>
      </c>
      <c r="E740" s="2" t="str">
        <f>IFERROR(__xludf.DUMMYFUNCTION("""COMPUTED_VALUE"""),"VF")</f>
        <v>VF</v>
      </c>
      <c r="F740" s="2">
        <f>IFERROR(__xludf.DUMMYFUNCTION("""COMPUTED_VALUE"""),1.0)</f>
        <v>1</v>
      </c>
      <c r="G740" s="2" t="str">
        <f>IFERROR(__xludf.DUMMYFUNCTION("""COMPUTED_VALUE"""),"PR001")</f>
        <v>PR001</v>
      </c>
      <c r="H740" s="2" t="str">
        <f>IFERROR(__xludf.DUMMYFUNCTION("""COMPUTED_VALUE"""),"VD038")</f>
        <v>VD038</v>
      </c>
      <c r="I740" s="2">
        <f>IFERROR(__xludf.DUMMYFUNCTION("""COMPUTED_VALUE"""),14.0)</f>
        <v>14</v>
      </c>
      <c r="J740" s="2">
        <f>IFERROR(__xludf.DUMMYFUNCTION("""COMPUTED_VALUE"""),987.18)</f>
        <v>987.18</v>
      </c>
      <c r="K740" s="2">
        <f>IFERROR(__xludf.DUMMYFUNCTION("""COMPUTED_VALUE"""),987.18)</f>
        <v>987.18</v>
      </c>
    </row>
    <row r="741">
      <c r="A741" s="2">
        <f>IFERROR(__xludf.DUMMYFUNCTION("""COMPUTED_VALUE"""),1000.0)</f>
        <v>1000</v>
      </c>
      <c r="B741" s="2">
        <f>IFERROR(__xludf.DUMMYFUNCTION("""COMPUTED_VALUE"""),183989.0)</f>
        <v>183989</v>
      </c>
      <c r="C741" s="2">
        <f>IFERROR(__xludf.DUMMYFUNCTION("""COMPUTED_VALUE"""),2026.0)</f>
        <v>2026</v>
      </c>
      <c r="D741" s="2">
        <f>IFERROR(__xludf.DUMMYFUNCTION("""COMPUTED_VALUE"""),46246.0)</f>
        <v>46246</v>
      </c>
      <c r="E741" s="2" t="str">
        <f>IFERROR(__xludf.DUMMYFUNCTION("""COMPUTED_VALUE"""),"VF")</f>
        <v>VF</v>
      </c>
      <c r="F741" s="2">
        <f>IFERROR(__xludf.DUMMYFUNCTION("""COMPUTED_VALUE"""),1.0)</f>
        <v>1</v>
      </c>
      <c r="G741" s="2" t="str">
        <f>IFERROR(__xludf.DUMMYFUNCTION("""COMPUTED_VALUE"""),"PR004")</f>
        <v>PR004</v>
      </c>
      <c r="H741" s="2" t="str">
        <f>IFERROR(__xludf.DUMMYFUNCTION("""COMPUTED_VALUE"""),"VD019")</f>
        <v>VD019</v>
      </c>
      <c r="I741" s="2">
        <f>IFERROR(__xludf.DUMMYFUNCTION("""COMPUTED_VALUE"""),1.0)</f>
        <v>1</v>
      </c>
      <c r="J741" s="2">
        <f>IFERROR(__xludf.DUMMYFUNCTION("""COMPUTED_VALUE"""),150.8)</f>
        <v>150.8</v>
      </c>
      <c r="K741" s="2">
        <f>IFERROR(__xludf.DUMMYFUNCTION("""COMPUTED_VALUE"""),150.8)</f>
        <v>150.8</v>
      </c>
    </row>
    <row r="742">
      <c r="A742" s="2">
        <f>IFERROR(__xludf.DUMMYFUNCTION("""COMPUTED_VALUE"""),1000.0)</f>
        <v>1000</v>
      </c>
      <c r="B742" s="2">
        <f>IFERROR(__xludf.DUMMYFUNCTION("""COMPUTED_VALUE"""),183990.0)</f>
        <v>183990</v>
      </c>
      <c r="C742" s="2">
        <f>IFERROR(__xludf.DUMMYFUNCTION("""COMPUTED_VALUE"""),2026.0)</f>
        <v>2026</v>
      </c>
      <c r="D742" s="2">
        <f>IFERROR(__xludf.DUMMYFUNCTION("""COMPUTED_VALUE"""),46245.0)</f>
        <v>46245</v>
      </c>
      <c r="E742" s="2" t="str">
        <f>IFERROR(__xludf.DUMMYFUNCTION("""COMPUTED_VALUE"""),"VF")</f>
        <v>VF</v>
      </c>
      <c r="F742" s="2">
        <f>IFERROR(__xludf.DUMMYFUNCTION("""COMPUTED_VALUE"""),1.0)</f>
        <v>1</v>
      </c>
      <c r="G742" s="2" t="str">
        <f>IFERROR(__xludf.DUMMYFUNCTION("""COMPUTED_VALUE"""),"PR041")</f>
        <v>PR041</v>
      </c>
      <c r="H742" s="2" t="str">
        <f>IFERROR(__xludf.DUMMYFUNCTION("""COMPUTED_VALUE"""),"VD017")</f>
        <v>VD017</v>
      </c>
      <c r="I742" s="2">
        <f>IFERROR(__xludf.DUMMYFUNCTION("""COMPUTED_VALUE"""),4.0)</f>
        <v>4</v>
      </c>
      <c r="J742" s="2">
        <f>IFERROR(__xludf.DUMMYFUNCTION("""COMPUTED_VALUE"""),228.38)</f>
        <v>228.38</v>
      </c>
      <c r="K742" s="2">
        <f>IFERROR(__xludf.DUMMYFUNCTION("""COMPUTED_VALUE"""),228.38)</f>
        <v>228.38</v>
      </c>
    </row>
    <row r="743">
      <c r="A743" s="2">
        <f>IFERROR(__xludf.DUMMYFUNCTION("""COMPUTED_VALUE"""),1000.0)</f>
        <v>1000</v>
      </c>
      <c r="B743" s="2">
        <f>IFERROR(__xludf.DUMMYFUNCTION("""COMPUTED_VALUE"""),183991.0)</f>
        <v>183991</v>
      </c>
      <c r="C743" s="2">
        <f>IFERROR(__xludf.DUMMYFUNCTION("""COMPUTED_VALUE"""),2026.0)</f>
        <v>2026</v>
      </c>
      <c r="D743" s="2">
        <f>IFERROR(__xludf.DUMMYFUNCTION("""COMPUTED_VALUE"""),46245.0)</f>
        <v>46245</v>
      </c>
      <c r="E743" s="2" t="str">
        <f>IFERROR(__xludf.DUMMYFUNCTION("""COMPUTED_VALUE"""),"VF")</f>
        <v>VF</v>
      </c>
      <c r="F743" s="2">
        <f>IFERROR(__xludf.DUMMYFUNCTION("""COMPUTED_VALUE"""),1.0)</f>
        <v>1</v>
      </c>
      <c r="G743" s="2" t="str">
        <f>IFERROR(__xludf.DUMMYFUNCTION("""COMPUTED_VALUE"""),"PR055")</f>
        <v>PR055</v>
      </c>
      <c r="H743" s="2" t="str">
        <f>IFERROR(__xludf.DUMMYFUNCTION("""COMPUTED_VALUE"""),"VD040")</f>
        <v>VD040</v>
      </c>
      <c r="I743" s="2">
        <f>IFERROR(__xludf.DUMMYFUNCTION("""COMPUTED_VALUE"""),16.0)</f>
        <v>16</v>
      </c>
      <c r="J743" s="2">
        <f>IFERROR(__xludf.DUMMYFUNCTION("""COMPUTED_VALUE"""),1495.94)</f>
        <v>1495.94</v>
      </c>
      <c r="K743" s="2">
        <f>IFERROR(__xludf.DUMMYFUNCTION("""COMPUTED_VALUE"""),1495.94)</f>
        <v>1495.94</v>
      </c>
    </row>
    <row r="744">
      <c r="A744" s="2">
        <f>IFERROR(__xludf.DUMMYFUNCTION("""COMPUTED_VALUE"""),1000.0)</f>
        <v>1000</v>
      </c>
      <c r="B744" s="2">
        <f>IFERROR(__xludf.DUMMYFUNCTION("""COMPUTED_VALUE"""),183992.0)</f>
        <v>183992</v>
      </c>
      <c r="C744" s="2">
        <f>IFERROR(__xludf.DUMMYFUNCTION("""COMPUTED_VALUE"""),2026.0)</f>
        <v>2026</v>
      </c>
      <c r="D744" s="2">
        <f>IFERROR(__xludf.DUMMYFUNCTION("""COMPUTED_VALUE"""),46245.0)</f>
        <v>46245</v>
      </c>
      <c r="E744" s="2" t="str">
        <f>IFERROR(__xludf.DUMMYFUNCTION("""COMPUTED_VALUE"""),"VF")</f>
        <v>VF</v>
      </c>
      <c r="F744" s="2">
        <f>IFERROR(__xludf.DUMMYFUNCTION("""COMPUTED_VALUE"""),1.0)</f>
        <v>1</v>
      </c>
      <c r="G744" s="2" t="str">
        <f>IFERROR(__xludf.DUMMYFUNCTION("""COMPUTED_VALUE"""),"PR048")</f>
        <v>PR048</v>
      </c>
      <c r="H744" s="2" t="str">
        <f>IFERROR(__xludf.DUMMYFUNCTION("""COMPUTED_VALUE"""),"VD045")</f>
        <v>VD045</v>
      </c>
      <c r="I744" s="2">
        <f>IFERROR(__xludf.DUMMYFUNCTION("""COMPUTED_VALUE"""),4.0)</f>
        <v>4</v>
      </c>
      <c r="J744" s="2">
        <f>IFERROR(__xludf.DUMMYFUNCTION("""COMPUTED_VALUE"""),1205.98)</f>
        <v>1205.98</v>
      </c>
      <c r="K744" s="2">
        <f>IFERROR(__xludf.DUMMYFUNCTION("""COMPUTED_VALUE"""),1205.98)</f>
        <v>1205.98</v>
      </c>
    </row>
    <row r="745">
      <c r="A745" s="2">
        <f>IFERROR(__xludf.DUMMYFUNCTION("""COMPUTED_VALUE"""),2000.0)</f>
        <v>2000</v>
      </c>
      <c r="B745" s="2">
        <f>IFERROR(__xludf.DUMMYFUNCTION("""COMPUTED_VALUE"""),183992.0)</f>
        <v>183992</v>
      </c>
      <c r="C745" s="2">
        <f>IFERROR(__xludf.DUMMYFUNCTION("""COMPUTED_VALUE"""),2026.0)</f>
        <v>2026</v>
      </c>
      <c r="D745" s="2">
        <f>IFERROR(__xludf.DUMMYFUNCTION("""COMPUTED_VALUE"""),46244.0)</f>
        <v>46244</v>
      </c>
      <c r="E745" s="2" t="str">
        <f>IFERROR(__xludf.DUMMYFUNCTION("""COMPUTED_VALUE"""),"VF")</f>
        <v>VF</v>
      </c>
      <c r="F745" s="2">
        <f>IFERROR(__xludf.DUMMYFUNCTION("""COMPUTED_VALUE"""),2.0)</f>
        <v>2</v>
      </c>
      <c r="G745" s="2" t="str">
        <f>IFERROR(__xludf.DUMMYFUNCTION("""COMPUTED_VALUE"""),"PR024")</f>
        <v>PR024</v>
      </c>
      <c r="H745" s="2" t="str">
        <f>IFERROR(__xludf.DUMMYFUNCTION("""COMPUTED_VALUE"""),"VD019")</f>
        <v>VD019</v>
      </c>
      <c r="I745" s="2">
        <f>IFERROR(__xludf.DUMMYFUNCTION("""COMPUTED_VALUE"""),4.0)</f>
        <v>4</v>
      </c>
      <c r="J745" s="2">
        <f>IFERROR(__xludf.DUMMYFUNCTION("""COMPUTED_VALUE"""),1112.37)</f>
        <v>1112.37</v>
      </c>
      <c r="K745" s="2">
        <f>IFERROR(__xludf.DUMMYFUNCTION("""COMPUTED_VALUE"""),1112.37)</f>
        <v>1112.37</v>
      </c>
    </row>
    <row r="746">
      <c r="A746" s="2">
        <f>IFERROR(__xludf.DUMMYFUNCTION("""COMPUTED_VALUE"""),1000.0)</f>
        <v>1000</v>
      </c>
      <c r="B746" s="2">
        <f>IFERROR(__xludf.DUMMYFUNCTION("""COMPUTED_VALUE"""),183992.0)</f>
        <v>183992</v>
      </c>
      <c r="C746" s="2">
        <f>IFERROR(__xludf.DUMMYFUNCTION("""COMPUTED_VALUE"""),2026.0)</f>
        <v>2026</v>
      </c>
      <c r="D746" s="2">
        <f>IFERROR(__xludf.DUMMYFUNCTION("""COMPUTED_VALUE"""),46244.0)</f>
        <v>46244</v>
      </c>
      <c r="E746" s="2" t="str">
        <f>IFERROR(__xludf.DUMMYFUNCTION("""COMPUTED_VALUE"""),"VF")</f>
        <v>VF</v>
      </c>
      <c r="F746" s="2">
        <f>IFERROR(__xludf.DUMMYFUNCTION("""COMPUTED_VALUE"""),3.0)</f>
        <v>3</v>
      </c>
      <c r="G746" s="2" t="str">
        <f>IFERROR(__xludf.DUMMYFUNCTION("""COMPUTED_VALUE"""),"PR006")</f>
        <v>PR006</v>
      </c>
      <c r="H746" s="2" t="str">
        <f>IFERROR(__xludf.DUMMYFUNCTION("""COMPUTED_VALUE"""),"VD023")</f>
        <v>VD023</v>
      </c>
      <c r="I746" s="2">
        <f>IFERROR(__xludf.DUMMYFUNCTION("""COMPUTED_VALUE"""),14.0)</f>
        <v>14</v>
      </c>
      <c r="J746" s="2">
        <f>IFERROR(__xludf.DUMMYFUNCTION("""COMPUTED_VALUE"""),586.53)</f>
        <v>586.53</v>
      </c>
      <c r="K746" s="2">
        <f>IFERROR(__xludf.DUMMYFUNCTION("""COMPUTED_VALUE"""),586.53)</f>
        <v>586.53</v>
      </c>
    </row>
    <row r="747">
      <c r="A747" s="2">
        <f>IFERROR(__xludf.DUMMYFUNCTION("""COMPUTED_VALUE"""),1000.0)</f>
        <v>1000</v>
      </c>
      <c r="B747" s="2">
        <f>IFERROR(__xludf.DUMMYFUNCTION("""COMPUTED_VALUE"""),183993.0)</f>
        <v>183993</v>
      </c>
      <c r="C747" s="2">
        <f>IFERROR(__xludf.DUMMYFUNCTION("""COMPUTED_VALUE"""),2026.0)</f>
        <v>2026</v>
      </c>
      <c r="D747" s="2">
        <f>IFERROR(__xludf.DUMMYFUNCTION("""COMPUTED_VALUE"""),46244.0)</f>
        <v>46244</v>
      </c>
      <c r="E747" s="2" t="str">
        <f>IFERROR(__xludf.DUMMYFUNCTION("""COMPUTED_VALUE"""),"VF")</f>
        <v>VF</v>
      </c>
      <c r="F747" s="2">
        <f>IFERROR(__xludf.DUMMYFUNCTION("""COMPUTED_VALUE"""),1.0)</f>
        <v>1</v>
      </c>
      <c r="G747" s="2" t="str">
        <f>IFERROR(__xludf.DUMMYFUNCTION("""COMPUTED_VALUE"""),"PR022")</f>
        <v>PR022</v>
      </c>
      <c r="H747" s="2" t="str">
        <f>IFERROR(__xludf.DUMMYFUNCTION("""COMPUTED_VALUE"""),"VD029")</f>
        <v>VD029</v>
      </c>
      <c r="I747" s="2">
        <f>IFERROR(__xludf.DUMMYFUNCTION("""COMPUTED_VALUE"""),7.0)</f>
        <v>7</v>
      </c>
      <c r="J747" s="2">
        <f>IFERROR(__xludf.DUMMYFUNCTION("""COMPUTED_VALUE"""),2100.0)</f>
        <v>2100</v>
      </c>
      <c r="K747" s="2">
        <f>IFERROR(__xludf.DUMMYFUNCTION("""COMPUTED_VALUE"""),2100.0)</f>
        <v>2100</v>
      </c>
    </row>
    <row r="748">
      <c r="A748" s="2">
        <f>IFERROR(__xludf.DUMMYFUNCTION("""COMPUTED_VALUE"""),1000.0)</f>
        <v>1000</v>
      </c>
      <c r="B748" s="2">
        <f>IFERROR(__xludf.DUMMYFUNCTION("""COMPUTED_VALUE"""),183994.0)</f>
        <v>183994</v>
      </c>
      <c r="C748" s="2">
        <f>IFERROR(__xludf.DUMMYFUNCTION("""COMPUTED_VALUE"""),2026.0)</f>
        <v>2026</v>
      </c>
      <c r="D748" s="2">
        <f>IFERROR(__xludf.DUMMYFUNCTION("""COMPUTED_VALUE"""),46244.0)</f>
        <v>46244</v>
      </c>
      <c r="E748" s="2" t="str">
        <f>IFERROR(__xludf.DUMMYFUNCTION("""COMPUTED_VALUE"""),"VF")</f>
        <v>VF</v>
      </c>
      <c r="F748" s="2">
        <f>IFERROR(__xludf.DUMMYFUNCTION("""COMPUTED_VALUE"""),1.0)</f>
        <v>1</v>
      </c>
      <c r="G748" s="2" t="str">
        <f>IFERROR(__xludf.DUMMYFUNCTION("""COMPUTED_VALUE"""),"PR027")</f>
        <v>PR027</v>
      </c>
      <c r="H748" s="2" t="str">
        <f>IFERROR(__xludf.DUMMYFUNCTION("""COMPUTED_VALUE"""),"VD016")</f>
        <v>VD016</v>
      </c>
      <c r="I748" s="2">
        <f>IFERROR(__xludf.DUMMYFUNCTION("""COMPUTED_VALUE"""),2.0)</f>
        <v>2</v>
      </c>
      <c r="J748" s="2">
        <f>IFERROR(__xludf.DUMMYFUNCTION("""COMPUTED_VALUE"""),242.4)</f>
        <v>242.4</v>
      </c>
      <c r="K748" s="2">
        <f>IFERROR(__xludf.DUMMYFUNCTION("""COMPUTED_VALUE"""),242.4)</f>
        <v>242.4</v>
      </c>
    </row>
    <row r="749">
      <c r="A749" s="2">
        <f>IFERROR(__xludf.DUMMYFUNCTION("""COMPUTED_VALUE"""),1000.0)</f>
        <v>1000</v>
      </c>
      <c r="B749" s="2">
        <f>IFERROR(__xludf.DUMMYFUNCTION("""COMPUTED_VALUE"""),183995.0)</f>
        <v>183995</v>
      </c>
      <c r="C749" s="2">
        <f>IFERROR(__xludf.DUMMYFUNCTION("""COMPUTED_VALUE"""),2026.0)</f>
        <v>2026</v>
      </c>
      <c r="D749" s="2">
        <f>IFERROR(__xludf.DUMMYFUNCTION("""COMPUTED_VALUE"""),46244.0)</f>
        <v>46244</v>
      </c>
      <c r="E749" s="2" t="str">
        <f>IFERROR(__xludf.DUMMYFUNCTION("""COMPUTED_VALUE"""),"VF")</f>
        <v>VF</v>
      </c>
      <c r="F749" s="2">
        <f>IFERROR(__xludf.DUMMYFUNCTION("""COMPUTED_VALUE"""),1.0)</f>
        <v>1</v>
      </c>
      <c r="G749" s="2" t="str">
        <f>IFERROR(__xludf.DUMMYFUNCTION("""COMPUTED_VALUE"""),"PR017")</f>
        <v>PR017</v>
      </c>
      <c r="H749" s="2" t="str">
        <f>IFERROR(__xludf.DUMMYFUNCTION("""COMPUTED_VALUE"""),"VD029")</f>
        <v>VD029</v>
      </c>
      <c r="I749" s="2">
        <f>IFERROR(__xludf.DUMMYFUNCTION("""COMPUTED_VALUE"""),12.0)</f>
        <v>12</v>
      </c>
      <c r="J749" s="2">
        <f>IFERROR(__xludf.DUMMYFUNCTION("""COMPUTED_VALUE"""),380.33)</f>
        <v>380.33</v>
      </c>
      <c r="K749" s="2">
        <f>IFERROR(__xludf.DUMMYFUNCTION("""COMPUTED_VALUE"""),380.33)</f>
        <v>380.33</v>
      </c>
    </row>
    <row r="750">
      <c r="A750" s="2">
        <f>IFERROR(__xludf.DUMMYFUNCTION("""COMPUTED_VALUE"""),1000.0)</f>
        <v>1000</v>
      </c>
      <c r="B750" s="2">
        <f>IFERROR(__xludf.DUMMYFUNCTION("""COMPUTED_VALUE"""),183996.0)</f>
        <v>183996</v>
      </c>
      <c r="C750" s="2">
        <f>IFERROR(__xludf.DUMMYFUNCTION("""COMPUTED_VALUE"""),2026.0)</f>
        <v>2026</v>
      </c>
      <c r="D750" s="2">
        <f>IFERROR(__xludf.DUMMYFUNCTION("""COMPUTED_VALUE"""),46243.0)</f>
        <v>46243</v>
      </c>
      <c r="E750" s="2" t="str">
        <f>IFERROR(__xludf.DUMMYFUNCTION("""COMPUTED_VALUE"""),"VF")</f>
        <v>VF</v>
      </c>
      <c r="F750" s="2">
        <f>IFERROR(__xludf.DUMMYFUNCTION("""COMPUTED_VALUE"""),1.0)</f>
        <v>1</v>
      </c>
      <c r="G750" s="2" t="str">
        <f>IFERROR(__xludf.DUMMYFUNCTION("""COMPUTED_VALUE"""),"PR018")</f>
        <v>PR018</v>
      </c>
      <c r="H750" s="2" t="str">
        <f>IFERROR(__xludf.DUMMYFUNCTION("""COMPUTED_VALUE"""),"VD049")</f>
        <v>VD049</v>
      </c>
      <c r="I750" s="2">
        <f>IFERROR(__xludf.DUMMYFUNCTION("""COMPUTED_VALUE"""),12.0)</f>
        <v>12</v>
      </c>
      <c r="J750" s="2">
        <f>IFERROR(__xludf.DUMMYFUNCTION("""COMPUTED_VALUE"""),410.59)</f>
        <v>410.59</v>
      </c>
      <c r="K750" s="2">
        <f>IFERROR(__xludf.DUMMYFUNCTION("""COMPUTED_VALUE"""),410.59)</f>
        <v>410.59</v>
      </c>
    </row>
    <row r="751">
      <c r="A751" s="2">
        <f>IFERROR(__xludf.DUMMYFUNCTION("""COMPUTED_VALUE"""),1000.0)</f>
        <v>1000</v>
      </c>
      <c r="B751" s="2">
        <f>IFERROR(__xludf.DUMMYFUNCTION("""COMPUTED_VALUE"""),183996.0)</f>
        <v>183996</v>
      </c>
      <c r="C751" s="2">
        <f>IFERROR(__xludf.DUMMYFUNCTION("""COMPUTED_VALUE"""),2026.0)</f>
        <v>2026</v>
      </c>
      <c r="D751" s="2">
        <f>IFERROR(__xludf.DUMMYFUNCTION("""COMPUTED_VALUE"""),46243.0)</f>
        <v>46243</v>
      </c>
      <c r="E751" s="2" t="str">
        <f>IFERROR(__xludf.DUMMYFUNCTION("""COMPUTED_VALUE"""),"VF")</f>
        <v>VF</v>
      </c>
      <c r="F751" s="2">
        <f>IFERROR(__xludf.DUMMYFUNCTION("""COMPUTED_VALUE"""),2.0)</f>
        <v>2</v>
      </c>
      <c r="G751" s="2" t="str">
        <f>IFERROR(__xludf.DUMMYFUNCTION("""COMPUTED_VALUE"""),"PR003")</f>
        <v>PR003</v>
      </c>
      <c r="H751" s="2" t="str">
        <f>IFERROR(__xludf.DUMMYFUNCTION("""COMPUTED_VALUE"""),"VD024")</f>
        <v>VD024</v>
      </c>
      <c r="I751" s="2">
        <f>IFERROR(__xludf.DUMMYFUNCTION("""COMPUTED_VALUE"""),9.0)</f>
        <v>9</v>
      </c>
      <c r="J751" s="2">
        <f>IFERROR(__xludf.DUMMYFUNCTION("""COMPUTED_VALUE"""),638.1)</f>
        <v>638.1</v>
      </c>
      <c r="K751" s="2">
        <f>IFERROR(__xludf.DUMMYFUNCTION("""COMPUTED_VALUE"""),638.1)</f>
        <v>638.1</v>
      </c>
    </row>
    <row r="752">
      <c r="A752" s="2">
        <f>IFERROR(__xludf.DUMMYFUNCTION("""COMPUTED_VALUE"""),1000.0)</f>
        <v>1000</v>
      </c>
      <c r="B752" s="2">
        <f>IFERROR(__xludf.DUMMYFUNCTION("""COMPUTED_VALUE"""),183997.0)</f>
        <v>183997</v>
      </c>
      <c r="C752" s="2">
        <f>IFERROR(__xludf.DUMMYFUNCTION("""COMPUTED_VALUE"""),2026.0)</f>
        <v>2026</v>
      </c>
      <c r="D752" s="2">
        <f>IFERROR(__xludf.DUMMYFUNCTION("""COMPUTED_VALUE"""),46242.0)</f>
        <v>46242</v>
      </c>
      <c r="E752" s="2" t="str">
        <f>IFERROR(__xludf.DUMMYFUNCTION("""COMPUTED_VALUE"""),"VF")</f>
        <v>VF</v>
      </c>
      <c r="F752" s="2">
        <f>IFERROR(__xludf.DUMMYFUNCTION("""COMPUTED_VALUE"""),1.0)</f>
        <v>1</v>
      </c>
      <c r="G752" s="2" t="str">
        <f>IFERROR(__xludf.DUMMYFUNCTION("""COMPUTED_VALUE"""),"PR021")</f>
        <v>PR021</v>
      </c>
      <c r="H752" s="2" t="str">
        <f>IFERROR(__xludf.DUMMYFUNCTION("""COMPUTED_VALUE"""),"VD046")</f>
        <v>VD046</v>
      </c>
      <c r="I752" s="2">
        <f>IFERROR(__xludf.DUMMYFUNCTION("""COMPUTED_VALUE"""),20.0)</f>
        <v>20</v>
      </c>
      <c r="J752" s="2">
        <f>IFERROR(__xludf.DUMMYFUNCTION("""COMPUTED_VALUE"""),6239.74)</f>
        <v>6239.74</v>
      </c>
      <c r="K752" s="2">
        <f>IFERROR(__xludf.DUMMYFUNCTION("""COMPUTED_VALUE"""),6239.74)</f>
        <v>6239.74</v>
      </c>
    </row>
    <row r="753">
      <c r="A753" s="2">
        <f>IFERROR(__xludf.DUMMYFUNCTION("""COMPUTED_VALUE"""),1000.0)</f>
        <v>1000</v>
      </c>
      <c r="B753" s="2">
        <f>IFERROR(__xludf.DUMMYFUNCTION("""COMPUTED_VALUE"""),183998.0)</f>
        <v>183998</v>
      </c>
      <c r="C753" s="2">
        <f>IFERROR(__xludf.DUMMYFUNCTION("""COMPUTED_VALUE"""),2026.0)</f>
        <v>2026</v>
      </c>
      <c r="D753" s="2">
        <f>IFERROR(__xludf.DUMMYFUNCTION("""COMPUTED_VALUE"""),46242.0)</f>
        <v>46242</v>
      </c>
      <c r="E753" s="2" t="str">
        <f>IFERROR(__xludf.DUMMYFUNCTION("""COMPUTED_VALUE"""),"VF")</f>
        <v>VF</v>
      </c>
      <c r="F753" s="2">
        <f>IFERROR(__xludf.DUMMYFUNCTION("""COMPUTED_VALUE"""),1.0)</f>
        <v>1</v>
      </c>
      <c r="G753" s="2" t="str">
        <f>IFERROR(__xludf.DUMMYFUNCTION("""COMPUTED_VALUE"""),"PR018")</f>
        <v>PR018</v>
      </c>
      <c r="H753" s="2" t="str">
        <f>IFERROR(__xludf.DUMMYFUNCTION("""COMPUTED_VALUE"""),"VD049")</f>
        <v>VD049</v>
      </c>
      <c r="I753" s="2">
        <f>IFERROR(__xludf.DUMMYFUNCTION("""COMPUTED_VALUE"""),8.0)</f>
        <v>8</v>
      </c>
      <c r="J753" s="2">
        <f>IFERROR(__xludf.DUMMYFUNCTION("""COMPUTED_VALUE"""),278.99)</f>
        <v>278.99</v>
      </c>
      <c r="K753" s="2">
        <f>IFERROR(__xludf.DUMMYFUNCTION("""COMPUTED_VALUE"""),278.99)</f>
        <v>278.99</v>
      </c>
    </row>
    <row r="754">
      <c r="A754" s="2">
        <f>IFERROR(__xludf.DUMMYFUNCTION("""COMPUTED_VALUE"""),1000.0)</f>
        <v>1000</v>
      </c>
      <c r="B754" s="2">
        <f>IFERROR(__xludf.DUMMYFUNCTION("""COMPUTED_VALUE"""),183999.0)</f>
        <v>183999</v>
      </c>
      <c r="C754" s="2">
        <f>IFERROR(__xludf.DUMMYFUNCTION("""COMPUTED_VALUE"""),2026.0)</f>
        <v>2026</v>
      </c>
      <c r="D754" s="2">
        <f>IFERROR(__xludf.DUMMYFUNCTION("""COMPUTED_VALUE"""),46242.0)</f>
        <v>46242</v>
      </c>
      <c r="E754" s="2" t="str">
        <f>IFERROR(__xludf.DUMMYFUNCTION("""COMPUTED_VALUE"""),"VF")</f>
        <v>VF</v>
      </c>
      <c r="F754" s="2">
        <f>IFERROR(__xludf.DUMMYFUNCTION("""COMPUTED_VALUE"""),1.0)</f>
        <v>1</v>
      </c>
      <c r="G754" s="2" t="str">
        <f>IFERROR(__xludf.DUMMYFUNCTION("""COMPUTED_VALUE"""),"PR047")</f>
        <v>PR047</v>
      </c>
      <c r="H754" s="2" t="str">
        <f>IFERROR(__xludf.DUMMYFUNCTION("""COMPUTED_VALUE"""),"VD019")</f>
        <v>VD019</v>
      </c>
      <c r="I754" s="2">
        <f>IFERROR(__xludf.DUMMYFUNCTION("""COMPUTED_VALUE"""),8.0)</f>
        <v>8</v>
      </c>
      <c r="J754" s="2">
        <f>IFERROR(__xludf.DUMMYFUNCTION("""COMPUTED_VALUE"""),2527.93)</f>
        <v>2527.93</v>
      </c>
      <c r="K754" s="2">
        <f>IFERROR(__xludf.DUMMYFUNCTION("""COMPUTED_VALUE"""),2527.93)</f>
        <v>2527.93</v>
      </c>
    </row>
    <row r="755">
      <c r="A755" s="2">
        <f>IFERROR(__xludf.DUMMYFUNCTION("""COMPUTED_VALUE"""),1000.0)</f>
        <v>1000</v>
      </c>
      <c r="B755" s="2">
        <f>IFERROR(__xludf.DUMMYFUNCTION("""COMPUTED_VALUE"""),184000.0)</f>
        <v>184000</v>
      </c>
      <c r="C755" s="2">
        <f>IFERROR(__xludf.DUMMYFUNCTION("""COMPUTED_VALUE"""),2026.0)</f>
        <v>2026</v>
      </c>
      <c r="D755" s="2">
        <f>IFERROR(__xludf.DUMMYFUNCTION("""COMPUTED_VALUE"""),46241.0)</f>
        <v>46241</v>
      </c>
      <c r="E755" s="2" t="str">
        <f>IFERROR(__xludf.DUMMYFUNCTION("""COMPUTED_VALUE"""),"VF")</f>
        <v>VF</v>
      </c>
      <c r="F755" s="2">
        <f>IFERROR(__xludf.DUMMYFUNCTION("""COMPUTED_VALUE"""),1.0)</f>
        <v>1</v>
      </c>
      <c r="G755" s="2" t="str">
        <f>IFERROR(__xludf.DUMMYFUNCTION("""COMPUTED_VALUE"""),"PR030")</f>
        <v>PR030</v>
      </c>
      <c r="H755" s="2" t="str">
        <f>IFERROR(__xludf.DUMMYFUNCTION("""COMPUTED_VALUE"""),"VD043")</f>
        <v>VD043</v>
      </c>
      <c r="I755" s="2">
        <f>IFERROR(__xludf.DUMMYFUNCTION("""COMPUTED_VALUE"""),16.0)</f>
        <v>16</v>
      </c>
      <c r="J755" s="2">
        <f>IFERROR(__xludf.DUMMYFUNCTION("""COMPUTED_VALUE"""),4366.32)</f>
        <v>4366.32</v>
      </c>
      <c r="K755" s="2">
        <f>IFERROR(__xludf.DUMMYFUNCTION("""COMPUTED_VALUE"""),4366.32)</f>
        <v>4366.32</v>
      </c>
    </row>
    <row r="756">
      <c r="A756" s="2">
        <f>IFERROR(__xludf.DUMMYFUNCTION("""COMPUTED_VALUE"""),1000.0)</f>
        <v>1000</v>
      </c>
      <c r="B756" s="2">
        <f>IFERROR(__xludf.DUMMYFUNCTION("""COMPUTED_VALUE"""),184001.0)</f>
        <v>184001</v>
      </c>
      <c r="C756" s="2">
        <f>IFERROR(__xludf.DUMMYFUNCTION("""COMPUTED_VALUE"""),2026.0)</f>
        <v>2026</v>
      </c>
      <c r="D756" s="2">
        <f>IFERROR(__xludf.DUMMYFUNCTION("""COMPUTED_VALUE"""),46241.0)</f>
        <v>46241</v>
      </c>
      <c r="E756" s="2" t="str">
        <f>IFERROR(__xludf.DUMMYFUNCTION("""COMPUTED_VALUE"""),"VF")</f>
        <v>VF</v>
      </c>
      <c r="F756" s="2">
        <f>IFERROR(__xludf.DUMMYFUNCTION("""COMPUTED_VALUE"""),1.0)</f>
        <v>1</v>
      </c>
      <c r="G756" s="2" t="str">
        <f>IFERROR(__xludf.DUMMYFUNCTION("""COMPUTED_VALUE"""),"PR011")</f>
        <v>PR011</v>
      </c>
      <c r="H756" s="2" t="str">
        <f>IFERROR(__xludf.DUMMYFUNCTION("""COMPUTED_VALUE"""),"VD026")</f>
        <v>VD026</v>
      </c>
      <c r="I756" s="2">
        <f>IFERROR(__xludf.DUMMYFUNCTION("""COMPUTED_VALUE"""),14.0)</f>
        <v>14</v>
      </c>
      <c r="J756" s="2">
        <f>IFERROR(__xludf.DUMMYFUNCTION("""COMPUTED_VALUE"""),709.13)</f>
        <v>709.13</v>
      </c>
      <c r="K756" s="2">
        <f>IFERROR(__xludf.DUMMYFUNCTION("""COMPUTED_VALUE"""),709.13)</f>
        <v>709.13</v>
      </c>
    </row>
    <row r="757">
      <c r="A757" s="2">
        <f>IFERROR(__xludf.DUMMYFUNCTION("""COMPUTED_VALUE"""),1000.0)</f>
        <v>1000</v>
      </c>
      <c r="B757" s="2">
        <f>IFERROR(__xludf.DUMMYFUNCTION("""COMPUTED_VALUE"""),184001.0)</f>
        <v>184001</v>
      </c>
      <c r="C757" s="2">
        <f>IFERROR(__xludf.DUMMYFUNCTION("""COMPUTED_VALUE"""),2026.0)</f>
        <v>2026</v>
      </c>
      <c r="D757" s="2">
        <f>IFERROR(__xludf.DUMMYFUNCTION("""COMPUTED_VALUE"""),46240.0)</f>
        <v>46240</v>
      </c>
      <c r="E757" s="2" t="str">
        <f>IFERROR(__xludf.DUMMYFUNCTION("""COMPUTED_VALUE"""),"VF")</f>
        <v>VF</v>
      </c>
      <c r="F757" s="2">
        <f>IFERROR(__xludf.DUMMYFUNCTION("""COMPUTED_VALUE"""),2.0)</f>
        <v>2</v>
      </c>
      <c r="G757" s="2" t="str">
        <f>IFERROR(__xludf.DUMMYFUNCTION("""COMPUTED_VALUE"""),"PR049")</f>
        <v>PR049</v>
      </c>
      <c r="H757" s="2" t="str">
        <f>IFERROR(__xludf.DUMMYFUNCTION("""COMPUTED_VALUE"""),"VD042")</f>
        <v>VD042</v>
      </c>
      <c r="I757" s="2">
        <f>IFERROR(__xludf.DUMMYFUNCTION("""COMPUTED_VALUE"""),8.0)</f>
        <v>8</v>
      </c>
      <c r="J757" s="2">
        <f>IFERROR(__xludf.DUMMYFUNCTION("""COMPUTED_VALUE"""),289.52)</f>
        <v>289.52</v>
      </c>
      <c r="K757" s="2">
        <f>IFERROR(__xludf.DUMMYFUNCTION("""COMPUTED_VALUE"""),289.52)</f>
        <v>289.52</v>
      </c>
    </row>
    <row r="758">
      <c r="A758" s="2">
        <f>IFERROR(__xludf.DUMMYFUNCTION("""COMPUTED_VALUE"""),1000.0)</f>
        <v>1000</v>
      </c>
      <c r="B758" s="2">
        <f>IFERROR(__xludf.DUMMYFUNCTION("""COMPUTED_VALUE"""),184001.0)</f>
        <v>184001</v>
      </c>
      <c r="C758" s="2">
        <f>IFERROR(__xludf.DUMMYFUNCTION("""COMPUTED_VALUE"""),2026.0)</f>
        <v>2026</v>
      </c>
      <c r="D758" s="2">
        <f>IFERROR(__xludf.DUMMYFUNCTION("""COMPUTED_VALUE"""),46240.0)</f>
        <v>46240</v>
      </c>
      <c r="E758" s="2" t="str">
        <f>IFERROR(__xludf.DUMMYFUNCTION("""COMPUTED_VALUE"""),"VF")</f>
        <v>VF</v>
      </c>
      <c r="F758" s="2">
        <f>IFERROR(__xludf.DUMMYFUNCTION("""COMPUTED_VALUE"""),3.0)</f>
        <v>3</v>
      </c>
      <c r="G758" s="2" t="str">
        <f>IFERROR(__xludf.DUMMYFUNCTION("""COMPUTED_VALUE"""),"PR057")</f>
        <v>PR057</v>
      </c>
      <c r="H758" s="2" t="str">
        <f>IFERROR(__xludf.DUMMYFUNCTION("""COMPUTED_VALUE"""),"VD034")</f>
        <v>VD034</v>
      </c>
      <c r="I758" s="2">
        <f>IFERROR(__xludf.DUMMYFUNCTION("""COMPUTED_VALUE"""),4.0)</f>
        <v>4</v>
      </c>
      <c r="J758" s="2">
        <f>IFERROR(__xludf.DUMMYFUNCTION("""COMPUTED_VALUE"""),366.79)</f>
        <v>366.79</v>
      </c>
      <c r="K758" s="2">
        <f>IFERROR(__xludf.DUMMYFUNCTION("""COMPUTED_VALUE"""),366.79)</f>
        <v>366.79</v>
      </c>
    </row>
    <row r="759">
      <c r="A759" s="2">
        <f>IFERROR(__xludf.DUMMYFUNCTION("""COMPUTED_VALUE"""),1000.0)</f>
        <v>1000</v>
      </c>
      <c r="B759" s="2">
        <f>IFERROR(__xludf.DUMMYFUNCTION("""COMPUTED_VALUE"""),184002.0)</f>
        <v>184002</v>
      </c>
      <c r="C759" s="2">
        <f>IFERROR(__xludf.DUMMYFUNCTION("""COMPUTED_VALUE"""),2026.0)</f>
        <v>2026</v>
      </c>
      <c r="D759" s="2">
        <f>IFERROR(__xludf.DUMMYFUNCTION("""COMPUTED_VALUE"""),46240.0)</f>
        <v>46240</v>
      </c>
      <c r="E759" s="2" t="str">
        <f>IFERROR(__xludf.DUMMYFUNCTION("""COMPUTED_VALUE"""),"VF")</f>
        <v>VF</v>
      </c>
      <c r="F759" s="2">
        <f>IFERROR(__xludf.DUMMYFUNCTION("""COMPUTED_VALUE"""),1.0)</f>
        <v>1</v>
      </c>
      <c r="G759" s="2" t="str">
        <f>IFERROR(__xludf.DUMMYFUNCTION("""COMPUTED_VALUE"""),"PR049")</f>
        <v>PR049</v>
      </c>
      <c r="H759" s="2" t="str">
        <f>IFERROR(__xludf.DUMMYFUNCTION("""COMPUTED_VALUE"""),"VD049")</f>
        <v>VD049</v>
      </c>
      <c r="I759" s="2">
        <f>IFERROR(__xludf.DUMMYFUNCTION("""COMPUTED_VALUE"""),10.0)</f>
        <v>10</v>
      </c>
      <c r="J759" s="2">
        <f>IFERROR(__xludf.DUMMYFUNCTION("""COMPUTED_VALUE"""),361.9)</f>
        <v>361.9</v>
      </c>
      <c r="K759" s="2">
        <f>IFERROR(__xludf.DUMMYFUNCTION("""COMPUTED_VALUE"""),361.9)</f>
        <v>361.9</v>
      </c>
    </row>
    <row r="760">
      <c r="A760" s="2">
        <f>IFERROR(__xludf.DUMMYFUNCTION("""COMPUTED_VALUE"""),1000.0)</f>
        <v>1000</v>
      </c>
      <c r="B760" s="2">
        <f>IFERROR(__xludf.DUMMYFUNCTION("""COMPUTED_VALUE"""),184002.0)</f>
        <v>184002</v>
      </c>
      <c r="C760" s="2">
        <f>IFERROR(__xludf.DUMMYFUNCTION("""COMPUTED_VALUE"""),2026.0)</f>
        <v>2026</v>
      </c>
      <c r="D760" s="2">
        <f>IFERROR(__xludf.DUMMYFUNCTION("""COMPUTED_VALUE"""),46240.0)</f>
        <v>46240</v>
      </c>
      <c r="E760" s="2" t="str">
        <f>IFERROR(__xludf.DUMMYFUNCTION("""COMPUTED_VALUE"""),"VF")</f>
        <v>VF</v>
      </c>
      <c r="F760" s="2">
        <f>IFERROR(__xludf.DUMMYFUNCTION("""COMPUTED_VALUE"""),2.0)</f>
        <v>2</v>
      </c>
      <c r="G760" s="2" t="str">
        <f>IFERROR(__xludf.DUMMYFUNCTION("""COMPUTED_VALUE"""),"PR037")</f>
        <v>PR037</v>
      </c>
      <c r="H760" s="2" t="str">
        <f>IFERROR(__xludf.DUMMYFUNCTION("""COMPUTED_VALUE"""),"VD029")</f>
        <v>VD029</v>
      </c>
      <c r="I760" s="2">
        <f>IFERROR(__xludf.DUMMYFUNCTION("""COMPUTED_VALUE"""),4.0)</f>
        <v>4</v>
      </c>
      <c r="J760" s="2">
        <f>IFERROR(__xludf.DUMMYFUNCTION("""COMPUTED_VALUE"""),588.0)</f>
        <v>588</v>
      </c>
      <c r="K760" s="2">
        <f>IFERROR(__xludf.DUMMYFUNCTION("""COMPUTED_VALUE"""),588.0)</f>
        <v>588</v>
      </c>
    </row>
    <row r="761">
      <c r="A761" s="2">
        <f>IFERROR(__xludf.DUMMYFUNCTION("""COMPUTED_VALUE"""),2000.0)</f>
        <v>2000</v>
      </c>
      <c r="B761" s="2">
        <f>IFERROR(__xludf.DUMMYFUNCTION("""COMPUTED_VALUE"""),184003.0)</f>
        <v>184003</v>
      </c>
      <c r="C761" s="2">
        <f>IFERROR(__xludf.DUMMYFUNCTION("""COMPUTED_VALUE"""),2026.0)</f>
        <v>2026</v>
      </c>
      <c r="D761" s="2">
        <f>IFERROR(__xludf.DUMMYFUNCTION("""COMPUTED_VALUE"""),46240.0)</f>
        <v>46240</v>
      </c>
      <c r="E761" s="2" t="str">
        <f>IFERROR(__xludf.DUMMYFUNCTION("""COMPUTED_VALUE"""),"VF")</f>
        <v>VF</v>
      </c>
      <c r="F761" s="2">
        <f>IFERROR(__xludf.DUMMYFUNCTION("""COMPUTED_VALUE"""),1.0)</f>
        <v>1</v>
      </c>
      <c r="G761" s="2" t="str">
        <f>IFERROR(__xludf.DUMMYFUNCTION("""COMPUTED_VALUE"""),"PR029")</f>
        <v>PR029</v>
      </c>
      <c r="H761" s="2" t="str">
        <f>IFERROR(__xludf.DUMMYFUNCTION("""COMPUTED_VALUE"""),"VD017")</f>
        <v>VD017</v>
      </c>
      <c r="I761" s="2">
        <f>IFERROR(__xludf.DUMMYFUNCTION("""COMPUTED_VALUE"""),8.0)</f>
        <v>8</v>
      </c>
      <c r="J761" s="2">
        <f>IFERROR(__xludf.DUMMYFUNCTION("""COMPUTED_VALUE"""),2223.6)</f>
        <v>2223.6</v>
      </c>
      <c r="K761" s="2">
        <f>IFERROR(__xludf.DUMMYFUNCTION("""COMPUTED_VALUE"""),2223.6)</f>
        <v>2223.6</v>
      </c>
    </row>
    <row r="762">
      <c r="A762" s="2">
        <f>IFERROR(__xludf.DUMMYFUNCTION("""COMPUTED_VALUE"""),1000.0)</f>
        <v>1000</v>
      </c>
      <c r="B762" s="2">
        <f>IFERROR(__xludf.DUMMYFUNCTION("""COMPUTED_VALUE"""),184004.0)</f>
        <v>184004</v>
      </c>
      <c r="C762" s="2">
        <f>IFERROR(__xludf.DUMMYFUNCTION("""COMPUTED_VALUE"""),2026.0)</f>
        <v>2026</v>
      </c>
      <c r="D762" s="2">
        <f>IFERROR(__xludf.DUMMYFUNCTION("""COMPUTED_VALUE"""),46240.0)</f>
        <v>46240</v>
      </c>
      <c r="E762" s="2" t="str">
        <f>IFERROR(__xludf.DUMMYFUNCTION("""COMPUTED_VALUE"""),"VF")</f>
        <v>VF</v>
      </c>
      <c r="F762" s="2">
        <f>IFERROR(__xludf.DUMMYFUNCTION("""COMPUTED_VALUE"""),1.0)</f>
        <v>1</v>
      </c>
      <c r="G762" s="2" t="str">
        <f>IFERROR(__xludf.DUMMYFUNCTION("""COMPUTED_VALUE"""),"PR007")</f>
        <v>PR007</v>
      </c>
      <c r="H762" s="2" t="str">
        <f>IFERROR(__xludf.DUMMYFUNCTION("""COMPUTED_VALUE"""),"VD027")</f>
        <v>VD027</v>
      </c>
      <c r="I762" s="2">
        <f>IFERROR(__xludf.DUMMYFUNCTION("""COMPUTED_VALUE"""),18.0)</f>
        <v>18</v>
      </c>
      <c r="J762" s="2">
        <f>IFERROR(__xludf.DUMMYFUNCTION("""COMPUTED_VALUE"""),1592.59)</f>
        <v>1592.59</v>
      </c>
      <c r="K762" s="2">
        <f>IFERROR(__xludf.DUMMYFUNCTION("""COMPUTED_VALUE"""),1592.59)</f>
        <v>1592.59</v>
      </c>
    </row>
    <row r="763">
      <c r="A763" s="2">
        <f>IFERROR(__xludf.DUMMYFUNCTION("""COMPUTED_VALUE"""),1000.0)</f>
        <v>1000</v>
      </c>
      <c r="B763" s="2">
        <f>IFERROR(__xludf.DUMMYFUNCTION("""COMPUTED_VALUE"""),184004.0)</f>
        <v>184004</v>
      </c>
      <c r="C763" s="2">
        <f>IFERROR(__xludf.DUMMYFUNCTION("""COMPUTED_VALUE"""),2026.0)</f>
        <v>2026</v>
      </c>
      <c r="D763" s="2">
        <f>IFERROR(__xludf.DUMMYFUNCTION("""COMPUTED_VALUE"""),46240.0)</f>
        <v>46240</v>
      </c>
      <c r="E763" s="2" t="str">
        <f>IFERROR(__xludf.DUMMYFUNCTION("""COMPUTED_VALUE"""),"VF")</f>
        <v>VF</v>
      </c>
      <c r="F763" s="2">
        <f>IFERROR(__xludf.DUMMYFUNCTION("""COMPUTED_VALUE"""),2.0)</f>
        <v>2</v>
      </c>
      <c r="G763" s="2" t="str">
        <f>IFERROR(__xludf.DUMMYFUNCTION("""COMPUTED_VALUE"""),"PR023")</f>
        <v>PR023</v>
      </c>
      <c r="H763" s="2" t="str">
        <f>IFERROR(__xludf.DUMMYFUNCTION("""COMPUTED_VALUE"""),"VD044")</f>
        <v>VD044</v>
      </c>
      <c r="I763" s="2">
        <f>IFERROR(__xludf.DUMMYFUNCTION("""COMPUTED_VALUE"""),7.0)</f>
        <v>7</v>
      </c>
      <c r="J763" s="2">
        <f>IFERROR(__xludf.DUMMYFUNCTION("""COMPUTED_VALUE"""),1784.29)</f>
        <v>1784.29</v>
      </c>
      <c r="K763" s="2">
        <f>IFERROR(__xludf.DUMMYFUNCTION("""COMPUTED_VALUE"""),1784.29)</f>
        <v>1784.29</v>
      </c>
    </row>
    <row r="764">
      <c r="A764" s="2">
        <f>IFERROR(__xludf.DUMMYFUNCTION("""COMPUTED_VALUE"""),1000.0)</f>
        <v>1000</v>
      </c>
      <c r="B764" s="2">
        <f>IFERROR(__xludf.DUMMYFUNCTION("""COMPUTED_VALUE"""),184005.0)</f>
        <v>184005</v>
      </c>
      <c r="C764" s="2">
        <f>IFERROR(__xludf.DUMMYFUNCTION("""COMPUTED_VALUE"""),2026.0)</f>
        <v>2026</v>
      </c>
      <c r="D764" s="2">
        <f>IFERROR(__xludf.DUMMYFUNCTION("""COMPUTED_VALUE"""),46239.0)</f>
        <v>46239</v>
      </c>
      <c r="E764" s="2" t="str">
        <f>IFERROR(__xludf.DUMMYFUNCTION("""COMPUTED_VALUE"""),"VF")</f>
        <v>VF</v>
      </c>
      <c r="F764" s="2">
        <f>IFERROR(__xludf.DUMMYFUNCTION("""COMPUTED_VALUE"""),1.0)</f>
        <v>1</v>
      </c>
      <c r="G764" s="2" t="str">
        <f>IFERROR(__xludf.DUMMYFUNCTION("""COMPUTED_VALUE"""),"PR003")</f>
        <v>PR003</v>
      </c>
      <c r="H764" s="2" t="str">
        <f>IFERROR(__xludf.DUMMYFUNCTION("""COMPUTED_VALUE"""),"VD011")</f>
        <v>VD011</v>
      </c>
      <c r="I764" s="2">
        <f>IFERROR(__xludf.DUMMYFUNCTION("""COMPUTED_VALUE"""),2.0)</f>
        <v>2</v>
      </c>
      <c r="J764" s="2">
        <f>IFERROR(__xludf.DUMMYFUNCTION("""COMPUTED_VALUE"""),143.22)</f>
        <v>143.22</v>
      </c>
      <c r="K764" s="2">
        <f>IFERROR(__xludf.DUMMYFUNCTION("""COMPUTED_VALUE"""),143.22)</f>
        <v>143.22</v>
      </c>
    </row>
    <row r="765">
      <c r="A765" s="2">
        <f>IFERROR(__xludf.DUMMYFUNCTION("""COMPUTED_VALUE"""),1000.0)</f>
        <v>1000</v>
      </c>
      <c r="B765" s="2">
        <f>IFERROR(__xludf.DUMMYFUNCTION("""COMPUTED_VALUE"""),184006.0)</f>
        <v>184006</v>
      </c>
      <c r="C765" s="2">
        <f>IFERROR(__xludf.DUMMYFUNCTION("""COMPUTED_VALUE"""),2026.0)</f>
        <v>2026</v>
      </c>
      <c r="D765" s="2">
        <f>IFERROR(__xludf.DUMMYFUNCTION("""COMPUTED_VALUE"""),46239.0)</f>
        <v>46239</v>
      </c>
      <c r="E765" s="2" t="str">
        <f>IFERROR(__xludf.DUMMYFUNCTION("""COMPUTED_VALUE"""),"VF")</f>
        <v>VF</v>
      </c>
      <c r="F765" s="2">
        <f>IFERROR(__xludf.DUMMYFUNCTION("""COMPUTED_VALUE"""),1.0)</f>
        <v>1</v>
      </c>
      <c r="G765" s="2" t="str">
        <f>IFERROR(__xludf.DUMMYFUNCTION("""COMPUTED_VALUE"""),"PR006")</f>
        <v>PR006</v>
      </c>
      <c r="H765" s="2" t="str">
        <f>IFERROR(__xludf.DUMMYFUNCTION("""COMPUTED_VALUE"""),"VD039")</f>
        <v>VD039</v>
      </c>
      <c r="I765" s="2">
        <f>IFERROR(__xludf.DUMMYFUNCTION("""COMPUTED_VALUE"""),10.0)</f>
        <v>10</v>
      </c>
      <c r="J765" s="2">
        <f>IFERROR(__xludf.DUMMYFUNCTION("""COMPUTED_VALUE"""),402.99)</f>
        <v>402.99</v>
      </c>
      <c r="K765" s="2">
        <f>IFERROR(__xludf.DUMMYFUNCTION("""COMPUTED_VALUE"""),402.99)</f>
        <v>402.99</v>
      </c>
    </row>
    <row r="766">
      <c r="A766" s="2">
        <f>IFERROR(__xludf.DUMMYFUNCTION("""COMPUTED_VALUE"""),2000.0)</f>
        <v>2000</v>
      </c>
      <c r="B766" s="2">
        <f>IFERROR(__xludf.DUMMYFUNCTION("""COMPUTED_VALUE"""),184006.0)</f>
        <v>184006</v>
      </c>
      <c r="C766" s="2">
        <f>IFERROR(__xludf.DUMMYFUNCTION("""COMPUTED_VALUE"""),2026.0)</f>
        <v>2026</v>
      </c>
      <c r="D766" s="2">
        <f>IFERROR(__xludf.DUMMYFUNCTION("""COMPUTED_VALUE"""),46239.0)</f>
        <v>46239</v>
      </c>
      <c r="E766" s="2" t="str">
        <f>IFERROR(__xludf.DUMMYFUNCTION("""COMPUTED_VALUE"""),"VF")</f>
        <v>VF</v>
      </c>
      <c r="F766" s="2">
        <f>IFERROR(__xludf.DUMMYFUNCTION("""COMPUTED_VALUE"""),2.0)</f>
        <v>2</v>
      </c>
      <c r="G766" s="2" t="str">
        <f>IFERROR(__xludf.DUMMYFUNCTION("""COMPUTED_VALUE"""),"PR014")</f>
        <v>PR014</v>
      </c>
      <c r="H766" s="2" t="str">
        <f>IFERROR(__xludf.DUMMYFUNCTION("""COMPUTED_VALUE"""),"VD039")</f>
        <v>VD039</v>
      </c>
      <c r="I766" s="2">
        <f>IFERROR(__xludf.DUMMYFUNCTION("""COMPUTED_VALUE"""),7.0)</f>
        <v>7</v>
      </c>
      <c r="J766" s="2">
        <f>IFERROR(__xludf.DUMMYFUNCTION("""COMPUTED_VALUE"""),304.44)</f>
        <v>304.44</v>
      </c>
      <c r="K766" s="2">
        <f>IFERROR(__xludf.DUMMYFUNCTION("""COMPUTED_VALUE"""),304.44)</f>
        <v>304.44</v>
      </c>
    </row>
    <row r="767">
      <c r="A767" s="2">
        <f>IFERROR(__xludf.DUMMYFUNCTION("""COMPUTED_VALUE"""),1000.0)</f>
        <v>1000</v>
      </c>
      <c r="B767" s="2">
        <f>IFERROR(__xludf.DUMMYFUNCTION("""COMPUTED_VALUE"""),184006.0)</f>
        <v>184006</v>
      </c>
      <c r="C767" s="2">
        <f>IFERROR(__xludf.DUMMYFUNCTION("""COMPUTED_VALUE"""),2026.0)</f>
        <v>2026</v>
      </c>
      <c r="D767" s="2">
        <f>IFERROR(__xludf.DUMMYFUNCTION("""COMPUTED_VALUE"""),46238.0)</f>
        <v>46238</v>
      </c>
      <c r="E767" s="2" t="str">
        <f>IFERROR(__xludf.DUMMYFUNCTION("""COMPUTED_VALUE"""),"VF")</f>
        <v>VF</v>
      </c>
      <c r="F767" s="2">
        <f>IFERROR(__xludf.DUMMYFUNCTION("""COMPUTED_VALUE"""),3.0)</f>
        <v>3</v>
      </c>
      <c r="G767" s="2" t="str">
        <f>IFERROR(__xludf.DUMMYFUNCTION("""COMPUTED_VALUE"""),"PR033")</f>
        <v>PR033</v>
      </c>
      <c r="H767" s="2" t="str">
        <f>IFERROR(__xludf.DUMMYFUNCTION("""COMPUTED_VALUE"""),"VD042")</f>
        <v>VD042</v>
      </c>
      <c r="I767" s="2">
        <f>IFERROR(__xludf.DUMMYFUNCTION("""COMPUTED_VALUE"""),9.0)</f>
        <v>9</v>
      </c>
      <c r="J767" s="2">
        <f>IFERROR(__xludf.DUMMYFUNCTION("""COMPUTED_VALUE"""),2409.27)</f>
        <v>2409.27</v>
      </c>
      <c r="K767" s="2">
        <f>IFERROR(__xludf.DUMMYFUNCTION("""COMPUTED_VALUE"""),2409.27)</f>
        <v>2409.27</v>
      </c>
    </row>
    <row r="768">
      <c r="A768" s="2">
        <f>IFERROR(__xludf.DUMMYFUNCTION("""COMPUTED_VALUE"""),1000.0)</f>
        <v>1000</v>
      </c>
      <c r="B768" s="2">
        <f>IFERROR(__xludf.DUMMYFUNCTION("""COMPUTED_VALUE"""),184006.0)</f>
        <v>184006</v>
      </c>
      <c r="C768" s="2">
        <f>IFERROR(__xludf.DUMMYFUNCTION("""COMPUTED_VALUE"""),2026.0)</f>
        <v>2026</v>
      </c>
      <c r="D768" s="2">
        <f>IFERROR(__xludf.DUMMYFUNCTION("""COMPUTED_VALUE"""),46238.0)</f>
        <v>46238</v>
      </c>
      <c r="E768" s="2" t="str">
        <f>IFERROR(__xludf.DUMMYFUNCTION("""COMPUTED_VALUE"""),"VF")</f>
        <v>VF</v>
      </c>
      <c r="F768" s="2">
        <f>IFERROR(__xludf.DUMMYFUNCTION("""COMPUTED_VALUE"""),4.0)</f>
        <v>4</v>
      </c>
      <c r="G768" s="2" t="str">
        <f>IFERROR(__xludf.DUMMYFUNCTION("""COMPUTED_VALUE"""),"PR017")</f>
        <v>PR017</v>
      </c>
      <c r="H768" s="2" t="str">
        <f>IFERROR(__xludf.DUMMYFUNCTION("""COMPUTED_VALUE"""),"VD022")</f>
        <v>VD022</v>
      </c>
      <c r="I768" s="2">
        <f>IFERROR(__xludf.DUMMYFUNCTION("""COMPUTED_VALUE"""),2.0)</f>
        <v>2</v>
      </c>
      <c r="J768" s="2">
        <f>IFERROR(__xludf.DUMMYFUNCTION("""COMPUTED_VALUE"""),63.39)</f>
        <v>63.39</v>
      </c>
      <c r="K768" s="2">
        <f>IFERROR(__xludf.DUMMYFUNCTION("""COMPUTED_VALUE"""),63.39)</f>
        <v>63.39</v>
      </c>
    </row>
    <row r="769">
      <c r="A769" s="2">
        <f>IFERROR(__xludf.DUMMYFUNCTION("""COMPUTED_VALUE"""),1000.0)</f>
        <v>1000</v>
      </c>
      <c r="B769" s="2">
        <f>IFERROR(__xludf.DUMMYFUNCTION("""COMPUTED_VALUE"""),184007.0)</f>
        <v>184007</v>
      </c>
      <c r="C769" s="2">
        <f>IFERROR(__xludf.DUMMYFUNCTION("""COMPUTED_VALUE"""),2026.0)</f>
        <v>2026</v>
      </c>
      <c r="D769" s="2">
        <f>IFERROR(__xludf.DUMMYFUNCTION("""COMPUTED_VALUE"""),46238.0)</f>
        <v>46238</v>
      </c>
      <c r="E769" s="2" t="str">
        <f>IFERROR(__xludf.DUMMYFUNCTION("""COMPUTED_VALUE"""),"VF")</f>
        <v>VF</v>
      </c>
      <c r="F769" s="2">
        <f>IFERROR(__xludf.DUMMYFUNCTION("""COMPUTED_VALUE"""),1.0)</f>
        <v>1</v>
      </c>
      <c r="G769" s="2" t="str">
        <f>IFERROR(__xludf.DUMMYFUNCTION("""COMPUTED_VALUE"""),"PR038")</f>
        <v>PR038</v>
      </c>
      <c r="H769" s="2" t="str">
        <f>IFERROR(__xludf.DUMMYFUNCTION("""COMPUTED_VALUE"""),"VD010")</f>
        <v>VD010</v>
      </c>
      <c r="I769" s="2">
        <f>IFERROR(__xludf.DUMMYFUNCTION("""COMPUTED_VALUE"""),7.0)</f>
        <v>7</v>
      </c>
      <c r="J769" s="2">
        <f>IFERROR(__xludf.DUMMYFUNCTION("""COMPUTED_VALUE"""),1070.32)</f>
        <v>1070.32</v>
      </c>
      <c r="K769" s="2">
        <f>IFERROR(__xludf.DUMMYFUNCTION("""COMPUTED_VALUE"""),1070.32)</f>
        <v>1070.32</v>
      </c>
    </row>
    <row r="770">
      <c r="A770" s="2">
        <f>IFERROR(__xludf.DUMMYFUNCTION("""COMPUTED_VALUE"""),1000.0)</f>
        <v>1000</v>
      </c>
      <c r="B770" s="2">
        <f>IFERROR(__xludf.DUMMYFUNCTION("""COMPUTED_VALUE"""),184008.0)</f>
        <v>184008</v>
      </c>
      <c r="C770" s="2">
        <f>IFERROR(__xludf.DUMMYFUNCTION("""COMPUTED_VALUE"""),2026.0)</f>
        <v>2026</v>
      </c>
      <c r="D770" s="2">
        <f>IFERROR(__xludf.DUMMYFUNCTION("""COMPUTED_VALUE"""),46238.0)</f>
        <v>46238</v>
      </c>
      <c r="E770" s="2" t="str">
        <f>IFERROR(__xludf.DUMMYFUNCTION("""COMPUTED_VALUE"""),"VF")</f>
        <v>VF</v>
      </c>
      <c r="F770" s="2">
        <f>IFERROR(__xludf.DUMMYFUNCTION("""COMPUTED_VALUE"""),1.0)</f>
        <v>1</v>
      </c>
      <c r="G770" s="2" t="str">
        <f>IFERROR(__xludf.DUMMYFUNCTION("""COMPUTED_VALUE"""),"PR020")</f>
        <v>PR020</v>
      </c>
      <c r="H770" s="2" t="str">
        <f>IFERROR(__xludf.DUMMYFUNCTION("""COMPUTED_VALUE"""),"VD038")</f>
        <v>VD038</v>
      </c>
      <c r="I770" s="2">
        <f>IFERROR(__xludf.DUMMYFUNCTION("""COMPUTED_VALUE"""),5.0)</f>
        <v>5</v>
      </c>
      <c r="J770" s="2">
        <f>IFERROR(__xludf.DUMMYFUNCTION("""COMPUTED_VALUE"""),1589.47)</f>
        <v>1589.47</v>
      </c>
      <c r="K770" s="2">
        <f>IFERROR(__xludf.DUMMYFUNCTION("""COMPUTED_VALUE"""),1589.47)</f>
        <v>1589.47</v>
      </c>
    </row>
    <row r="771">
      <c r="A771" s="2">
        <f>IFERROR(__xludf.DUMMYFUNCTION("""COMPUTED_VALUE"""),1000.0)</f>
        <v>1000</v>
      </c>
      <c r="B771" s="2">
        <f>IFERROR(__xludf.DUMMYFUNCTION("""COMPUTED_VALUE"""),184009.0)</f>
        <v>184009</v>
      </c>
      <c r="C771" s="2">
        <f>IFERROR(__xludf.DUMMYFUNCTION("""COMPUTED_VALUE"""),2026.0)</f>
        <v>2026</v>
      </c>
      <c r="D771" s="2">
        <f>IFERROR(__xludf.DUMMYFUNCTION("""COMPUTED_VALUE"""),46238.0)</f>
        <v>46238</v>
      </c>
      <c r="E771" s="2" t="str">
        <f>IFERROR(__xludf.DUMMYFUNCTION("""COMPUTED_VALUE"""),"VF")</f>
        <v>VF</v>
      </c>
      <c r="F771" s="2">
        <f>IFERROR(__xludf.DUMMYFUNCTION("""COMPUTED_VALUE"""),1.0)</f>
        <v>1</v>
      </c>
      <c r="G771" s="2" t="str">
        <f>IFERROR(__xludf.DUMMYFUNCTION("""COMPUTED_VALUE"""),"PR005")</f>
        <v>PR005</v>
      </c>
      <c r="H771" s="2" t="str">
        <f>IFERROR(__xludf.DUMMYFUNCTION("""COMPUTED_VALUE"""),"VD047")</f>
        <v>VD047</v>
      </c>
      <c r="I771" s="2">
        <f>IFERROR(__xludf.DUMMYFUNCTION("""COMPUTED_VALUE"""),3.0)</f>
        <v>3</v>
      </c>
      <c r="J771" s="2">
        <f>IFERROR(__xludf.DUMMYFUNCTION("""COMPUTED_VALUE"""),849.87)</f>
        <v>849.87</v>
      </c>
      <c r="K771" s="2">
        <f>IFERROR(__xludf.DUMMYFUNCTION("""COMPUTED_VALUE"""),849.87)</f>
        <v>849.87</v>
      </c>
    </row>
    <row r="772">
      <c r="A772" s="2">
        <f>IFERROR(__xludf.DUMMYFUNCTION("""COMPUTED_VALUE"""),1000.0)</f>
        <v>1000</v>
      </c>
      <c r="B772" s="2">
        <f>IFERROR(__xludf.DUMMYFUNCTION("""COMPUTED_VALUE"""),184010.0)</f>
        <v>184010</v>
      </c>
      <c r="C772" s="2">
        <f>IFERROR(__xludf.DUMMYFUNCTION("""COMPUTED_VALUE"""),2026.0)</f>
        <v>2026</v>
      </c>
      <c r="D772" s="2">
        <f>IFERROR(__xludf.DUMMYFUNCTION("""COMPUTED_VALUE"""),46238.0)</f>
        <v>46238</v>
      </c>
      <c r="E772" s="2" t="str">
        <f>IFERROR(__xludf.DUMMYFUNCTION("""COMPUTED_VALUE"""),"VF")</f>
        <v>VF</v>
      </c>
      <c r="F772" s="2">
        <f>IFERROR(__xludf.DUMMYFUNCTION("""COMPUTED_VALUE"""),1.0)</f>
        <v>1</v>
      </c>
      <c r="G772" s="2" t="str">
        <f>IFERROR(__xludf.DUMMYFUNCTION("""COMPUTED_VALUE"""),"PR058")</f>
        <v>PR058</v>
      </c>
      <c r="H772" s="2" t="str">
        <f>IFERROR(__xludf.DUMMYFUNCTION("""COMPUTED_VALUE"""),"VD014")</f>
        <v>VD014</v>
      </c>
      <c r="I772" s="2">
        <f>IFERROR(__xludf.DUMMYFUNCTION("""COMPUTED_VALUE"""),1.0)</f>
        <v>1</v>
      </c>
      <c r="J772" s="2">
        <f>IFERROR(__xludf.DUMMYFUNCTION("""COMPUTED_VALUE"""),190.8)</f>
        <v>190.8</v>
      </c>
      <c r="K772" s="2">
        <f>IFERROR(__xludf.DUMMYFUNCTION("""COMPUTED_VALUE"""),190.8)</f>
        <v>190.8</v>
      </c>
    </row>
    <row r="773">
      <c r="A773" s="2">
        <f>IFERROR(__xludf.DUMMYFUNCTION("""COMPUTED_VALUE"""),1000.0)</f>
        <v>1000</v>
      </c>
      <c r="B773" s="2">
        <f>IFERROR(__xludf.DUMMYFUNCTION("""COMPUTED_VALUE"""),184011.0)</f>
        <v>184011</v>
      </c>
      <c r="C773" s="2">
        <f>IFERROR(__xludf.DUMMYFUNCTION("""COMPUTED_VALUE"""),2026.0)</f>
        <v>2026</v>
      </c>
      <c r="D773" s="2">
        <f>IFERROR(__xludf.DUMMYFUNCTION("""COMPUTED_VALUE"""),46237.0)</f>
        <v>46237</v>
      </c>
      <c r="E773" s="2" t="str">
        <f>IFERROR(__xludf.DUMMYFUNCTION("""COMPUTED_VALUE"""),"VF")</f>
        <v>VF</v>
      </c>
      <c r="F773" s="2">
        <f>IFERROR(__xludf.DUMMYFUNCTION("""COMPUTED_VALUE"""),1.0)</f>
        <v>1</v>
      </c>
      <c r="G773" s="2" t="str">
        <f>IFERROR(__xludf.DUMMYFUNCTION("""COMPUTED_VALUE"""),"PR033")</f>
        <v>PR033</v>
      </c>
      <c r="H773" s="2" t="str">
        <f>IFERROR(__xludf.DUMMYFUNCTION("""COMPUTED_VALUE"""),"VD049")</f>
        <v>VD049</v>
      </c>
      <c r="I773" s="2">
        <f>IFERROR(__xludf.DUMMYFUNCTION("""COMPUTED_VALUE"""),2.0)</f>
        <v>2</v>
      </c>
      <c r="J773" s="2">
        <f>IFERROR(__xludf.DUMMYFUNCTION("""COMPUTED_VALUE"""),571.78)</f>
        <v>571.78</v>
      </c>
      <c r="K773" s="2">
        <f>IFERROR(__xludf.DUMMYFUNCTION("""COMPUTED_VALUE"""),571.78)</f>
        <v>571.78</v>
      </c>
    </row>
    <row r="774">
      <c r="A774" s="2">
        <f>IFERROR(__xludf.DUMMYFUNCTION("""COMPUTED_VALUE"""),1000.0)</f>
        <v>1000</v>
      </c>
      <c r="B774" s="2">
        <f>IFERROR(__xludf.DUMMYFUNCTION("""COMPUTED_VALUE"""),184012.0)</f>
        <v>184012</v>
      </c>
      <c r="C774" s="2">
        <f>IFERROR(__xludf.DUMMYFUNCTION("""COMPUTED_VALUE"""),2026.0)</f>
        <v>2026</v>
      </c>
      <c r="D774" s="2">
        <f>IFERROR(__xludf.DUMMYFUNCTION("""COMPUTED_VALUE"""),46237.0)</f>
        <v>46237</v>
      </c>
      <c r="E774" s="2" t="str">
        <f>IFERROR(__xludf.DUMMYFUNCTION("""COMPUTED_VALUE"""),"VF")</f>
        <v>VF</v>
      </c>
      <c r="F774" s="2">
        <f>IFERROR(__xludf.DUMMYFUNCTION("""COMPUTED_VALUE"""),1.0)</f>
        <v>1</v>
      </c>
      <c r="G774" s="2" t="str">
        <f>IFERROR(__xludf.DUMMYFUNCTION("""COMPUTED_VALUE"""),"PR049")</f>
        <v>PR049</v>
      </c>
      <c r="H774" s="2" t="str">
        <f>IFERROR(__xludf.DUMMYFUNCTION("""COMPUTED_VALUE"""),"VD047")</f>
        <v>VD047</v>
      </c>
      <c r="I774" s="2">
        <f>IFERROR(__xludf.DUMMYFUNCTION("""COMPUTED_VALUE"""),1.0)</f>
        <v>1</v>
      </c>
      <c r="J774" s="2">
        <f>IFERROR(__xludf.DUMMYFUNCTION("""COMPUTED_VALUE"""),34.55)</f>
        <v>34.55</v>
      </c>
      <c r="K774" s="2">
        <f>IFERROR(__xludf.DUMMYFUNCTION("""COMPUTED_VALUE"""),34.55)</f>
        <v>34.55</v>
      </c>
    </row>
    <row r="775">
      <c r="A775" s="2">
        <f>IFERROR(__xludf.DUMMYFUNCTION("""COMPUTED_VALUE"""),1000.0)</f>
        <v>1000</v>
      </c>
      <c r="B775" s="2">
        <f>IFERROR(__xludf.DUMMYFUNCTION("""COMPUTED_VALUE"""),184012.0)</f>
        <v>184012</v>
      </c>
      <c r="C775" s="2">
        <f>IFERROR(__xludf.DUMMYFUNCTION("""COMPUTED_VALUE"""),2026.0)</f>
        <v>2026</v>
      </c>
      <c r="D775" s="2">
        <f>IFERROR(__xludf.DUMMYFUNCTION("""COMPUTED_VALUE"""),46236.0)</f>
        <v>46236</v>
      </c>
      <c r="E775" s="2" t="str">
        <f>IFERROR(__xludf.DUMMYFUNCTION("""COMPUTED_VALUE"""),"VF")</f>
        <v>VF</v>
      </c>
      <c r="F775" s="2">
        <f>IFERROR(__xludf.DUMMYFUNCTION("""COMPUTED_VALUE"""),2.0)</f>
        <v>2</v>
      </c>
      <c r="G775" s="2" t="str">
        <f>IFERROR(__xludf.DUMMYFUNCTION("""COMPUTED_VALUE"""),"PR028")</f>
        <v>PR028</v>
      </c>
      <c r="H775" s="2" t="str">
        <f>IFERROR(__xludf.DUMMYFUNCTION("""COMPUTED_VALUE"""),"VD024")</f>
        <v>VD024</v>
      </c>
      <c r="I775" s="2">
        <f>IFERROR(__xludf.DUMMYFUNCTION("""COMPUTED_VALUE"""),9.0)</f>
        <v>9</v>
      </c>
      <c r="J775" s="2">
        <f>IFERROR(__xludf.DUMMYFUNCTION("""COMPUTED_VALUE"""),2474.01)</f>
        <v>2474.01</v>
      </c>
      <c r="K775" s="2">
        <f>IFERROR(__xludf.DUMMYFUNCTION("""COMPUTED_VALUE"""),2474.01)</f>
        <v>2474.01</v>
      </c>
    </row>
    <row r="776">
      <c r="A776" s="2">
        <f>IFERROR(__xludf.DUMMYFUNCTION("""COMPUTED_VALUE"""),1000.0)</f>
        <v>1000</v>
      </c>
      <c r="B776" s="2">
        <f>IFERROR(__xludf.DUMMYFUNCTION("""COMPUTED_VALUE"""),184012.0)</f>
        <v>184012</v>
      </c>
      <c r="C776" s="2">
        <f>IFERROR(__xludf.DUMMYFUNCTION("""COMPUTED_VALUE"""),2026.0)</f>
        <v>2026</v>
      </c>
      <c r="D776" s="2">
        <f>IFERROR(__xludf.DUMMYFUNCTION("""COMPUTED_VALUE"""),46236.0)</f>
        <v>46236</v>
      </c>
      <c r="E776" s="2" t="str">
        <f>IFERROR(__xludf.DUMMYFUNCTION("""COMPUTED_VALUE"""),"VF")</f>
        <v>VF</v>
      </c>
      <c r="F776" s="2">
        <f>IFERROR(__xludf.DUMMYFUNCTION("""COMPUTED_VALUE"""),3.0)</f>
        <v>3</v>
      </c>
      <c r="G776" s="2" t="str">
        <f>IFERROR(__xludf.DUMMYFUNCTION("""COMPUTED_VALUE"""),"PR034")</f>
        <v>PR034</v>
      </c>
      <c r="H776" s="2" t="str">
        <f>IFERROR(__xludf.DUMMYFUNCTION("""COMPUTED_VALUE"""),"VD029")</f>
        <v>VD029</v>
      </c>
      <c r="I776" s="2">
        <f>IFERROR(__xludf.DUMMYFUNCTION("""COMPUTED_VALUE"""),8.0)</f>
        <v>8</v>
      </c>
      <c r="J776" s="2">
        <f>IFERROR(__xludf.DUMMYFUNCTION("""COMPUTED_VALUE"""),769.54)</f>
        <v>769.54</v>
      </c>
      <c r="K776" s="2">
        <f>IFERROR(__xludf.DUMMYFUNCTION("""COMPUTED_VALUE"""),769.54)</f>
        <v>769.54</v>
      </c>
    </row>
    <row r="777">
      <c r="A777" s="2">
        <f>IFERROR(__xludf.DUMMYFUNCTION("""COMPUTED_VALUE"""),1000.0)</f>
        <v>1000</v>
      </c>
      <c r="B777" s="2">
        <f>IFERROR(__xludf.DUMMYFUNCTION("""COMPUTED_VALUE"""),184013.0)</f>
        <v>184013</v>
      </c>
      <c r="C777" s="2">
        <f>IFERROR(__xludf.DUMMYFUNCTION("""COMPUTED_VALUE"""),2026.0)</f>
        <v>2026</v>
      </c>
      <c r="D777" s="2">
        <f>IFERROR(__xludf.DUMMYFUNCTION("""COMPUTED_VALUE"""),46236.0)</f>
        <v>46236</v>
      </c>
      <c r="E777" s="2" t="str">
        <f>IFERROR(__xludf.DUMMYFUNCTION("""COMPUTED_VALUE"""),"VF")</f>
        <v>VF</v>
      </c>
      <c r="F777" s="2">
        <f>IFERROR(__xludf.DUMMYFUNCTION("""COMPUTED_VALUE"""),1.0)</f>
        <v>1</v>
      </c>
      <c r="G777" s="2" t="str">
        <f>IFERROR(__xludf.DUMMYFUNCTION("""COMPUTED_VALUE"""),"PR057")</f>
        <v>PR057</v>
      </c>
      <c r="H777" s="2" t="str">
        <f>IFERROR(__xludf.DUMMYFUNCTION("""COMPUTED_VALUE"""),"VD024")</f>
        <v>VD024</v>
      </c>
      <c r="I777" s="2">
        <f>IFERROR(__xludf.DUMMYFUNCTION("""COMPUTED_VALUE"""),8.0)</f>
        <v>8</v>
      </c>
      <c r="J777" s="2">
        <f>IFERROR(__xludf.DUMMYFUNCTION("""COMPUTED_VALUE"""),726.39)</f>
        <v>726.39</v>
      </c>
      <c r="K777" s="2">
        <f>IFERROR(__xludf.DUMMYFUNCTION("""COMPUTED_VALUE"""),726.39)</f>
        <v>726.39</v>
      </c>
    </row>
    <row r="778">
      <c r="A778" s="2">
        <f>IFERROR(__xludf.DUMMYFUNCTION("""COMPUTED_VALUE"""),1000.0)</f>
        <v>1000</v>
      </c>
      <c r="B778" s="2">
        <f>IFERROR(__xludf.DUMMYFUNCTION("""COMPUTED_VALUE"""),184014.0)</f>
        <v>184014</v>
      </c>
      <c r="C778" s="2">
        <f>IFERROR(__xludf.DUMMYFUNCTION("""COMPUTED_VALUE"""),2026.0)</f>
        <v>2026</v>
      </c>
      <c r="D778" s="2">
        <f>IFERROR(__xludf.DUMMYFUNCTION("""COMPUTED_VALUE"""),46236.0)</f>
        <v>46236</v>
      </c>
      <c r="E778" s="2" t="str">
        <f>IFERROR(__xludf.DUMMYFUNCTION("""COMPUTED_VALUE"""),"VF")</f>
        <v>VF</v>
      </c>
      <c r="F778" s="2">
        <f>IFERROR(__xludf.DUMMYFUNCTION("""COMPUTED_VALUE"""),1.0)</f>
        <v>1</v>
      </c>
      <c r="G778" s="2" t="str">
        <f>IFERROR(__xludf.DUMMYFUNCTION("""COMPUTED_VALUE"""),"PR007")</f>
        <v>PR007</v>
      </c>
      <c r="H778" s="2" t="str">
        <f>IFERROR(__xludf.DUMMYFUNCTION("""COMPUTED_VALUE"""),"VD048")</f>
        <v>VD048</v>
      </c>
      <c r="I778" s="2">
        <f>IFERROR(__xludf.DUMMYFUNCTION("""COMPUTED_VALUE"""),14.0)</f>
        <v>14</v>
      </c>
      <c r="J778" s="2">
        <f>IFERROR(__xludf.DUMMYFUNCTION("""COMPUTED_VALUE"""),1322.86)</f>
        <v>1322.86</v>
      </c>
      <c r="K778" s="2">
        <f>IFERROR(__xludf.DUMMYFUNCTION("""COMPUTED_VALUE"""),1322.86)</f>
        <v>1322.86</v>
      </c>
    </row>
    <row r="779">
      <c r="A779" s="2">
        <f>IFERROR(__xludf.DUMMYFUNCTION("""COMPUTED_VALUE"""),2000.0)</f>
        <v>2000</v>
      </c>
      <c r="B779" s="2">
        <f>IFERROR(__xludf.DUMMYFUNCTION("""COMPUTED_VALUE"""),184015.0)</f>
        <v>184015</v>
      </c>
      <c r="C779" s="2">
        <f>IFERROR(__xludf.DUMMYFUNCTION("""COMPUTED_VALUE"""),2026.0)</f>
        <v>2026</v>
      </c>
      <c r="D779" s="2">
        <f>IFERROR(__xludf.DUMMYFUNCTION("""COMPUTED_VALUE"""),46236.0)</f>
        <v>46236</v>
      </c>
      <c r="E779" s="2" t="str">
        <f>IFERROR(__xludf.DUMMYFUNCTION("""COMPUTED_VALUE"""),"VF")</f>
        <v>VF</v>
      </c>
      <c r="F779" s="2">
        <f>IFERROR(__xludf.DUMMYFUNCTION("""COMPUTED_VALUE"""),1.0)</f>
        <v>1</v>
      </c>
      <c r="G779" s="2" t="str">
        <f>IFERROR(__xludf.DUMMYFUNCTION("""COMPUTED_VALUE"""),"PR054")</f>
        <v>PR054</v>
      </c>
      <c r="H779" s="2" t="str">
        <f>IFERROR(__xludf.DUMMYFUNCTION("""COMPUTED_VALUE"""),"VD036")</f>
        <v>VD036</v>
      </c>
      <c r="I779" s="2">
        <f>IFERROR(__xludf.DUMMYFUNCTION("""COMPUTED_VALUE"""),6.0)</f>
        <v>6</v>
      </c>
      <c r="J779" s="2">
        <f>IFERROR(__xludf.DUMMYFUNCTION("""COMPUTED_VALUE"""),317.36)</f>
        <v>317.36</v>
      </c>
      <c r="K779" s="2">
        <f>IFERROR(__xludf.DUMMYFUNCTION("""COMPUTED_VALUE"""),317.36)</f>
        <v>317.36</v>
      </c>
    </row>
    <row r="780">
      <c r="A780" s="2">
        <f>IFERROR(__xludf.DUMMYFUNCTION("""COMPUTED_VALUE"""),1000.0)</f>
        <v>1000</v>
      </c>
      <c r="B780" s="2">
        <f>IFERROR(__xludf.DUMMYFUNCTION("""COMPUTED_VALUE"""),184016.0)</f>
        <v>184016</v>
      </c>
      <c r="C780" s="2">
        <f>IFERROR(__xludf.DUMMYFUNCTION("""COMPUTED_VALUE"""),2026.0)</f>
        <v>2026</v>
      </c>
      <c r="D780" s="2">
        <f>IFERROR(__xludf.DUMMYFUNCTION("""COMPUTED_VALUE"""),46236.0)</f>
        <v>46236</v>
      </c>
      <c r="E780" s="2" t="str">
        <f>IFERROR(__xludf.DUMMYFUNCTION("""COMPUTED_VALUE"""),"VF")</f>
        <v>VF</v>
      </c>
      <c r="F780" s="2">
        <f>IFERROR(__xludf.DUMMYFUNCTION("""COMPUTED_VALUE"""),1.0)</f>
        <v>1</v>
      </c>
      <c r="G780" s="2" t="str">
        <f>IFERROR(__xludf.DUMMYFUNCTION("""COMPUTED_VALUE"""),"PR026")</f>
        <v>PR026</v>
      </c>
      <c r="H780" s="2" t="str">
        <f>IFERROR(__xludf.DUMMYFUNCTION("""COMPUTED_VALUE"""),"VD016")</f>
        <v>VD016</v>
      </c>
      <c r="I780" s="2">
        <f>IFERROR(__xludf.DUMMYFUNCTION("""COMPUTED_VALUE"""),6.0)</f>
        <v>6</v>
      </c>
      <c r="J780" s="2">
        <f>IFERROR(__xludf.DUMMYFUNCTION("""COMPUTED_VALUE"""),2183.38)</f>
        <v>2183.38</v>
      </c>
      <c r="K780" s="2">
        <f>IFERROR(__xludf.DUMMYFUNCTION("""COMPUTED_VALUE"""),2183.38)</f>
        <v>2183.38</v>
      </c>
    </row>
    <row r="781">
      <c r="A781" s="2">
        <f>IFERROR(__xludf.DUMMYFUNCTION("""COMPUTED_VALUE"""),2000.0)</f>
        <v>2000</v>
      </c>
      <c r="B781" s="2">
        <f>IFERROR(__xludf.DUMMYFUNCTION("""COMPUTED_VALUE"""),184017.0)</f>
        <v>184017</v>
      </c>
      <c r="C781" s="2">
        <f>IFERROR(__xludf.DUMMYFUNCTION("""COMPUTED_VALUE"""),2026.0)</f>
        <v>2026</v>
      </c>
      <c r="D781" s="2">
        <f>IFERROR(__xludf.DUMMYFUNCTION("""COMPUTED_VALUE"""),46236.0)</f>
        <v>46236</v>
      </c>
      <c r="E781" s="2" t="str">
        <f>IFERROR(__xludf.DUMMYFUNCTION("""COMPUTED_VALUE"""),"VF")</f>
        <v>VF</v>
      </c>
      <c r="F781" s="2">
        <f>IFERROR(__xludf.DUMMYFUNCTION("""COMPUTED_VALUE"""),1.0)</f>
        <v>1</v>
      </c>
      <c r="G781" s="2" t="str">
        <f>IFERROR(__xludf.DUMMYFUNCTION("""COMPUTED_VALUE"""),"PR024")</f>
        <v>PR024</v>
      </c>
      <c r="H781" s="2" t="str">
        <f>IFERROR(__xludf.DUMMYFUNCTION("""COMPUTED_VALUE"""),"VD037")</f>
        <v>VD037</v>
      </c>
      <c r="I781" s="2">
        <f>IFERROR(__xludf.DUMMYFUNCTION("""COMPUTED_VALUE"""),5.0)</f>
        <v>5</v>
      </c>
      <c r="J781" s="2">
        <f>IFERROR(__xludf.DUMMYFUNCTION("""COMPUTED_VALUE"""),1429.45)</f>
        <v>1429.45</v>
      </c>
      <c r="K781" s="2">
        <f>IFERROR(__xludf.DUMMYFUNCTION("""COMPUTED_VALUE"""),1429.45)</f>
        <v>1429.45</v>
      </c>
    </row>
    <row r="782">
      <c r="A782" s="2">
        <f>IFERROR(__xludf.DUMMYFUNCTION("""COMPUTED_VALUE"""),2000.0)</f>
        <v>2000</v>
      </c>
      <c r="B782" s="2">
        <f>IFERROR(__xludf.DUMMYFUNCTION("""COMPUTED_VALUE"""),184017.0)</f>
        <v>184017</v>
      </c>
      <c r="C782" s="2">
        <f>IFERROR(__xludf.DUMMYFUNCTION("""COMPUTED_VALUE"""),2026.0)</f>
        <v>2026</v>
      </c>
      <c r="D782" s="2">
        <f>IFERROR(__xludf.DUMMYFUNCTION("""COMPUTED_VALUE"""),46236.0)</f>
        <v>46236</v>
      </c>
      <c r="E782" s="2" t="str">
        <f>IFERROR(__xludf.DUMMYFUNCTION("""COMPUTED_VALUE"""),"VF")</f>
        <v>VF</v>
      </c>
      <c r="F782" s="2">
        <f>IFERROR(__xludf.DUMMYFUNCTION("""COMPUTED_VALUE"""),2.0)</f>
        <v>2</v>
      </c>
      <c r="G782" s="2" t="str">
        <f>IFERROR(__xludf.DUMMYFUNCTION("""COMPUTED_VALUE"""),"PR044")</f>
        <v>PR044</v>
      </c>
      <c r="H782" s="2" t="str">
        <f>IFERROR(__xludf.DUMMYFUNCTION("""COMPUTED_VALUE"""),"VD045")</f>
        <v>VD045</v>
      </c>
      <c r="I782" s="2">
        <f>IFERROR(__xludf.DUMMYFUNCTION("""COMPUTED_VALUE"""),8.0)</f>
        <v>8</v>
      </c>
      <c r="J782" s="2">
        <f>IFERROR(__xludf.DUMMYFUNCTION("""COMPUTED_VALUE"""),620.6)</f>
        <v>620.6</v>
      </c>
      <c r="K782" s="2">
        <f>IFERROR(__xludf.DUMMYFUNCTION("""COMPUTED_VALUE"""),620.6)</f>
        <v>620.6</v>
      </c>
    </row>
    <row r="783">
      <c r="A783" s="2">
        <f>IFERROR(__xludf.DUMMYFUNCTION("""COMPUTED_VALUE"""),1000.0)</f>
        <v>1000</v>
      </c>
      <c r="B783" s="2">
        <f>IFERROR(__xludf.DUMMYFUNCTION("""COMPUTED_VALUE"""),184017.0)</f>
        <v>184017</v>
      </c>
      <c r="C783" s="2">
        <f>IFERROR(__xludf.DUMMYFUNCTION("""COMPUTED_VALUE"""),2026.0)</f>
        <v>2026</v>
      </c>
      <c r="D783" s="2">
        <f>IFERROR(__xludf.DUMMYFUNCTION("""COMPUTED_VALUE"""),46235.0)</f>
        <v>46235</v>
      </c>
      <c r="E783" s="2" t="str">
        <f>IFERROR(__xludf.DUMMYFUNCTION("""COMPUTED_VALUE"""),"VF")</f>
        <v>VF</v>
      </c>
      <c r="F783" s="2">
        <f>IFERROR(__xludf.DUMMYFUNCTION("""COMPUTED_VALUE"""),3.0)</f>
        <v>3</v>
      </c>
      <c r="G783" s="2" t="str">
        <f>IFERROR(__xludf.DUMMYFUNCTION("""COMPUTED_VALUE"""),"PR045")</f>
        <v>PR045</v>
      </c>
      <c r="H783" s="2" t="str">
        <f>IFERROR(__xludf.DUMMYFUNCTION("""COMPUTED_VALUE"""),"VD011")</f>
        <v>VD011</v>
      </c>
      <c r="I783" s="2">
        <f>IFERROR(__xludf.DUMMYFUNCTION("""COMPUTED_VALUE"""),12.0)</f>
        <v>12</v>
      </c>
      <c r="J783" s="2">
        <f>IFERROR(__xludf.DUMMYFUNCTION("""COMPUTED_VALUE"""),887.4)</f>
        <v>887.4</v>
      </c>
      <c r="K783" s="2">
        <f>IFERROR(__xludf.DUMMYFUNCTION("""COMPUTED_VALUE"""),887.4)</f>
        <v>887.4</v>
      </c>
    </row>
    <row r="784">
      <c r="A784" s="2">
        <f>IFERROR(__xludf.DUMMYFUNCTION("""COMPUTED_VALUE"""),1000.0)</f>
        <v>1000</v>
      </c>
      <c r="B784" s="2">
        <f>IFERROR(__xludf.DUMMYFUNCTION("""COMPUTED_VALUE"""),184017.0)</f>
        <v>184017</v>
      </c>
      <c r="C784" s="2">
        <f>IFERROR(__xludf.DUMMYFUNCTION("""COMPUTED_VALUE"""),2026.0)</f>
        <v>2026</v>
      </c>
      <c r="D784" s="2">
        <f>IFERROR(__xludf.DUMMYFUNCTION("""COMPUTED_VALUE"""),46235.0)</f>
        <v>46235</v>
      </c>
      <c r="E784" s="2" t="str">
        <f>IFERROR(__xludf.DUMMYFUNCTION("""COMPUTED_VALUE"""),"VF")</f>
        <v>VF</v>
      </c>
      <c r="F784" s="2">
        <f>IFERROR(__xludf.DUMMYFUNCTION("""COMPUTED_VALUE"""),4.0)</f>
        <v>4</v>
      </c>
      <c r="G784" s="2" t="str">
        <f>IFERROR(__xludf.DUMMYFUNCTION("""COMPUTED_VALUE"""),"PR060")</f>
        <v>PR060</v>
      </c>
      <c r="H784" s="2" t="str">
        <f>IFERROR(__xludf.DUMMYFUNCTION("""COMPUTED_VALUE"""),"VD037")</f>
        <v>VD037</v>
      </c>
      <c r="I784" s="2">
        <f>IFERROR(__xludf.DUMMYFUNCTION("""COMPUTED_VALUE"""),8.0)</f>
        <v>8</v>
      </c>
      <c r="J784" s="2">
        <f>IFERROR(__xludf.DUMMYFUNCTION("""COMPUTED_VALUE"""),1483.2)</f>
        <v>1483.2</v>
      </c>
      <c r="K784" s="2">
        <f>IFERROR(__xludf.DUMMYFUNCTION("""COMPUTED_VALUE"""),1483.2)</f>
        <v>1483.2</v>
      </c>
    </row>
    <row r="785">
      <c r="A785" s="2">
        <f>IFERROR(__xludf.DUMMYFUNCTION("""COMPUTED_VALUE"""),1000.0)</f>
        <v>1000</v>
      </c>
      <c r="B785" s="2">
        <f>IFERROR(__xludf.DUMMYFUNCTION("""COMPUTED_VALUE"""),184018.0)</f>
        <v>184018</v>
      </c>
      <c r="C785" s="2">
        <f>IFERROR(__xludf.DUMMYFUNCTION("""COMPUTED_VALUE"""),2026.0)</f>
        <v>2026</v>
      </c>
      <c r="D785" s="2">
        <f>IFERROR(__xludf.DUMMYFUNCTION("""COMPUTED_VALUE"""),46234.0)</f>
        <v>46234</v>
      </c>
      <c r="E785" s="2" t="str">
        <f>IFERROR(__xludf.DUMMYFUNCTION("""COMPUTED_VALUE"""),"VF")</f>
        <v>VF</v>
      </c>
      <c r="F785" s="2">
        <f>IFERROR(__xludf.DUMMYFUNCTION("""COMPUTED_VALUE"""),1.0)</f>
        <v>1</v>
      </c>
      <c r="G785" s="2" t="str">
        <f>IFERROR(__xludf.DUMMYFUNCTION("""COMPUTED_VALUE"""),"PR024")</f>
        <v>PR024</v>
      </c>
      <c r="H785" s="2" t="str">
        <f>IFERROR(__xludf.DUMMYFUNCTION("""COMPUTED_VALUE"""),"VD048")</f>
        <v>VD048</v>
      </c>
      <c r="I785" s="2">
        <f>IFERROR(__xludf.DUMMYFUNCTION("""COMPUTED_VALUE"""),2.0)</f>
        <v>2</v>
      </c>
      <c r="J785" s="2">
        <f>IFERROR(__xludf.DUMMYFUNCTION("""COMPUTED_VALUE"""),525.0)</f>
        <v>525</v>
      </c>
      <c r="K785" s="2">
        <f>IFERROR(__xludf.DUMMYFUNCTION("""COMPUTED_VALUE"""),525.0)</f>
        <v>525</v>
      </c>
    </row>
    <row r="786">
      <c r="A786" s="2">
        <f>IFERROR(__xludf.DUMMYFUNCTION("""COMPUTED_VALUE"""),1000.0)</f>
        <v>1000</v>
      </c>
      <c r="B786" s="2">
        <f>IFERROR(__xludf.DUMMYFUNCTION("""COMPUTED_VALUE"""),184018.0)</f>
        <v>184018</v>
      </c>
      <c r="C786" s="2">
        <f>IFERROR(__xludf.DUMMYFUNCTION("""COMPUTED_VALUE"""),2026.0)</f>
        <v>2026</v>
      </c>
      <c r="D786" s="2">
        <f>IFERROR(__xludf.DUMMYFUNCTION("""COMPUTED_VALUE"""),46234.0)</f>
        <v>46234</v>
      </c>
      <c r="E786" s="2" t="str">
        <f>IFERROR(__xludf.DUMMYFUNCTION("""COMPUTED_VALUE"""),"VF")</f>
        <v>VF</v>
      </c>
      <c r="F786" s="2">
        <f>IFERROR(__xludf.DUMMYFUNCTION("""COMPUTED_VALUE"""),2.0)</f>
        <v>2</v>
      </c>
      <c r="G786" s="2" t="str">
        <f>IFERROR(__xludf.DUMMYFUNCTION("""COMPUTED_VALUE"""),"PR056")</f>
        <v>PR056</v>
      </c>
      <c r="H786" s="2" t="str">
        <f>IFERROR(__xludf.DUMMYFUNCTION("""COMPUTED_VALUE"""),"VD038")</f>
        <v>VD038</v>
      </c>
      <c r="I786" s="2">
        <f>IFERROR(__xludf.DUMMYFUNCTION("""COMPUTED_VALUE"""),9.0)</f>
        <v>9</v>
      </c>
      <c r="J786" s="2">
        <f>IFERROR(__xludf.DUMMYFUNCTION("""COMPUTED_VALUE"""),825.28)</f>
        <v>825.28</v>
      </c>
      <c r="K786" s="2">
        <f>IFERROR(__xludf.DUMMYFUNCTION("""COMPUTED_VALUE"""),825.28)</f>
        <v>825.28</v>
      </c>
    </row>
    <row r="787">
      <c r="A787" s="2">
        <f>IFERROR(__xludf.DUMMYFUNCTION("""COMPUTED_VALUE"""),1000.0)</f>
        <v>1000</v>
      </c>
      <c r="B787" s="2">
        <f>IFERROR(__xludf.DUMMYFUNCTION("""COMPUTED_VALUE"""),184019.0)</f>
        <v>184019</v>
      </c>
      <c r="C787" s="2">
        <f>IFERROR(__xludf.DUMMYFUNCTION("""COMPUTED_VALUE"""),2026.0)</f>
        <v>2026</v>
      </c>
      <c r="D787" s="2">
        <f>IFERROR(__xludf.DUMMYFUNCTION("""COMPUTED_VALUE"""),46233.0)</f>
        <v>46233</v>
      </c>
      <c r="E787" s="2" t="str">
        <f>IFERROR(__xludf.DUMMYFUNCTION("""COMPUTED_VALUE"""),"VF")</f>
        <v>VF</v>
      </c>
      <c r="F787" s="2">
        <f>IFERROR(__xludf.DUMMYFUNCTION("""COMPUTED_VALUE"""),1.0)</f>
        <v>1</v>
      </c>
      <c r="G787" s="2" t="str">
        <f>IFERROR(__xludf.DUMMYFUNCTION("""COMPUTED_VALUE"""),"PR005")</f>
        <v>PR005</v>
      </c>
      <c r="H787" s="2" t="str">
        <f>IFERROR(__xludf.DUMMYFUNCTION("""COMPUTED_VALUE"""),"VD029")</f>
        <v>VD029</v>
      </c>
      <c r="I787" s="2">
        <f>IFERROR(__xludf.DUMMYFUNCTION("""COMPUTED_VALUE"""),2.0)</f>
        <v>2</v>
      </c>
      <c r="J787" s="2">
        <f>IFERROR(__xludf.DUMMYFUNCTION("""COMPUTED_VALUE"""),525.0)</f>
        <v>525</v>
      </c>
      <c r="K787" s="2">
        <f>IFERROR(__xludf.DUMMYFUNCTION("""COMPUTED_VALUE"""),525.0)</f>
        <v>525</v>
      </c>
    </row>
    <row r="788">
      <c r="A788" s="2">
        <f>IFERROR(__xludf.DUMMYFUNCTION("""COMPUTED_VALUE"""),2000.0)</f>
        <v>2000</v>
      </c>
      <c r="B788" s="2">
        <f>IFERROR(__xludf.DUMMYFUNCTION("""COMPUTED_VALUE"""),184020.0)</f>
        <v>184020</v>
      </c>
      <c r="C788" s="2">
        <f>IFERROR(__xludf.DUMMYFUNCTION("""COMPUTED_VALUE"""),2026.0)</f>
        <v>2026</v>
      </c>
      <c r="D788" s="2">
        <f>IFERROR(__xludf.DUMMYFUNCTION("""COMPUTED_VALUE"""),46233.0)</f>
        <v>46233</v>
      </c>
      <c r="E788" s="2" t="str">
        <f>IFERROR(__xludf.DUMMYFUNCTION("""COMPUTED_VALUE"""),"VF")</f>
        <v>VF</v>
      </c>
      <c r="F788" s="2">
        <f>IFERROR(__xludf.DUMMYFUNCTION("""COMPUTED_VALUE"""),1.0)</f>
        <v>1</v>
      </c>
      <c r="G788" s="2" t="str">
        <f>IFERROR(__xludf.DUMMYFUNCTION("""COMPUTED_VALUE"""),"PR042")</f>
        <v>PR042</v>
      </c>
      <c r="H788" s="2" t="str">
        <f>IFERROR(__xludf.DUMMYFUNCTION("""COMPUTED_VALUE"""),"VD036")</f>
        <v>VD036</v>
      </c>
      <c r="I788" s="2">
        <f>IFERROR(__xludf.DUMMYFUNCTION("""COMPUTED_VALUE"""),9.0)</f>
        <v>9</v>
      </c>
      <c r="J788" s="2">
        <f>IFERROR(__xludf.DUMMYFUNCTION("""COMPUTED_VALUE"""),533.63)</f>
        <v>533.63</v>
      </c>
      <c r="K788" s="2">
        <f>IFERROR(__xludf.DUMMYFUNCTION("""COMPUTED_VALUE"""),533.63)</f>
        <v>533.63</v>
      </c>
    </row>
    <row r="789">
      <c r="A789" s="2">
        <f>IFERROR(__xludf.DUMMYFUNCTION("""COMPUTED_VALUE"""),1000.0)</f>
        <v>1000</v>
      </c>
      <c r="B789" s="2">
        <f>IFERROR(__xludf.DUMMYFUNCTION("""COMPUTED_VALUE"""),184021.0)</f>
        <v>184021</v>
      </c>
      <c r="C789" s="2">
        <f>IFERROR(__xludf.DUMMYFUNCTION("""COMPUTED_VALUE"""),2026.0)</f>
        <v>2026</v>
      </c>
      <c r="D789" s="2">
        <f>IFERROR(__xludf.DUMMYFUNCTION("""COMPUTED_VALUE"""),46232.0)</f>
        <v>46232</v>
      </c>
      <c r="E789" s="2" t="str">
        <f>IFERROR(__xludf.DUMMYFUNCTION("""COMPUTED_VALUE"""),"VF")</f>
        <v>VF</v>
      </c>
      <c r="F789" s="2">
        <f>IFERROR(__xludf.DUMMYFUNCTION("""COMPUTED_VALUE"""),1.0)</f>
        <v>1</v>
      </c>
      <c r="G789" s="2" t="str">
        <f>IFERROR(__xludf.DUMMYFUNCTION("""COMPUTED_VALUE"""),"PR039")</f>
        <v>PR039</v>
      </c>
      <c r="H789" s="2" t="str">
        <f>IFERROR(__xludf.DUMMYFUNCTION("""COMPUTED_VALUE"""),"VD013")</f>
        <v>VD013</v>
      </c>
      <c r="I789" s="2">
        <f>IFERROR(__xludf.DUMMYFUNCTION("""COMPUTED_VALUE"""),9.0)</f>
        <v>9</v>
      </c>
      <c r="J789" s="2">
        <f>IFERROR(__xludf.DUMMYFUNCTION("""COMPUTED_VALUE"""),1379.7)</f>
        <v>1379.7</v>
      </c>
      <c r="K789" s="2">
        <f>IFERROR(__xludf.DUMMYFUNCTION("""COMPUTED_VALUE"""),1379.7)</f>
        <v>1379.7</v>
      </c>
    </row>
    <row r="790">
      <c r="A790" s="2">
        <f>IFERROR(__xludf.DUMMYFUNCTION("""COMPUTED_VALUE"""),1000.0)</f>
        <v>1000</v>
      </c>
      <c r="B790" s="2">
        <f>IFERROR(__xludf.DUMMYFUNCTION("""COMPUTED_VALUE"""),184022.0)</f>
        <v>184022</v>
      </c>
      <c r="C790" s="2">
        <f>IFERROR(__xludf.DUMMYFUNCTION("""COMPUTED_VALUE"""),2026.0)</f>
        <v>2026</v>
      </c>
      <c r="D790" s="2">
        <f>IFERROR(__xludf.DUMMYFUNCTION("""COMPUTED_VALUE"""),46232.0)</f>
        <v>46232</v>
      </c>
      <c r="E790" s="2" t="str">
        <f>IFERROR(__xludf.DUMMYFUNCTION("""COMPUTED_VALUE"""),"VF")</f>
        <v>VF</v>
      </c>
      <c r="F790" s="2">
        <f>IFERROR(__xludf.DUMMYFUNCTION("""COMPUTED_VALUE"""),1.0)</f>
        <v>1</v>
      </c>
      <c r="G790" s="2" t="str">
        <f>IFERROR(__xludf.DUMMYFUNCTION("""COMPUTED_VALUE"""),"PR021")</f>
        <v>PR021</v>
      </c>
      <c r="H790" s="2" t="str">
        <f>IFERROR(__xludf.DUMMYFUNCTION("""COMPUTED_VALUE"""),"VD027")</f>
        <v>VD027</v>
      </c>
      <c r="I790" s="2">
        <f>IFERROR(__xludf.DUMMYFUNCTION("""COMPUTED_VALUE"""),4.0)</f>
        <v>4</v>
      </c>
      <c r="J790" s="2">
        <f>IFERROR(__xludf.DUMMYFUNCTION("""COMPUTED_VALUE"""),1260.06)</f>
        <v>1260.06</v>
      </c>
      <c r="K790" s="2">
        <f>IFERROR(__xludf.DUMMYFUNCTION("""COMPUTED_VALUE"""),1260.06)</f>
        <v>1260.06</v>
      </c>
    </row>
    <row r="791">
      <c r="A791" s="2">
        <f>IFERROR(__xludf.DUMMYFUNCTION("""COMPUTED_VALUE"""),1000.0)</f>
        <v>1000</v>
      </c>
      <c r="B791" s="2">
        <f>IFERROR(__xludf.DUMMYFUNCTION("""COMPUTED_VALUE"""),184023.0)</f>
        <v>184023</v>
      </c>
      <c r="C791" s="2">
        <f>IFERROR(__xludf.DUMMYFUNCTION("""COMPUTED_VALUE"""),2026.0)</f>
        <v>2026</v>
      </c>
      <c r="D791" s="2">
        <f>IFERROR(__xludf.DUMMYFUNCTION("""COMPUTED_VALUE"""),46232.0)</f>
        <v>46232</v>
      </c>
      <c r="E791" s="2" t="str">
        <f>IFERROR(__xludf.DUMMYFUNCTION("""COMPUTED_VALUE"""),"VF")</f>
        <v>VF</v>
      </c>
      <c r="F791" s="2">
        <f>IFERROR(__xludf.DUMMYFUNCTION("""COMPUTED_VALUE"""),1.0)</f>
        <v>1</v>
      </c>
      <c r="G791" s="2" t="str">
        <f>IFERROR(__xludf.DUMMYFUNCTION("""COMPUTED_VALUE"""),"PR047")</f>
        <v>PR047</v>
      </c>
      <c r="H791" s="2" t="str">
        <f>IFERROR(__xludf.DUMMYFUNCTION("""COMPUTED_VALUE"""),"VD030")</f>
        <v>VD030</v>
      </c>
      <c r="I791" s="2">
        <f>IFERROR(__xludf.DUMMYFUNCTION("""COMPUTED_VALUE"""),10.0)</f>
        <v>10</v>
      </c>
      <c r="J791" s="2">
        <f>IFERROR(__xludf.DUMMYFUNCTION("""COMPUTED_VALUE"""),3043.95)</f>
        <v>3043.95</v>
      </c>
      <c r="K791" s="2">
        <f>IFERROR(__xludf.DUMMYFUNCTION("""COMPUTED_VALUE"""),3043.95)</f>
        <v>3043.95</v>
      </c>
    </row>
    <row r="792">
      <c r="A792" s="2">
        <f>IFERROR(__xludf.DUMMYFUNCTION("""COMPUTED_VALUE"""),1000.0)</f>
        <v>1000</v>
      </c>
      <c r="B792" s="2">
        <f>IFERROR(__xludf.DUMMYFUNCTION("""COMPUTED_VALUE"""),184024.0)</f>
        <v>184024</v>
      </c>
      <c r="C792" s="2">
        <f>IFERROR(__xludf.DUMMYFUNCTION("""COMPUTED_VALUE"""),2026.0)</f>
        <v>2026</v>
      </c>
      <c r="D792" s="2">
        <f>IFERROR(__xludf.DUMMYFUNCTION("""COMPUTED_VALUE"""),46231.0)</f>
        <v>46231</v>
      </c>
      <c r="E792" s="2" t="str">
        <f>IFERROR(__xludf.DUMMYFUNCTION("""COMPUTED_VALUE"""),"VF")</f>
        <v>VF</v>
      </c>
      <c r="F792" s="2">
        <f>IFERROR(__xludf.DUMMYFUNCTION("""COMPUTED_VALUE"""),1.0)</f>
        <v>1</v>
      </c>
      <c r="G792" s="2" t="str">
        <f>IFERROR(__xludf.DUMMYFUNCTION("""COMPUTED_VALUE"""),"PR056")</f>
        <v>PR056</v>
      </c>
      <c r="H792" s="2" t="str">
        <f>IFERROR(__xludf.DUMMYFUNCTION("""COMPUTED_VALUE"""),"VD015")</f>
        <v>VD015</v>
      </c>
      <c r="I792" s="2">
        <f>IFERROR(__xludf.DUMMYFUNCTION("""COMPUTED_VALUE"""),7.0)</f>
        <v>7</v>
      </c>
      <c r="J792" s="2">
        <f>IFERROR(__xludf.DUMMYFUNCTION("""COMPUTED_VALUE"""),635.59)</f>
        <v>635.59</v>
      </c>
      <c r="K792" s="2">
        <f>IFERROR(__xludf.DUMMYFUNCTION("""COMPUTED_VALUE"""),635.59)</f>
        <v>635.59</v>
      </c>
    </row>
    <row r="793">
      <c r="A793" s="2">
        <f>IFERROR(__xludf.DUMMYFUNCTION("""COMPUTED_VALUE"""),1000.0)</f>
        <v>1000</v>
      </c>
      <c r="B793" s="2">
        <f>IFERROR(__xludf.DUMMYFUNCTION("""COMPUTED_VALUE"""),184025.0)</f>
        <v>184025</v>
      </c>
      <c r="C793" s="2">
        <f>IFERROR(__xludf.DUMMYFUNCTION("""COMPUTED_VALUE"""),2026.0)</f>
        <v>2026</v>
      </c>
      <c r="D793" s="2">
        <f>IFERROR(__xludf.DUMMYFUNCTION("""COMPUTED_VALUE"""),46231.0)</f>
        <v>46231</v>
      </c>
      <c r="E793" s="2" t="str">
        <f>IFERROR(__xludf.DUMMYFUNCTION("""COMPUTED_VALUE"""),"VF")</f>
        <v>VF</v>
      </c>
      <c r="F793" s="2">
        <f>IFERROR(__xludf.DUMMYFUNCTION("""COMPUTED_VALUE"""),1.0)</f>
        <v>1</v>
      </c>
      <c r="G793" s="2" t="str">
        <f>IFERROR(__xludf.DUMMYFUNCTION("""COMPUTED_VALUE"""),"PR057")</f>
        <v>PR057</v>
      </c>
      <c r="H793" s="2" t="str">
        <f>IFERROR(__xludf.DUMMYFUNCTION("""COMPUTED_VALUE"""),"VD010")</f>
        <v>VD010</v>
      </c>
      <c r="I793" s="2">
        <f>IFERROR(__xludf.DUMMYFUNCTION("""COMPUTED_VALUE"""),4.0)</f>
        <v>4</v>
      </c>
      <c r="J793" s="2">
        <f>IFERROR(__xludf.DUMMYFUNCTION("""COMPUTED_VALUE"""),381.18)</f>
        <v>381.18</v>
      </c>
      <c r="K793" s="2">
        <f>IFERROR(__xludf.DUMMYFUNCTION("""COMPUTED_VALUE"""),381.18)</f>
        <v>381.18</v>
      </c>
    </row>
    <row r="794">
      <c r="A794" s="2">
        <f>IFERROR(__xludf.DUMMYFUNCTION("""COMPUTED_VALUE"""),1000.0)</f>
        <v>1000</v>
      </c>
      <c r="B794" s="2">
        <f>IFERROR(__xludf.DUMMYFUNCTION("""COMPUTED_VALUE"""),184026.0)</f>
        <v>184026</v>
      </c>
      <c r="C794" s="2">
        <f>IFERROR(__xludf.DUMMYFUNCTION("""COMPUTED_VALUE"""),2026.0)</f>
        <v>2026</v>
      </c>
      <c r="D794" s="2">
        <f>IFERROR(__xludf.DUMMYFUNCTION("""COMPUTED_VALUE"""),46231.0)</f>
        <v>46231</v>
      </c>
      <c r="E794" s="2" t="str">
        <f>IFERROR(__xludf.DUMMYFUNCTION("""COMPUTED_VALUE"""),"VF")</f>
        <v>VF</v>
      </c>
      <c r="F794" s="2">
        <f>IFERROR(__xludf.DUMMYFUNCTION("""COMPUTED_VALUE"""),1.0)</f>
        <v>1</v>
      </c>
      <c r="G794" s="2" t="str">
        <f>IFERROR(__xludf.DUMMYFUNCTION("""COMPUTED_VALUE"""),"PR023")</f>
        <v>PR023</v>
      </c>
      <c r="H794" s="2" t="str">
        <f>IFERROR(__xludf.DUMMYFUNCTION("""COMPUTED_VALUE"""),"VD021")</f>
        <v>VD021</v>
      </c>
      <c r="I794" s="2">
        <f>IFERROR(__xludf.DUMMYFUNCTION("""COMPUTED_VALUE"""),6.0)</f>
        <v>6</v>
      </c>
      <c r="J794" s="2">
        <f>IFERROR(__xludf.DUMMYFUNCTION("""COMPUTED_VALUE"""),1604.36)</f>
        <v>1604.36</v>
      </c>
      <c r="K794" s="2">
        <f>IFERROR(__xludf.DUMMYFUNCTION("""COMPUTED_VALUE"""),1604.36)</f>
        <v>1604.36</v>
      </c>
    </row>
    <row r="795">
      <c r="A795" s="2">
        <f>IFERROR(__xludf.DUMMYFUNCTION("""COMPUTED_VALUE"""),1000.0)</f>
        <v>1000</v>
      </c>
      <c r="B795" s="2">
        <f>IFERROR(__xludf.DUMMYFUNCTION("""COMPUTED_VALUE"""),184027.0)</f>
        <v>184027</v>
      </c>
      <c r="C795" s="2">
        <f>IFERROR(__xludf.DUMMYFUNCTION("""COMPUTED_VALUE"""),2026.0)</f>
        <v>2026</v>
      </c>
      <c r="D795" s="2">
        <f>IFERROR(__xludf.DUMMYFUNCTION("""COMPUTED_VALUE"""),46230.0)</f>
        <v>46230</v>
      </c>
      <c r="E795" s="2" t="str">
        <f>IFERROR(__xludf.DUMMYFUNCTION("""COMPUTED_VALUE"""),"VF")</f>
        <v>VF</v>
      </c>
      <c r="F795" s="2">
        <f>IFERROR(__xludf.DUMMYFUNCTION("""COMPUTED_VALUE"""),1.0)</f>
        <v>1</v>
      </c>
      <c r="G795" s="2" t="str">
        <f>IFERROR(__xludf.DUMMYFUNCTION("""COMPUTED_VALUE"""),"PR001")</f>
        <v>PR001</v>
      </c>
      <c r="H795" s="2" t="str">
        <f>IFERROR(__xludf.DUMMYFUNCTION("""COMPUTED_VALUE"""),"VD036")</f>
        <v>VD036</v>
      </c>
      <c r="I795" s="2">
        <f>IFERROR(__xludf.DUMMYFUNCTION("""COMPUTED_VALUE"""),8.0)</f>
        <v>8</v>
      </c>
      <c r="J795" s="2">
        <f>IFERROR(__xludf.DUMMYFUNCTION("""COMPUTED_VALUE"""),574.65)</f>
        <v>574.65</v>
      </c>
      <c r="K795" s="2">
        <f>IFERROR(__xludf.DUMMYFUNCTION("""COMPUTED_VALUE"""),574.65)</f>
        <v>574.65</v>
      </c>
    </row>
    <row r="796">
      <c r="A796" s="2">
        <f>IFERROR(__xludf.DUMMYFUNCTION("""COMPUTED_VALUE"""),1000.0)</f>
        <v>1000</v>
      </c>
      <c r="B796" s="2">
        <f>IFERROR(__xludf.DUMMYFUNCTION("""COMPUTED_VALUE"""),184028.0)</f>
        <v>184028</v>
      </c>
      <c r="C796" s="2">
        <f>IFERROR(__xludf.DUMMYFUNCTION("""COMPUTED_VALUE"""),2026.0)</f>
        <v>2026</v>
      </c>
      <c r="D796" s="2">
        <f>IFERROR(__xludf.DUMMYFUNCTION("""COMPUTED_VALUE"""),46230.0)</f>
        <v>46230</v>
      </c>
      <c r="E796" s="2" t="str">
        <f>IFERROR(__xludf.DUMMYFUNCTION("""COMPUTED_VALUE"""),"VF")</f>
        <v>VF</v>
      </c>
      <c r="F796" s="2">
        <f>IFERROR(__xludf.DUMMYFUNCTION("""COMPUTED_VALUE"""),1.0)</f>
        <v>1</v>
      </c>
      <c r="G796" s="2" t="str">
        <f>IFERROR(__xludf.DUMMYFUNCTION("""COMPUTED_VALUE"""),"PR043")</f>
        <v>PR043</v>
      </c>
      <c r="H796" s="2" t="str">
        <f>IFERROR(__xludf.DUMMYFUNCTION("""COMPUTED_VALUE"""),"VD040")</f>
        <v>VD040</v>
      </c>
      <c r="I796" s="2">
        <f>IFERROR(__xludf.DUMMYFUNCTION("""COMPUTED_VALUE"""),2.0)</f>
        <v>2</v>
      </c>
      <c r="J796" s="2">
        <f>IFERROR(__xludf.DUMMYFUNCTION("""COMPUTED_VALUE"""),155.15)</f>
        <v>155.15</v>
      </c>
      <c r="K796" s="2">
        <f>IFERROR(__xludf.DUMMYFUNCTION("""COMPUTED_VALUE"""),155.15)</f>
        <v>155.15</v>
      </c>
    </row>
    <row r="797">
      <c r="A797" s="2">
        <f>IFERROR(__xludf.DUMMYFUNCTION("""COMPUTED_VALUE"""),1000.0)</f>
        <v>1000</v>
      </c>
      <c r="B797" s="2">
        <f>IFERROR(__xludf.DUMMYFUNCTION("""COMPUTED_VALUE"""),184029.0)</f>
        <v>184029</v>
      </c>
      <c r="C797" s="2">
        <f>IFERROR(__xludf.DUMMYFUNCTION("""COMPUTED_VALUE"""),2026.0)</f>
        <v>2026</v>
      </c>
      <c r="D797" s="2">
        <f>IFERROR(__xludf.DUMMYFUNCTION("""COMPUTED_VALUE"""),46230.0)</f>
        <v>46230</v>
      </c>
      <c r="E797" s="2" t="str">
        <f>IFERROR(__xludf.DUMMYFUNCTION("""COMPUTED_VALUE"""),"VF")</f>
        <v>VF</v>
      </c>
      <c r="F797" s="2">
        <f>IFERROR(__xludf.DUMMYFUNCTION("""COMPUTED_VALUE"""),1.0)</f>
        <v>1</v>
      </c>
      <c r="G797" s="2" t="str">
        <f>IFERROR(__xludf.DUMMYFUNCTION("""COMPUTED_VALUE"""),"PR058")</f>
        <v>PR058</v>
      </c>
      <c r="H797" s="2" t="str">
        <f>IFERROR(__xludf.DUMMYFUNCTION("""COMPUTED_VALUE"""),"VD030")</f>
        <v>VD030</v>
      </c>
      <c r="I797" s="2">
        <f>IFERROR(__xludf.DUMMYFUNCTION("""COMPUTED_VALUE"""),4.0)</f>
        <v>4</v>
      </c>
      <c r="J797" s="2">
        <f>IFERROR(__xludf.DUMMYFUNCTION("""COMPUTED_VALUE"""),720.0)</f>
        <v>720</v>
      </c>
      <c r="K797" s="2">
        <f>IFERROR(__xludf.DUMMYFUNCTION("""COMPUTED_VALUE"""),720.0)</f>
        <v>720</v>
      </c>
    </row>
    <row r="798">
      <c r="A798" s="2">
        <f>IFERROR(__xludf.DUMMYFUNCTION("""COMPUTED_VALUE"""),1000.0)</f>
        <v>1000</v>
      </c>
      <c r="B798" s="2">
        <f>IFERROR(__xludf.DUMMYFUNCTION("""COMPUTED_VALUE"""),184030.0)</f>
        <v>184030</v>
      </c>
      <c r="C798" s="2">
        <f>IFERROR(__xludf.DUMMYFUNCTION("""COMPUTED_VALUE"""),2026.0)</f>
        <v>2026</v>
      </c>
      <c r="D798" s="2">
        <f>IFERROR(__xludf.DUMMYFUNCTION("""COMPUTED_VALUE"""),46229.0)</f>
        <v>46229</v>
      </c>
      <c r="E798" s="2" t="str">
        <f>IFERROR(__xludf.DUMMYFUNCTION("""COMPUTED_VALUE"""),"VF")</f>
        <v>VF</v>
      </c>
      <c r="F798" s="2">
        <f>IFERROR(__xludf.DUMMYFUNCTION("""COMPUTED_VALUE"""),1.0)</f>
        <v>1</v>
      </c>
      <c r="G798" s="2" t="str">
        <f>IFERROR(__xludf.DUMMYFUNCTION("""COMPUTED_VALUE"""),"PR023")</f>
        <v>PR023</v>
      </c>
      <c r="H798" s="2" t="str">
        <f>IFERROR(__xludf.DUMMYFUNCTION("""COMPUTED_VALUE"""),"VD039")</f>
        <v>VD039</v>
      </c>
      <c r="I798" s="2">
        <f>IFERROR(__xludf.DUMMYFUNCTION("""COMPUTED_VALUE"""),9.0)</f>
        <v>9</v>
      </c>
      <c r="J798" s="2">
        <f>IFERROR(__xludf.DUMMYFUNCTION("""COMPUTED_VALUE"""),2474.01)</f>
        <v>2474.01</v>
      </c>
      <c r="K798" s="2">
        <f>IFERROR(__xludf.DUMMYFUNCTION("""COMPUTED_VALUE"""),2474.01)</f>
        <v>2474.01</v>
      </c>
    </row>
    <row r="799">
      <c r="A799" s="2">
        <f>IFERROR(__xludf.DUMMYFUNCTION("""COMPUTED_VALUE"""),1000.0)</f>
        <v>1000</v>
      </c>
      <c r="B799" s="2">
        <f>IFERROR(__xludf.DUMMYFUNCTION("""COMPUTED_VALUE"""),184031.0)</f>
        <v>184031</v>
      </c>
      <c r="C799" s="2">
        <f>IFERROR(__xludf.DUMMYFUNCTION("""COMPUTED_VALUE"""),2026.0)</f>
        <v>2026</v>
      </c>
      <c r="D799" s="2">
        <f>IFERROR(__xludf.DUMMYFUNCTION("""COMPUTED_VALUE"""),46229.0)</f>
        <v>46229</v>
      </c>
      <c r="E799" s="2" t="str">
        <f>IFERROR(__xludf.DUMMYFUNCTION("""COMPUTED_VALUE"""),"VF")</f>
        <v>VF</v>
      </c>
      <c r="F799" s="2">
        <f>IFERROR(__xludf.DUMMYFUNCTION("""COMPUTED_VALUE"""),1.0)</f>
        <v>1</v>
      </c>
      <c r="G799" s="2" t="str">
        <f>IFERROR(__xludf.DUMMYFUNCTION("""COMPUTED_VALUE"""),"PR012")</f>
        <v>PR012</v>
      </c>
      <c r="H799" s="2" t="str">
        <f>IFERROR(__xludf.DUMMYFUNCTION("""COMPUTED_VALUE"""),"VD032")</f>
        <v>VD032</v>
      </c>
      <c r="I799" s="2">
        <f>IFERROR(__xludf.DUMMYFUNCTION("""COMPUTED_VALUE"""),12.0)</f>
        <v>12</v>
      </c>
      <c r="J799" s="2">
        <f>IFERROR(__xludf.DUMMYFUNCTION("""COMPUTED_VALUE"""),610.27)</f>
        <v>610.27</v>
      </c>
      <c r="K799" s="2">
        <f>IFERROR(__xludf.DUMMYFUNCTION("""COMPUTED_VALUE"""),610.27)</f>
        <v>610.27</v>
      </c>
    </row>
    <row r="800">
      <c r="A800" s="2">
        <f>IFERROR(__xludf.DUMMYFUNCTION("""COMPUTED_VALUE"""),1000.0)</f>
        <v>1000</v>
      </c>
      <c r="B800" s="2">
        <f>IFERROR(__xludf.DUMMYFUNCTION("""COMPUTED_VALUE"""),184032.0)</f>
        <v>184032</v>
      </c>
      <c r="C800" s="2">
        <f>IFERROR(__xludf.DUMMYFUNCTION("""COMPUTED_VALUE"""),2026.0)</f>
        <v>2026</v>
      </c>
      <c r="D800" s="2">
        <f>IFERROR(__xludf.DUMMYFUNCTION("""COMPUTED_VALUE"""),46229.0)</f>
        <v>46229</v>
      </c>
      <c r="E800" s="2" t="str">
        <f>IFERROR(__xludf.DUMMYFUNCTION("""COMPUTED_VALUE"""),"VF")</f>
        <v>VF</v>
      </c>
      <c r="F800" s="2">
        <f>IFERROR(__xludf.DUMMYFUNCTION("""COMPUTED_VALUE"""),1.0)</f>
        <v>1</v>
      </c>
      <c r="G800" s="2" t="str">
        <f>IFERROR(__xludf.DUMMYFUNCTION("""COMPUTED_VALUE"""),"PR026")</f>
        <v>PR026</v>
      </c>
      <c r="H800" s="2" t="str">
        <f>IFERROR(__xludf.DUMMYFUNCTION("""COMPUTED_VALUE"""),"VD043")</f>
        <v>VD043</v>
      </c>
      <c r="I800" s="2">
        <f>IFERROR(__xludf.DUMMYFUNCTION("""COMPUTED_VALUE"""),2.0)</f>
        <v>2</v>
      </c>
      <c r="J800" s="2">
        <f>IFERROR(__xludf.DUMMYFUNCTION("""COMPUTED_VALUE"""),769.78)</f>
        <v>769.78</v>
      </c>
      <c r="K800" s="2">
        <f>IFERROR(__xludf.DUMMYFUNCTION("""COMPUTED_VALUE"""),769.78)</f>
        <v>769.78</v>
      </c>
    </row>
    <row r="801">
      <c r="A801" s="2">
        <f>IFERROR(__xludf.DUMMYFUNCTION("""COMPUTED_VALUE"""),1000.0)</f>
        <v>1000</v>
      </c>
      <c r="B801" s="2">
        <f>IFERROR(__xludf.DUMMYFUNCTION("""COMPUTED_VALUE"""),184033.0)</f>
        <v>184033</v>
      </c>
      <c r="C801" s="2">
        <f>IFERROR(__xludf.DUMMYFUNCTION("""COMPUTED_VALUE"""),2026.0)</f>
        <v>2026</v>
      </c>
      <c r="D801" s="2">
        <f>IFERROR(__xludf.DUMMYFUNCTION("""COMPUTED_VALUE"""),46229.0)</f>
        <v>46229</v>
      </c>
      <c r="E801" s="2" t="str">
        <f>IFERROR(__xludf.DUMMYFUNCTION("""COMPUTED_VALUE"""),"VF")</f>
        <v>VF</v>
      </c>
      <c r="F801" s="2">
        <f>IFERROR(__xludf.DUMMYFUNCTION("""COMPUTED_VALUE"""),1.0)</f>
        <v>1</v>
      </c>
      <c r="G801" s="2" t="str">
        <f>IFERROR(__xludf.DUMMYFUNCTION("""COMPUTED_VALUE"""),"PR002")</f>
        <v>PR002</v>
      </c>
      <c r="H801" s="2" t="str">
        <f>IFERROR(__xludf.DUMMYFUNCTION("""COMPUTED_VALUE"""),"VD036")</f>
        <v>VD036</v>
      </c>
      <c r="I801" s="2">
        <f>IFERROR(__xludf.DUMMYFUNCTION("""COMPUTED_VALUE"""),8.0)</f>
        <v>8</v>
      </c>
      <c r="J801" s="2">
        <f>IFERROR(__xludf.DUMMYFUNCTION("""COMPUTED_VALUE"""),587.16)</f>
        <v>587.16</v>
      </c>
      <c r="K801" s="2">
        <f>IFERROR(__xludf.DUMMYFUNCTION("""COMPUTED_VALUE"""),587.16)</f>
        <v>587.16</v>
      </c>
    </row>
    <row r="802">
      <c r="A802" s="2">
        <f>IFERROR(__xludf.DUMMYFUNCTION("""COMPUTED_VALUE"""),1000.0)</f>
        <v>1000</v>
      </c>
      <c r="B802" s="2">
        <f>IFERROR(__xludf.DUMMYFUNCTION("""COMPUTED_VALUE"""),184034.0)</f>
        <v>184034</v>
      </c>
      <c r="C802" s="2">
        <f>IFERROR(__xludf.DUMMYFUNCTION("""COMPUTED_VALUE"""),2026.0)</f>
        <v>2026</v>
      </c>
      <c r="D802" s="2">
        <f>IFERROR(__xludf.DUMMYFUNCTION("""COMPUTED_VALUE"""),46228.0)</f>
        <v>46228</v>
      </c>
      <c r="E802" s="2" t="str">
        <f>IFERROR(__xludf.DUMMYFUNCTION("""COMPUTED_VALUE"""),"VF")</f>
        <v>VF</v>
      </c>
      <c r="F802" s="2">
        <f>IFERROR(__xludf.DUMMYFUNCTION("""COMPUTED_VALUE"""),1.0)</f>
        <v>1</v>
      </c>
      <c r="G802" s="2" t="str">
        <f>IFERROR(__xludf.DUMMYFUNCTION("""COMPUTED_VALUE"""),"PR028")</f>
        <v>PR028</v>
      </c>
      <c r="H802" s="2" t="str">
        <f>IFERROR(__xludf.DUMMYFUNCTION("""COMPUTED_VALUE"""),"VD043")</f>
        <v>VD043</v>
      </c>
      <c r="I802" s="2">
        <f>IFERROR(__xludf.DUMMYFUNCTION("""COMPUTED_VALUE"""),4.0)</f>
        <v>4</v>
      </c>
      <c r="J802" s="2">
        <f>IFERROR(__xludf.DUMMYFUNCTION("""COMPUTED_VALUE"""),1049.58)</f>
        <v>1049.58</v>
      </c>
      <c r="K802" s="2">
        <f>IFERROR(__xludf.DUMMYFUNCTION("""COMPUTED_VALUE"""),1049.58)</f>
        <v>1049.58</v>
      </c>
    </row>
    <row r="803">
      <c r="A803" s="2">
        <f>IFERROR(__xludf.DUMMYFUNCTION("""COMPUTED_VALUE"""),1000.0)</f>
        <v>1000</v>
      </c>
      <c r="B803" s="2">
        <f>IFERROR(__xludf.DUMMYFUNCTION("""COMPUTED_VALUE"""),184034.0)</f>
        <v>184034</v>
      </c>
      <c r="C803" s="2">
        <f>IFERROR(__xludf.DUMMYFUNCTION("""COMPUTED_VALUE"""),2026.0)</f>
        <v>2026</v>
      </c>
      <c r="D803" s="2">
        <f>IFERROR(__xludf.DUMMYFUNCTION("""COMPUTED_VALUE"""),46228.0)</f>
        <v>46228</v>
      </c>
      <c r="E803" s="2" t="str">
        <f>IFERROR(__xludf.DUMMYFUNCTION("""COMPUTED_VALUE"""),"VF")</f>
        <v>VF</v>
      </c>
      <c r="F803" s="2">
        <f>IFERROR(__xludf.DUMMYFUNCTION("""COMPUTED_VALUE"""),2.0)</f>
        <v>2</v>
      </c>
      <c r="G803" s="2" t="str">
        <f>IFERROR(__xludf.DUMMYFUNCTION("""COMPUTED_VALUE"""),"PR044")</f>
        <v>PR044</v>
      </c>
      <c r="H803" s="2" t="str">
        <f>IFERROR(__xludf.DUMMYFUNCTION("""COMPUTED_VALUE"""),"VD021")</f>
        <v>VD021</v>
      </c>
      <c r="I803" s="2">
        <f>IFERROR(__xludf.DUMMYFUNCTION("""COMPUTED_VALUE"""),6.0)</f>
        <v>6</v>
      </c>
      <c r="J803" s="2">
        <f>IFERROR(__xludf.DUMMYFUNCTION("""COMPUTED_VALUE"""),439.35)</f>
        <v>439.35</v>
      </c>
      <c r="K803" s="2">
        <f>IFERROR(__xludf.DUMMYFUNCTION("""COMPUTED_VALUE"""),439.35)</f>
        <v>439.35</v>
      </c>
    </row>
    <row r="804">
      <c r="A804" s="2">
        <f>IFERROR(__xludf.DUMMYFUNCTION("""COMPUTED_VALUE"""),1000.0)</f>
        <v>1000</v>
      </c>
      <c r="B804" s="2">
        <f>IFERROR(__xludf.DUMMYFUNCTION("""COMPUTED_VALUE"""),184034.0)</f>
        <v>184034</v>
      </c>
      <c r="C804" s="2">
        <f>IFERROR(__xludf.DUMMYFUNCTION("""COMPUTED_VALUE"""),2026.0)</f>
        <v>2026</v>
      </c>
      <c r="D804" s="2">
        <f>IFERROR(__xludf.DUMMYFUNCTION("""COMPUTED_VALUE"""),46227.0)</f>
        <v>46227</v>
      </c>
      <c r="E804" s="2" t="str">
        <f>IFERROR(__xludf.DUMMYFUNCTION("""COMPUTED_VALUE"""),"VF")</f>
        <v>VF</v>
      </c>
      <c r="F804" s="2">
        <f>IFERROR(__xludf.DUMMYFUNCTION("""COMPUTED_VALUE"""),3.0)</f>
        <v>3</v>
      </c>
      <c r="G804" s="2" t="str">
        <f>IFERROR(__xludf.DUMMYFUNCTION("""COMPUTED_VALUE"""),"PR017")</f>
        <v>PR017</v>
      </c>
      <c r="H804" s="2" t="str">
        <f>IFERROR(__xludf.DUMMYFUNCTION("""COMPUTED_VALUE"""),"VD026")</f>
        <v>VD026</v>
      </c>
      <c r="I804" s="2">
        <f>IFERROR(__xludf.DUMMYFUNCTION("""COMPUTED_VALUE"""),2.0)</f>
        <v>2</v>
      </c>
      <c r="J804" s="2">
        <f>IFERROR(__xludf.DUMMYFUNCTION("""COMPUTED_VALUE"""),65.18)</f>
        <v>65.18</v>
      </c>
      <c r="K804" s="2">
        <f>IFERROR(__xludf.DUMMYFUNCTION("""COMPUTED_VALUE"""),65.18)</f>
        <v>65.18</v>
      </c>
    </row>
    <row r="805">
      <c r="A805" s="2">
        <f>IFERROR(__xludf.DUMMYFUNCTION("""COMPUTED_VALUE"""),1000.0)</f>
        <v>1000</v>
      </c>
      <c r="B805" s="2">
        <f>IFERROR(__xludf.DUMMYFUNCTION("""COMPUTED_VALUE"""),184035.0)</f>
        <v>184035</v>
      </c>
      <c r="C805" s="2">
        <f>IFERROR(__xludf.DUMMYFUNCTION("""COMPUTED_VALUE"""),2026.0)</f>
        <v>2026</v>
      </c>
      <c r="D805" s="2">
        <f>IFERROR(__xludf.DUMMYFUNCTION("""COMPUTED_VALUE"""),46227.0)</f>
        <v>46227</v>
      </c>
      <c r="E805" s="2" t="str">
        <f>IFERROR(__xludf.DUMMYFUNCTION("""COMPUTED_VALUE"""),"VF")</f>
        <v>VF</v>
      </c>
      <c r="F805" s="2">
        <f>IFERROR(__xludf.DUMMYFUNCTION("""COMPUTED_VALUE"""),1.0)</f>
        <v>1</v>
      </c>
      <c r="G805" s="2" t="str">
        <f>IFERROR(__xludf.DUMMYFUNCTION("""COMPUTED_VALUE"""),"PR008")</f>
        <v>PR008</v>
      </c>
      <c r="H805" s="2" t="str">
        <f>IFERROR(__xludf.DUMMYFUNCTION("""COMPUTED_VALUE"""),"VD027")</f>
        <v>VD027</v>
      </c>
      <c r="I805" s="2">
        <f>IFERROR(__xludf.DUMMYFUNCTION("""COMPUTED_VALUE"""),6.0)</f>
        <v>6</v>
      </c>
      <c r="J805" s="2">
        <f>IFERROR(__xludf.DUMMYFUNCTION("""COMPUTED_VALUE"""),593.34)</f>
        <v>593.34</v>
      </c>
      <c r="K805" s="2">
        <f>IFERROR(__xludf.DUMMYFUNCTION("""COMPUTED_VALUE"""),593.34)</f>
        <v>593.34</v>
      </c>
    </row>
    <row r="806">
      <c r="A806" s="2">
        <f>IFERROR(__xludf.DUMMYFUNCTION("""COMPUTED_VALUE"""),1000.0)</f>
        <v>1000</v>
      </c>
      <c r="B806" s="2">
        <f>IFERROR(__xludf.DUMMYFUNCTION("""COMPUTED_VALUE"""),184036.0)</f>
        <v>184036</v>
      </c>
      <c r="C806" s="2">
        <f>IFERROR(__xludf.DUMMYFUNCTION("""COMPUTED_VALUE"""),2026.0)</f>
        <v>2026</v>
      </c>
      <c r="D806" s="2">
        <f>IFERROR(__xludf.DUMMYFUNCTION("""COMPUTED_VALUE"""),46227.0)</f>
        <v>46227</v>
      </c>
      <c r="E806" s="2" t="str">
        <f>IFERROR(__xludf.DUMMYFUNCTION("""COMPUTED_VALUE"""),"VF")</f>
        <v>VF</v>
      </c>
      <c r="F806" s="2">
        <f>IFERROR(__xludf.DUMMYFUNCTION("""COMPUTED_VALUE"""),1.0)</f>
        <v>1</v>
      </c>
      <c r="G806" s="2" t="str">
        <f>IFERROR(__xludf.DUMMYFUNCTION("""COMPUTED_VALUE"""),"PR041")</f>
        <v>PR041</v>
      </c>
      <c r="H806" s="2" t="str">
        <f>IFERROR(__xludf.DUMMYFUNCTION("""COMPUTED_VALUE"""),"VD018")</f>
        <v>VD018</v>
      </c>
      <c r="I806" s="2">
        <f>IFERROR(__xludf.DUMMYFUNCTION("""COMPUTED_VALUE"""),3.0)</f>
        <v>3</v>
      </c>
      <c r="J806" s="2">
        <f>IFERROR(__xludf.DUMMYFUNCTION("""COMPUTED_VALUE"""),176.23)</f>
        <v>176.23</v>
      </c>
      <c r="K806" s="2">
        <f>IFERROR(__xludf.DUMMYFUNCTION("""COMPUTED_VALUE"""),176.23)</f>
        <v>176.23</v>
      </c>
    </row>
    <row r="807">
      <c r="A807" s="2">
        <f>IFERROR(__xludf.DUMMYFUNCTION("""COMPUTED_VALUE"""),1000.0)</f>
        <v>1000</v>
      </c>
      <c r="B807" s="2">
        <f>IFERROR(__xludf.DUMMYFUNCTION("""COMPUTED_VALUE"""),184036.0)</f>
        <v>184036</v>
      </c>
      <c r="C807" s="2">
        <f>IFERROR(__xludf.DUMMYFUNCTION("""COMPUTED_VALUE"""),2026.0)</f>
        <v>2026</v>
      </c>
      <c r="D807" s="2">
        <f>IFERROR(__xludf.DUMMYFUNCTION("""COMPUTED_VALUE"""),46227.0)</f>
        <v>46227</v>
      </c>
      <c r="E807" s="2" t="str">
        <f>IFERROR(__xludf.DUMMYFUNCTION("""COMPUTED_VALUE"""),"VF")</f>
        <v>VF</v>
      </c>
      <c r="F807" s="2">
        <f>IFERROR(__xludf.DUMMYFUNCTION("""COMPUTED_VALUE"""),2.0)</f>
        <v>2</v>
      </c>
      <c r="G807" s="2" t="str">
        <f>IFERROR(__xludf.DUMMYFUNCTION("""COMPUTED_VALUE"""),"PR012")</f>
        <v>PR012</v>
      </c>
      <c r="H807" s="2" t="str">
        <f>IFERROR(__xludf.DUMMYFUNCTION("""COMPUTED_VALUE"""),"VD013")</f>
        <v>VD013</v>
      </c>
      <c r="I807" s="2">
        <f>IFERROR(__xludf.DUMMYFUNCTION("""COMPUTED_VALUE"""),8.0)</f>
        <v>8</v>
      </c>
      <c r="J807" s="2">
        <f>IFERROR(__xludf.DUMMYFUNCTION("""COMPUTED_VALUE"""),402.94)</f>
        <v>402.94</v>
      </c>
      <c r="K807" s="2">
        <f>IFERROR(__xludf.DUMMYFUNCTION("""COMPUTED_VALUE"""),402.94)</f>
        <v>402.94</v>
      </c>
    </row>
    <row r="808">
      <c r="A808" s="2">
        <f>IFERROR(__xludf.DUMMYFUNCTION("""COMPUTED_VALUE"""),1000.0)</f>
        <v>1000</v>
      </c>
      <c r="B808" s="2">
        <f>IFERROR(__xludf.DUMMYFUNCTION("""COMPUTED_VALUE"""),184037.0)</f>
        <v>184037</v>
      </c>
      <c r="C808" s="2">
        <f>IFERROR(__xludf.DUMMYFUNCTION("""COMPUTED_VALUE"""),2026.0)</f>
        <v>2026</v>
      </c>
      <c r="D808" s="2">
        <f>IFERROR(__xludf.DUMMYFUNCTION("""COMPUTED_VALUE"""),46227.0)</f>
        <v>46227</v>
      </c>
      <c r="E808" s="2" t="str">
        <f>IFERROR(__xludf.DUMMYFUNCTION("""COMPUTED_VALUE"""),"VF")</f>
        <v>VF</v>
      </c>
      <c r="F808" s="2">
        <f>IFERROR(__xludf.DUMMYFUNCTION("""COMPUTED_VALUE"""),1.0)</f>
        <v>1</v>
      </c>
      <c r="G808" s="2" t="str">
        <f>IFERROR(__xludf.DUMMYFUNCTION("""COMPUTED_VALUE"""),"PR039")</f>
        <v>PR039</v>
      </c>
      <c r="H808" s="2" t="str">
        <f>IFERROR(__xludf.DUMMYFUNCTION("""COMPUTED_VALUE"""),"VD027")</f>
        <v>VD027</v>
      </c>
      <c r="I808" s="2">
        <f>IFERROR(__xludf.DUMMYFUNCTION("""COMPUTED_VALUE"""),2.0)</f>
        <v>2</v>
      </c>
      <c r="J808" s="2">
        <f>IFERROR(__xludf.DUMMYFUNCTION("""COMPUTED_VALUE"""),312.44)</f>
        <v>312.44</v>
      </c>
      <c r="K808" s="2">
        <f>IFERROR(__xludf.DUMMYFUNCTION("""COMPUTED_VALUE"""),312.44)</f>
        <v>312.44</v>
      </c>
    </row>
    <row r="809">
      <c r="A809" s="2">
        <f>IFERROR(__xludf.DUMMYFUNCTION("""COMPUTED_VALUE"""),1000.0)</f>
        <v>1000</v>
      </c>
      <c r="B809" s="2">
        <f>IFERROR(__xludf.DUMMYFUNCTION("""COMPUTED_VALUE"""),184037.0)</f>
        <v>184037</v>
      </c>
      <c r="C809" s="2">
        <f>IFERROR(__xludf.DUMMYFUNCTION("""COMPUTED_VALUE"""),2026.0)</f>
        <v>2026</v>
      </c>
      <c r="D809" s="2">
        <f>IFERROR(__xludf.DUMMYFUNCTION("""COMPUTED_VALUE"""),46227.0)</f>
        <v>46227</v>
      </c>
      <c r="E809" s="2" t="str">
        <f>IFERROR(__xludf.DUMMYFUNCTION("""COMPUTED_VALUE"""),"VF")</f>
        <v>VF</v>
      </c>
      <c r="F809" s="2">
        <f>IFERROR(__xludf.DUMMYFUNCTION("""COMPUTED_VALUE"""),2.0)</f>
        <v>2</v>
      </c>
      <c r="G809" s="2" t="str">
        <f>IFERROR(__xludf.DUMMYFUNCTION("""COMPUTED_VALUE"""),"PR054")</f>
        <v>PR054</v>
      </c>
      <c r="H809" s="2" t="str">
        <f>IFERROR(__xludf.DUMMYFUNCTION("""COMPUTED_VALUE"""),"VD036")</f>
        <v>VD036</v>
      </c>
      <c r="I809" s="2">
        <f>IFERROR(__xludf.DUMMYFUNCTION("""COMPUTED_VALUE"""),4.0)</f>
        <v>4</v>
      </c>
      <c r="J809" s="2">
        <f>IFERROR(__xludf.DUMMYFUNCTION("""COMPUTED_VALUE"""),205.59)</f>
        <v>205.59</v>
      </c>
      <c r="K809" s="2">
        <f>IFERROR(__xludf.DUMMYFUNCTION("""COMPUTED_VALUE"""),205.59)</f>
        <v>205.59</v>
      </c>
    </row>
    <row r="810">
      <c r="A810" s="2">
        <f>IFERROR(__xludf.DUMMYFUNCTION("""COMPUTED_VALUE"""),1000.0)</f>
        <v>1000</v>
      </c>
      <c r="B810" s="2">
        <f>IFERROR(__xludf.DUMMYFUNCTION("""COMPUTED_VALUE"""),184038.0)</f>
        <v>184038</v>
      </c>
      <c r="C810" s="2">
        <f>IFERROR(__xludf.DUMMYFUNCTION("""COMPUTED_VALUE"""),2026.0)</f>
        <v>2026</v>
      </c>
      <c r="D810" s="2">
        <f>IFERROR(__xludf.DUMMYFUNCTION("""COMPUTED_VALUE"""),46227.0)</f>
        <v>46227</v>
      </c>
      <c r="E810" s="2" t="str">
        <f>IFERROR(__xludf.DUMMYFUNCTION("""COMPUTED_VALUE"""),"VF")</f>
        <v>VF</v>
      </c>
      <c r="F810" s="2">
        <f>IFERROR(__xludf.DUMMYFUNCTION("""COMPUTED_VALUE"""),1.0)</f>
        <v>1</v>
      </c>
      <c r="G810" s="2" t="str">
        <f>IFERROR(__xludf.DUMMYFUNCTION("""COMPUTED_VALUE"""),"PR057")</f>
        <v>PR057</v>
      </c>
      <c r="H810" s="2" t="str">
        <f>IFERROR(__xludf.DUMMYFUNCTION("""COMPUTED_VALUE"""),"VD021")</f>
        <v>VD021</v>
      </c>
      <c r="I810" s="2">
        <f>IFERROR(__xludf.DUMMYFUNCTION("""COMPUTED_VALUE"""),6.0)</f>
        <v>6</v>
      </c>
      <c r="J810" s="2">
        <f>IFERROR(__xludf.DUMMYFUNCTION("""COMPUTED_VALUE"""),539.4)</f>
        <v>539.4</v>
      </c>
      <c r="K810" s="2">
        <f>IFERROR(__xludf.DUMMYFUNCTION("""COMPUTED_VALUE"""),539.4)</f>
        <v>539.4</v>
      </c>
    </row>
    <row r="811">
      <c r="A811" s="2">
        <f>IFERROR(__xludf.DUMMYFUNCTION("""COMPUTED_VALUE"""),1000.0)</f>
        <v>1000</v>
      </c>
      <c r="B811" s="2">
        <f>IFERROR(__xludf.DUMMYFUNCTION("""COMPUTED_VALUE"""),184038.0)</f>
        <v>184038</v>
      </c>
      <c r="C811" s="2">
        <f>IFERROR(__xludf.DUMMYFUNCTION("""COMPUTED_VALUE"""),2026.0)</f>
        <v>2026</v>
      </c>
      <c r="D811" s="2">
        <f>IFERROR(__xludf.DUMMYFUNCTION("""COMPUTED_VALUE"""),46227.0)</f>
        <v>46227</v>
      </c>
      <c r="E811" s="2" t="str">
        <f>IFERROR(__xludf.DUMMYFUNCTION("""COMPUTED_VALUE"""),"VF")</f>
        <v>VF</v>
      </c>
      <c r="F811" s="2">
        <f>IFERROR(__xludf.DUMMYFUNCTION("""COMPUTED_VALUE"""),2.0)</f>
        <v>2</v>
      </c>
      <c r="G811" s="2" t="str">
        <f>IFERROR(__xludf.DUMMYFUNCTION("""COMPUTED_VALUE"""),"PR013")</f>
        <v>PR013</v>
      </c>
      <c r="H811" s="2" t="str">
        <f>IFERROR(__xludf.DUMMYFUNCTION("""COMPUTED_VALUE"""),"VD010")</f>
        <v>VD010</v>
      </c>
      <c r="I811" s="2">
        <f>IFERROR(__xludf.DUMMYFUNCTION("""COMPUTED_VALUE"""),14.0)</f>
        <v>14</v>
      </c>
      <c r="J811" s="2">
        <f>IFERROR(__xludf.DUMMYFUNCTION("""COMPUTED_VALUE"""),558.6)</f>
        <v>558.6</v>
      </c>
      <c r="K811" s="2">
        <f>IFERROR(__xludf.DUMMYFUNCTION("""COMPUTED_VALUE"""),558.6)</f>
        <v>558.6</v>
      </c>
    </row>
    <row r="812">
      <c r="A812" s="2">
        <f>IFERROR(__xludf.DUMMYFUNCTION("""COMPUTED_VALUE"""),1000.0)</f>
        <v>1000</v>
      </c>
      <c r="B812" s="2">
        <f>IFERROR(__xludf.DUMMYFUNCTION("""COMPUTED_VALUE"""),184039.0)</f>
        <v>184039</v>
      </c>
      <c r="C812" s="2">
        <f>IFERROR(__xludf.DUMMYFUNCTION("""COMPUTED_VALUE"""),2026.0)</f>
        <v>2026</v>
      </c>
      <c r="D812" s="2">
        <f>IFERROR(__xludf.DUMMYFUNCTION("""COMPUTED_VALUE"""),46226.0)</f>
        <v>46226</v>
      </c>
      <c r="E812" s="2" t="str">
        <f>IFERROR(__xludf.DUMMYFUNCTION("""COMPUTED_VALUE"""),"VF")</f>
        <v>VF</v>
      </c>
      <c r="F812" s="2">
        <f>IFERROR(__xludf.DUMMYFUNCTION("""COMPUTED_VALUE"""),1.0)</f>
        <v>1</v>
      </c>
      <c r="G812" s="2" t="str">
        <f>IFERROR(__xludf.DUMMYFUNCTION("""COMPUTED_VALUE"""),"PR033")</f>
        <v>PR033</v>
      </c>
      <c r="H812" s="2" t="str">
        <f>IFERROR(__xludf.DUMMYFUNCTION("""COMPUTED_VALUE"""),"VD038")</f>
        <v>VD038</v>
      </c>
      <c r="I812" s="2">
        <f>IFERROR(__xludf.DUMMYFUNCTION("""COMPUTED_VALUE"""),4.0)</f>
        <v>4</v>
      </c>
      <c r="J812" s="2">
        <f>IFERROR(__xludf.DUMMYFUNCTION("""COMPUTED_VALUE"""),1050.0)</f>
        <v>1050</v>
      </c>
      <c r="K812" s="2">
        <f>IFERROR(__xludf.DUMMYFUNCTION("""COMPUTED_VALUE"""),1050.0)</f>
        <v>1050</v>
      </c>
    </row>
    <row r="813">
      <c r="A813" s="2">
        <f>IFERROR(__xludf.DUMMYFUNCTION("""COMPUTED_VALUE"""),1000.0)</f>
        <v>1000</v>
      </c>
      <c r="B813" s="2">
        <f>IFERROR(__xludf.DUMMYFUNCTION("""COMPUTED_VALUE"""),184040.0)</f>
        <v>184040</v>
      </c>
      <c r="C813" s="2">
        <f>IFERROR(__xludf.DUMMYFUNCTION("""COMPUTED_VALUE"""),2026.0)</f>
        <v>2026</v>
      </c>
      <c r="D813" s="2">
        <f>IFERROR(__xludf.DUMMYFUNCTION("""COMPUTED_VALUE"""),46226.0)</f>
        <v>46226</v>
      </c>
      <c r="E813" s="2" t="str">
        <f>IFERROR(__xludf.DUMMYFUNCTION("""COMPUTED_VALUE"""),"VF")</f>
        <v>VF</v>
      </c>
      <c r="F813" s="2">
        <f>IFERROR(__xludf.DUMMYFUNCTION("""COMPUTED_VALUE"""),1.0)</f>
        <v>1</v>
      </c>
      <c r="G813" s="2" t="str">
        <f>IFERROR(__xludf.DUMMYFUNCTION("""COMPUTED_VALUE"""),"PR009")</f>
        <v>PR009</v>
      </c>
      <c r="H813" s="2" t="str">
        <f>IFERROR(__xludf.DUMMYFUNCTION("""COMPUTED_VALUE"""),"VD012")</f>
        <v>VD012</v>
      </c>
      <c r="I813" s="2">
        <f>IFERROR(__xludf.DUMMYFUNCTION("""COMPUTED_VALUE"""),2.0)</f>
        <v>2</v>
      </c>
      <c r="J813" s="2">
        <f>IFERROR(__xludf.DUMMYFUNCTION("""COMPUTED_VALUE"""),187.66)</f>
        <v>187.66</v>
      </c>
      <c r="K813" s="2">
        <f>IFERROR(__xludf.DUMMYFUNCTION("""COMPUTED_VALUE"""),187.66)</f>
        <v>187.66</v>
      </c>
    </row>
    <row r="814">
      <c r="A814" s="2">
        <f>IFERROR(__xludf.DUMMYFUNCTION("""COMPUTED_VALUE"""),1000.0)</f>
        <v>1000</v>
      </c>
      <c r="B814" s="2">
        <f>IFERROR(__xludf.DUMMYFUNCTION("""COMPUTED_VALUE"""),184041.0)</f>
        <v>184041</v>
      </c>
      <c r="C814" s="2">
        <f>IFERROR(__xludf.DUMMYFUNCTION("""COMPUTED_VALUE"""),2026.0)</f>
        <v>2026</v>
      </c>
      <c r="D814" s="2">
        <f>IFERROR(__xludf.DUMMYFUNCTION("""COMPUTED_VALUE"""),46226.0)</f>
        <v>46226</v>
      </c>
      <c r="E814" s="2" t="str">
        <f>IFERROR(__xludf.DUMMYFUNCTION("""COMPUTED_VALUE"""),"VF")</f>
        <v>VF</v>
      </c>
      <c r="F814" s="2">
        <f>IFERROR(__xludf.DUMMYFUNCTION("""COMPUTED_VALUE"""),1.0)</f>
        <v>1</v>
      </c>
      <c r="G814" s="2" t="str">
        <f>IFERROR(__xludf.DUMMYFUNCTION("""COMPUTED_VALUE"""),"PR016")</f>
        <v>PR016</v>
      </c>
      <c r="H814" s="2" t="str">
        <f>IFERROR(__xludf.DUMMYFUNCTION("""COMPUTED_VALUE"""),"VD010")</f>
        <v>VD010</v>
      </c>
      <c r="I814" s="2">
        <f>IFERROR(__xludf.DUMMYFUNCTION("""COMPUTED_VALUE"""),4.0)</f>
        <v>4</v>
      </c>
      <c r="J814" s="2">
        <f>IFERROR(__xludf.DUMMYFUNCTION("""COMPUTED_VALUE"""),106.71)</f>
        <v>106.71</v>
      </c>
      <c r="K814" s="2">
        <f>IFERROR(__xludf.DUMMYFUNCTION("""COMPUTED_VALUE"""),106.71)</f>
        <v>106.71</v>
      </c>
    </row>
    <row r="815">
      <c r="A815" s="2">
        <f>IFERROR(__xludf.DUMMYFUNCTION("""COMPUTED_VALUE"""),2000.0)</f>
        <v>2000</v>
      </c>
      <c r="B815" s="2">
        <f>IFERROR(__xludf.DUMMYFUNCTION("""COMPUTED_VALUE"""),184041.0)</f>
        <v>184041</v>
      </c>
      <c r="C815" s="2">
        <f>IFERROR(__xludf.DUMMYFUNCTION("""COMPUTED_VALUE"""),2026.0)</f>
        <v>2026</v>
      </c>
      <c r="D815" s="2">
        <f>IFERROR(__xludf.DUMMYFUNCTION("""COMPUTED_VALUE"""),46225.0)</f>
        <v>46225</v>
      </c>
      <c r="E815" s="2" t="str">
        <f>IFERROR(__xludf.DUMMYFUNCTION("""COMPUTED_VALUE"""),"VF")</f>
        <v>VF</v>
      </c>
      <c r="F815" s="2">
        <f>IFERROR(__xludf.DUMMYFUNCTION("""COMPUTED_VALUE"""),2.0)</f>
        <v>2</v>
      </c>
      <c r="G815" s="2" t="str">
        <f>IFERROR(__xludf.DUMMYFUNCTION("""COMPUTED_VALUE"""),"PR023")</f>
        <v>PR023</v>
      </c>
      <c r="H815" s="2" t="str">
        <f>IFERROR(__xludf.DUMMYFUNCTION("""COMPUTED_VALUE"""),"VD018")</f>
        <v>VD018</v>
      </c>
      <c r="I815" s="2">
        <f>IFERROR(__xludf.DUMMYFUNCTION("""COMPUTED_VALUE"""),10.0)</f>
        <v>10</v>
      </c>
      <c r="J815" s="2">
        <f>IFERROR(__xludf.DUMMYFUNCTION("""COMPUTED_VALUE"""),2623.95)</f>
        <v>2623.95</v>
      </c>
      <c r="K815" s="2">
        <f>IFERROR(__xludf.DUMMYFUNCTION("""COMPUTED_VALUE"""),2623.95)</f>
        <v>2623.95</v>
      </c>
    </row>
    <row r="816">
      <c r="A816" s="2">
        <f>IFERROR(__xludf.DUMMYFUNCTION("""COMPUTED_VALUE"""),1000.0)</f>
        <v>1000</v>
      </c>
      <c r="B816" s="2">
        <f>IFERROR(__xludf.DUMMYFUNCTION("""COMPUTED_VALUE"""),184042.0)</f>
        <v>184042</v>
      </c>
      <c r="C816" s="2">
        <f>IFERROR(__xludf.DUMMYFUNCTION("""COMPUTED_VALUE"""),2026.0)</f>
        <v>2026</v>
      </c>
      <c r="D816" s="2">
        <f>IFERROR(__xludf.DUMMYFUNCTION("""COMPUTED_VALUE"""),46225.0)</f>
        <v>46225</v>
      </c>
      <c r="E816" s="2" t="str">
        <f>IFERROR(__xludf.DUMMYFUNCTION("""COMPUTED_VALUE"""),"VF")</f>
        <v>VF</v>
      </c>
      <c r="F816" s="2">
        <f>IFERROR(__xludf.DUMMYFUNCTION("""COMPUTED_VALUE"""),1.0)</f>
        <v>1</v>
      </c>
      <c r="G816" s="2" t="str">
        <f>IFERROR(__xludf.DUMMYFUNCTION("""COMPUTED_VALUE"""),"PR031")</f>
        <v>PR031</v>
      </c>
      <c r="H816" s="2" t="str">
        <f>IFERROR(__xludf.DUMMYFUNCTION("""COMPUTED_VALUE"""),"VD035")</f>
        <v>VD035</v>
      </c>
      <c r="I816" s="2">
        <f>IFERROR(__xludf.DUMMYFUNCTION("""COMPUTED_VALUE"""),10.0)</f>
        <v>10</v>
      </c>
      <c r="J816" s="2">
        <f>IFERROR(__xludf.DUMMYFUNCTION("""COMPUTED_VALUE"""),2646.0)</f>
        <v>2646</v>
      </c>
      <c r="K816" s="2">
        <f>IFERROR(__xludf.DUMMYFUNCTION("""COMPUTED_VALUE"""),2646.0)</f>
        <v>2646</v>
      </c>
    </row>
    <row r="817">
      <c r="A817" s="2">
        <f>IFERROR(__xludf.DUMMYFUNCTION("""COMPUTED_VALUE"""),1000.0)</f>
        <v>1000</v>
      </c>
      <c r="B817" s="2">
        <f>IFERROR(__xludf.DUMMYFUNCTION("""COMPUTED_VALUE"""),184043.0)</f>
        <v>184043</v>
      </c>
      <c r="C817" s="2">
        <f>IFERROR(__xludf.DUMMYFUNCTION("""COMPUTED_VALUE"""),2026.0)</f>
        <v>2026</v>
      </c>
      <c r="D817" s="2">
        <f>IFERROR(__xludf.DUMMYFUNCTION("""COMPUTED_VALUE"""),46224.0)</f>
        <v>46224</v>
      </c>
      <c r="E817" s="2" t="str">
        <f>IFERROR(__xludf.DUMMYFUNCTION("""COMPUTED_VALUE"""),"VF")</f>
        <v>VF</v>
      </c>
      <c r="F817" s="2">
        <f>IFERROR(__xludf.DUMMYFUNCTION("""COMPUTED_VALUE"""),1.0)</f>
        <v>1</v>
      </c>
      <c r="G817" s="2" t="str">
        <f>IFERROR(__xludf.DUMMYFUNCTION("""COMPUTED_VALUE"""),"PR024")</f>
        <v>PR024</v>
      </c>
      <c r="H817" s="2" t="str">
        <f>IFERROR(__xludf.DUMMYFUNCTION("""COMPUTED_VALUE"""),"VD031")</f>
        <v>VD031</v>
      </c>
      <c r="I817" s="2">
        <f>IFERROR(__xludf.DUMMYFUNCTION("""COMPUTED_VALUE"""),4.0)</f>
        <v>4</v>
      </c>
      <c r="J817" s="2">
        <f>IFERROR(__xludf.DUMMYFUNCTION("""COMPUTED_VALUE"""),1060.39)</f>
        <v>1060.39</v>
      </c>
      <c r="K817" s="2">
        <f>IFERROR(__xludf.DUMMYFUNCTION("""COMPUTED_VALUE"""),1060.39)</f>
        <v>1060.39</v>
      </c>
    </row>
    <row r="818">
      <c r="A818" s="2">
        <f>IFERROR(__xludf.DUMMYFUNCTION("""COMPUTED_VALUE"""),1000.0)</f>
        <v>1000</v>
      </c>
      <c r="B818" s="2">
        <f>IFERROR(__xludf.DUMMYFUNCTION("""COMPUTED_VALUE"""),184044.0)</f>
        <v>184044</v>
      </c>
      <c r="C818" s="2">
        <f>IFERROR(__xludf.DUMMYFUNCTION("""COMPUTED_VALUE"""),2026.0)</f>
        <v>2026</v>
      </c>
      <c r="D818" s="2">
        <f>IFERROR(__xludf.DUMMYFUNCTION("""COMPUTED_VALUE"""),46224.0)</f>
        <v>46224</v>
      </c>
      <c r="E818" s="2" t="str">
        <f>IFERROR(__xludf.DUMMYFUNCTION("""COMPUTED_VALUE"""),"VF")</f>
        <v>VF</v>
      </c>
      <c r="F818" s="2">
        <f>IFERROR(__xludf.DUMMYFUNCTION("""COMPUTED_VALUE"""),1.0)</f>
        <v>1</v>
      </c>
      <c r="G818" s="2" t="str">
        <f>IFERROR(__xludf.DUMMYFUNCTION("""COMPUTED_VALUE"""),"PR014")</f>
        <v>PR014</v>
      </c>
      <c r="H818" s="2" t="str">
        <f>IFERROR(__xludf.DUMMYFUNCTION("""COMPUTED_VALUE"""),"VD023")</f>
        <v>VD023</v>
      </c>
      <c r="I818" s="2">
        <f>IFERROR(__xludf.DUMMYFUNCTION("""COMPUTED_VALUE"""),4.0)</f>
        <v>4</v>
      </c>
      <c r="J818" s="2">
        <f>IFERROR(__xludf.DUMMYFUNCTION("""COMPUTED_VALUE"""),172.37)</f>
        <v>172.37</v>
      </c>
      <c r="K818" s="2">
        <f>IFERROR(__xludf.DUMMYFUNCTION("""COMPUTED_VALUE"""),172.37)</f>
        <v>172.37</v>
      </c>
    </row>
    <row r="819">
      <c r="A819" s="2">
        <f>IFERROR(__xludf.DUMMYFUNCTION("""COMPUTED_VALUE"""),2000.0)</f>
        <v>2000</v>
      </c>
      <c r="B819" s="2">
        <f>IFERROR(__xludf.DUMMYFUNCTION("""COMPUTED_VALUE"""),184045.0)</f>
        <v>184045</v>
      </c>
      <c r="C819" s="2">
        <f>IFERROR(__xludf.DUMMYFUNCTION("""COMPUTED_VALUE"""),2026.0)</f>
        <v>2026</v>
      </c>
      <c r="D819" s="2">
        <f>IFERROR(__xludf.DUMMYFUNCTION("""COMPUTED_VALUE"""),46224.0)</f>
        <v>46224</v>
      </c>
      <c r="E819" s="2" t="str">
        <f>IFERROR(__xludf.DUMMYFUNCTION("""COMPUTED_VALUE"""),"VF")</f>
        <v>VF</v>
      </c>
      <c r="F819" s="2">
        <f>IFERROR(__xludf.DUMMYFUNCTION("""COMPUTED_VALUE"""),1.0)</f>
        <v>1</v>
      </c>
      <c r="G819" s="2" t="str">
        <f>IFERROR(__xludf.DUMMYFUNCTION("""COMPUTED_VALUE"""),"PR055")</f>
        <v>PR055</v>
      </c>
      <c r="H819" s="2" t="str">
        <f>IFERROR(__xludf.DUMMYFUNCTION("""COMPUTED_VALUE"""),"VD018")</f>
        <v>VD018</v>
      </c>
      <c r="I819" s="2">
        <f>IFERROR(__xludf.DUMMYFUNCTION("""COMPUTED_VALUE"""),4.0)</f>
        <v>4</v>
      </c>
      <c r="J819" s="2">
        <f>IFERROR(__xludf.DUMMYFUNCTION("""COMPUTED_VALUE"""),366.79)</f>
        <v>366.79</v>
      </c>
      <c r="K819" s="2">
        <f>IFERROR(__xludf.DUMMYFUNCTION("""COMPUTED_VALUE"""),366.79)</f>
        <v>366.79</v>
      </c>
    </row>
    <row r="820">
      <c r="A820" s="2">
        <f>IFERROR(__xludf.DUMMYFUNCTION("""COMPUTED_VALUE"""),1000.0)</f>
        <v>1000</v>
      </c>
      <c r="B820" s="2">
        <f>IFERROR(__xludf.DUMMYFUNCTION("""COMPUTED_VALUE"""),184046.0)</f>
        <v>184046</v>
      </c>
      <c r="C820" s="2">
        <f>IFERROR(__xludf.DUMMYFUNCTION("""COMPUTED_VALUE"""),2026.0)</f>
        <v>2026</v>
      </c>
      <c r="D820" s="2">
        <f>IFERROR(__xludf.DUMMYFUNCTION("""COMPUTED_VALUE"""),46224.0)</f>
        <v>46224</v>
      </c>
      <c r="E820" s="2" t="str">
        <f>IFERROR(__xludf.DUMMYFUNCTION("""COMPUTED_VALUE"""),"VF")</f>
        <v>VF</v>
      </c>
      <c r="F820" s="2">
        <f>IFERROR(__xludf.DUMMYFUNCTION("""COMPUTED_VALUE"""),1.0)</f>
        <v>1</v>
      </c>
      <c r="G820" s="2" t="str">
        <f>IFERROR(__xludf.DUMMYFUNCTION("""COMPUTED_VALUE"""),"PR007")</f>
        <v>PR007</v>
      </c>
      <c r="H820" s="2" t="str">
        <f>IFERROR(__xludf.DUMMYFUNCTION("""COMPUTED_VALUE"""),"VD010")</f>
        <v>VD010</v>
      </c>
      <c r="I820" s="2">
        <f>IFERROR(__xludf.DUMMYFUNCTION("""COMPUTED_VALUE"""),10.0)</f>
        <v>10</v>
      </c>
      <c r="J820" s="2">
        <f>IFERROR(__xludf.DUMMYFUNCTION("""COMPUTED_VALUE"""),910.54)</f>
        <v>910.54</v>
      </c>
      <c r="K820" s="2">
        <f>IFERROR(__xludf.DUMMYFUNCTION("""COMPUTED_VALUE"""),910.54)</f>
        <v>910.54</v>
      </c>
    </row>
    <row r="821">
      <c r="A821" s="2">
        <f>IFERROR(__xludf.DUMMYFUNCTION("""COMPUTED_VALUE"""),1000.0)</f>
        <v>1000</v>
      </c>
      <c r="B821" s="2">
        <f>IFERROR(__xludf.DUMMYFUNCTION("""COMPUTED_VALUE"""),184047.0)</f>
        <v>184047</v>
      </c>
      <c r="C821" s="2">
        <f>IFERROR(__xludf.DUMMYFUNCTION("""COMPUTED_VALUE"""),2026.0)</f>
        <v>2026</v>
      </c>
      <c r="D821" s="2">
        <f>IFERROR(__xludf.DUMMYFUNCTION("""COMPUTED_VALUE"""),46224.0)</f>
        <v>46224</v>
      </c>
      <c r="E821" s="2" t="str">
        <f>IFERROR(__xludf.DUMMYFUNCTION("""COMPUTED_VALUE"""),"VF")</f>
        <v>VF</v>
      </c>
      <c r="F821" s="2">
        <f>IFERROR(__xludf.DUMMYFUNCTION("""COMPUTED_VALUE"""),1.0)</f>
        <v>1</v>
      </c>
      <c r="G821" s="2" t="str">
        <f>IFERROR(__xludf.DUMMYFUNCTION("""COMPUTED_VALUE"""),"PR043")</f>
        <v>PR043</v>
      </c>
      <c r="H821" s="2" t="str">
        <f>IFERROR(__xludf.DUMMYFUNCTION("""COMPUTED_VALUE"""),"VD035")</f>
        <v>VD035</v>
      </c>
      <c r="I821" s="2">
        <f>IFERROR(__xludf.DUMMYFUNCTION("""COMPUTED_VALUE"""),2.0)</f>
        <v>2</v>
      </c>
      <c r="J821" s="2">
        <f>IFERROR(__xludf.DUMMYFUNCTION("""COMPUTED_VALUE"""),150.8)</f>
        <v>150.8</v>
      </c>
      <c r="K821" s="2">
        <f>IFERROR(__xludf.DUMMYFUNCTION("""COMPUTED_VALUE"""),150.8)</f>
        <v>150.8</v>
      </c>
    </row>
    <row r="822">
      <c r="A822" s="2">
        <f>IFERROR(__xludf.DUMMYFUNCTION("""COMPUTED_VALUE"""),1000.0)</f>
        <v>1000</v>
      </c>
      <c r="B822" s="2">
        <f>IFERROR(__xludf.DUMMYFUNCTION("""COMPUTED_VALUE"""),184047.0)</f>
        <v>184047</v>
      </c>
      <c r="C822" s="2">
        <f>IFERROR(__xludf.DUMMYFUNCTION("""COMPUTED_VALUE"""),2026.0)</f>
        <v>2026</v>
      </c>
      <c r="D822" s="2">
        <f>IFERROR(__xludf.DUMMYFUNCTION("""COMPUTED_VALUE"""),46224.0)</f>
        <v>46224</v>
      </c>
      <c r="E822" s="2" t="str">
        <f>IFERROR(__xludf.DUMMYFUNCTION("""COMPUTED_VALUE"""),"VF")</f>
        <v>VF</v>
      </c>
      <c r="F822" s="2">
        <f>IFERROR(__xludf.DUMMYFUNCTION("""COMPUTED_VALUE"""),2.0)</f>
        <v>2</v>
      </c>
      <c r="G822" s="2" t="str">
        <f>IFERROR(__xludf.DUMMYFUNCTION("""COMPUTED_VALUE"""),"PR005")</f>
        <v>PR005</v>
      </c>
      <c r="H822" s="2" t="str">
        <f>IFERROR(__xludf.DUMMYFUNCTION("""COMPUTED_VALUE"""),"VD049")</f>
        <v>VD049</v>
      </c>
      <c r="I822" s="2">
        <f>IFERROR(__xludf.DUMMYFUNCTION("""COMPUTED_VALUE"""),8.0)</f>
        <v>8</v>
      </c>
      <c r="J822" s="2">
        <f>IFERROR(__xludf.DUMMYFUNCTION("""COMPUTED_VALUE"""),2287.12)</f>
        <v>2287.12</v>
      </c>
      <c r="K822" s="2">
        <f>IFERROR(__xludf.DUMMYFUNCTION("""COMPUTED_VALUE"""),2287.12)</f>
        <v>2287.12</v>
      </c>
    </row>
    <row r="823">
      <c r="A823" s="2">
        <f>IFERROR(__xludf.DUMMYFUNCTION("""COMPUTED_VALUE"""),1000.0)</f>
        <v>1000</v>
      </c>
      <c r="B823" s="2">
        <f>IFERROR(__xludf.DUMMYFUNCTION("""COMPUTED_VALUE"""),184048.0)</f>
        <v>184048</v>
      </c>
      <c r="C823" s="2">
        <f>IFERROR(__xludf.DUMMYFUNCTION("""COMPUTED_VALUE"""),2026.0)</f>
        <v>2026</v>
      </c>
      <c r="D823" s="2">
        <f>IFERROR(__xludf.DUMMYFUNCTION("""COMPUTED_VALUE"""),46224.0)</f>
        <v>46224</v>
      </c>
      <c r="E823" s="2" t="str">
        <f>IFERROR(__xludf.DUMMYFUNCTION("""COMPUTED_VALUE"""),"VF")</f>
        <v>VF</v>
      </c>
      <c r="F823" s="2">
        <f>IFERROR(__xludf.DUMMYFUNCTION("""COMPUTED_VALUE"""),1.0)</f>
        <v>1</v>
      </c>
      <c r="G823" s="2" t="str">
        <f>IFERROR(__xludf.DUMMYFUNCTION("""COMPUTED_VALUE"""),"PR006")</f>
        <v>PR006</v>
      </c>
      <c r="H823" s="2" t="str">
        <f>IFERROR(__xludf.DUMMYFUNCTION("""COMPUTED_VALUE"""),"VD011")</f>
        <v>VD011</v>
      </c>
      <c r="I823" s="2">
        <f>IFERROR(__xludf.DUMMYFUNCTION("""COMPUTED_VALUE"""),2.0)</f>
        <v>2</v>
      </c>
      <c r="J823" s="2">
        <f>IFERROR(__xludf.DUMMYFUNCTION("""COMPUTED_VALUE"""),87.78)</f>
        <v>87.78</v>
      </c>
      <c r="K823" s="2">
        <f>IFERROR(__xludf.DUMMYFUNCTION("""COMPUTED_VALUE"""),87.78)</f>
        <v>87.78</v>
      </c>
    </row>
    <row r="824">
      <c r="A824" s="2">
        <f>IFERROR(__xludf.DUMMYFUNCTION("""COMPUTED_VALUE"""),1000.0)</f>
        <v>1000</v>
      </c>
      <c r="B824" s="2">
        <f>IFERROR(__xludf.DUMMYFUNCTION("""COMPUTED_VALUE"""),184049.0)</f>
        <v>184049</v>
      </c>
      <c r="C824" s="2">
        <f>IFERROR(__xludf.DUMMYFUNCTION("""COMPUTED_VALUE"""),2026.0)</f>
        <v>2026</v>
      </c>
      <c r="D824" s="2">
        <f>IFERROR(__xludf.DUMMYFUNCTION("""COMPUTED_VALUE"""),46224.0)</f>
        <v>46224</v>
      </c>
      <c r="E824" s="2" t="str">
        <f>IFERROR(__xludf.DUMMYFUNCTION("""COMPUTED_VALUE"""),"VF")</f>
        <v>VF</v>
      </c>
      <c r="F824" s="2">
        <f>IFERROR(__xludf.DUMMYFUNCTION("""COMPUTED_VALUE"""),1.0)</f>
        <v>1</v>
      </c>
      <c r="G824" s="2" t="str">
        <f>IFERROR(__xludf.DUMMYFUNCTION("""COMPUTED_VALUE"""),"PR053")</f>
        <v>PR053</v>
      </c>
      <c r="H824" s="2" t="str">
        <f>IFERROR(__xludf.DUMMYFUNCTION("""COMPUTED_VALUE"""),"VD012")</f>
        <v>VD012</v>
      </c>
      <c r="I824" s="2">
        <f>IFERROR(__xludf.DUMMYFUNCTION("""COMPUTED_VALUE"""),2.0)</f>
        <v>2</v>
      </c>
      <c r="J824" s="2">
        <f>IFERROR(__xludf.DUMMYFUNCTION("""COMPUTED_VALUE"""),99.8)</f>
        <v>99.8</v>
      </c>
      <c r="K824" s="2">
        <f>IFERROR(__xludf.DUMMYFUNCTION("""COMPUTED_VALUE"""),99.8)</f>
        <v>99.8</v>
      </c>
    </row>
    <row r="825">
      <c r="A825" s="2">
        <f>IFERROR(__xludf.DUMMYFUNCTION("""COMPUTED_VALUE"""),1000.0)</f>
        <v>1000</v>
      </c>
      <c r="B825" s="2">
        <f>IFERROR(__xludf.DUMMYFUNCTION("""COMPUTED_VALUE"""),184049.0)</f>
        <v>184049</v>
      </c>
      <c r="C825" s="2">
        <f>IFERROR(__xludf.DUMMYFUNCTION("""COMPUTED_VALUE"""),2026.0)</f>
        <v>2026</v>
      </c>
      <c r="D825" s="2">
        <f>IFERROR(__xludf.DUMMYFUNCTION("""COMPUTED_VALUE"""),46224.0)</f>
        <v>46224</v>
      </c>
      <c r="E825" s="2" t="str">
        <f>IFERROR(__xludf.DUMMYFUNCTION("""COMPUTED_VALUE"""),"VF")</f>
        <v>VF</v>
      </c>
      <c r="F825" s="2">
        <f>IFERROR(__xludf.DUMMYFUNCTION("""COMPUTED_VALUE"""),2.0)</f>
        <v>2</v>
      </c>
      <c r="G825" s="2" t="str">
        <f>IFERROR(__xludf.DUMMYFUNCTION("""COMPUTED_VALUE"""),"PR042")</f>
        <v>PR042</v>
      </c>
      <c r="H825" s="2" t="str">
        <f>IFERROR(__xludf.DUMMYFUNCTION("""COMPUTED_VALUE"""),"VD018")</f>
        <v>VD018</v>
      </c>
      <c r="I825" s="2">
        <f>IFERROR(__xludf.DUMMYFUNCTION("""COMPUTED_VALUE"""),10.0)</f>
        <v>10</v>
      </c>
      <c r="J825" s="2">
        <f>IFERROR(__xludf.DUMMYFUNCTION("""COMPUTED_VALUE"""),587.43)</f>
        <v>587.43</v>
      </c>
      <c r="K825" s="2">
        <f>IFERROR(__xludf.DUMMYFUNCTION("""COMPUTED_VALUE"""),587.43)</f>
        <v>587.43</v>
      </c>
    </row>
    <row r="826">
      <c r="A826" s="2">
        <f>IFERROR(__xludf.DUMMYFUNCTION("""COMPUTED_VALUE"""),1000.0)</f>
        <v>1000</v>
      </c>
      <c r="B826" s="2">
        <f>IFERROR(__xludf.DUMMYFUNCTION("""COMPUTED_VALUE"""),184050.0)</f>
        <v>184050</v>
      </c>
      <c r="C826" s="2">
        <f>IFERROR(__xludf.DUMMYFUNCTION("""COMPUTED_VALUE"""),2026.0)</f>
        <v>2026</v>
      </c>
      <c r="D826" s="2">
        <f>IFERROR(__xludf.DUMMYFUNCTION("""COMPUTED_VALUE"""),46224.0)</f>
        <v>46224</v>
      </c>
      <c r="E826" s="2" t="str">
        <f>IFERROR(__xludf.DUMMYFUNCTION("""COMPUTED_VALUE"""),"VF")</f>
        <v>VF</v>
      </c>
      <c r="F826" s="2">
        <f>IFERROR(__xludf.DUMMYFUNCTION("""COMPUTED_VALUE"""),1.0)</f>
        <v>1</v>
      </c>
      <c r="G826" s="2" t="str">
        <f>IFERROR(__xludf.DUMMYFUNCTION("""COMPUTED_VALUE"""),"PR060")</f>
        <v>PR060</v>
      </c>
      <c r="H826" s="2" t="str">
        <f>IFERROR(__xludf.DUMMYFUNCTION("""COMPUTED_VALUE"""),"VD047")</f>
        <v>VD047</v>
      </c>
      <c r="I826" s="2">
        <f>IFERROR(__xludf.DUMMYFUNCTION("""COMPUTED_VALUE"""),16.0)</f>
        <v>16</v>
      </c>
      <c r="J826" s="2">
        <f>IFERROR(__xludf.DUMMYFUNCTION("""COMPUTED_VALUE"""),2937.6)</f>
        <v>2937.6</v>
      </c>
      <c r="K826" s="2">
        <f>IFERROR(__xludf.DUMMYFUNCTION("""COMPUTED_VALUE"""),2937.6)</f>
        <v>2937.6</v>
      </c>
    </row>
    <row r="827">
      <c r="A827" s="2">
        <f>IFERROR(__xludf.DUMMYFUNCTION("""COMPUTED_VALUE"""),1000.0)</f>
        <v>1000</v>
      </c>
      <c r="B827" s="2">
        <f>IFERROR(__xludf.DUMMYFUNCTION("""COMPUTED_VALUE"""),184051.0)</f>
        <v>184051</v>
      </c>
      <c r="C827" s="2">
        <f>IFERROR(__xludf.DUMMYFUNCTION("""COMPUTED_VALUE"""),2026.0)</f>
        <v>2026</v>
      </c>
      <c r="D827" s="2">
        <f>IFERROR(__xludf.DUMMYFUNCTION("""COMPUTED_VALUE"""),46224.0)</f>
        <v>46224</v>
      </c>
      <c r="E827" s="2" t="str">
        <f>IFERROR(__xludf.DUMMYFUNCTION("""COMPUTED_VALUE"""),"VF")</f>
        <v>VF</v>
      </c>
      <c r="F827" s="2">
        <f>IFERROR(__xludf.DUMMYFUNCTION("""COMPUTED_VALUE"""),1.0)</f>
        <v>1</v>
      </c>
      <c r="G827" s="2" t="str">
        <f>IFERROR(__xludf.DUMMYFUNCTION("""COMPUTED_VALUE"""),"PR054")</f>
        <v>PR054</v>
      </c>
      <c r="H827" s="2" t="str">
        <f>IFERROR(__xludf.DUMMYFUNCTION("""COMPUTED_VALUE"""),"VD019")</f>
        <v>VD019</v>
      </c>
      <c r="I827" s="2">
        <f>IFERROR(__xludf.DUMMYFUNCTION("""COMPUTED_VALUE"""),3.0)</f>
        <v>3</v>
      </c>
      <c r="J827" s="2">
        <f>IFERROR(__xludf.DUMMYFUNCTION("""COMPUTED_VALUE"""),157.19)</f>
        <v>157.19</v>
      </c>
      <c r="K827" s="2">
        <f>IFERROR(__xludf.DUMMYFUNCTION("""COMPUTED_VALUE"""),157.19)</f>
        <v>157.19</v>
      </c>
    </row>
    <row r="828">
      <c r="A828" s="2">
        <f>IFERROR(__xludf.DUMMYFUNCTION("""COMPUTED_VALUE"""),1000.0)</f>
        <v>1000</v>
      </c>
      <c r="B828" s="2">
        <f>IFERROR(__xludf.DUMMYFUNCTION("""COMPUTED_VALUE"""),184051.0)</f>
        <v>184051</v>
      </c>
      <c r="C828" s="2">
        <f>IFERROR(__xludf.DUMMYFUNCTION("""COMPUTED_VALUE"""),2026.0)</f>
        <v>2026</v>
      </c>
      <c r="D828" s="2">
        <f>IFERROR(__xludf.DUMMYFUNCTION("""COMPUTED_VALUE"""),46224.0)</f>
        <v>46224</v>
      </c>
      <c r="E828" s="2" t="str">
        <f>IFERROR(__xludf.DUMMYFUNCTION("""COMPUTED_VALUE"""),"VF")</f>
        <v>VF</v>
      </c>
      <c r="F828" s="2">
        <f>IFERROR(__xludf.DUMMYFUNCTION("""COMPUTED_VALUE"""),2.0)</f>
        <v>2</v>
      </c>
      <c r="G828" s="2" t="str">
        <f>IFERROR(__xludf.DUMMYFUNCTION("""COMPUTED_VALUE"""),"PR026")</f>
        <v>PR026</v>
      </c>
      <c r="H828" s="2" t="str">
        <f>IFERROR(__xludf.DUMMYFUNCTION("""COMPUTED_VALUE"""),"VD036")</f>
        <v>VD036</v>
      </c>
      <c r="I828" s="2">
        <f>IFERROR(__xludf.DUMMYFUNCTION("""COMPUTED_VALUE"""),7.0)</f>
        <v>7</v>
      </c>
      <c r="J828" s="2">
        <f>IFERROR(__xludf.DUMMYFUNCTION("""COMPUTED_VALUE"""),2694.23)</f>
        <v>2694.23</v>
      </c>
      <c r="K828" s="2">
        <f>IFERROR(__xludf.DUMMYFUNCTION("""COMPUTED_VALUE"""),2694.23)</f>
        <v>2694.23</v>
      </c>
    </row>
    <row r="829">
      <c r="A829" s="2">
        <f>IFERROR(__xludf.DUMMYFUNCTION("""COMPUTED_VALUE"""),2000.0)</f>
        <v>2000</v>
      </c>
      <c r="B829" s="2">
        <f>IFERROR(__xludf.DUMMYFUNCTION("""COMPUTED_VALUE"""),184051.0)</f>
        <v>184051</v>
      </c>
      <c r="C829" s="2">
        <f>IFERROR(__xludf.DUMMYFUNCTION("""COMPUTED_VALUE"""),2026.0)</f>
        <v>2026</v>
      </c>
      <c r="D829" s="2">
        <f>IFERROR(__xludf.DUMMYFUNCTION("""COMPUTED_VALUE"""),46224.0)</f>
        <v>46224</v>
      </c>
      <c r="E829" s="2" t="str">
        <f>IFERROR(__xludf.DUMMYFUNCTION("""COMPUTED_VALUE"""),"VF")</f>
        <v>VF</v>
      </c>
      <c r="F829" s="2">
        <f>IFERROR(__xludf.DUMMYFUNCTION("""COMPUTED_VALUE"""),3.0)</f>
        <v>3</v>
      </c>
      <c r="G829" s="2" t="str">
        <f>IFERROR(__xludf.DUMMYFUNCTION("""COMPUTED_VALUE"""),"PR002")</f>
        <v>PR002</v>
      </c>
      <c r="H829" s="2" t="str">
        <f>IFERROR(__xludf.DUMMYFUNCTION("""COMPUTED_VALUE"""),"VD046")</f>
        <v>VD046</v>
      </c>
      <c r="I829" s="2">
        <f>IFERROR(__xludf.DUMMYFUNCTION("""COMPUTED_VALUE"""),5.0)</f>
        <v>5</v>
      </c>
      <c r="J829" s="2">
        <f>IFERROR(__xludf.DUMMYFUNCTION("""COMPUTED_VALUE"""),356.49)</f>
        <v>356.49</v>
      </c>
      <c r="K829" s="2">
        <f>IFERROR(__xludf.DUMMYFUNCTION("""COMPUTED_VALUE"""),356.49)</f>
        <v>356.49</v>
      </c>
    </row>
    <row r="830">
      <c r="A830" s="2">
        <f>IFERROR(__xludf.DUMMYFUNCTION("""COMPUTED_VALUE"""),2000.0)</f>
        <v>2000</v>
      </c>
      <c r="B830" s="2">
        <f>IFERROR(__xludf.DUMMYFUNCTION("""COMPUTED_VALUE"""),184052.0)</f>
        <v>184052</v>
      </c>
      <c r="C830" s="2">
        <f>IFERROR(__xludf.DUMMYFUNCTION("""COMPUTED_VALUE"""),2026.0)</f>
        <v>2026</v>
      </c>
      <c r="D830" s="2">
        <f>IFERROR(__xludf.DUMMYFUNCTION("""COMPUTED_VALUE"""),46223.0)</f>
        <v>46223</v>
      </c>
      <c r="E830" s="2" t="str">
        <f>IFERROR(__xludf.DUMMYFUNCTION("""COMPUTED_VALUE"""),"VF")</f>
        <v>VF</v>
      </c>
      <c r="F830" s="2">
        <f>IFERROR(__xludf.DUMMYFUNCTION("""COMPUTED_VALUE"""),1.0)</f>
        <v>1</v>
      </c>
      <c r="G830" s="2" t="str">
        <f>IFERROR(__xludf.DUMMYFUNCTION("""COMPUTED_VALUE"""),"PR001")</f>
        <v>PR001</v>
      </c>
      <c r="H830" s="2" t="str">
        <f>IFERROR(__xludf.DUMMYFUNCTION("""COMPUTED_VALUE"""),"VD021")</f>
        <v>VD021</v>
      </c>
      <c r="I830" s="2">
        <f>IFERROR(__xludf.DUMMYFUNCTION("""COMPUTED_VALUE"""),3.0)</f>
        <v>3</v>
      </c>
      <c r="J830" s="2">
        <f>IFERROR(__xludf.DUMMYFUNCTION("""COMPUTED_VALUE"""),213.52)</f>
        <v>213.52</v>
      </c>
      <c r="K830" s="2">
        <f>IFERROR(__xludf.DUMMYFUNCTION("""COMPUTED_VALUE"""),213.52)</f>
        <v>213.52</v>
      </c>
    </row>
    <row r="831">
      <c r="A831" s="2">
        <f>IFERROR(__xludf.DUMMYFUNCTION("""COMPUTED_VALUE"""),1000.0)</f>
        <v>1000</v>
      </c>
      <c r="B831" s="2">
        <f>IFERROR(__xludf.DUMMYFUNCTION("""COMPUTED_VALUE"""),184053.0)</f>
        <v>184053</v>
      </c>
      <c r="C831" s="2">
        <f>IFERROR(__xludf.DUMMYFUNCTION("""COMPUTED_VALUE"""),2026.0)</f>
        <v>2026</v>
      </c>
      <c r="D831" s="2">
        <f>IFERROR(__xludf.DUMMYFUNCTION("""COMPUTED_VALUE"""),46223.0)</f>
        <v>46223</v>
      </c>
      <c r="E831" s="2" t="str">
        <f>IFERROR(__xludf.DUMMYFUNCTION("""COMPUTED_VALUE"""),"VF")</f>
        <v>VF</v>
      </c>
      <c r="F831" s="2">
        <f>IFERROR(__xludf.DUMMYFUNCTION("""COMPUTED_VALUE"""),1.0)</f>
        <v>1</v>
      </c>
      <c r="G831" s="2" t="str">
        <f>IFERROR(__xludf.DUMMYFUNCTION("""COMPUTED_VALUE"""),"PR044")</f>
        <v>PR044</v>
      </c>
      <c r="H831" s="2" t="str">
        <f>IFERROR(__xludf.DUMMYFUNCTION("""COMPUTED_VALUE"""),"VD030")</f>
        <v>VD030</v>
      </c>
      <c r="I831" s="2">
        <f>IFERROR(__xludf.DUMMYFUNCTION("""COMPUTED_VALUE"""),3.0)</f>
        <v>3</v>
      </c>
      <c r="J831" s="2">
        <f>IFERROR(__xludf.DUMMYFUNCTION("""COMPUTED_VALUE"""),232.73)</f>
        <v>232.73</v>
      </c>
      <c r="K831" s="2">
        <f>IFERROR(__xludf.DUMMYFUNCTION("""COMPUTED_VALUE"""),232.73)</f>
        <v>232.73</v>
      </c>
    </row>
    <row r="832">
      <c r="A832" s="2">
        <f>IFERROR(__xludf.DUMMYFUNCTION("""COMPUTED_VALUE"""),1000.0)</f>
        <v>1000</v>
      </c>
      <c r="B832" s="2">
        <f>IFERROR(__xludf.DUMMYFUNCTION("""COMPUTED_VALUE"""),184054.0)</f>
        <v>184054</v>
      </c>
      <c r="C832" s="2">
        <f>IFERROR(__xludf.DUMMYFUNCTION("""COMPUTED_VALUE"""),2026.0)</f>
        <v>2026</v>
      </c>
      <c r="D832" s="2">
        <f>IFERROR(__xludf.DUMMYFUNCTION("""COMPUTED_VALUE"""),46223.0)</f>
        <v>46223</v>
      </c>
      <c r="E832" s="2" t="str">
        <f>IFERROR(__xludf.DUMMYFUNCTION("""COMPUTED_VALUE"""),"VF")</f>
        <v>VF</v>
      </c>
      <c r="F832" s="2">
        <f>IFERROR(__xludf.DUMMYFUNCTION("""COMPUTED_VALUE"""),1.0)</f>
        <v>1</v>
      </c>
      <c r="G832" s="2" t="str">
        <f>IFERROR(__xludf.DUMMYFUNCTION("""COMPUTED_VALUE"""),"PR028")</f>
        <v>PR028</v>
      </c>
      <c r="H832" s="2" t="str">
        <f>IFERROR(__xludf.DUMMYFUNCTION("""COMPUTED_VALUE"""),"VD021")</f>
        <v>VD021</v>
      </c>
      <c r="I832" s="2">
        <f>IFERROR(__xludf.DUMMYFUNCTION("""COMPUTED_VALUE"""),2.0)</f>
        <v>2</v>
      </c>
      <c r="J832" s="2">
        <f>IFERROR(__xludf.DUMMYFUNCTION("""COMPUTED_VALUE"""),529.79)</f>
        <v>529.79</v>
      </c>
      <c r="K832" s="2">
        <f>IFERROR(__xludf.DUMMYFUNCTION("""COMPUTED_VALUE"""),529.79)</f>
        <v>529.79</v>
      </c>
    </row>
    <row r="833">
      <c r="A833" s="2">
        <f>IFERROR(__xludf.DUMMYFUNCTION("""COMPUTED_VALUE"""),1000.0)</f>
        <v>1000</v>
      </c>
      <c r="B833" s="2">
        <f>IFERROR(__xludf.DUMMYFUNCTION("""COMPUTED_VALUE"""),184055.0)</f>
        <v>184055</v>
      </c>
      <c r="C833" s="2">
        <f>IFERROR(__xludf.DUMMYFUNCTION("""COMPUTED_VALUE"""),2026.0)</f>
        <v>2026</v>
      </c>
      <c r="D833" s="2">
        <f>IFERROR(__xludf.DUMMYFUNCTION("""COMPUTED_VALUE"""),46223.0)</f>
        <v>46223</v>
      </c>
      <c r="E833" s="2" t="str">
        <f>IFERROR(__xludf.DUMMYFUNCTION("""COMPUTED_VALUE"""),"VF")</f>
        <v>VF</v>
      </c>
      <c r="F833" s="2">
        <f>IFERROR(__xludf.DUMMYFUNCTION("""COMPUTED_VALUE"""),1.0)</f>
        <v>1</v>
      </c>
      <c r="G833" s="2" t="str">
        <f>IFERROR(__xludf.DUMMYFUNCTION("""COMPUTED_VALUE"""),"PR045")</f>
        <v>PR045</v>
      </c>
      <c r="H833" s="2" t="str">
        <f>IFERROR(__xludf.DUMMYFUNCTION("""COMPUTED_VALUE"""),"VD024")</f>
        <v>VD024</v>
      </c>
      <c r="I833" s="2">
        <f>IFERROR(__xludf.DUMMYFUNCTION("""COMPUTED_VALUE"""),18.0)</f>
        <v>18</v>
      </c>
      <c r="J833" s="2">
        <f>IFERROR(__xludf.DUMMYFUNCTION("""COMPUTED_VALUE"""),1435.5)</f>
        <v>1435.5</v>
      </c>
      <c r="K833" s="2">
        <f>IFERROR(__xludf.DUMMYFUNCTION("""COMPUTED_VALUE"""),1435.5)</f>
        <v>1435.5</v>
      </c>
    </row>
    <row r="834">
      <c r="A834" s="2">
        <f>IFERROR(__xludf.DUMMYFUNCTION("""COMPUTED_VALUE"""),1000.0)</f>
        <v>1000</v>
      </c>
      <c r="B834" s="2">
        <f>IFERROR(__xludf.DUMMYFUNCTION("""COMPUTED_VALUE"""),184055.0)</f>
        <v>184055</v>
      </c>
      <c r="C834" s="2">
        <f>IFERROR(__xludf.DUMMYFUNCTION("""COMPUTED_VALUE"""),2026.0)</f>
        <v>2026</v>
      </c>
      <c r="D834" s="2">
        <f>IFERROR(__xludf.DUMMYFUNCTION("""COMPUTED_VALUE"""),46223.0)</f>
        <v>46223</v>
      </c>
      <c r="E834" s="2" t="str">
        <f>IFERROR(__xludf.DUMMYFUNCTION("""COMPUTED_VALUE"""),"VF")</f>
        <v>VF</v>
      </c>
      <c r="F834" s="2">
        <f>IFERROR(__xludf.DUMMYFUNCTION("""COMPUTED_VALUE"""),2.0)</f>
        <v>2</v>
      </c>
      <c r="G834" s="2" t="str">
        <f>IFERROR(__xludf.DUMMYFUNCTION("""COMPUTED_VALUE"""),"PR052")</f>
        <v>PR052</v>
      </c>
      <c r="H834" s="2" t="str">
        <f>IFERROR(__xludf.DUMMYFUNCTION("""COMPUTED_VALUE"""),"VD038")</f>
        <v>VD038</v>
      </c>
      <c r="I834" s="2">
        <f>IFERROR(__xludf.DUMMYFUNCTION("""COMPUTED_VALUE"""),8.0)</f>
        <v>8</v>
      </c>
      <c r="J834" s="2">
        <f>IFERROR(__xludf.DUMMYFUNCTION("""COMPUTED_VALUE"""),415.17)</f>
        <v>415.17</v>
      </c>
      <c r="K834" s="2">
        <f>IFERROR(__xludf.DUMMYFUNCTION("""COMPUTED_VALUE"""),415.17)</f>
        <v>415.17</v>
      </c>
    </row>
    <row r="835">
      <c r="A835" s="2">
        <f>IFERROR(__xludf.DUMMYFUNCTION("""COMPUTED_VALUE"""),2000.0)</f>
        <v>2000</v>
      </c>
      <c r="B835" s="2">
        <f>IFERROR(__xludf.DUMMYFUNCTION("""COMPUTED_VALUE"""),184056.0)</f>
        <v>184056</v>
      </c>
      <c r="C835" s="2">
        <f>IFERROR(__xludf.DUMMYFUNCTION("""COMPUTED_VALUE"""),2026.0)</f>
        <v>2026</v>
      </c>
      <c r="D835" s="2">
        <f>IFERROR(__xludf.DUMMYFUNCTION("""COMPUTED_VALUE"""),46223.0)</f>
        <v>46223</v>
      </c>
      <c r="E835" s="2" t="str">
        <f>IFERROR(__xludf.DUMMYFUNCTION("""COMPUTED_VALUE"""),"VF")</f>
        <v>VF</v>
      </c>
      <c r="F835" s="2">
        <f>IFERROR(__xludf.DUMMYFUNCTION("""COMPUTED_VALUE"""),1.0)</f>
        <v>1</v>
      </c>
      <c r="G835" s="2" t="str">
        <f>IFERROR(__xludf.DUMMYFUNCTION("""COMPUTED_VALUE"""),"PR024")</f>
        <v>PR024</v>
      </c>
      <c r="H835" s="2" t="str">
        <f>IFERROR(__xludf.DUMMYFUNCTION("""COMPUTED_VALUE"""),"VD026")</f>
        <v>VD026</v>
      </c>
      <c r="I835" s="2">
        <f>IFERROR(__xludf.DUMMYFUNCTION("""COMPUTED_VALUE"""),4.0)</f>
        <v>4</v>
      </c>
      <c r="J835" s="2">
        <f>IFERROR(__xludf.DUMMYFUNCTION("""COMPUTED_VALUE"""),1122.77)</f>
        <v>1122.77</v>
      </c>
      <c r="K835" s="2">
        <f>IFERROR(__xludf.DUMMYFUNCTION("""COMPUTED_VALUE"""),1122.77)</f>
        <v>1122.77</v>
      </c>
    </row>
    <row r="836">
      <c r="A836" s="2">
        <f>IFERROR(__xludf.DUMMYFUNCTION("""COMPUTED_VALUE"""),1000.0)</f>
        <v>1000</v>
      </c>
      <c r="B836" s="2">
        <f>IFERROR(__xludf.DUMMYFUNCTION("""COMPUTED_VALUE"""),184056.0)</f>
        <v>184056</v>
      </c>
      <c r="C836" s="2">
        <f>IFERROR(__xludf.DUMMYFUNCTION("""COMPUTED_VALUE"""),2026.0)</f>
        <v>2026</v>
      </c>
      <c r="D836" s="2">
        <f>IFERROR(__xludf.DUMMYFUNCTION("""COMPUTED_VALUE"""),46223.0)</f>
        <v>46223</v>
      </c>
      <c r="E836" s="2" t="str">
        <f>IFERROR(__xludf.DUMMYFUNCTION("""COMPUTED_VALUE"""),"VF")</f>
        <v>VF</v>
      </c>
      <c r="F836" s="2">
        <f>IFERROR(__xludf.DUMMYFUNCTION("""COMPUTED_VALUE"""),2.0)</f>
        <v>2</v>
      </c>
      <c r="G836" s="2" t="str">
        <f>IFERROR(__xludf.DUMMYFUNCTION("""COMPUTED_VALUE"""),"PR013")</f>
        <v>PR013</v>
      </c>
      <c r="H836" s="2" t="str">
        <f>IFERROR(__xludf.DUMMYFUNCTION("""COMPUTED_VALUE"""),"VD028")</f>
        <v>VD028</v>
      </c>
      <c r="I836" s="2">
        <f>IFERROR(__xludf.DUMMYFUNCTION("""COMPUTED_VALUE"""),20.0)</f>
        <v>20</v>
      </c>
      <c r="J836" s="2">
        <f>IFERROR(__xludf.DUMMYFUNCTION("""COMPUTED_VALUE"""),821.94)</f>
        <v>821.94</v>
      </c>
      <c r="K836" s="2">
        <f>IFERROR(__xludf.DUMMYFUNCTION("""COMPUTED_VALUE"""),821.94)</f>
        <v>821.94</v>
      </c>
    </row>
    <row r="837">
      <c r="A837" s="2">
        <f>IFERROR(__xludf.DUMMYFUNCTION("""COMPUTED_VALUE"""),1000.0)</f>
        <v>1000</v>
      </c>
      <c r="B837" s="2">
        <f>IFERROR(__xludf.DUMMYFUNCTION("""COMPUTED_VALUE"""),184057.0)</f>
        <v>184057</v>
      </c>
      <c r="C837" s="2">
        <f>IFERROR(__xludf.DUMMYFUNCTION("""COMPUTED_VALUE"""),2026.0)</f>
        <v>2026</v>
      </c>
      <c r="D837" s="2">
        <f>IFERROR(__xludf.DUMMYFUNCTION("""COMPUTED_VALUE"""),46222.0)</f>
        <v>46222</v>
      </c>
      <c r="E837" s="2" t="str">
        <f>IFERROR(__xludf.DUMMYFUNCTION("""COMPUTED_VALUE"""),"VF")</f>
        <v>VF</v>
      </c>
      <c r="F837" s="2">
        <f>IFERROR(__xludf.DUMMYFUNCTION("""COMPUTED_VALUE"""),1.0)</f>
        <v>1</v>
      </c>
      <c r="G837" s="2" t="str">
        <f>IFERROR(__xludf.DUMMYFUNCTION("""COMPUTED_VALUE"""),"PR053")</f>
        <v>PR053</v>
      </c>
      <c r="H837" s="2" t="str">
        <f>IFERROR(__xludf.DUMMYFUNCTION("""COMPUTED_VALUE"""),"VD049")</f>
        <v>VD049</v>
      </c>
      <c r="I837" s="2">
        <f>IFERROR(__xludf.DUMMYFUNCTION("""COMPUTED_VALUE"""),6.0)</f>
        <v>6</v>
      </c>
      <c r="J837" s="2">
        <f>IFERROR(__xludf.DUMMYFUNCTION("""COMPUTED_VALUE"""),302.39)</f>
        <v>302.39</v>
      </c>
      <c r="K837" s="2">
        <f>IFERROR(__xludf.DUMMYFUNCTION("""COMPUTED_VALUE"""),302.39)</f>
        <v>302.39</v>
      </c>
    </row>
    <row r="838">
      <c r="A838" s="2">
        <f>IFERROR(__xludf.DUMMYFUNCTION("""COMPUTED_VALUE"""),1000.0)</f>
        <v>1000</v>
      </c>
      <c r="B838" s="2">
        <f>IFERROR(__xludf.DUMMYFUNCTION("""COMPUTED_VALUE"""),184057.0)</f>
        <v>184057</v>
      </c>
      <c r="C838" s="2">
        <f>IFERROR(__xludf.DUMMYFUNCTION("""COMPUTED_VALUE"""),2026.0)</f>
        <v>2026</v>
      </c>
      <c r="D838" s="2">
        <f>IFERROR(__xludf.DUMMYFUNCTION("""COMPUTED_VALUE"""),46222.0)</f>
        <v>46222</v>
      </c>
      <c r="E838" s="2" t="str">
        <f>IFERROR(__xludf.DUMMYFUNCTION("""COMPUTED_VALUE"""),"VF")</f>
        <v>VF</v>
      </c>
      <c r="F838" s="2">
        <f>IFERROR(__xludf.DUMMYFUNCTION("""COMPUTED_VALUE"""),2.0)</f>
        <v>2</v>
      </c>
      <c r="G838" s="2" t="str">
        <f>IFERROR(__xludf.DUMMYFUNCTION("""COMPUTED_VALUE"""),"PR029")</f>
        <v>PR029</v>
      </c>
      <c r="H838" s="2" t="str">
        <f>IFERROR(__xludf.DUMMYFUNCTION("""COMPUTED_VALUE"""),"VD029")</f>
        <v>VD029</v>
      </c>
      <c r="I838" s="2">
        <f>IFERROR(__xludf.DUMMYFUNCTION("""COMPUTED_VALUE"""),8.0)</f>
        <v>8</v>
      </c>
      <c r="J838" s="2">
        <f>IFERROR(__xludf.DUMMYFUNCTION("""COMPUTED_VALUE"""),2182.8)</f>
        <v>2182.8</v>
      </c>
      <c r="K838" s="2">
        <f>IFERROR(__xludf.DUMMYFUNCTION("""COMPUTED_VALUE"""),2182.8)</f>
        <v>2182.8</v>
      </c>
    </row>
    <row r="839">
      <c r="A839" s="2">
        <f>IFERROR(__xludf.DUMMYFUNCTION("""COMPUTED_VALUE"""),1000.0)</f>
        <v>1000</v>
      </c>
      <c r="B839" s="2">
        <f>IFERROR(__xludf.DUMMYFUNCTION("""COMPUTED_VALUE"""),184058.0)</f>
        <v>184058</v>
      </c>
      <c r="C839" s="2">
        <f>IFERROR(__xludf.DUMMYFUNCTION("""COMPUTED_VALUE"""),2026.0)</f>
        <v>2026</v>
      </c>
      <c r="D839" s="2">
        <f>IFERROR(__xludf.DUMMYFUNCTION("""COMPUTED_VALUE"""),46222.0)</f>
        <v>46222</v>
      </c>
      <c r="E839" s="2" t="str">
        <f>IFERROR(__xludf.DUMMYFUNCTION("""COMPUTED_VALUE"""),"VF")</f>
        <v>VF</v>
      </c>
      <c r="F839" s="2">
        <f>IFERROR(__xludf.DUMMYFUNCTION("""COMPUTED_VALUE"""),1.0)</f>
        <v>1</v>
      </c>
      <c r="G839" s="2" t="str">
        <f>IFERROR(__xludf.DUMMYFUNCTION("""COMPUTED_VALUE"""),"PR001")</f>
        <v>PR001</v>
      </c>
      <c r="H839" s="2" t="str">
        <f>IFERROR(__xludf.DUMMYFUNCTION("""COMPUTED_VALUE"""),"VD014")</f>
        <v>VD014</v>
      </c>
      <c r="I839" s="2">
        <f>IFERROR(__xludf.DUMMYFUNCTION("""COMPUTED_VALUE"""),6.0)</f>
        <v>6</v>
      </c>
      <c r="J839" s="2">
        <f>IFERROR(__xludf.DUMMYFUNCTION("""COMPUTED_VALUE"""),423.08)</f>
        <v>423.08</v>
      </c>
      <c r="K839" s="2">
        <f>IFERROR(__xludf.DUMMYFUNCTION("""COMPUTED_VALUE"""),423.08)</f>
        <v>423.08</v>
      </c>
    </row>
    <row r="840">
      <c r="A840" s="2">
        <f>IFERROR(__xludf.DUMMYFUNCTION("""COMPUTED_VALUE"""),2000.0)</f>
        <v>2000</v>
      </c>
      <c r="B840" s="2">
        <f>IFERROR(__xludf.DUMMYFUNCTION("""COMPUTED_VALUE"""),184059.0)</f>
        <v>184059</v>
      </c>
      <c r="C840" s="2">
        <f>IFERROR(__xludf.DUMMYFUNCTION("""COMPUTED_VALUE"""),2026.0)</f>
        <v>2026</v>
      </c>
      <c r="D840" s="2">
        <f>IFERROR(__xludf.DUMMYFUNCTION("""COMPUTED_VALUE"""),46222.0)</f>
        <v>46222</v>
      </c>
      <c r="E840" s="2" t="str">
        <f>IFERROR(__xludf.DUMMYFUNCTION("""COMPUTED_VALUE"""),"VF")</f>
        <v>VF</v>
      </c>
      <c r="F840" s="2">
        <f>IFERROR(__xludf.DUMMYFUNCTION("""COMPUTED_VALUE"""),1.0)</f>
        <v>1</v>
      </c>
      <c r="G840" s="2" t="str">
        <f>IFERROR(__xludf.DUMMYFUNCTION("""COMPUTED_VALUE"""),"PR059")</f>
        <v>PR059</v>
      </c>
      <c r="H840" s="2" t="str">
        <f>IFERROR(__xludf.DUMMYFUNCTION("""COMPUTED_VALUE"""),"VD025")</f>
        <v>VD025</v>
      </c>
      <c r="I840" s="2">
        <f>IFERROR(__xludf.DUMMYFUNCTION("""COMPUTED_VALUE"""),12.0)</f>
        <v>12</v>
      </c>
      <c r="J840" s="2">
        <f>IFERROR(__xludf.DUMMYFUNCTION("""COMPUTED_VALUE"""),2289.6)</f>
        <v>2289.6</v>
      </c>
      <c r="K840" s="2">
        <f>IFERROR(__xludf.DUMMYFUNCTION("""COMPUTED_VALUE"""),2289.6)</f>
        <v>2289.6</v>
      </c>
    </row>
    <row r="841">
      <c r="A841" s="2">
        <f>IFERROR(__xludf.DUMMYFUNCTION("""COMPUTED_VALUE"""),1000.0)</f>
        <v>1000</v>
      </c>
      <c r="B841" s="2">
        <f>IFERROR(__xludf.DUMMYFUNCTION("""COMPUTED_VALUE"""),184060.0)</f>
        <v>184060</v>
      </c>
      <c r="C841" s="2">
        <f>IFERROR(__xludf.DUMMYFUNCTION("""COMPUTED_VALUE"""),2026.0)</f>
        <v>2026</v>
      </c>
      <c r="D841" s="2">
        <f>IFERROR(__xludf.DUMMYFUNCTION("""COMPUTED_VALUE"""),46222.0)</f>
        <v>46222</v>
      </c>
      <c r="E841" s="2" t="str">
        <f>IFERROR(__xludf.DUMMYFUNCTION("""COMPUTED_VALUE"""),"VF")</f>
        <v>VF</v>
      </c>
      <c r="F841" s="2">
        <f>IFERROR(__xludf.DUMMYFUNCTION("""COMPUTED_VALUE"""),1.0)</f>
        <v>1</v>
      </c>
      <c r="G841" s="2" t="str">
        <f>IFERROR(__xludf.DUMMYFUNCTION("""COMPUTED_VALUE"""),"PR039")</f>
        <v>PR039</v>
      </c>
      <c r="H841" s="2" t="str">
        <f>IFERROR(__xludf.DUMMYFUNCTION("""COMPUTED_VALUE"""),"VD036")</f>
        <v>VD036</v>
      </c>
      <c r="I841" s="2">
        <f>IFERROR(__xludf.DUMMYFUNCTION("""COMPUTED_VALUE"""),8.0)</f>
        <v>8</v>
      </c>
      <c r="J841" s="2">
        <f>IFERROR(__xludf.DUMMYFUNCTION("""COMPUTED_VALUE"""),1203.04)</f>
        <v>1203.04</v>
      </c>
      <c r="K841" s="2">
        <f>IFERROR(__xludf.DUMMYFUNCTION("""COMPUTED_VALUE"""),1203.04)</f>
        <v>1203.04</v>
      </c>
    </row>
    <row r="842">
      <c r="A842" s="2">
        <f>IFERROR(__xludf.DUMMYFUNCTION("""COMPUTED_VALUE"""),2000.0)</f>
        <v>2000</v>
      </c>
      <c r="B842" s="2">
        <f>IFERROR(__xludf.DUMMYFUNCTION("""COMPUTED_VALUE"""),184060.0)</f>
        <v>184060</v>
      </c>
      <c r="C842" s="2">
        <f>IFERROR(__xludf.DUMMYFUNCTION("""COMPUTED_VALUE"""),2026.0)</f>
        <v>2026</v>
      </c>
      <c r="D842" s="2">
        <f>IFERROR(__xludf.DUMMYFUNCTION("""COMPUTED_VALUE"""),46221.0)</f>
        <v>46221</v>
      </c>
      <c r="E842" s="2" t="str">
        <f>IFERROR(__xludf.DUMMYFUNCTION("""COMPUTED_VALUE"""),"VF")</f>
        <v>VF</v>
      </c>
      <c r="F842" s="2">
        <f>IFERROR(__xludf.DUMMYFUNCTION("""COMPUTED_VALUE"""),2.0)</f>
        <v>2</v>
      </c>
      <c r="G842" s="2" t="str">
        <f>IFERROR(__xludf.DUMMYFUNCTION("""COMPUTED_VALUE"""),"PR026")</f>
        <v>PR026</v>
      </c>
      <c r="H842" s="2" t="str">
        <f>IFERROR(__xludf.DUMMYFUNCTION("""COMPUTED_VALUE"""),"VD026")</f>
        <v>VD026</v>
      </c>
      <c r="I842" s="2">
        <f>IFERROR(__xludf.DUMMYFUNCTION("""COMPUTED_VALUE"""),9.0)</f>
        <v>9</v>
      </c>
      <c r="J842" s="2">
        <f>IFERROR(__xludf.DUMMYFUNCTION("""COMPUTED_VALUE"""),3212.08)</f>
        <v>3212.08</v>
      </c>
      <c r="K842" s="2">
        <f>IFERROR(__xludf.DUMMYFUNCTION("""COMPUTED_VALUE"""),3212.08)</f>
        <v>3212.08</v>
      </c>
    </row>
    <row r="843">
      <c r="A843" s="2">
        <f>IFERROR(__xludf.DUMMYFUNCTION("""COMPUTED_VALUE"""),2000.0)</f>
        <v>2000</v>
      </c>
      <c r="B843" s="2">
        <f>IFERROR(__xludf.DUMMYFUNCTION("""COMPUTED_VALUE"""),184061.0)</f>
        <v>184061</v>
      </c>
      <c r="C843" s="2">
        <f>IFERROR(__xludf.DUMMYFUNCTION("""COMPUTED_VALUE"""),2026.0)</f>
        <v>2026</v>
      </c>
      <c r="D843" s="2">
        <f>IFERROR(__xludf.DUMMYFUNCTION("""COMPUTED_VALUE"""),46221.0)</f>
        <v>46221</v>
      </c>
      <c r="E843" s="2" t="str">
        <f>IFERROR(__xludf.DUMMYFUNCTION("""COMPUTED_VALUE"""),"VF")</f>
        <v>VF</v>
      </c>
      <c r="F843" s="2">
        <f>IFERROR(__xludf.DUMMYFUNCTION("""COMPUTED_VALUE"""),1.0)</f>
        <v>1</v>
      </c>
      <c r="G843" s="2" t="str">
        <f>IFERROR(__xludf.DUMMYFUNCTION("""COMPUTED_VALUE"""),"PR057")</f>
        <v>PR057</v>
      </c>
      <c r="H843" s="2" t="str">
        <f>IFERROR(__xludf.DUMMYFUNCTION("""COMPUTED_VALUE"""),"VD032")</f>
        <v>VD032</v>
      </c>
      <c r="I843" s="2">
        <f>IFERROR(__xludf.DUMMYFUNCTION("""COMPUTED_VALUE"""),8.0)</f>
        <v>8</v>
      </c>
      <c r="J843" s="2">
        <f>IFERROR(__xludf.DUMMYFUNCTION("""COMPUTED_VALUE"""),726.39)</f>
        <v>726.39</v>
      </c>
      <c r="K843" s="2">
        <f>IFERROR(__xludf.DUMMYFUNCTION("""COMPUTED_VALUE"""),726.39)</f>
        <v>726.39</v>
      </c>
    </row>
    <row r="844">
      <c r="A844" s="2">
        <f>IFERROR(__xludf.DUMMYFUNCTION("""COMPUTED_VALUE"""),1000.0)</f>
        <v>1000</v>
      </c>
      <c r="B844" s="2">
        <f>IFERROR(__xludf.DUMMYFUNCTION("""COMPUTED_VALUE"""),184062.0)</f>
        <v>184062</v>
      </c>
      <c r="C844" s="2">
        <f>IFERROR(__xludf.DUMMYFUNCTION("""COMPUTED_VALUE"""),2026.0)</f>
        <v>2026</v>
      </c>
      <c r="D844" s="2">
        <f>IFERROR(__xludf.DUMMYFUNCTION("""COMPUTED_VALUE"""),46220.0)</f>
        <v>46220</v>
      </c>
      <c r="E844" s="2" t="str">
        <f>IFERROR(__xludf.DUMMYFUNCTION("""COMPUTED_VALUE"""),"VF")</f>
        <v>VF</v>
      </c>
      <c r="F844" s="2">
        <f>IFERROR(__xludf.DUMMYFUNCTION("""COMPUTED_VALUE"""),1.0)</f>
        <v>1</v>
      </c>
      <c r="G844" s="2" t="str">
        <f>IFERROR(__xludf.DUMMYFUNCTION("""COMPUTED_VALUE"""),"PR003")</f>
        <v>PR003</v>
      </c>
      <c r="H844" s="2" t="str">
        <f>IFERROR(__xludf.DUMMYFUNCTION("""COMPUTED_VALUE"""),"VD037")</f>
        <v>VD037</v>
      </c>
      <c r="I844" s="2">
        <f>IFERROR(__xludf.DUMMYFUNCTION("""COMPUTED_VALUE"""),20.0)</f>
        <v>20</v>
      </c>
      <c r="J844" s="2">
        <f>IFERROR(__xludf.DUMMYFUNCTION("""COMPUTED_VALUE"""),1418.0)</f>
        <v>1418</v>
      </c>
      <c r="K844" s="2">
        <f>IFERROR(__xludf.DUMMYFUNCTION("""COMPUTED_VALUE"""),1418.0)</f>
        <v>1418</v>
      </c>
    </row>
    <row r="845">
      <c r="A845" s="2">
        <f>IFERROR(__xludf.DUMMYFUNCTION("""COMPUTED_VALUE"""),1000.0)</f>
        <v>1000</v>
      </c>
      <c r="B845" s="2">
        <f>IFERROR(__xludf.DUMMYFUNCTION("""COMPUTED_VALUE"""),184062.0)</f>
        <v>184062</v>
      </c>
      <c r="C845" s="2">
        <f>IFERROR(__xludf.DUMMYFUNCTION("""COMPUTED_VALUE"""),2026.0)</f>
        <v>2026</v>
      </c>
      <c r="D845" s="2">
        <f>IFERROR(__xludf.DUMMYFUNCTION("""COMPUTED_VALUE"""),46220.0)</f>
        <v>46220</v>
      </c>
      <c r="E845" s="2" t="str">
        <f>IFERROR(__xludf.DUMMYFUNCTION("""COMPUTED_VALUE"""),"VF")</f>
        <v>VF</v>
      </c>
      <c r="F845" s="2">
        <f>IFERROR(__xludf.DUMMYFUNCTION("""COMPUTED_VALUE"""),2.0)</f>
        <v>2</v>
      </c>
      <c r="G845" s="2" t="str">
        <f>IFERROR(__xludf.DUMMYFUNCTION("""COMPUTED_VALUE"""),"PR050")</f>
        <v>PR050</v>
      </c>
      <c r="H845" s="2" t="str">
        <f>IFERROR(__xludf.DUMMYFUNCTION("""COMPUTED_VALUE"""),"VD032")</f>
        <v>VD032</v>
      </c>
      <c r="I845" s="2">
        <f>IFERROR(__xludf.DUMMYFUNCTION("""COMPUTED_VALUE"""),2.0)</f>
        <v>2</v>
      </c>
      <c r="J845" s="2">
        <f>IFERROR(__xludf.DUMMYFUNCTION("""COMPUTED_VALUE"""),71.06)</f>
        <v>71.06</v>
      </c>
      <c r="K845" s="2">
        <f>IFERROR(__xludf.DUMMYFUNCTION("""COMPUTED_VALUE"""),71.06)</f>
        <v>71.06</v>
      </c>
    </row>
    <row r="846">
      <c r="A846" s="2">
        <f>IFERROR(__xludf.DUMMYFUNCTION("""COMPUTED_VALUE"""),1000.0)</f>
        <v>1000</v>
      </c>
      <c r="B846" s="2">
        <f>IFERROR(__xludf.DUMMYFUNCTION("""COMPUTED_VALUE"""),184063.0)</f>
        <v>184063</v>
      </c>
      <c r="C846" s="2">
        <f>IFERROR(__xludf.DUMMYFUNCTION("""COMPUTED_VALUE"""),2026.0)</f>
        <v>2026</v>
      </c>
      <c r="D846" s="2">
        <f>IFERROR(__xludf.DUMMYFUNCTION("""COMPUTED_VALUE"""),46220.0)</f>
        <v>46220</v>
      </c>
      <c r="E846" s="2" t="str">
        <f>IFERROR(__xludf.DUMMYFUNCTION("""COMPUTED_VALUE"""),"VF")</f>
        <v>VF</v>
      </c>
      <c r="F846" s="2">
        <f>IFERROR(__xludf.DUMMYFUNCTION("""COMPUTED_VALUE"""),1.0)</f>
        <v>1</v>
      </c>
      <c r="G846" s="2" t="str">
        <f>IFERROR(__xludf.DUMMYFUNCTION("""COMPUTED_VALUE"""),"PR027")</f>
        <v>PR027</v>
      </c>
      <c r="H846" s="2" t="str">
        <f>IFERROR(__xludf.DUMMYFUNCTION("""COMPUTED_VALUE"""),"VD022")</f>
        <v>VD022</v>
      </c>
      <c r="I846" s="2">
        <f>IFERROR(__xludf.DUMMYFUNCTION("""COMPUTED_VALUE"""),6.0)</f>
        <v>6</v>
      </c>
      <c r="J846" s="2">
        <f>IFERROR(__xludf.DUMMYFUNCTION("""COMPUTED_VALUE"""),727.2)</f>
        <v>727.2</v>
      </c>
      <c r="K846" s="2">
        <f>IFERROR(__xludf.DUMMYFUNCTION("""COMPUTED_VALUE"""),727.2)</f>
        <v>727.2</v>
      </c>
    </row>
    <row r="847">
      <c r="A847" s="2">
        <f>IFERROR(__xludf.DUMMYFUNCTION("""COMPUTED_VALUE"""),2000.0)</f>
        <v>2000</v>
      </c>
      <c r="B847" s="2">
        <f>IFERROR(__xludf.DUMMYFUNCTION("""COMPUTED_VALUE"""),184064.0)</f>
        <v>184064</v>
      </c>
      <c r="C847" s="2">
        <f>IFERROR(__xludf.DUMMYFUNCTION("""COMPUTED_VALUE"""),2026.0)</f>
        <v>2026</v>
      </c>
      <c r="D847" s="2">
        <f>IFERROR(__xludf.DUMMYFUNCTION("""COMPUTED_VALUE"""),46219.0)</f>
        <v>46219</v>
      </c>
      <c r="E847" s="2" t="str">
        <f>IFERROR(__xludf.DUMMYFUNCTION("""COMPUTED_VALUE"""),"VF")</f>
        <v>VF</v>
      </c>
      <c r="F847" s="2">
        <f>IFERROR(__xludf.DUMMYFUNCTION("""COMPUTED_VALUE"""),1.0)</f>
        <v>1</v>
      </c>
      <c r="G847" s="2" t="str">
        <f>IFERROR(__xludf.DUMMYFUNCTION("""COMPUTED_VALUE"""),"PR018")</f>
        <v>PR018</v>
      </c>
      <c r="H847" s="2" t="str">
        <f>IFERROR(__xludf.DUMMYFUNCTION("""COMPUTED_VALUE"""),"VD018")</f>
        <v>VD018</v>
      </c>
      <c r="I847" s="2">
        <f>IFERROR(__xludf.DUMMYFUNCTION("""COMPUTED_VALUE"""),8.0)</f>
        <v>8</v>
      </c>
      <c r="J847" s="2">
        <f>IFERROR(__xludf.DUMMYFUNCTION("""COMPUTED_VALUE"""),271.1)</f>
        <v>271.1</v>
      </c>
      <c r="K847" s="2">
        <f>IFERROR(__xludf.DUMMYFUNCTION("""COMPUTED_VALUE"""),271.1)</f>
        <v>271.1</v>
      </c>
    </row>
    <row r="848">
      <c r="A848" s="2">
        <f>IFERROR(__xludf.DUMMYFUNCTION("""COMPUTED_VALUE"""),1000.0)</f>
        <v>1000</v>
      </c>
      <c r="B848" s="2">
        <f>IFERROR(__xludf.DUMMYFUNCTION("""COMPUTED_VALUE"""),184064.0)</f>
        <v>184064</v>
      </c>
      <c r="C848" s="2">
        <f>IFERROR(__xludf.DUMMYFUNCTION("""COMPUTED_VALUE"""),2026.0)</f>
        <v>2026</v>
      </c>
      <c r="D848" s="2">
        <f>IFERROR(__xludf.DUMMYFUNCTION("""COMPUTED_VALUE"""),46219.0)</f>
        <v>46219</v>
      </c>
      <c r="E848" s="2" t="str">
        <f>IFERROR(__xludf.DUMMYFUNCTION("""COMPUTED_VALUE"""),"VF")</f>
        <v>VF</v>
      </c>
      <c r="F848" s="2">
        <f>IFERROR(__xludf.DUMMYFUNCTION("""COMPUTED_VALUE"""),2.0)</f>
        <v>2</v>
      </c>
      <c r="G848" s="2" t="str">
        <f>IFERROR(__xludf.DUMMYFUNCTION("""COMPUTED_VALUE"""),"PR038")</f>
        <v>PR038</v>
      </c>
      <c r="H848" s="2" t="str">
        <f>IFERROR(__xludf.DUMMYFUNCTION("""COMPUTED_VALUE"""),"VD024")</f>
        <v>VD024</v>
      </c>
      <c r="I848" s="2">
        <f>IFERROR(__xludf.DUMMYFUNCTION("""COMPUTED_VALUE"""),3.0)</f>
        <v>3</v>
      </c>
      <c r="J848" s="2">
        <f>IFERROR(__xludf.DUMMYFUNCTION("""COMPUTED_VALUE"""),437.27)</f>
        <v>437.27</v>
      </c>
      <c r="K848" s="2">
        <f>IFERROR(__xludf.DUMMYFUNCTION("""COMPUTED_VALUE"""),437.27)</f>
        <v>437.27</v>
      </c>
    </row>
    <row r="849">
      <c r="A849" s="2">
        <f>IFERROR(__xludf.DUMMYFUNCTION("""COMPUTED_VALUE"""),1000.0)</f>
        <v>1000</v>
      </c>
      <c r="B849" s="2">
        <f>IFERROR(__xludf.DUMMYFUNCTION("""COMPUTED_VALUE"""),184065.0)</f>
        <v>184065</v>
      </c>
      <c r="C849" s="2">
        <f>IFERROR(__xludf.DUMMYFUNCTION("""COMPUTED_VALUE"""),2026.0)</f>
        <v>2026</v>
      </c>
      <c r="D849" s="2">
        <f>IFERROR(__xludf.DUMMYFUNCTION("""COMPUTED_VALUE"""),46219.0)</f>
        <v>46219</v>
      </c>
      <c r="E849" s="2" t="str">
        <f>IFERROR(__xludf.DUMMYFUNCTION("""COMPUTED_VALUE"""),"VF")</f>
        <v>VF</v>
      </c>
      <c r="F849" s="2">
        <f>IFERROR(__xludf.DUMMYFUNCTION("""COMPUTED_VALUE"""),1.0)</f>
        <v>1</v>
      </c>
      <c r="G849" s="2" t="str">
        <f>IFERROR(__xludf.DUMMYFUNCTION("""COMPUTED_VALUE"""),"PR046")</f>
        <v>PR046</v>
      </c>
      <c r="H849" s="2" t="str">
        <f>IFERROR(__xludf.DUMMYFUNCTION("""COMPUTED_VALUE"""),"VD012")</f>
        <v>VD012</v>
      </c>
      <c r="I849" s="2">
        <f>IFERROR(__xludf.DUMMYFUNCTION("""COMPUTED_VALUE"""),12.0)</f>
        <v>12</v>
      </c>
      <c r="J849" s="2">
        <f>IFERROR(__xludf.DUMMYFUNCTION("""COMPUTED_VALUE"""),3617.95)</f>
        <v>3617.95</v>
      </c>
      <c r="K849" s="2">
        <f>IFERROR(__xludf.DUMMYFUNCTION("""COMPUTED_VALUE"""),3617.95)</f>
        <v>3617.95</v>
      </c>
    </row>
    <row r="850">
      <c r="A850" s="2">
        <f>IFERROR(__xludf.DUMMYFUNCTION("""COMPUTED_VALUE"""),1000.0)</f>
        <v>1000</v>
      </c>
      <c r="B850" s="2">
        <f>IFERROR(__xludf.DUMMYFUNCTION("""COMPUTED_VALUE"""),184066.0)</f>
        <v>184066</v>
      </c>
      <c r="C850" s="2">
        <f>IFERROR(__xludf.DUMMYFUNCTION("""COMPUTED_VALUE"""),2026.0)</f>
        <v>2026</v>
      </c>
      <c r="D850" s="2">
        <f>IFERROR(__xludf.DUMMYFUNCTION("""COMPUTED_VALUE"""),46219.0)</f>
        <v>46219</v>
      </c>
      <c r="E850" s="2" t="str">
        <f>IFERROR(__xludf.DUMMYFUNCTION("""COMPUTED_VALUE"""),"VF")</f>
        <v>VF</v>
      </c>
      <c r="F850" s="2">
        <f>IFERROR(__xludf.DUMMYFUNCTION("""COMPUTED_VALUE"""),1.0)</f>
        <v>1</v>
      </c>
      <c r="G850" s="2" t="str">
        <f>IFERROR(__xludf.DUMMYFUNCTION("""COMPUTED_VALUE"""),"PR008")</f>
        <v>PR008</v>
      </c>
      <c r="H850" s="2" t="str">
        <f>IFERROR(__xludf.DUMMYFUNCTION("""COMPUTED_VALUE"""),"VD023")</f>
        <v>VD023</v>
      </c>
      <c r="I850" s="2">
        <f>IFERROR(__xludf.DUMMYFUNCTION("""COMPUTED_VALUE"""),4.0)</f>
        <v>4</v>
      </c>
      <c r="J850" s="2">
        <f>IFERROR(__xludf.DUMMYFUNCTION("""COMPUTED_VALUE"""),391.96)</f>
        <v>391.96</v>
      </c>
      <c r="K850" s="2">
        <f>IFERROR(__xludf.DUMMYFUNCTION("""COMPUTED_VALUE"""),391.96)</f>
        <v>391.96</v>
      </c>
    </row>
    <row r="851">
      <c r="A851" s="2">
        <f>IFERROR(__xludf.DUMMYFUNCTION("""COMPUTED_VALUE"""),2000.0)</f>
        <v>2000</v>
      </c>
      <c r="B851" s="2">
        <f>IFERROR(__xludf.DUMMYFUNCTION("""COMPUTED_VALUE"""),184067.0)</f>
        <v>184067</v>
      </c>
      <c r="C851" s="2">
        <f>IFERROR(__xludf.DUMMYFUNCTION("""COMPUTED_VALUE"""),2026.0)</f>
        <v>2026</v>
      </c>
      <c r="D851" s="2">
        <f>IFERROR(__xludf.DUMMYFUNCTION("""COMPUTED_VALUE"""),46219.0)</f>
        <v>46219</v>
      </c>
      <c r="E851" s="2" t="str">
        <f>IFERROR(__xludf.DUMMYFUNCTION("""COMPUTED_VALUE"""),"VF")</f>
        <v>VF</v>
      </c>
      <c r="F851" s="2">
        <f>IFERROR(__xludf.DUMMYFUNCTION("""COMPUTED_VALUE"""),1.0)</f>
        <v>1</v>
      </c>
      <c r="G851" s="2" t="str">
        <f>IFERROR(__xludf.DUMMYFUNCTION("""COMPUTED_VALUE"""),"PR022")</f>
        <v>PR022</v>
      </c>
      <c r="H851" s="2" t="str">
        <f>IFERROR(__xludf.DUMMYFUNCTION("""COMPUTED_VALUE"""),"VD018")</f>
        <v>VD018</v>
      </c>
      <c r="I851" s="2">
        <f>IFERROR(__xludf.DUMMYFUNCTION("""COMPUTED_VALUE"""),18.0)</f>
        <v>18</v>
      </c>
      <c r="J851" s="2">
        <f>IFERROR(__xludf.DUMMYFUNCTION("""COMPUTED_VALUE"""),5778.0)</f>
        <v>5778</v>
      </c>
      <c r="K851" s="2">
        <f>IFERROR(__xludf.DUMMYFUNCTION("""COMPUTED_VALUE"""),5778.0)</f>
        <v>5778</v>
      </c>
    </row>
    <row r="852">
      <c r="A852" s="2">
        <f>IFERROR(__xludf.DUMMYFUNCTION("""COMPUTED_VALUE"""),1000.0)</f>
        <v>1000</v>
      </c>
      <c r="B852" s="2">
        <f>IFERROR(__xludf.DUMMYFUNCTION("""COMPUTED_VALUE"""),184068.0)</f>
        <v>184068</v>
      </c>
      <c r="C852" s="2">
        <f>IFERROR(__xludf.DUMMYFUNCTION("""COMPUTED_VALUE"""),2026.0)</f>
        <v>2026</v>
      </c>
      <c r="D852" s="2">
        <f>IFERROR(__xludf.DUMMYFUNCTION("""COMPUTED_VALUE"""),46219.0)</f>
        <v>46219</v>
      </c>
      <c r="E852" s="2" t="str">
        <f>IFERROR(__xludf.DUMMYFUNCTION("""COMPUTED_VALUE"""),"VF")</f>
        <v>VF</v>
      </c>
      <c r="F852" s="2">
        <f>IFERROR(__xludf.DUMMYFUNCTION("""COMPUTED_VALUE"""),1.0)</f>
        <v>1</v>
      </c>
      <c r="G852" s="2" t="str">
        <f>IFERROR(__xludf.DUMMYFUNCTION("""COMPUTED_VALUE"""),"PR038")</f>
        <v>PR038</v>
      </c>
      <c r="H852" s="2" t="str">
        <f>IFERROR(__xludf.DUMMYFUNCTION("""COMPUTED_VALUE"""),"VD020")</f>
        <v>VD020</v>
      </c>
      <c r="I852" s="2">
        <f>IFERROR(__xludf.DUMMYFUNCTION("""COMPUTED_VALUE"""),18.0)</f>
        <v>18</v>
      </c>
      <c r="J852" s="2">
        <f>IFERROR(__xludf.DUMMYFUNCTION("""COMPUTED_VALUE"""),2726.53)</f>
        <v>2726.53</v>
      </c>
      <c r="K852" s="2">
        <f>IFERROR(__xludf.DUMMYFUNCTION("""COMPUTED_VALUE"""),2726.53)</f>
        <v>2726.53</v>
      </c>
    </row>
    <row r="853">
      <c r="A853" s="2">
        <f>IFERROR(__xludf.DUMMYFUNCTION("""COMPUTED_VALUE"""),1000.0)</f>
        <v>1000</v>
      </c>
      <c r="B853" s="2">
        <f>IFERROR(__xludf.DUMMYFUNCTION("""COMPUTED_VALUE"""),184068.0)</f>
        <v>184068</v>
      </c>
      <c r="C853" s="2">
        <f>IFERROR(__xludf.DUMMYFUNCTION("""COMPUTED_VALUE"""),2026.0)</f>
        <v>2026</v>
      </c>
      <c r="D853" s="2">
        <f>IFERROR(__xludf.DUMMYFUNCTION("""COMPUTED_VALUE"""),46219.0)</f>
        <v>46219</v>
      </c>
      <c r="E853" s="2" t="str">
        <f>IFERROR(__xludf.DUMMYFUNCTION("""COMPUTED_VALUE"""),"VF")</f>
        <v>VF</v>
      </c>
      <c r="F853" s="2">
        <f>IFERROR(__xludf.DUMMYFUNCTION("""COMPUTED_VALUE"""),2.0)</f>
        <v>2</v>
      </c>
      <c r="G853" s="2" t="str">
        <f>IFERROR(__xludf.DUMMYFUNCTION("""COMPUTED_VALUE"""),"PR045")</f>
        <v>PR045</v>
      </c>
      <c r="H853" s="2" t="str">
        <f>IFERROR(__xludf.DUMMYFUNCTION("""COMPUTED_VALUE"""),"VD039")</f>
        <v>VD039</v>
      </c>
      <c r="I853" s="2">
        <f>IFERROR(__xludf.DUMMYFUNCTION("""COMPUTED_VALUE"""),6.0)</f>
        <v>6</v>
      </c>
      <c r="J853" s="2">
        <f>IFERROR(__xludf.DUMMYFUNCTION("""COMPUTED_VALUE"""),465.45)</f>
        <v>465.45</v>
      </c>
      <c r="K853" s="2">
        <f>IFERROR(__xludf.DUMMYFUNCTION("""COMPUTED_VALUE"""),465.45)</f>
        <v>465.45</v>
      </c>
    </row>
    <row r="854">
      <c r="A854" s="2">
        <f>IFERROR(__xludf.DUMMYFUNCTION("""COMPUTED_VALUE"""),1000.0)</f>
        <v>1000</v>
      </c>
      <c r="B854" s="2">
        <f>IFERROR(__xludf.DUMMYFUNCTION("""COMPUTED_VALUE"""),184069.0)</f>
        <v>184069</v>
      </c>
      <c r="C854" s="2">
        <f>IFERROR(__xludf.DUMMYFUNCTION("""COMPUTED_VALUE"""),2026.0)</f>
        <v>2026</v>
      </c>
      <c r="D854" s="2">
        <f>IFERROR(__xludf.DUMMYFUNCTION("""COMPUTED_VALUE"""),46219.0)</f>
        <v>46219</v>
      </c>
      <c r="E854" s="2" t="str">
        <f>IFERROR(__xludf.DUMMYFUNCTION("""COMPUTED_VALUE"""),"VF")</f>
        <v>VF</v>
      </c>
      <c r="F854" s="2">
        <f>IFERROR(__xludf.DUMMYFUNCTION("""COMPUTED_VALUE"""),1.0)</f>
        <v>1</v>
      </c>
      <c r="G854" s="2" t="str">
        <f>IFERROR(__xludf.DUMMYFUNCTION("""COMPUTED_VALUE"""),"PR005")</f>
        <v>PR005</v>
      </c>
      <c r="H854" s="2" t="str">
        <f>IFERROR(__xludf.DUMMYFUNCTION("""COMPUTED_VALUE"""),"VD048")</f>
        <v>VD048</v>
      </c>
      <c r="I854" s="2">
        <f>IFERROR(__xludf.DUMMYFUNCTION("""COMPUTED_VALUE"""),9.0)</f>
        <v>9</v>
      </c>
      <c r="J854" s="2">
        <f>IFERROR(__xludf.DUMMYFUNCTION("""COMPUTED_VALUE"""),2456.06)</f>
        <v>2456.06</v>
      </c>
      <c r="K854" s="2">
        <f>IFERROR(__xludf.DUMMYFUNCTION("""COMPUTED_VALUE"""),2456.06)</f>
        <v>2456.06</v>
      </c>
    </row>
    <row r="855">
      <c r="A855" s="2">
        <f>IFERROR(__xludf.DUMMYFUNCTION("""COMPUTED_VALUE"""),1000.0)</f>
        <v>1000</v>
      </c>
      <c r="B855" s="2">
        <f>IFERROR(__xludf.DUMMYFUNCTION("""COMPUTED_VALUE"""),184070.0)</f>
        <v>184070</v>
      </c>
      <c r="C855" s="2">
        <f>IFERROR(__xludf.DUMMYFUNCTION("""COMPUTED_VALUE"""),2026.0)</f>
        <v>2026</v>
      </c>
      <c r="D855" s="2">
        <f>IFERROR(__xludf.DUMMYFUNCTION("""COMPUTED_VALUE"""),46218.0)</f>
        <v>46218</v>
      </c>
      <c r="E855" s="2" t="str">
        <f>IFERROR(__xludf.DUMMYFUNCTION("""COMPUTED_VALUE"""),"VF")</f>
        <v>VF</v>
      </c>
      <c r="F855" s="2">
        <f>IFERROR(__xludf.DUMMYFUNCTION("""COMPUTED_VALUE"""),1.0)</f>
        <v>1</v>
      </c>
      <c r="G855" s="2" t="str">
        <f>IFERROR(__xludf.DUMMYFUNCTION("""COMPUTED_VALUE"""),"PR009")</f>
        <v>PR009</v>
      </c>
      <c r="H855" s="2" t="str">
        <f>IFERROR(__xludf.DUMMYFUNCTION("""COMPUTED_VALUE"""),"VD048")</f>
        <v>VD048</v>
      </c>
      <c r="I855" s="2">
        <f>IFERROR(__xludf.DUMMYFUNCTION("""COMPUTED_VALUE"""),5.0)</f>
        <v>5</v>
      </c>
      <c r="J855" s="2">
        <f>IFERROR(__xludf.DUMMYFUNCTION("""COMPUTED_VALUE"""),469.15)</f>
        <v>469.15</v>
      </c>
      <c r="K855" s="2">
        <f>IFERROR(__xludf.DUMMYFUNCTION("""COMPUTED_VALUE"""),469.15)</f>
        <v>469.15</v>
      </c>
    </row>
    <row r="856">
      <c r="A856" s="2">
        <f>IFERROR(__xludf.DUMMYFUNCTION("""COMPUTED_VALUE"""),1000.0)</f>
        <v>1000</v>
      </c>
      <c r="B856" s="2">
        <f>IFERROR(__xludf.DUMMYFUNCTION("""COMPUTED_VALUE"""),184071.0)</f>
        <v>184071</v>
      </c>
      <c r="C856" s="2">
        <f>IFERROR(__xludf.DUMMYFUNCTION("""COMPUTED_VALUE"""),2026.0)</f>
        <v>2026</v>
      </c>
      <c r="D856" s="2">
        <f>IFERROR(__xludf.DUMMYFUNCTION("""COMPUTED_VALUE"""),46218.0)</f>
        <v>46218</v>
      </c>
      <c r="E856" s="2" t="str">
        <f>IFERROR(__xludf.DUMMYFUNCTION("""COMPUTED_VALUE"""),"VF")</f>
        <v>VF</v>
      </c>
      <c r="F856" s="2">
        <f>IFERROR(__xludf.DUMMYFUNCTION("""COMPUTED_VALUE"""),1.0)</f>
        <v>1</v>
      </c>
      <c r="G856" s="2" t="str">
        <f>IFERROR(__xludf.DUMMYFUNCTION("""COMPUTED_VALUE"""),"PR025")</f>
        <v>PR025</v>
      </c>
      <c r="H856" s="2" t="str">
        <f>IFERROR(__xludf.DUMMYFUNCTION("""COMPUTED_VALUE"""),"VD016")</f>
        <v>VD016</v>
      </c>
      <c r="I856" s="2">
        <f>IFERROR(__xludf.DUMMYFUNCTION("""COMPUTED_VALUE"""),1.0)</f>
        <v>1</v>
      </c>
      <c r="J856" s="2">
        <f>IFERROR(__xludf.DUMMYFUNCTION("""COMPUTED_VALUE"""),311.9)</f>
        <v>311.9</v>
      </c>
      <c r="K856" s="2">
        <f>IFERROR(__xludf.DUMMYFUNCTION("""COMPUTED_VALUE"""),311.9)</f>
        <v>311.9</v>
      </c>
    </row>
    <row r="857">
      <c r="A857" s="2">
        <f>IFERROR(__xludf.DUMMYFUNCTION("""COMPUTED_VALUE"""),1000.0)</f>
        <v>1000</v>
      </c>
      <c r="B857" s="2">
        <f>IFERROR(__xludf.DUMMYFUNCTION("""COMPUTED_VALUE"""),184072.0)</f>
        <v>184072</v>
      </c>
      <c r="C857" s="2">
        <f>IFERROR(__xludf.DUMMYFUNCTION("""COMPUTED_VALUE"""),2026.0)</f>
        <v>2026</v>
      </c>
      <c r="D857" s="2">
        <f>IFERROR(__xludf.DUMMYFUNCTION("""COMPUTED_VALUE"""),46218.0)</f>
        <v>46218</v>
      </c>
      <c r="E857" s="2" t="str">
        <f>IFERROR(__xludf.DUMMYFUNCTION("""COMPUTED_VALUE"""),"VF")</f>
        <v>VF</v>
      </c>
      <c r="F857" s="2">
        <f>IFERROR(__xludf.DUMMYFUNCTION("""COMPUTED_VALUE"""),1.0)</f>
        <v>1</v>
      </c>
      <c r="G857" s="2" t="str">
        <f>IFERROR(__xludf.DUMMYFUNCTION("""COMPUTED_VALUE"""),"PR037")</f>
        <v>PR037</v>
      </c>
      <c r="H857" s="2" t="str">
        <f>IFERROR(__xludf.DUMMYFUNCTION("""COMPUTED_VALUE"""),"VD045")</f>
        <v>VD045</v>
      </c>
      <c r="I857" s="2">
        <f>IFERROR(__xludf.DUMMYFUNCTION("""COMPUTED_VALUE"""),7.0)</f>
        <v>7</v>
      </c>
      <c r="J857" s="2">
        <f>IFERROR(__xludf.DUMMYFUNCTION("""COMPUTED_VALUE"""),1078.0)</f>
        <v>1078</v>
      </c>
      <c r="K857" s="2">
        <f>IFERROR(__xludf.DUMMYFUNCTION("""COMPUTED_VALUE"""),1078.0)</f>
        <v>1078</v>
      </c>
    </row>
    <row r="858">
      <c r="A858" s="2">
        <f>IFERROR(__xludf.DUMMYFUNCTION("""COMPUTED_VALUE"""),1000.0)</f>
        <v>1000</v>
      </c>
      <c r="B858" s="2">
        <f>IFERROR(__xludf.DUMMYFUNCTION("""COMPUTED_VALUE"""),184073.0)</f>
        <v>184073</v>
      </c>
      <c r="C858" s="2">
        <f>IFERROR(__xludf.DUMMYFUNCTION("""COMPUTED_VALUE"""),2026.0)</f>
        <v>2026</v>
      </c>
      <c r="D858" s="2">
        <f>IFERROR(__xludf.DUMMYFUNCTION("""COMPUTED_VALUE"""),46218.0)</f>
        <v>46218</v>
      </c>
      <c r="E858" s="2" t="str">
        <f>IFERROR(__xludf.DUMMYFUNCTION("""COMPUTED_VALUE"""),"VF")</f>
        <v>VF</v>
      </c>
      <c r="F858" s="2">
        <f>IFERROR(__xludf.DUMMYFUNCTION("""COMPUTED_VALUE"""),1.0)</f>
        <v>1</v>
      </c>
      <c r="G858" s="2" t="str">
        <f>IFERROR(__xludf.DUMMYFUNCTION("""COMPUTED_VALUE"""),"PR035")</f>
        <v>PR035</v>
      </c>
      <c r="H858" s="2" t="str">
        <f>IFERROR(__xludf.DUMMYFUNCTION("""COMPUTED_VALUE"""),"VD040")</f>
        <v>VD040</v>
      </c>
      <c r="I858" s="2">
        <f>IFERROR(__xludf.DUMMYFUNCTION("""COMPUTED_VALUE"""),6.0)</f>
        <v>6</v>
      </c>
      <c r="J858" s="2">
        <f>IFERROR(__xludf.DUMMYFUNCTION("""COMPUTED_VALUE"""),559.37)</f>
        <v>559.37</v>
      </c>
      <c r="K858" s="2">
        <f>IFERROR(__xludf.DUMMYFUNCTION("""COMPUTED_VALUE"""),559.37)</f>
        <v>559.37</v>
      </c>
    </row>
    <row r="859">
      <c r="A859" s="2">
        <f>IFERROR(__xludf.DUMMYFUNCTION("""COMPUTED_VALUE"""),1000.0)</f>
        <v>1000</v>
      </c>
      <c r="B859" s="2">
        <f>IFERROR(__xludf.DUMMYFUNCTION("""COMPUTED_VALUE"""),184074.0)</f>
        <v>184074</v>
      </c>
      <c r="C859" s="2">
        <f>IFERROR(__xludf.DUMMYFUNCTION("""COMPUTED_VALUE"""),2026.0)</f>
        <v>2026</v>
      </c>
      <c r="D859" s="2">
        <f>IFERROR(__xludf.DUMMYFUNCTION("""COMPUTED_VALUE"""),46218.0)</f>
        <v>46218</v>
      </c>
      <c r="E859" s="2" t="str">
        <f>IFERROR(__xludf.DUMMYFUNCTION("""COMPUTED_VALUE"""),"VF")</f>
        <v>VF</v>
      </c>
      <c r="F859" s="2">
        <f>IFERROR(__xludf.DUMMYFUNCTION("""COMPUTED_VALUE"""),1.0)</f>
        <v>1</v>
      </c>
      <c r="G859" s="2" t="str">
        <f>IFERROR(__xludf.DUMMYFUNCTION("""COMPUTED_VALUE"""),"PR047")</f>
        <v>PR047</v>
      </c>
      <c r="H859" s="2" t="str">
        <f>IFERROR(__xludf.DUMMYFUNCTION("""COMPUTED_VALUE"""),"VD035")</f>
        <v>VD035</v>
      </c>
      <c r="I859" s="2">
        <f>IFERROR(__xludf.DUMMYFUNCTION("""COMPUTED_VALUE"""),6.0)</f>
        <v>6</v>
      </c>
      <c r="J859" s="2">
        <f>IFERROR(__xludf.DUMMYFUNCTION("""COMPUTED_VALUE"""),1913.34)</f>
        <v>1913.34</v>
      </c>
      <c r="K859" s="2">
        <f>IFERROR(__xludf.DUMMYFUNCTION("""COMPUTED_VALUE"""),1913.34)</f>
        <v>1913.34</v>
      </c>
    </row>
    <row r="860">
      <c r="A860" s="2">
        <f>IFERROR(__xludf.DUMMYFUNCTION("""COMPUTED_VALUE"""),1000.0)</f>
        <v>1000</v>
      </c>
      <c r="B860" s="2">
        <f>IFERROR(__xludf.DUMMYFUNCTION("""COMPUTED_VALUE"""),184075.0)</f>
        <v>184075</v>
      </c>
      <c r="C860" s="2">
        <f>IFERROR(__xludf.DUMMYFUNCTION("""COMPUTED_VALUE"""),2026.0)</f>
        <v>2026</v>
      </c>
      <c r="D860" s="2">
        <f>IFERROR(__xludf.DUMMYFUNCTION("""COMPUTED_VALUE"""),46218.0)</f>
        <v>46218</v>
      </c>
      <c r="E860" s="2" t="str">
        <f>IFERROR(__xludf.DUMMYFUNCTION("""COMPUTED_VALUE"""),"VF")</f>
        <v>VF</v>
      </c>
      <c r="F860" s="2">
        <f>IFERROR(__xludf.DUMMYFUNCTION("""COMPUTED_VALUE"""),1.0)</f>
        <v>1</v>
      </c>
      <c r="G860" s="2" t="str">
        <f>IFERROR(__xludf.DUMMYFUNCTION("""COMPUTED_VALUE"""),"PR021")</f>
        <v>PR021</v>
      </c>
      <c r="H860" s="2" t="str">
        <f>IFERROR(__xludf.DUMMYFUNCTION("""COMPUTED_VALUE"""),"VD046")</f>
        <v>VD046</v>
      </c>
      <c r="I860" s="2">
        <f>IFERROR(__xludf.DUMMYFUNCTION("""COMPUTED_VALUE"""),1.0)</f>
        <v>1</v>
      </c>
      <c r="J860" s="2">
        <f>IFERROR(__xludf.DUMMYFUNCTION("""COMPUTED_VALUE"""),318.05)</f>
        <v>318.05</v>
      </c>
      <c r="K860" s="2">
        <f>IFERROR(__xludf.DUMMYFUNCTION("""COMPUTED_VALUE"""),318.05)</f>
        <v>318.05</v>
      </c>
    </row>
    <row r="861">
      <c r="A861" s="2">
        <f>IFERROR(__xludf.DUMMYFUNCTION("""COMPUTED_VALUE"""),1000.0)</f>
        <v>1000</v>
      </c>
      <c r="B861" s="2">
        <f>IFERROR(__xludf.DUMMYFUNCTION("""COMPUTED_VALUE"""),184076.0)</f>
        <v>184076</v>
      </c>
      <c r="C861" s="2">
        <f>IFERROR(__xludf.DUMMYFUNCTION("""COMPUTED_VALUE"""),2026.0)</f>
        <v>2026</v>
      </c>
      <c r="D861" s="2">
        <f>IFERROR(__xludf.DUMMYFUNCTION("""COMPUTED_VALUE"""),46218.0)</f>
        <v>46218</v>
      </c>
      <c r="E861" s="2" t="str">
        <f>IFERROR(__xludf.DUMMYFUNCTION("""COMPUTED_VALUE"""),"VF")</f>
        <v>VF</v>
      </c>
      <c r="F861" s="2">
        <f>IFERROR(__xludf.DUMMYFUNCTION("""COMPUTED_VALUE"""),1.0)</f>
        <v>1</v>
      </c>
      <c r="G861" s="2" t="str">
        <f>IFERROR(__xludf.DUMMYFUNCTION("""COMPUTED_VALUE"""),"PR019")</f>
        <v>PR019</v>
      </c>
      <c r="H861" s="2" t="str">
        <f>IFERROR(__xludf.DUMMYFUNCTION("""COMPUTED_VALUE"""),"VD019")</f>
        <v>VD019</v>
      </c>
      <c r="I861" s="2">
        <f>IFERROR(__xludf.DUMMYFUNCTION("""COMPUTED_VALUE"""),12.0)</f>
        <v>12</v>
      </c>
      <c r="J861" s="2">
        <f>IFERROR(__xludf.DUMMYFUNCTION("""COMPUTED_VALUE"""),652.69)</f>
        <v>652.69</v>
      </c>
      <c r="K861" s="2">
        <f>IFERROR(__xludf.DUMMYFUNCTION("""COMPUTED_VALUE"""),652.69)</f>
        <v>652.69</v>
      </c>
    </row>
    <row r="862">
      <c r="A862" s="2">
        <f>IFERROR(__xludf.DUMMYFUNCTION("""COMPUTED_VALUE"""),1000.0)</f>
        <v>1000</v>
      </c>
      <c r="B862" s="2">
        <f>IFERROR(__xludf.DUMMYFUNCTION("""COMPUTED_VALUE"""),184077.0)</f>
        <v>184077</v>
      </c>
      <c r="C862" s="2">
        <f>IFERROR(__xludf.DUMMYFUNCTION("""COMPUTED_VALUE"""),2026.0)</f>
        <v>2026</v>
      </c>
      <c r="D862" s="2">
        <f>IFERROR(__xludf.DUMMYFUNCTION("""COMPUTED_VALUE"""),46218.0)</f>
        <v>46218</v>
      </c>
      <c r="E862" s="2" t="str">
        <f>IFERROR(__xludf.DUMMYFUNCTION("""COMPUTED_VALUE"""),"VF")</f>
        <v>VF</v>
      </c>
      <c r="F862" s="2">
        <f>IFERROR(__xludf.DUMMYFUNCTION("""COMPUTED_VALUE"""),1.0)</f>
        <v>1</v>
      </c>
      <c r="G862" s="2" t="str">
        <f>IFERROR(__xludf.DUMMYFUNCTION("""COMPUTED_VALUE"""),"PR053")</f>
        <v>PR053</v>
      </c>
      <c r="H862" s="2" t="str">
        <f>IFERROR(__xludf.DUMMYFUNCTION("""COMPUTED_VALUE"""),"VD041")</f>
        <v>VD041</v>
      </c>
      <c r="I862" s="2">
        <f>IFERROR(__xludf.DUMMYFUNCTION("""COMPUTED_VALUE"""),8.0)</f>
        <v>8</v>
      </c>
      <c r="J862" s="2">
        <f>IFERROR(__xludf.DUMMYFUNCTION("""COMPUTED_VALUE"""),411.18)</f>
        <v>411.18</v>
      </c>
      <c r="K862" s="2">
        <f>IFERROR(__xludf.DUMMYFUNCTION("""COMPUTED_VALUE"""),411.18)</f>
        <v>411.18</v>
      </c>
    </row>
    <row r="863">
      <c r="A863" s="2">
        <f>IFERROR(__xludf.DUMMYFUNCTION("""COMPUTED_VALUE"""),1000.0)</f>
        <v>1000</v>
      </c>
      <c r="B863" s="2">
        <f>IFERROR(__xludf.DUMMYFUNCTION("""COMPUTED_VALUE"""),184078.0)</f>
        <v>184078</v>
      </c>
      <c r="C863" s="2">
        <f>IFERROR(__xludf.DUMMYFUNCTION("""COMPUTED_VALUE"""),2026.0)</f>
        <v>2026</v>
      </c>
      <c r="D863" s="2">
        <f>IFERROR(__xludf.DUMMYFUNCTION("""COMPUTED_VALUE"""),46218.0)</f>
        <v>46218</v>
      </c>
      <c r="E863" s="2" t="str">
        <f>IFERROR(__xludf.DUMMYFUNCTION("""COMPUTED_VALUE"""),"VF")</f>
        <v>VF</v>
      </c>
      <c r="F863" s="2">
        <f>IFERROR(__xludf.DUMMYFUNCTION("""COMPUTED_VALUE"""),1.0)</f>
        <v>1</v>
      </c>
      <c r="G863" s="2" t="str">
        <f>IFERROR(__xludf.DUMMYFUNCTION("""COMPUTED_VALUE"""),"PR051")</f>
        <v>PR051</v>
      </c>
      <c r="H863" s="2" t="str">
        <f>IFERROR(__xludf.DUMMYFUNCTION("""COMPUTED_VALUE"""),"VD023")</f>
        <v>VD023</v>
      </c>
      <c r="I863" s="2">
        <f>IFERROR(__xludf.DUMMYFUNCTION("""COMPUTED_VALUE"""),7.0)</f>
        <v>7</v>
      </c>
      <c r="J863" s="2">
        <f>IFERROR(__xludf.DUMMYFUNCTION("""COMPUTED_VALUE"""),244.12)</f>
        <v>244.12</v>
      </c>
      <c r="K863" s="2">
        <f>IFERROR(__xludf.DUMMYFUNCTION("""COMPUTED_VALUE"""),244.12)</f>
        <v>244.12</v>
      </c>
    </row>
    <row r="864">
      <c r="A864" s="2">
        <f>IFERROR(__xludf.DUMMYFUNCTION("""COMPUTED_VALUE"""),1000.0)</f>
        <v>1000</v>
      </c>
      <c r="B864" s="2">
        <f>IFERROR(__xludf.DUMMYFUNCTION("""COMPUTED_VALUE"""),184079.0)</f>
        <v>184079</v>
      </c>
      <c r="C864" s="2">
        <f>IFERROR(__xludf.DUMMYFUNCTION("""COMPUTED_VALUE"""),2026.0)</f>
        <v>2026</v>
      </c>
      <c r="D864" s="2">
        <f>IFERROR(__xludf.DUMMYFUNCTION("""COMPUTED_VALUE"""),46218.0)</f>
        <v>46218</v>
      </c>
      <c r="E864" s="2" t="str">
        <f>IFERROR(__xludf.DUMMYFUNCTION("""COMPUTED_VALUE"""),"VF")</f>
        <v>VF</v>
      </c>
      <c r="F864" s="2">
        <f>IFERROR(__xludf.DUMMYFUNCTION("""COMPUTED_VALUE"""),1.0)</f>
        <v>1</v>
      </c>
      <c r="G864" s="2" t="str">
        <f>IFERROR(__xludf.DUMMYFUNCTION("""COMPUTED_VALUE"""),"PR047")</f>
        <v>PR047</v>
      </c>
      <c r="H864" s="2" t="str">
        <f>IFERROR(__xludf.DUMMYFUNCTION("""COMPUTED_VALUE"""),"VD021")</f>
        <v>VD021</v>
      </c>
      <c r="I864" s="2">
        <f>IFERROR(__xludf.DUMMYFUNCTION("""COMPUTED_VALUE"""),2.0)</f>
        <v>2</v>
      </c>
      <c r="J864" s="2">
        <f>IFERROR(__xludf.DUMMYFUNCTION("""COMPUTED_VALUE"""),597.19)</f>
        <v>597.19</v>
      </c>
      <c r="K864" s="2">
        <f>IFERROR(__xludf.DUMMYFUNCTION("""COMPUTED_VALUE"""),597.19)</f>
        <v>597.19</v>
      </c>
    </row>
    <row r="865">
      <c r="A865" s="2">
        <f>IFERROR(__xludf.DUMMYFUNCTION("""COMPUTED_VALUE"""),1000.0)</f>
        <v>1000</v>
      </c>
      <c r="B865" s="2">
        <f>IFERROR(__xludf.DUMMYFUNCTION("""COMPUTED_VALUE"""),184080.0)</f>
        <v>184080</v>
      </c>
      <c r="C865" s="2">
        <f>IFERROR(__xludf.DUMMYFUNCTION("""COMPUTED_VALUE"""),2026.0)</f>
        <v>2026</v>
      </c>
      <c r="D865" s="2">
        <f>IFERROR(__xludf.DUMMYFUNCTION("""COMPUTED_VALUE"""),46218.0)</f>
        <v>46218</v>
      </c>
      <c r="E865" s="2" t="str">
        <f>IFERROR(__xludf.DUMMYFUNCTION("""COMPUTED_VALUE"""),"VF")</f>
        <v>VF</v>
      </c>
      <c r="F865" s="2">
        <f>IFERROR(__xludf.DUMMYFUNCTION("""COMPUTED_VALUE"""),1.0)</f>
        <v>1</v>
      </c>
      <c r="G865" s="2" t="str">
        <f>IFERROR(__xludf.DUMMYFUNCTION("""COMPUTED_VALUE"""),"PR048")</f>
        <v>PR048</v>
      </c>
      <c r="H865" s="2" t="str">
        <f>IFERROR(__xludf.DUMMYFUNCTION("""COMPUTED_VALUE"""),"VD045")</f>
        <v>VD045</v>
      </c>
      <c r="I865" s="2">
        <f>IFERROR(__xludf.DUMMYFUNCTION("""COMPUTED_VALUE"""),4.0)</f>
        <v>4</v>
      </c>
      <c r="J865" s="2">
        <f>IFERROR(__xludf.DUMMYFUNCTION("""COMPUTED_VALUE"""),1275.56)</f>
        <v>1275.56</v>
      </c>
      <c r="K865" s="2">
        <f>IFERROR(__xludf.DUMMYFUNCTION("""COMPUTED_VALUE"""),1275.56)</f>
        <v>1275.56</v>
      </c>
    </row>
    <row r="866">
      <c r="A866" s="2">
        <f>IFERROR(__xludf.DUMMYFUNCTION("""COMPUTED_VALUE"""),1000.0)</f>
        <v>1000</v>
      </c>
      <c r="B866" s="2">
        <f>IFERROR(__xludf.DUMMYFUNCTION("""COMPUTED_VALUE"""),184081.0)</f>
        <v>184081</v>
      </c>
      <c r="C866" s="2">
        <f>IFERROR(__xludf.DUMMYFUNCTION("""COMPUTED_VALUE"""),2026.0)</f>
        <v>2026</v>
      </c>
      <c r="D866" s="2">
        <f>IFERROR(__xludf.DUMMYFUNCTION("""COMPUTED_VALUE"""),46218.0)</f>
        <v>46218</v>
      </c>
      <c r="E866" s="2" t="str">
        <f>IFERROR(__xludf.DUMMYFUNCTION("""COMPUTED_VALUE"""),"VF")</f>
        <v>VF</v>
      </c>
      <c r="F866" s="2">
        <f>IFERROR(__xludf.DUMMYFUNCTION("""COMPUTED_VALUE"""),1.0)</f>
        <v>1</v>
      </c>
      <c r="G866" s="2" t="str">
        <f>IFERROR(__xludf.DUMMYFUNCTION("""COMPUTED_VALUE"""),"PR014")</f>
        <v>PR014</v>
      </c>
      <c r="H866" s="2" t="str">
        <f>IFERROR(__xludf.DUMMYFUNCTION("""COMPUTED_VALUE"""),"VD049")</f>
        <v>VD049</v>
      </c>
      <c r="I866" s="2">
        <f>IFERROR(__xludf.DUMMYFUNCTION("""COMPUTED_VALUE"""),6.0)</f>
        <v>6</v>
      </c>
      <c r="J866" s="2">
        <f>IFERROR(__xludf.DUMMYFUNCTION("""COMPUTED_VALUE"""),246.58)</f>
        <v>246.58</v>
      </c>
      <c r="K866" s="2">
        <f>IFERROR(__xludf.DUMMYFUNCTION("""COMPUTED_VALUE"""),246.58)</f>
        <v>246.58</v>
      </c>
    </row>
    <row r="867">
      <c r="A867" s="2">
        <f>IFERROR(__xludf.DUMMYFUNCTION("""COMPUTED_VALUE"""),1000.0)</f>
        <v>1000</v>
      </c>
      <c r="B867" s="2">
        <f>IFERROR(__xludf.DUMMYFUNCTION("""COMPUTED_VALUE"""),184082.0)</f>
        <v>184082</v>
      </c>
      <c r="C867" s="2">
        <f>IFERROR(__xludf.DUMMYFUNCTION("""COMPUTED_VALUE"""),2026.0)</f>
        <v>2026</v>
      </c>
      <c r="D867" s="2">
        <f>IFERROR(__xludf.DUMMYFUNCTION("""COMPUTED_VALUE"""),46217.0)</f>
        <v>46217</v>
      </c>
      <c r="E867" s="2" t="str">
        <f>IFERROR(__xludf.DUMMYFUNCTION("""COMPUTED_VALUE"""),"VF")</f>
        <v>VF</v>
      </c>
      <c r="F867" s="2">
        <f>IFERROR(__xludf.DUMMYFUNCTION("""COMPUTED_VALUE"""),1.0)</f>
        <v>1</v>
      </c>
      <c r="G867" s="2" t="str">
        <f>IFERROR(__xludf.DUMMYFUNCTION("""COMPUTED_VALUE"""),"PR050")</f>
        <v>PR050</v>
      </c>
      <c r="H867" s="2" t="str">
        <f>IFERROR(__xludf.DUMMYFUNCTION("""COMPUTED_VALUE"""),"VD019")</f>
        <v>VD019</v>
      </c>
      <c r="I867" s="2">
        <f>IFERROR(__xludf.DUMMYFUNCTION("""COMPUTED_VALUE"""),2.0)</f>
        <v>2</v>
      </c>
      <c r="J867" s="2">
        <f>IFERROR(__xludf.DUMMYFUNCTION("""COMPUTED_VALUE"""),68.43)</f>
        <v>68.43</v>
      </c>
      <c r="K867" s="2">
        <f>IFERROR(__xludf.DUMMYFUNCTION("""COMPUTED_VALUE"""),68.43)</f>
        <v>68.43</v>
      </c>
    </row>
    <row r="868">
      <c r="A868" s="2">
        <f>IFERROR(__xludf.DUMMYFUNCTION("""COMPUTED_VALUE"""),2000.0)</f>
        <v>2000</v>
      </c>
      <c r="B868" s="2">
        <f>IFERROR(__xludf.DUMMYFUNCTION("""COMPUTED_VALUE"""),184083.0)</f>
        <v>184083</v>
      </c>
      <c r="C868" s="2">
        <f>IFERROR(__xludf.DUMMYFUNCTION("""COMPUTED_VALUE"""),2026.0)</f>
        <v>2026</v>
      </c>
      <c r="D868" s="2">
        <f>IFERROR(__xludf.DUMMYFUNCTION("""COMPUTED_VALUE"""),46217.0)</f>
        <v>46217</v>
      </c>
      <c r="E868" s="2" t="str">
        <f>IFERROR(__xludf.DUMMYFUNCTION("""COMPUTED_VALUE"""),"VF")</f>
        <v>VF</v>
      </c>
      <c r="F868" s="2">
        <f>IFERROR(__xludf.DUMMYFUNCTION("""COMPUTED_VALUE"""),1.0)</f>
        <v>1</v>
      </c>
      <c r="G868" s="2" t="str">
        <f>IFERROR(__xludf.DUMMYFUNCTION("""COMPUTED_VALUE"""),"PR008")</f>
        <v>PR008</v>
      </c>
      <c r="H868" s="2" t="str">
        <f>IFERROR(__xludf.DUMMYFUNCTION("""COMPUTED_VALUE"""),"VD038")</f>
        <v>VD038</v>
      </c>
      <c r="I868" s="2">
        <f>IFERROR(__xludf.DUMMYFUNCTION("""COMPUTED_VALUE"""),8.0)</f>
        <v>8</v>
      </c>
      <c r="J868" s="2">
        <f>IFERROR(__xludf.DUMMYFUNCTION("""COMPUTED_VALUE"""),733.58)</f>
        <v>733.58</v>
      </c>
      <c r="K868" s="2">
        <f>IFERROR(__xludf.DUMMYFUNCTION("""COMPUTED_VALUE"""),733.58)</f>
        <v>733.58</v>
      </c>
    </row>
    <row r="869">
      <c r="A869" s="2">
        <f>IFERROR(__xludf.DUMMYFUNCTION("""COMPUTED_VALUE"""),1000.0)</f>
        <v>1000</v>
      </c>
      <c r="B869" s="2">
        <f>IFERROR(__xludf.DUMMYFUNCTION("""COMPUTED_VALUE"""),184084.0)</f>
        <v>184084</v>
      </c>
      <c r="C869" s="2">
        <f>IFERROR(__xludf.DUMMYFUNCTION("""COMPUTED_VALUE"""),2026.0)</f>
        <v>2026</v>
      </c>
      <c r="D869" s="2">
        <f>IFERROR(__xludf.DUMMYFUNCTION("""COMPUTED_VALUE"""),46217.0)</f>
        <v>46217</v>
      </c>
      <c r="E869" s="2" t="str">
        <f>IFERROR(__xludf.DUMMYFUNCTION("""COMPUTED_VALUE"""),"VF")</f>
        <v>VF</v>
      </c>
      <c r="F869" s="2">
        <f>IFERROR(__xludf.DUMMYFUNCTION("""COMPUTED_VALUE"""),1.0)</f>
        <v>1</v>
      </c>
      <c r="G869" s="2" t="str">
        <f>IFERROR(__xludf.DUMMYFUNCTION("""COMPUTED_VALUE"""),"PR018")</f>
        <v>PR018</v>
      </c>
      <c r="H869" s="2" t="str">
        <f>IFERROR(__xludf.DUMMYFUNCTION("""COMPUTED_VALUE"""),"VD022")</f>
        <v>VD022</v>
      </c>
      <c r="I869" s="2">
        <f>IFERROR(__xludf.DUMMYFUNCTION("""COMPUTED_VALUE"""),20.0)</f>
        <v>20</v>
      </c>
      <c r="J869" s="2">
        <f>IFERROR(__xludf.DUMMYFUNCTION("""COMPUTED_VALUE"""),677.74)</f>
        <v>677.74</v>
      </c>
      <c r="K869" s="2">
        <f>IFERROR(__xludf.DUMMYFUNCTION("""COMPUTED_VALUE"""),677.74)</f>
        <v>677.74</v>
      </c>
    </row>
    <row r="870">
      <c r="A870" s="2">
        <f>IFERROR(__xludf.DUMMYFUNCTION("""COMPUTED_VALUE"""),1000.0)</f>
        <v>1000</v>
      </c>
      <c r="B870" s="2">
        <f>IFERROR(__xludf.DUMMYFUNCTION("""COMPUTED_VALUE"""),184085.0)</f>
        <v>184085</v>
      </c>
      <c r="C870" s="2">
        <f>IFERROR(__xludf.DUMMYFUNCTION("""COMPUTED_VALUE"""),2026.0)</f>
        <v>2026</v>
      </c>
      <c r="D870" s="2">
        <f>IFERROR(__xludf.DUMMYFUNCTION("""COMPUTED_VALUE"""),46217.0)</f>
        <v>46217</v>
      </c>
      <c r="E870" s="2" t="str">
        <f>IFERROR(__xludf.DUMMYFUNCTION("""COMPUTED_VALUE"""),"VF")</f>
        <v>VF</v>
      </c>
      <c r="F870" s="2">
        <f>IFERROR(__xludf.DUMMYFUNCTION("""COMPUTED_VALUE"""),1.0)</f>
        <v>1</v>
      </c>
      <c r="G870" s="2" t="str">
        <f>IFERROR(__xludf.DUMMYFUNCTION("""COMPUTED_VALUE"""),"PR043")</f>
        <v>PR043</v>
      </c>
      <c r="H870" s="2" t="str">
        <f>IFERROR(__xludf.DUMMYFUNCTION("""COMPUTED_VALUE"""),"VD025")</f>
        <v>VD025</v>
      </c>
      <c r="I870" s="2">
        <f>IFERROR(__xludf.DUMMYFUNCTION("""COMPUTED_VALUE"""),4.0)</f>
        <v>4</v>
      </c>
      <c r="J870" s="2">
        <f>IFERROR(__xludf.DUMMYFUNCTION("""COMPUTED_VALUE"""),307.4)</f>
        <v>307.4</v>
      </c>
      <c r="K870" s="2">
        <f>IFERROR(__xludf.DUMMYFUNCTION("""COMPUTED_VALUE"""),307.4)</f>
        <v>307.4</v>
      </c>
    </row>
    <row r="871">
      <c r="A871" s="2">
        <f>IFERROR(__xludf.DUMMYFUNCTION("""COMPUTED_VALUE"""),1000.0)</f>
        <v>1000</v>
      </c>
      <c r="B871" s="2">
        <f>IFERROR(__xludf.DUMMYFUNCTION("""COMPUTED_VALUE"""),184086.0)</f>
        <v>184086</v>
      </c>
      <c r="C871" s="2">
        <f>IFERROR(__xludf.DUMMYFUNCTION("""COMPUTED_VALUE"""),2026.0)</f>
        <v>2026</v>
      </c>
      <c r="D871" s="2">
        <f>IFERROR(__xludf.DUMMYFUNCTION("""COMPUTED_VALUE"""),46217.0)</f>
        <v>46217</v>
      </c>
      <c r="E871" s="2" t="str">
        <f>IFERROR(__xludf.DUMMYFUNCTION("""COMPUTED_VALUE"""),"VF")</f>
        <v>VF</v>
      </c>
      <c r="F871" s="2">
        <f>IFERROR(__xludf.DUMMYFUNCTION("""COMPUTED_VALUE"""),1.0)</f>
        <v>1</v>
      </c>
      <c r="G871" s="2" t="str">
        <f>IFERROR(__xludf.DUMMYFUNCTION("""COMPUTED_VALUE"""),"PR010")</f>
        <v>PR010</v>
      </c>
      <c r="H871" s="2" t="str">
        <f>IFERROR(__xludf.DUMMYFUNCTION("""COMPUTED_VALUE"""),"VD026")</f>
        <v>VD026</v>
      </c>
      <c r="I871" s="2">
        <f>IFERROR(__xludf.DUMMYFUNCTION("""COMPUTED_VALUE"""),5.0)</f>
        <v>5</v>
      </c>
      <c r="J871" s="2">
        <f>IFERROR(__xludf.DUMMYFUNCTION("""COMPUTED_VALUE"""),244.71)</f>
        <v>244.71</v>
      </c>
      <c r="K871" s="2">
        <f>IFERROR(__xludf.DUMMYFUNCTION("""COMPUTED_VALUE"""),244.71)</f>
        <v>244.71</v>
      </c>
    </row>
    <row r="872">
      <c r="A872" s="2">
        <f>IFERROR(__xludf.DUMMYFUNCTION("""COMPUTED_VALUE"""),1000.0)</f>
        <v>1000</v>
      </c>
      <c r="B872" s="2">
        <f>IFERROR(__xludf.DUMMYFUNCTION("""COMPUTED_VALUE"""),184087.0)</f>
        <v>184087</v>
      </c>
      <c r="C872" s="2">
        <f>IFERROR(__xludf.DUMMYFUNCTION("""COMPUTED_VALUE"""),2026.0)</f>
        <v>2026</v>
      </c>
      <c r="D872" s="2">
        <f>IFERROR(__xludf.DUMMYFUNCTION("""COMPUTED_VALUE"""),46217.0)</f>
        <v>46217</v>
      </c>
      <c r="E872" s="2" t="str">
        <f>IFERROR(__xludf.DUMMYFUNCTION("""COMPUTED_VALUE"""),"VF")</f>
        <v>VF</v>
      </c>
      <c r="F872" s="2">
        <f>IFERROR(__xludf.DUMMYFUNCTION("""COMPUTED_VALUE"""),1.0)</f>
        <v>1</v>
      </c>
      <c r="G872" s="2" t="str">
        <f>IFERROR(__xludf.DUMMYFUNCTION("""COMPUTED_VALUE"""),"PR032")</f>
        <v>PR032</v>
      </c>
      <c r="H872" s="2" t="str">
        <f>IFERROR(__xludf.DUMMYFUNCTION("""COMPUTED_VALUE"""),"VD015")</f>
        <v>VD015</v>
      </c>
      <c r="I872" s="2">
        <f>IFERROR(__xludf.DUMMYFUNCTION("""COMPUTED_VALUE"""),20.0)</f>
        <v>20</v>
      </c>
      <c r="J872" s="2">
        <f>IFERROR(__xludf.DUMMYFUNCTION("""COMPUTED_VALUE"""),5300.0)</f>
        <v>5300</v>
      </c>
      <c r="K872" s="2">
        <f>IFERROR(__xludf.DUMMYFUNCTION("""COMPUTED_VALUE"""),5300.0)</f>
        <v>5300</v>
      </c>
    </row>
    <row r="873">
      <c r="A873" s="2">
        <f>IFERROR(__xludf.DUMMYFUNCTION("""COMPUTED_VALUE"""),1000.0)</f>
        <v>1000</v>
      </c>
      <c r="B873" s="2">
        <f>IFERROR(__xludf.DUMMYFUNCTION("""COMPUTED_VALUE"""),184088.0)</f>
        <v>184088</v>
      </c>
      <c r="C873" s="2">
        <f>IFERROR(__xludf.DUMMYFUNCTION("""COMPUTED_VALUE"""),2026.0)</f>
        <v>2026</v>
      </c>
      <c r="D873" s="2">
        <f>IFERROR(__xludf.DUMMYFUNCTION("""COMPUTED_VALUE"""),46217.0)</f>
        <v>46217</v>
      </c>
      <c r="E873" s="2" t="str">
        <f>IFERROR(__xludf.DUMMYFUNCTION("""COMPUTED_VALUE"""),"VF")</f>
        <v>VF</v>
      </c>
      <c r="F873" s="2">
        <f>IFERROR(__xludf.DUMMYFUNCTION("""COMPUTED_VALUE"""),1.0)</f>
        <v>1</v>
      </c>
      <c r="G873" s="2" t="str">
        <f>IFERROR(__xludf.DUMMYFUNCTION("""COMPUTED_VALUE"""),"PR003")</f>
        <v>PR003</v>
      </c>
      <c r="H873" s="2" t="str">
        <f>IFERROR(__xludf.DUMMYFUNCTION("""COMPUTED_VALUE"""),"VD049")</f>
        <v>VD049</v>
      </c>
      <c r="I873" s="2">
        <f>IFERROR(__xludf.DUMMYFUNCTION("""COMPUTED_VALUE"""),3.0)</f>
        <v>3</v>
      </c>
      <c r="J873" s="2">
        <f>IFERROR(__xludf.DUMMYFUNCTION("""COMPUTED_VALUE"""),223.34)</f>
        <v>223.34</v>
      </c>
      <c r="K873" s="2">
        <f>IFERROR(__xludf.DUMMYFUNCTION("""COMPUTED_VALUE"""),223.34)</f>
        <v>223.34</v>
      </c>
    </row>
    <row r="874">
      <c r="A874" s="2">
        <f>IFERROR(__xludf.DUMMYFUNCTION("""COMPUTED_VALUE"""),1000.0)</f>
        <v>1000</v>
      </c>
      <c r="B874" s="2">
        <f>IFERROR(__xludf.DUMMYFUNCTION("""COMPUTED_VALUE"""),184089.0)</f>
        <v>184089</v>
      </c>
      <c r="C874" s="2">
        <f>IFERROR(__xludf.DUMMYFUNCTION("""COMPUTED_VALUE"""),2026.0)</f>
        <v>2026</v>
      </c>
      <c r="D874" s="2">
        <f>IFERROR(__xludf.DUMMYFUNCTION("""COMPUTED_VALUE"""),46217.0)</f>
        <v>46217</v>
      </c>
      <c r="E874" s="2" t="str">
        <f>IFERROR(__xludf.DUMMYFUNCTION("""COMPUTED_VALUE"""),"VF")</f>
        <v>VF</v>
      </c>
      <c r="F874" s="2">
        <f>IFERROR(__xludf.DUMMYFUNCTION("""COMPUTED_VALUE"""),1.0)</f>
        <v>1</v>
      </c>
      <c r="G874" s="2" t="str">
        <f>IFERROR(__xludf.DUMMYFUNCTION("""COMPUTED_VALUE"""),"PR019")</f>
        <v>PR019</v>
      </c>
      <c r="H874" s="2" t="str">
        <f>IFERROR(__xludf.DUMMYFUNCTION("""COMPUTED_VALUE"""),"VD022")</f>
        <v>VD022</v>
      </c>
      <c r="I874" s="2">
        <f>IFERROR(__xludf.DUMMYFUNCTION("""COMPUTED_VALUE"""),14.0)</f>
        <v>14</v>
      </c>
      <c r="J874" s="2">
        <f>IFERROR(__xludf.DUMMYFUNCTION("""COMPUTED_VALUE"""),705.59)</f>
        <v>705.59</v>
      </c>
      <c r="K874" s="2">
        <f>IFERROR(__xludf.DUMMYFUNCTION("""COMPUTED_VALUE"""),705.59)</f>
        <v>705.59</v>
      </c>
    </row>
    <row r="875">
      <c r="A875" s="2">
        <f>IFERROR(__xludf.DUMMYFUNCTION("""COMPUTED_VALUE"""),1000.0)</f>
        <v>1000</v>
      </c>
      <c r="B875" s="2">
        <f>IFERROR(__xludf.DUMMYFUNCTION("""COMPUTED_VALUE"""),184090.0)</f>
        <v>184090</v>
      </c>
      <c r="C875" s="2">
        <f>IFERROR(__xludf.DUMMYFUNCTION("""COMPUTED_VALUE"""),2026.0)</f>
        <v>2026</v>
      </c>
      <c r="D875" s="2">
        <f>IFERROR(__xludf.DUMMYFUNCTION("""COMPUTED_VALUE"""),46217.0)</f>
        <v>46217</v>
      </c>
      <c r="E875" s="2" t="str">
        <f>IFERROR(__xludf.DUMMYFUNCTION("""COMPUTED_VALUE"""),"VF")</f>
        <v>VF</v>
      </c>
      <c r="F875" s="2">
        <f>IFERROR(__xludf.DUMMYFUNCTION("""COMPUTED_VALUE"""),1.0)</f>
        <v>1</v>
      </c>
      <c r="G875" s="2" t="str">
        <f>IFERROR(__xludf.DUMMYFUNCTION("""COMPUTED_VALUE"""),"PR048")</f>
        <v>PR048</v>
      </c>
      <c r="H875" s="2" t="str">
        <f>IFERROR(__xludf.DUMMYFUNCTION("""COMPUTED_VALUE"""),"VD026")</f>
        <v>VD026</v>
      </c>
      <c r="I875" s="2">
        <f>IFERROR(__xludf.DUMMYFUNCTION("""COMPUTED_VALUE"""),8.0)</f>
        <v>8</v>
      </c>
      <c r="J875" s="2">
        <f>IFERROR(__xludf.DUMMYFUNCTION("""COMPUTED_VALUE"""),2342.39)</f>
        <v>2342.39</v>
      </c>
      <c r="K875" s="2">
        <f>IFERROR(__xludf.DUMMYFUNCTION("""COMPUTED_VALUE"""),2342.39)</f>
        <v>2342.39</v>
      </c>
    </row>
    <row r="876">
      <c r="A876" s="2">
        <f>IFERROR(__xludf.DUMMYFUNCTION("""COMPUTED_VALUE"""),1000.0)</f>
        <v>1000</v>
      </c>
      <c r="B876" s="2">
        <f>IFERROR(__xludf.DUMMYFUNCTION("""COMPUTED_VALUE"""),184091.0)</f>
        <v>184091</v>
      </c>
      <c r="C876" s="2">
        <f>IFERROR(__xludf.DUMMYFUNCTION("""COMPUTED_VALUE"""),2026.0)</f>
        <v>2026</v>
      </c>
      <c r="D876" s="2">
        <f>IFERROR(__xludf.DUMMYFUNCTION("""COMPUTED_VALUE"""),46217.0)</f>
        <v>46217</v>
      </c>
      <c r="E876" s="2" t="str">
        <f>IFERROR(__xludf.DUMMYFUNCTION("""COMPUTED_VALUE"""),"VF")</f>
        <v>VF</v>
      </c>
      <c r="F876" s="2">
        <f>IFERROR(__xludf.DUMMYFUNCTION("""COMPUTED_VALUE"""),1.0)</f>
        <v>1</v>
      </c>
      <c r="G876" s="2" t="str">
        <f>IFERROR(__xludf.DUMMYFUNCTION("""COMPUTED_VALUE"""),"PR032")</f>
        <v>PR032</v>
      </c>
      <c r="H876" s="2" t="str">
        <f>IFERROR(__xludf.DUMMYFUNCTION("""COMPUTED_VALUE"""),"VD013")</f>
        <v>VD013</v>
      </c>
      <c r="I876" s="2">
        <f>IFERROR(__xludf.DUMMYFUNCTION("""COMPUTED_VALUE"""),10.0)</f>
        <v>10</v>
      </c>
      <c r="J876" s="2">
        <f>IFERROR(__xludf.DUMMYFUNCTION("""COMPUTED_VALUE"""),2575.0)</f>
        <v>2575</v>
      </c>
      <c r="K876" s="2">
        <f>IFERROR(__xludf.DUMMYFUNCTION("""COMPUTED_VALUE"""),2575.0)</f>
        <v>2575</v>
      </c>
    </row>
    <row r="877">
      <c r="A877" s="2">
        <f>IFERROR(__xludf.DUMMYFUNCTION("""COMPUTED_VALUE"""),1000.0)</f>
        <v>1000</v>
      </c>
      <c r="B877" s="2">
        <f>IFERROR(__xludf.DUMMYFUNCTION("""COMPUTED_VALUE"""),184092.0)</f>
        <v>184092</v>
      </c>
      <c r="C877" s="2">
        <f>IFERROR(__xludf.DUMMYFUNCTION("""COMPUTED_VALUE"""),2026.0)</f>
        <v>2026</v>
      </c>
      <c r="D877" s="2">
        <f>IFERROR(__xludf.DUMMYFUNCTION("""COMPUTED_VALUE"""),46217.0)</f>
        <v>46217</v>
      </c>
      <c r="E877" s="2" t="str">
        <f>IFERROR(__xludf.DUMMYFUNCTION("""COMPUTED_VALUE"""),"VF")</f>
        <v>VF</v>
      </c>
      <c r="F877" s="2">
        <f>IFERROR(__xludf.DUMMYFUNCTION("""COMPUTED_VALUE"""),1.0)</f>
        <v>1</v>
      </c>
      <c r="G877" s="2" t="str">
        <f>IFERROR(__xludf.DUMMYFUNCTION("""COMPUTED_VALUE"""),"PR058")</f>
        <v>PR058</v>
      </c>
      <c r="H877" s="2" t="str">
        <f>IFERROR(__xludf.DUMMYFUNCTION("""COMPUTED_VALUE"""),"VD041")</f>
        <v>VD041</v>
      </c>
      <c r="I877" s="2">
        <f>IFERROR(__xludf.DUMMYFUNCTION("""COMPUTED_VALUE"""),10.0)</f>
        <v>10</v>
      </c>
      <c r="J877" s="2">
        <f>IFERROR(__xludf.DUMMYFUNCTION("""COMPUTED_VALUE"""),1926.0)</f>
        <v>1926</v>
      </c>
      <c r="K877" s="2">
        <f>IFERROR(__xludf.DUMMYFUNCTION("""COMPUTED_VALUE"""),1926.0)</f>
        <v>1926</v>
      </c>
    </row>
    <row r="878">
      <c r="A878" s="2">
        <f>IFERROR(__xludf.DUMMYFUNCTION("""COMPUTED_VALUE"""),1000.0)</f>
        <v>1000</v>
      </c>
      <c r="B878" s="2">
        <f>IFERROR(__xludf.DUMMYFUNCTION("""COMPUTED_VALUE"""),184093.0)</f>
        <v>184093</v>
      </c>
      <c r="C878" s="2">
        <f>IFERROR(__xludf.DUMMYFUNCTION("""COMPUTED_VALUE"""),2026.0)</f>
        <v>2026</v>
      </c>
      <c r="D878" s="2">
        <f>IFERROR(__xludf.DUMMYFUNCTION("""COMPUTED_VALUE"""),46217.0)</f>
        <v>46217</v>
      </c>
      <c r="E878" s="2" t="str">
        <f>IFERROR(__xludf.DUMMYFUNCTION("""COMPUTED_VALUE"""),"VF")</f>
        <v>VF</v>
      </c>
      <c r="F878" s="2">
        <f>IFERROR(__xludf.DUMMYFUNCTION("""COMPUTED_VALUE"""),1.0)</f>
        <v>1</v>
      </c>
      <c r="G878" s="2" t="str">
        <f>IFERROR(__xludf.DUMMYFUNCTION("""COMPUTED_VALUE"""),"PR019")</f>
        <v>PR019</v>
      </c>
      <c r="H878" s="2" t="str">
        <f>IFERROR(__xludf.DUMMYFUNCTION("""COMPUTED_VALUE"""),"VD027")</f>
        <v>VD027</v>
      </c>
      <c r="I878" s="2">
        <f>IFERROR(__xludf.DUMMYFUNCTION("""COMPUTED_VALUE"""),8.0)</f>
        <v>8</v>
      </c>
      <c r="J878" s="2">
        <f>IFERROR(__xludf.DUMMYFUNCTION("""COMPUTED_VALUE"""),411.18)</f>
        <v>411.18</v>
      </c>
      <c r="K878" s="2">
        <f>IFERROR(__xludf.DUMMYFUNCTION("""COMPUTED_VALUE"""),411.18)</f>
        <v>411.18</v>
      </c>
    </row>
    <row r="879">
      <c r="A879" s="2">
        <f>IFERROR(__xludf.DUMMYFUNCTION("""COMPUTED_VALUE"""),1000.0)</f>
        <v>1000</v>
      </c>
      <c r="B879" s="2">
        <f>IFERROR(__xludf.DUMMYFUNCTION("""COMPUTED_VALUE"""),184093.0)</f>
        <v>184093</v>
      </c>
      <c r="C879" s="2">
        <f>IFERROR(__xludf.DUMMYFUNCTION("""COMPUTED_VALUE"""),2026.0)</f>
        <v>2026</v>
      </c>
      <c r="D879" s="2">
        <f>IFERROR(__xludf.DUMMYFUNCTION("""COMPUTED_VALUE"""),46217.0)</f>
        <v>46217</v>
      </c>
      <c r="E879" s="2" t="str">
        <f>IFERROR(__xludf.DUMMYFUNCTION("""COMPUTED_VALUE"""),"VF")</f>
        <v>VF</v>
      </c>
      <c r="F879" s="2">
        <f>IFERROR(__xludf.DUMMYFUNCTION("""COMPUTED_VALUE"""),2.0)</f>
        <v>2</v>
      </c>
      <c r="G879" s="2" t="str">
        <f>IFERROR(__xludf.DUMMYFUNCTION("""COMPUTED_VALUE"""),"PR004")</f>
        <v>PR004</v>
      </c>
      <c r="H879" s="2" t="str">
        <f>IFERROR(__xludf.DUMMYFUNCTION("""COMPUTED_VALUE"""),"VD020")</f>
        <v>VD020</v>
      </c>
      <c r="I879" s="2">
        <f>IFERROR(__xludf.DUMMYFUNCTION("""COMPUTED_VALUE"""),10.0)</f>
        <v>10</v>
      </c>
      <c r="J879" s="2">
        <f>IFERROR(__xludf.DUMMYFUNCTION("""COMPUTED_VALUE"""),1479.0)</f>
        <v>1479</v>
      </c>
      <c r="K879" s="2">
        <f>IFERROR(__xludf.DUMMYFUNCTION("""COMPUTED_VALUE"""),1479.0)</f>
        <v>1479</v>
      </c>
    </row>
    <row r="880">
      <c r="A880" s="2">
        <f>IFERROR(__xludf.DUMMYFUNCTION("""COMPUTED_VALUE"""),1000.0)</f>
        <v>1000</v>
      </c>
      <c r="B880" s="2">
        <f>IFERROR(__xludf.DUMMYFUNCTION("""COMPUTED_VALUE"""),184094.0)</f>
        <v>184094</v>
      </c>
      <c r="C880" s="2">
        <f>IFERROR(__xludf.DUMMYFUNCTION("""COMPUTED_VALUE"""),2026.0)</f>
        <v>2026</v>
      </c>
      <c r="D880" s="2">
        <f>IFERROR(__xludf.DUMMYFUNCTION("""COMPUTED_VALUE"""),46216.0)</f>
        <v>46216</v>
      </c>
      <c r="E880" s="2" t="str">
        <f>IFERROR(__xludf.DUMMYFUNCTION("""COMPUTED_VALUE"""),"VF")</f>
        <v>VF</v>
      </c>
      <c r="F880" s="2">
        <f>IFERROR(__xludf.DUMMYFUNCTION("""COMPUTED_VALUE"""),1.0)</f>
        <v>1</v>
      </c>
      <c r="G880" s="2" t="str">
        <f>IFERROR(__xludf.DUMMYFUNCTION("""COMPUTED_VALUE"""),"PR043")</f>
        <v>PR043</v>
      </c>
      <c r="H880" s="2" t="str">
        <f>IFERROR(__xludf.DUMMYFUNCTION("""COMPUTED_VALUE"""),"VD030")</f>
        <v>VD030</v>
      </c>
      <c r="I880" s="2">
        <f>IFERROR(__xludf.DUMMYFUNCTION("""COMPUTED_VALUE"""),4.0)</f>
        <v>4</v>
      </c>
      <c r="J880" s="2">
        <f>IFERROR(__xludf.DUMMYFUNCTION("""COMPUTED_VALUE"""),310.3)</f>
        <v>310.3</v>
      </c>
      <c r="K880" s="2">
        <f>IFERROR(__xludf.DUMMYFUNCTION("""COMPUTED_VALUE"""),310.3)</f>
        <v>310.3</v>
      </c>
    </row>
    <row r="881">
      <c r="A881" s="2">
        <f>IFERROR(__xludf.DUMMYFUNCTION("""COMPUTED_VALUE"""),1000.0)</f>
        <v>1000</v>
      </c>
      <c r="B881" s="2">
        <f>IFERROR(__xludf.DUMMYFUNCTION("""COMPUTED_VALUE"""),184095.0)</f>
        <v>184095</v>
      </c>
      <c r="C881" s="2">
        <f>IFERROR(__xludf.DUMMYFUNCTION("""COMPUTED_VALUE"""),2026.0)</f>
        <v>2026</v>
      </c>
      <c r="D881" s="2">
        <f>IFERROR(__xludf.DUMMYFUNCTION("""COMPUTED_VALUE"""),46216.0)</f>
        <v>46216</v>
      </c>
      <c r="E881" s="2" t="str">
        <f>IFERROR(__xludf.DUMMYFUNCTION("""COMPUTED_VALUE"""),"VF")</f>
        <v>VF</v>
      </c>
      <c r="F881" s="2">
        <f>IFERROR(__xludf.DUMMYFUNCTION("""COMPUTED_VALUE"""),1.0)</f>
        <v>1</v>
      </c>
      <c r="G881" s="2" t="str">
        <f>IFERROR(__xludf.DUMMYFUNCTION("""COMPUTED_VALUE"""),"PR031")</f>
        <v>PR031</v>
      </c>
      <c r="H881" s="2" t="str">
        <f>IFERROR(__xludf.DUMMYFUNCTION("""COMPUTED_VALUE"""),"VD020")</f>
        <v>VD020</v>
      </c>
      <c r="I881" s="2">
        <f>IFERROR(__xludf.DUMMYFUNCTION("""COMPUTED_VALUE"""),10.0)</f>
        <v>10</v>
      </c>
      <c r="J881" s="2">
        <f>IFERROR(__xludf.DUMMYFUNCTION("""COMPUTED_VALUE"""),2548.0)</f>
        <v>2548</v>
      </c>
      <c r="K881" s="2">
        <f>IFERROR(__xludf.DUMMYFUNCTION("""COMPUTED_VALUE"""),2548.0)</f>
        <v>2548</v>
      </c>
    </row>
    <row r="882">
      <c r="A882" s="2">
        <f>IFERROR(__xludf.DUMMYFUNCTION("""COMPUTED_VALUE"""),2000.0)</f>
        <v>2000</v>
      </c>
      <c r="B882" s="2">
        <f>IFERROR(__xludf.DUMMYFUNCTION("""COMPUTED_VALUE"""),184095.0)</f>
        <v>184095</v>
      </c>
      <c r="C882" s="2">
        <f>IFERROR(__xludf.DUMMYFUNCTION("""COMPUTED_VALUE"""),2026.0)</f>
        <v>2026</v>
      </c>
      <c r="D882" s="2">
        <f>IFERROR(__xludf.DUMMYFUNCTION("""COMPUTED_VALUE"""),46216.0)</f>
        <v>46216</v>
      </c>
      <c r="E882" s="2" t="str">
        <f>IFERROR(__xludf.DUMMYFUNCTION("""COMPUTED_VALUE"""),"VF")</f>
        <v>VF</v>
      </c>
      <c r="F882" s="2">
        <f>IFERROR(__xludf.DUMMYFUNCTION("""COMPUTED_VALUE"""),2.0)</f>
        <v>2</v>
      </c>
      <c r="G882" s="2" t="str">
        <f>IFERROR(__xludf.DUMMYFUNCTION("""COMPUTED_VALUE"""),"PR026")</f>
        <v>PR026</v>
      </c>
      <c r="H882" s="2" t="str">
        <f>IFERROR(__xludf.DUMMYFUNCTION("""COMPUTED_VALUE"""),"VD023")</f>
        <v>VD023</v>
      </c>
      <c r="I882" s="2">
        <f>IFERROR(__xludf.DUMMYFUNCTION("""COMPUTED_VALUE"""),2.0)</f>
        <v>2</v>
      </c>
      <c r="J882" s="2">
        <f>IFERROR(__xludf.DUMMYFUNCTION("""COMPUTED_VALUE"""),741.79)</f>
        <v>741.79</v>
      </c>
      <c r="K882" s="2">
        <f>IFERROR(__xludf.DUMMYFUNCTION("""COMPUTED_VALUE"""),741.79)</f>
        <v>741.79</v>
      </c>
    </row>
    <row r="883">
      <c r="A883" s="2">
        <f>IFERROR(__xludf.DUMMYFUNCTION("""COMPUTED_VALUE"""),1000.0)</f>
        <v>1000</v>
      </c>
      <c r="B883" s="2">
        <f>IFERROR(__xludf.DUMMYFUNCTION("""COMPUTED_VALUE"""),184096.0)</f>
        <v>184096</v>
      </c>
      <c r="C883" s="2">
        <f>IFERROR(__xludf.DUMMYFUNCTION("""COMPUTED_VALUE"""),2026.0)</f>
        <v>2026</v>
      </c>
      <c r="D883" s="2">
        <f>IFERROR(__xludf.DUMMYFUNCTION("""COMPUTED_VALUE"""),46215.0)</f>
        <v>46215</v>
      </c>
      <c r="E883" s="2" t="str">
        <f>IFERROR(__xludf.DUMMYFUNCTION("""COMPUTED_VALUE"""),"VF")</f>
        <v>VF</v>
      </c>
      <c r="F883" s="2">
        <f>IFERROR(__xludf.DUMMYFUNCTION("""COMPUTED_VALUE"""),1.0)</f>
        <v>1</v>
      </c>
      <c r="G883" s="2" t="str">
        <f>IFERROR(__xludf.DUMMYFUNCTION("""COMPUTED_VALUE"""),"PR041")</f>
        <v>PR041</v>
      </c>
      <c r="H883" s="2" t="str">
        <f>IFERROR(__xludf.DUMMYFUNCTION("""COMPUTED_VALUE"""),"VD032")</f>
        <v>VD032</v>
      </c>
      <c r="I883" s="2">
        <f>IFERROR(__xludf.DUMMYFUNCTION("""COMPUTED_VALUE"""),18.0)</f>
        <v>18</v>
      </c>
      <c r="J883" s="2">
        <f>IFERROR(__xludf.DUMMYFUNCTION("""COMPUTED_VALUE"""),1067.26)</f>
        <v>1067.26</v>
      </c>
      <c r="K883" s="2">
        <f>IFERROR(__xludf.DUMMYFUNCTION("""COMPUTED_VALUE"""),1067.26)</f>
        <v>1067.26</v>
      </c>
    </row>
    <row r="884">
      <c r="A884" s="2">
        <f>IFERROR(__xludf.DUMMYFUNCTION("""COMPUTED_VALUE"""),1000.0)</f>
        <v>1000</v>
      </c>
      <c r="B884" s="2">
        <f>IFERROR(__xludf.DUMMYFUNCTION("""COMPUTED_VALUE"""),184096.0)</f>
        <v>184096</v>
      </c>
      <c r="C884" s="2">
        <f>IFERROR(__xludf.DUMMYFUNCTION("""COMPUTED_VALUE"""),2026.0)</f>
        <v>2026</v>
      </c>
      <c r="D884" s="2">
        <f>IFERROR(__xludf.DUMMYFUNCTION("""COMPUTED_VALUE"""),46215.0)</f>
        <v>46215</v>
      </c>
      <c r="E884" s="2" t="str">
        <f>IFERROR(__xludf.DUMMYFUNCTION("""COMPUTED_VALUE"""),"VF")</f>
        <v>VF</v>
      </c>
      <c r="F884" s="2">
        <f>IFERROR(__xludf.DUMMYFUNCTION("""COMPUTED_VALUE"""),2.0)</f>
        <v>2</v>
      </c>
      <c r="G884" s="2" t="str">
        <f>IFERROR(__xludf.DUMMYFUNCTION("""COMPUTED_VALUE"""),"PR047")</f>
        <v>PR047</v>
      </c>
      <c r="H884" s="2" t="str">
        <f>IFERROR(__xludf.DUMMYFUNCTION("""COMPUTED_VALUE"""),"VD026")</f>
        <v>VD026</v>
      </c>
      <c r="I884" s="2">
        <f>IFERROR(__xludf.DUMMYFUNCTION("""COMPUTED_VALUE"""),6.0)</f>
        <v>6</v>
      </c>
      <c r="J884" s="2">
        <f>IFERROR(__xludf.DUMMYFUNCTION("""COMPUTED_VALUE"""),1843.76)</f>
        <v>1843.76</v>
      </c>
      <c r="K884" s="2">
        <f>IFERROR(__xludf.DUMMYFUNCTION("""COMPUTED_VALUE"""),1843.76)</f>
        <v>1843.76</v>
      </c>
    </row>
    <row r="885">
      <c r="A885" s="2">
        <f>IFERROR(__xludf.DUMMYFUNCTION("""COMPUTED_VALUE"""),1000.0)</f>
        <v>1000</v>
      </c>
      <c r="B885" s="2">
        <f>IFERROR(__xludf.DUMMYFUNCTION("""COMPUTED_VALUE"""),184097.0)</f>
        <v>184097</v>
      </c>
      <c r="C885" s="2">
        <f>IFERROR(__xludf.DUMMYFUNCTION("""COMPUTED_VALUE"""),2026.0)</f>
        <v>2026</v>
      </c>
      <c r="D885" s="2">
        <f>IFERROR(__xludf.DUMMYFUNCTION("""COMPUTED_VALUE"""),46215.0)</f>
        <v>46215</v>
      </c>
      <c r="E885" s="2" t="str">
        <f>IFERROR(__xludf.DUMMYFUNCTION("""COMPUTED_VALUE"""),"VF")</f>
        <v>VF</v>
      </c>
      <c r="F885" s="2">
        <f>IFERROR(__xludf.DUMMYFUNCTION("""COMPUTED_VALUE"""),1.0)</f>
        <v>1</v>
      </c>
      <c r="G885" s="2" t="str">
        <f>IFERROR(__xludf.DUMMYFUNCTION("""COMPUTED_VALUE"""),"PR029")</f>
        <v>PR029</v>
      </c>
      <c r="H885" s="2" t="str">
        <f>IFERROR(__xludf.DUMMYFUNCTION("""COMPUTED_VALUE"""),"VD023")</f>
        <v>VD023</v>
      </c>
      <c r="I885" s="2">
        <f>IFERROR(__xludf.DUMMYFUNCTION("""COMPUTED_VALUE"""),2.0)</f>
        <v>2</v>
      </c>
      <c r="J885" s="2">
        <f>IFERROR(__xludf.DUMMYFUNCTION("""COMPUTED_VALUE"""),545.7)</f>
        <v>545.7</v>
      </c>
      <c r="K885" s="2">
        <f>IFERROR(__xludf.DUMMYFUNCTION("""COMPUTED_VALUE"""),545.7)</f>
        <v>545.7</v>
      </c>
    </row>
    <row r="886">
      <c r="A886" s="2">
        <f>IFERROR(__xludf.DUMMYFUNCTION("""COMPUTED_VALUE"""),1000.0)</f>
        <v>1000</v>
      </c>
      <c r="B886" s="2">
        <f>IFERROR(__xludf.DUMMYFUNCTION("""COMPUTED_VALUE"""),184098.0)</f>
        <v>184098</v>
      </c>
      <c r="C886" s="2">
        <f>IFERROR(__xludf.DUMMYFUNCTION("""COMPUTED_VALUE"""),2026.0)</f>
        <v>2026</v>
      </c>
      <c r="D886" s="2">
        <f>IFERROR(__xludf.DUMMYFUNCTION("""COMPUTED_VALUE"""),46215.0)</f>
        <v>46215</v>
      </c>
      <c r="E886" s="2" t="str">
        <f>IFERROR(__xludf.DUMMYFUNCTION("""COMPUTED_VALUE"""),"VF")</f>
        <v>VF</v>
      </c>
      <c r="F886" s="2">
        <f>IFERROR(__xludf.DUMMYFUNCTION("""COMPUTED_VALUE"""),1.0)</f>
        <v>1</v>
      </c>
      <c r="G886" s="2" t="str">
        <f>IFERROR(__xludf.DUMMYFUNCTION("""COMPUTED_VALUE"""),"PR018")</f>
        <v>PR018</v>
      </c>
      <c r="H886" s="2" t="str">
        <f>IFERROR(__xludf.DUMMYFUNCTION("""COMPUTED_VALUE"""),"VD040")</f>
        <v>VD040</v>
      </c>
      <c r="I886" s="2">
        <f>IFERROR(__xludf.DUMMYFUNCTION("""COMPUTED_VALUE"""),18.0)</f>
        <v>18</v>
      </c>
      <c r="J886" s="2">
        <f>IFERROR(__xludf.DUMMYFUNCTION("""COMPUTED_VALUE"""),639.58)</f>
        <v>639.58</v>
      </c>
      <c r="K886" s="2">
        <f>IFERROR(__xludf.DUMMYFUNCTION("""COMPUTED_VALUE"""),639.58)</f>
        <v>639.58</v>
      </c>
    </row>
    <row r="887">
      <c r="A887" s="2">
        <f>IFERROR(__xludf.DUMMYFUNCTION("""COMPUTED_VALUE"""),1000.0)</f>
        <v>1000</v>
      </c>
      <c r="B887" s="2">
        <f>IFERROR(__xludf.DUMMYFUNCTION("""COMPUTED_VALUE"""),184099.0)</f>
        <v>184099</v>
      </c>
      <c r="C887" s="2">
        <f>IFERROR(__xludf.DUMMYFUNCTION("""COMPUTED_VALUE"""),2026.0)</f>
        <v>2026</v>
      </c>
      <c r="D887" s="2">
        <f>IFERROR(__xludf.DUMMYFUNCTION("""COMPUTED_VALUE"""),46214.0)</f>
        <v>46214</v>
      </c>
      <c r="E887" s="2" t="str">
        <f>IFERROR(__xludf.DUMMYFUNCTION("""COMPUTED_VALUE"""),"VF")</f>
        <v>VF</v>
      </c>
      <c r="F887" s="2">
        <f>IFERROR(__xludf.DUMMYFUNCTION("""COMPUTED_VALUE"""),1.0)</f>
        <v>1</v>
      </c>
      <c r="G887" s="2" t="str">
        <f>IFERROR(__xludf.DUMMYFUNCTION("""COMPUTED_VALUE"""),"PR025")</f>
        <v>PR025</v>
      </c>
      <c r="H887" s="2" t="str">
        <f>IFERROR(__xludf.DUMMYFUNCTION("""COMPUTED_VALUE"""),"VD038")</f>
        <v>VD038</v>
      </c>
      <c r="I887" s="2">
        <f>IFERROR(__xludf.DUMMYFUNCTION("""COMPUTED_VALUE"""),8.0)</f>
        <v>8</v>
      </c>
      <c r="J887" s="2">
        <f>IFERROR(__xludf.DUMMYFUNCTION("""COMPUTED_VALUE"""),2399.2)</f>
        <v>2399.2</v>
      </c>
      <c r="K887" s="2">
        <f>IFERROR(__xludf.DUMMYFUNCTION("""COMPUTED_VALUE"""),2399.2)</f>
        <v>2399.2</v>
      </c>
    </row>
    <row r="888">
      <c r="A888" s="2">
        <f>IFERROR(__xludf.DUMMYFUNCTION("""COMPUTED_VALUE"""),1000.0)</f>
        <v>1000</v>
      </c>
      <c r="B888" s="2">
        <f>IFERROR(__xludf.DUMMYFUNCTION("""COMPUTED_VALUE"""),184100.0)</f>
        <v>184100</v>
      </c>
      <c r="C888" s="2">
        <f>IFERROR(__xludf.DUMMYFUNCTION("""COMPUTED_VALUE"""),2026.0)</f>
        <v>2026</v>
      </c>
      <c r="D888" s="2">
        <f>IFERROR(__xludf.DUMMYFUNCTION("""COMPUTED_VALUE"""),46214.0)</f>
        <v>46214</v>
      </c>
      <c r="E888" s="2" t="str">
        <f>IFERROR(__xludf.DUMMYFUNCTION("""COMPUTED_VALUE"""),"VF")</f>
        <v>VF</v>
      </c>
      <c r="F888" s="2">
        <f>IFERROR(__xludf.DUMMYFUNCTION("""COMPUTED_VALUE"""),1.0)</f>
        <v>1</v>
      </c>
      <c r="G888" s="2" t="str">
        <f>IFERROR(__xludf.DUMMYFUNCTION("""COMPUTED_VALUE"""),"PR012")</f>
        <v>PR012</v>
      </c>
      <c r="H888" s="2" t="str">
        <f>IFERROR(__xludf.DUMMYFUNCTION("""COMPUTED_VALUE"""),"VD035")</f>
        <v>VD035</v>
      </c>
      <c r="I888" s="2">
        <f>IFERROR(__xludf.DUMMYFUNCTION("""COMPUTED_VALUE"""),9.0)</f>
        <v>9</v>
      </c>
      <c r="J888" s="2">
        <f>IFERROR(__xludf.DUMMYFUNCTION("""COMPUTED_VALUE"""),479.71)</f>
        <v>479.71</v>
      </c>
      <c r="K888" s="2">
        <f>IFERROR(__xludf.DUMMYFUNCTION("""COMPUTED_VALUE"""),479.71)</f>
        <v>479.71</v>
      </c>
    </row>
    <row r="889">
      <c r="A889" s="2">
        <f>IFERROR(__xludf.DUMMYFUNCTION("""COMPUTED_VALUE"""),1000.0)</f>
        <v>1000</v>
      </c>
      <c r="B889" s="2">
        <f>IFERROR(__xludf.DUMMYFUNCTION("""COMPUTED_VALUE"""),184101.0)</f>
        <v>184101</v>
      </c>
      <c r="C889" s="2">
        <f>IFERROR(__xludf.DUMMYFUNCTION("""COMPUTED_VALUE"""),2026.0)</f>
        <v>2026</v>
      </c>
      <c r="D889" s="2">
        <f>IFERROR(__xludf.DUMMYFUNCTION("""COMPUTED_VALUE"""),46214.0)</f>
        <v>46214</v>
      </c>
      <c r="E889" s="2" t="str">
        <f>IFERROR(__xludf.DUMMYFUNCTION("""COMPUTED_VALUE"""),"VF")</f>
        <v>VF</v>
      </c>
      <c r="F889" s="2">
        <f>IFERROR(__xludf.DUMMYFUNCTION("""COMPUTED_VALUE"""),1.0)</f>
        <v>1</v>
      </c>
      <c r="G889" s="2" t="str">
        <f>IFERROR(__xludf.DUMMYFUNCTION("""COMPUTED_VALUE"""),"PR059")</f>
        <v>PR059</v>
      </c>
      <c r="H889" s="2" t="str">
        <f>IFERROR(__xludf.DUMMYFUNCTION("""COMPUTED_VALUE"""),"VD019")</f>
        <v>VD019</v>
      </c>
      <c r="I889" s="2">
        <f>IFERROR(__xludf.DUMMYFUNCTION("""COMPUTED_VALUE"""),3.0)</f>
        <v>3</v>
      </c>
      <c r="J889" s="2">
        <f>IFERROR(__xludf.DUMMYFUNCTION("""COMPUTED_VALUE"""),561.6)</f>
        <v>561.6</v>
      </c>
      <c r="K889" s="2">
        <f>IFERROR(__xludf.DUMMYFUNCTION("""COMPUTED_VALUE"""),561.6)</f>
        <v>561.6</v>
      </c>
    </row>
    <row r="890">
      <c r="A890" s="2">
        <f>IFERROR(__xludf.DUMMYFUNCTION("""COMPUTED_VALUE"""),1000.0)</f>
        <v>1000</v>
      </c>
      <c r="B890" s="2">
        <f>IFERROR(__xludf.DUMMYFUNCTION("""COMPUTED_VALUE"""),184102.0)</f>
        <v>184102</v>
      </c>
      <c r="C890" s="2">
        <f>IFERROR(__xludf.DUMMYFUNCTION("""COMPUTED_VALUE"""),2026.0)</f>
        <v>2026</v>
      </c>
      <c r="D890" s="2">
        <f>IFERROR(__xludf.DUMMYFUNCTION("""COMPUTED_VALUE"""),46214.0)</f>
        <v>46214</v>
      </c>
      <c r="E890" s="2" t="str">
        <f>IFERROR(__xludf.DUMMYFUNCTION("""COMPUTED_VALUE"""),"VF")</f>
        <v>VF</v>
      </c>
      <c r="F890" s="2">
        <f>IFERROR(__xludf.DUMMYFUNCTION("""COMPUTED_VALUE"""),1.0)</f>
        <v>1</v>
      </c>
      <c r="G890" s="2" t="str">
        <f>IFERROR(__xludf.DUMMYFUNCTION("""COMPUTED_VALUE"""),"PR021")</f>
        <v>PR021</v>
      </c>
      <c r="H890" s="2" t="str">
        <f>IFERROR(__xludf.DUMMYFUNCTION("""COMPUTED_VALUE"""),"VD014")</f>
        <v>VD014</v>
      </c>
      <c r="I890" s="2">
        <f>IFERROR(__xludf.DUMMYFUNCTION("""COMPUTED_VALUE"""),1.0)</f>
        <v>1</v>
      </c>
      <c r="J890" s="2">
        <f>IFERROR(__xludf.DUMMYFUNCTION("""COMPUTED_VALUE"""),330.16)</f>
        <v>330.16</v>
      </c>
      <c r="K890" s="2">
        <f>IFERROR(__xludf.DUMMYFUNCTION("""COMPUTED_VALUE"""),330.16)</f>
        <v>330.16</v>
      </c>
    </row>
    <row r="891">
      <c r="A891" s="2">
        <f>IFERROR(__xludf.DUMMYFUNCTION("""COMPUTED_VALUE"""),2000.0)</f>
        <v>2000</v>
      </c>
      <c r="B891" s="2">
        <f>IFERROR(__xludf.DUMMYFUNCTION("""COMPUTED_VALUE"""),184102.0)</f>
        <v>184102</v>
      </c>
      <c r="C891" s="2">
        <f>IFERROR(__xludf.DUMMYFUNCTION("""COMPUTED_VALUE"""),2026.0)</f>
        <v>2026</v>
      </c>
      <c r="D891" s="2">
        <f>IFERROR(__xludf.DUMMYFUNCTION("""COMPUTED_VALUE"""),46214.0)</f>
        <v>46214</v>
      </c>
      <c r="E891" s="2" t="str">
        <f>IFERROR(__xludf.DUMMYFUNCTION("""COMPUTED_VALUE"""),"VF")</f>
        <v>VF</v>
      </c>
      <c r="F891" s="2">
        <f>IFERROR(__xludf.DUMMYFUNCTION("""COMPUTED_VALUE"""),2.0)</f>
        <v>2</v>
      </c>
      <c r="G891" s="2" t="str">
        <f>IFERROR(__xludf.DUMMYFUNCTION("""COMPUTED_VALUE"""),"PR045")</f>
        <v>PR045</v>
      </c>
      <c r="H891" s="2" t="str">
        <f>IFERROR(__xludf.DUMMYFUNCTION("""COMPUTED_VALUE"""),"VD043")</f>
        <v>VD043</v>
      </c>
      <c r="I891" s="2">
        <f>IFERROR(__xludf.DUMMYFUNCTION("""COMPUTED_VALUE"""),10.0)</f>
        <v>10</v>
      </c>
      <c r="J891" s="2">
        <f>IFERROR(__xludf.DUMMYFUNCTION("""COMPUTED_VALUE"""),732.25)</f>
        <v>732.25</v>
      </c>
      <c r="K891" s="2">
        <f>IFERROR(__xludf.DUMMYFUNCTION("""COMPUTED_VALUE"""),732.25)</f>
        <v>732.25</v>
      </c>
    </row>
    <row r="892">
      <c r="A892" s="2">
        <f>IFERROR(__xludf.DUMMYFUNCTION("""COMPUTED_VALUE"""),2000.0)</f>
        <v>2000</v>
      </c>
      <c r="B892" s="2">
        <f>IFERROR(__xludf.DUMMYFUNCTION("""COMPUTED_VALUE"""),184103.0)</f>
        <v>184103</v>
      </c>
      <c r="C892" s="2">
        <f>IFERROR(__xludf.DUMMYFUNCTION("""COMPUTED_VALUE"""),2026.0)</f>
        <v>2026</v>
      </c>
      <c r="D892" s="2">
        <f>IFERROR(__xludf.DUMMYFUNCTION("""COMPUTED_VALUE"""),46213.0)</f>
        <v>46213</v>
      </c>
      <c r="E892" s="2" t="str">
        <f>IFERROR(__xludf.DUMMYFUNCTION("""COMPUTED_VALUE"""),"VF")</f>
        <v>VF</v>
      </c>
      <c r="F892" s="2">
        <f>IFERROR(__xludf.DUMMYFUNCTION("""COMPUTED_VALUE"""),1.0)</f>
        <v>1</v>
      </c>
      <c r="G892" s="2" t="str">
        <f>IFERROR(__xludf.DUMMYFUNCTION("""COMPUTED_VALUE"""),"PR045")</f>
        <v>PR045</v>
      </c>
      <c r="H892" s="2" t="str">
        <f>IFERROR(__xludf.DUMMYFUNCTION("""COMPUTED_VALUE"""),"VD044")</f>
        <v>VD044</v>
      </c>
      <c r="I892" s="2">
        <f>IFERROR(__xludf.DUMMYFUNCTION("""COMPUTED_VALUE"""),5.0)</f>
        <v>5</v>
      </c>
      <c r="J892" s="2">
        <f>IFERROR(__xludf.DUMMYFUNCTION("""COMPUTED_VALUE"""),373.38)</f>
        <v>373.38</v>
      </c>
      <c r="K892" s="2">
        <f>IFERROR(__xludf.DUMMYFUNCTION("""COMPUTED_VALUE"""),373.38)</f>
        <v>373.38</v>
      </c>
    </row>
    <row r="893">
      <c r="A893" s="2">
        <f>IFERROR(__xludf.DUMMYFUNCTION("""COMPUTED_VALUE"""),1000.0)</f>
        <v>1000</v>
      </c>
      <c r="B893" s="2">
        <f>IFERROR(__xludf.DUMMYFUNCTION("""COMPUTED_VALUE"""),184104.0)</f>
        <v>184104</v>
      </c>
      <c r="C893" s="2">
        <f>IFERROR(__xludf.DUMMYFUNCTION("""COMPUTED_VALUE"""),2026.0)</f>
        <v>2026</v>
      </c>
      <c r="D893" s="2">
        <f>IFERROR(__xludf.DUMMYFUNCTION("""COMPUTED_VALUE"""),46213.0)</f>
        <v>46213</v>
      </c>
      <c r="E893" s="2" t="str">
        <f>IFERROR(__xludf.DUMMYFUNCTION("""COMPUTED_VALUE"""),"VF")</f>
        <v>VF</v>
      </c>
      <c r="F893" s="2">
        <f>IFERROR(__xludf.DUMMYFUNCTION("""COMPUTED_VALUE"""),1.0)</f>
        <v>1</v>
      </c>
      <c r="G893" s="2" t="str">
        <f>IFERROR(__xludf.DUMMYFUNCTION("""COMPUTED_VALUE"""),"PR048")</f>
        <v>PR048</v>
      </c>
      <c r="H893" s="2" t="str">
        <f>IFERROR(__xludf.DUMMYFUNCTION("""COMPUTED_VALUE"""),"VD018")</f>
        <v>VD018</v>
      </c>
      <c r="I893" s="2">
        <f>IFERROR(__xludf.DUMMYFUNCTION("""COMPUTED_VALUE"""),7.0)</f>
        <v>7</v>
      </c>
      <c r="J893" s="2">
        <f>IFERROR(__xludf.DUMMYFUNCTION("""COMPUTED_VALUE"""),2211.94)</f>
        <v>2211.94</v>
      </c>
      <c r="K893" s="2">
        <f>IFERROR(__xludf.DUMMYFUNCTION("""COMPUTED_VALUE"""),2211.94)</f>
        <v>2211.94</v>
      </c>
    </row>
    <row r="894">
      <c r="A894" s="2">
        <f>IFERROR(__xludf.DUMMYFUNCTION("""COMPUTED_VALUE"""),1000.0)</f>
        <v>1000</v>
      </c>
      <c r="B894" s="2">
        <f>IFERROR(__xludf.DUMMYFUNCTION("""COMPUTED_VALUE"""),184105.0)</f>
        <v>184105</v>
      </c>
      <c r="C894" s="2">
        <f>IFERROR(__xludf.DUMMYFUNCTION("""COMPUTED_VALUE"""),2026.0)</f>
        <v>2026</v>
      </c>
      <c r="D894" s="2">
        <f>IFERROR(__xludf.DUMMYFUNCTION("""COMPUTED_VALUE"""),46213.0)</f>
        <v>46213</v>
      </c>
      <c r="E894" s="2" t="str">
        <f>IFERROR(__xludf.DUMMYFUNCTION("""COMPUTED_VALUE"""),"VF")</f>
        <v>VF</v>
      </c>
      <c r="F894" s="2">
        <f>IFERROR(__xludf.DUMMYFUNCTION("""COMPUTED_VALUE"""),1.0)</f>
        <v>1</v>
      </c>
      <c r="G894" s="2" t="str">
        <f>IFERROR(__xludf.DUMMYFUNCTION("""COMPUTED_VALUE"""),"PR052")</f>
        <v>PR052</v>
      </c>
      <c r="H894" s="2" t="str">
        <f>IFERROR(__xludf.DUMMYFUNCTION("""COMPUTED_VALUE"""),"VD043")</f>
        <v>VD043</v>
      </c>
      <c r="I894" s="2">
        <f>IFERROR(__xludf.DUMMYFUNCTION("""COMPUTED_VALUE"""),5.0)</f>
        <v>5</v>
      </c>
      <c r="J894" s="2">
        <f>IFERROR(__xludf.DUMMYFUNCTION("""COMPUTED_VALUE"""),259.48)</f>
        <v>259.48</v>
      </c>
      <c r="K894" s="2">
        <f>IFERROR(__xludf.DUMMYFUNCTION("""COMPUTED_VALUE"""),259.48)</f>
        <v>259.48</v>
      </c>
    </row>
    <row r="895">
      <c r="A895" s="2">
        <f>IFERROR(__xludf.DUMMYFUNCTION("""COMPUTED_VALUE"""),1000.0)</f>
        <v>1000</v>
      </c>
      <c r="B895" s="2">
        <f>IFERROR(__xludf.DUMMYFUNCTION("""COMPUTED_VALUE"""),184106.0)</f>
        <v>184106</v>
      </c>
      <c r="C895" s="2">
        <f>IFERROR(__xludf.DUMMYFUNCTION("""COMPUTED_VALUE"""),2026.0)</f>
        <v>2026</v>
      </c>
      <c r="D895" s="2">
        <f>IFERROR(__xludf.DUMMYFUNCTION("""COMPUTED_VALUE"""),46213.0)</f>
        <v>46213</v>
      </c>
      <c r="E895" s="2" t="str">
        <f>IFERROR(__xludf.DUMMYFUNCTION("""COMPUTED_VALUE"""),"VF")</f>
        <v>VF</v>
      </c>
      <c r="F895" s="2">
        <f>IFERROR(__xludf.DUMMYFUNCTION("""COMPUTED_VALUE"""),1.0)</f>
        <v>1</v>
      </c>
      <c r="G895" s="2" t="str">
        <f>IFERROR(__xludf.DUMMYFUNCTION("""COMPUTED_VALUE"""),"PR038")</f>
        <v>PR038</v>
      </c>
      <c r="H895" s="2" t="str">
        <f>IFERROR(__xludf.DUMMYFUNCTION("""COMPUTED_VALUE"""),"VD042")</f>
        <v>VD042</v>
      </c>
      <c r="I895" s="2">
        <f>IFERROR(__xludf.DUMMYFUNCTION("""COMPUTED_VALUE"""),20.0)</f>
        <v>20</v>
      </c>
      <c r="J895" s="2">
        <f>IFERROR(__xludf.DUMMYFUNCTION("""COMPUTED_VALUE"""),3143.8)</f>
        <v>3143.8</v>
      </c>
      <c r="K895" s="2">
        <f>IFERROR(__xludf.DUMMYFUNCTION("""COMPUTED_VALUE"""),3143.8)</f>
        <v>3143.8</v>
      </c>
    </row>
    <row r="896">
      <c r="A896" s="2">
        <f>IFERROR(__xludf.DUMMYFUNCTION("""COMPUTED_VALUE"""),1000.0)</f>
        <v>1000</v>
      </c>
      <c r="B896" s="2">
        <f>IFERROR(__xludf.DUMMYFUNCTION("""COMPUTED_VALUE"""),184107.0)</f>
        <v>184107</v>
      </c>
      <c r="C896" s="2">
        <f>IFERROR(__xludf.DUMMYFUNCTION("""COMPUTED_VALUE"""),2026.0)</f>
        <v>2026</v>
      </c>
      <c r="D896" s="2">
        <f>IFERROR(__xludf.DUMMYFUNCTION("""COMPUTED_VALUE"""),46213.0)</f>
        <v>46213</v>
      </c>
      <c r="E896" s="2" t="str">
        <f>IFERROR(__xludf.DUMMYFUNCTION("""COMPUTED_VALUE"""),"VF")</f>
        <v>VF</v>
      </c>
      <c r="F896" s="2">
        <f>IFERROR(__xludf.DUMMYFUNCTION("""COMPUTED_VALUE"""),1.0)</f>
        <v>1</v>
      </c>
      <c r="G896" s="2" t="str">
        <f>IFERROR(__xludf.DUMMYFUNCTION("""COMPUTED_VALUE"""),"PR032")</f>
        <v>PR032</v>
      </c>
      <c r="H896" s="2" t="str">
        <f>IFERROR(__xludf.DUMMYFUNCTION("""COMPUTED_VALUE"""),"VD046")</f>
        <v>VD046</v>
      </c>
      <c r="I896" s="2">
        <f>IFERROR(__xludf.DUMMYFUNCTION("""COMPUTED_VALUE"""),5.0)</f>
        <v>5</v>
      </c>
      <c r="J896" s="2">
        <f>IFERROR(__xludf.DUMMYFUNCTION("""COMPUTED_VALUE"""),1375.0)</f>
        <v>1375</v>
      </c>
      <c r="K896" s="2">
        <f>IFERROR(__xludf.DUMMYFUNCTION("""COMPUTED_VALUE"""),1375.0)</f>
        <v>1375</v>
      </c>
    </row>
    <row r="897">
      <c r="A897" s="2">
        <f>IFERROR(__xludf.DUMMYFUNCTION("""COMPUTED_VALUE"""),1000.0)</f>
        <v>1000</v>
      </c>
      <c r="B897" s="2">
        <f>IFERROR(__xludf.DUMMYFUNCTION("""COMPUTED_VALUE"""),184107.0)</f>
        <v>184107</v>
      </c>
      <c r="C897" s="2">
        <f>IFERROR(__xludf.DUMMYFUNCTION("""COMPUTED_VALUE"""),2026.0)</f>
        <v>2026</v>
      </c>
      <c r="D897" s="2">
        <f>IFERROR(__xludf.DUMMYFUNCTION("""COMPUTED_VALUE"""),46213.0)</f>
        <v>46213</v>
      </c>
      <c r="E897" s="2" t="str">
        <f>IFERROR(__xludf.DUMMYFUNCTION("""COMPUTED_VALUE"""),"VF")</f>
        <v>VF</v>
      </c>
      <c r="F897" s="2">
        <f>IFERROR(__xludf.DUMMYFUNCTION("""COMPUTED_VALUE"""),2.0)</f>
        <v>2</v>
      </c>
      <c r="G897" s="2" t="str">
        <f>IFERROR(__xludf.DUMMYFUNCTION("""COMPUTED_VALUE"""),"PR046")</f>
        <v>PR046</v>
      </c>
      <c r="H897" s="2" t="str">
        <f>IFERROR(__xludf.DUMMYFUNCTION("""COMPUTED_VALUE"""),"VD018")</f>
        <v>VD018</v>
      </c>
      <c r="I897" s="2">
        <f>IFERROR(__xludf.DUMMYFUNCTION("""COMPUTED_VALUE"""),5.0)</f>
        <v>5</v>
      </c>
      <c r="J897" s="2">
        <f>IFERROR(__xludf.DUMMYFUNCTION("""COMPUTED_VALUE"""),1449.5)</f>
        <v>1449.5</v>
      </c>
      <c r="K897" s="2">
        <f>IFERROR(__xludf.DUMMYFUNCTION("""COMPUTED_VALUE"""),1449.5)</f>
        <v>1449.5</v>
      </c>
    </row>
    <row r="898">
      <c r="A898" s="2">
        <f>IFERROR(__xludf.DUMMYFUNCTION("""COMPUTED_VALUE"""),1000.0)</f>
        <v>1000</v>
      </c>
      <c r="B898" s="2">
        <f>IFERROR(__xludf.DUMMYFUNCTION("""COMPUTED_VALUE"""),184108.0)</f>
        <v>184108</v>
      </c>
      <c r="C898" s="2">
        <f>IFERROR(__xludf.DUMMYFUNCTION("""COMPUTED_VALUE"""),2026.0)</f>
        <v>2026</v>
      </c>
      <c r="D898" s="2">
        <f>IFERROR(__xludf.DUMMYFUNCTION("""COMPUTED_VALUE"""),46213.0)</f>
        <v>46213</v>
      </c>
      <c r="E898" s="2" t="str">
        <f>IFERROR(__xludf.DUMMYFUNCTION("""COMPUTED_VALUE"""),"VF")</f>
        <v>VF</v>
      </c>
      <c r="F898" s="2">
        <f>IFERROR(__xludf.DUMMYFUNCTION("""COMPUTED_VALUE"""),1.0)</f>
        <v>1</v>
      </c>
      <c r="G898" s="2" t="str">
        <f>IFERROR(__xludf.DUMMYFUNCTION("""COMPUTED_VALUE"""),"PR056")</f>
        <v>PR056</v>
      </c>
      <c r="H898" s="2" t="str">
        <f>IFERROR(__xludf.DUMMYFUNCTION("""COMPUTED_VALUE"""),"VD029")</f>
        <v>VD029</v>
      </c>
      <c r="I898" s="2">
        <f>IFERROR(__xludf.DUMMYFUNCTION("""COMPUTED_VALUE"""),1.0)</f>
        <v>1</v>
      </c>
      <c r="J898" s="2">
        <f>IFERROR(__xludf.DUMMYFUNCTION("""COMPUTED_VALUE"""),96.19)</f>
        <v>96.19</v>
      </c>
      <c r="K898" s="2">
        <f>IFERROR(__xludf.DUMMYFUNCTION("""COMPUTED_VALUE"""),96.19)</f>
        <v>96.19</v>
      </c>
    </row>
    <row r="899">
      <c r="A899" s="2">
        <f>IFERROR(__xludf.DUMMYFUNCTION("""COMPUTED_VALUE"""),1000.0)</f>
        <v>1000</v>
      </c>
      <c r="B899" s="2">
        <f>IFERROR(__xludf.DUMMYFUNCTION("""COMPUTED_VALUE"""),184109.0)</f>
        <v>184109</v>
      </c>
      <c r="C899" s="2">
        <f>IFERROR(__xludf.DUMMYFUNCTION("""COMPUTED_VALUE"""),2026.0)</f>
        <v>2026</v>
      </c>
      <c r="D899" s="2">
        <f>IFERROR(__xludf.DUMMYFUNCTION("""COMPUTED_VALUE"""),46213.0)</f>
        <v>46213</v>
      </c>
      <c r="E899" s="2" t="str">
        <f>IFERROR(__xludf.DUMMYFUNCTION("""COMPUTED_VALUE"""),"VF")</f>
        <v>VF</v>
      </c>
      <c r="F899" s="2">
        <f>IFERROR(__xludf.DUMMYFUNCTION("""COMPUTED_VALUE"""),1.0)</f>
        <v>1</v>
      </c>
      <c r="G899" s="2" t="str">
        <f>IFERROR(__xludf.DUMMYFUNCTION("""COMPUTED_VALUE"""),"PR018")</f>
        <v>PR018</v>
      </c>
      <c r="H899" s="2" t="str">
        <f>IFERROR(__xludf.DUMMYFUNCTION("""COMPUTED_VALUE"""),"VD042")</f>
        <v>VD042</v>
      </c>
      <c r="I899" s="2">
        <f>IFERROR(__xludf.DUMMYFUNCTION("""COMPUTED_VALUE"""),8.0)</f>
        <v>8</v>
      </c>
      <c r="J899" s="2">
        <f>IFERROR(__xludf.DUMMYFUNCTION("""COMPUTED_VALUE"""),289.52)</f>
        <v>289.52</v>
      </c>
      <c r="K899" s="2">
        <f>IFERROR(__xludf.DUMMYFUNCTION("""COMPUTED_VALUE"""),289.52)</f>
        <v>289.52</v>
      </c>
    </row>
    <row r="900">
      <c r="A900" s="2">
        <f>IFERROR(__xludf.DUMMYFUNCTION("""COMPUTED_VALUE"""),1000.0)</f>
        <v>1000</v>
      </c>
      <c r="B900" s="2">
        <f>IFERROR(__xludf.DUMMYFUNCTION("""COMPUTED_VALUE"""),184110.0)</f>
        <v>184110</v>
      </c>
      <c r="C900" s="2">
        <f>IFERROR(__xludf.DUMMYFUNCTION("""COMPUTED_VALUE"""),2026.0)</f>
        <v>2026</v>
      </c>
      <c r="D900" s="2">
        <f>IFERROR(__xludf.DUMMYFUNCTION("""COMPUTED_VALUE"""),46213.0)</f>
        <v>46213</v>
      </c>
      <c r="E900" s="2" t="str">
        <f>IFERROR(__xludf.DUMMYFUNCTION("""COMPUTED_VALUE"""),"VF")</f>
        <v>VF</v>
      </c>
      <c r="F900" s="2">
        <f>IFERROR(__xludf.DUMMYFUNCTION("""COMPUTED_VALUE"""),1.0)</f>
        <v>1</v>
      </c>
      <c r="G900" s="2" t="str">
        <f>IFERROR(__xludf.DUMMYFUNCTION("""COMPUTED_VALUE"""),"PR020")</f>
        <v>PR020</v>
      </c>
      <c r="H900" s="2" t="str">
        <f>IFERROR(__xludf.DUMMYFUNCTION("""COMPUTED_VALUE"""),"VD024")</f>
        <v>VD024</v>
      </c>
      <c r="I900" s="2">
        <f>IFERROR(__xludf.DUMMYFUNCTION("""COMPUTED_VALUE"""),18.0)</f>
        <v>18</v>
      </c>
      <c r="J900" s="2">
        <f>IFERROR(__xludf.DUMMYFUNCTION("""COMPUTED_VALUE"""),5452.18)</f>
        <v>5452.18</v>
      </c>
      <c r="K900" s="2">
        <f>IFERROR(__xludf.DUMMYFUNCTION("""COMPUTED_VALUE"""),5452.18)</f>
        <v>5452.18</v>
      </c>
    </row>
    <row r="901">
      <c r="A901" s="2">
        <f>IFERROR(__xludf.DUMMYFUNCTION("""COMPUTED_VALUE"""),1000.0)</f>
        <v>1000</v>
      </c>
      <c r="B901" s="2">
        <f>IFERROR(__xludf.DUMMYFUNCTION("""COMPUTED_VALUE"""),184111.0)</f>
        <v>184111</v>
      </c>
      <c r="C901" s="2">
        <f>IFERROR(__xludf.DUMMYFUNCTION("""COMPUTED_VALUE"""),2026.0)</f>
        <v>2026</v>
      </c>
      <c r="D901" s="2">
        <f>IFERROR(__xludf.DUMMYFUNCTION("""COMPUTED_VALUE"""),46213.0)</f>
        <v>46213</v>
      </c>
      <c r="E901" s="2" t="str">
        <f>IFERROR(__xludf.DUMMYFUNCTION("""COMPUTED_VALUE"""),"VF")</f>
        <v>VF</v>
      </c>
      <c r="F901" s="2">
        <f>IFERROR(__xludf.DUMMYFUNCTION("""COMPUTED_VALUE"""),1.0)</f>
        <v>1</v>
      </c>
      <c r="G901" s="2" t="str">
        <f>IFERROR(__xludf.DUMMYFUNCTION("""COMPUTED_VALUE"""),"PR011")</f>
        <v>PR011</v>
      </c>
      <c r="H901" s="2" t="str">
        <f>IFERROR(__xludf.DUMMYFUNCTION("""COMPUTED_VALUE"""),"VD013")</f>
        <v>VD013</v>
      </c>
      <c r="I901" s="2">
        <f>IFERROR(__xludf.DUMMYFUNCTION("""COMPUTED_VALUE"""),2.0)</f>
        <v>2</v>
      </c>
      <c r="J901" s="2">
        <f>IFERROR(__xludf.DUMMYFUNCTION("""COMPUTED_VALUE"""),96.61)</f>
        <v>96.61</v>
      </c>
      <c r="K901" s="2">
        <f>IFERROR(__xludf.DUMMYFUNCTION("""COMPUTED_VALUE"""),96.61)</f>
        <v>96.61</v>
      </c>
    </row>
    <row r="902">
      <c r="A902" s="2">
        <f>IFERROR(__xludf.DUMMYFUNCTION("""COMPUTED_VALUE"""),1000.0)</f>
        <v>1000</v>
      </c>
      <c r="B902" s="2">
        <f>IFERROR(__xludf.DUMMYFUNCTION("""COMPUTED_VALUE"""),184112.0)</f>
        <v>184112</v>
      </c>
      <c r="C902" s="2">
        <f>IFERROR(__xludf.DUMMYFUNCTION("""COMPUTED_VALUE"""),2026.0)</f>
        <v>2026</v>
      </c>
      <c r="D902" s="2">
        <f>IFERROR(__xludf.DUMMYFUNCTION("""COMPUTED_VALUE"""),46212.0)</f>
        <v>46212</v>
      </c>
      <c r="E902" s="2" t="str">
        <f>IFERROR(__xludf.DUMMYFUNCTION("""COMPUTED_VALUE"""),"VF")</f>
        <v>VF</v>
      </c>
      <c r="F902" s="2">
        <f>IFERROR(__xludf.DUMMYFUNCTION("""COMPUTED_VALUE"""),1.0)</f>
        <v>1</v>
      </c>
      <c r="G902" s="2" t="str">
        <f>IFERROR(__xludf.DUMMYFUNCTION("""COMPUTED_VALUE"""),"PR025")</f>
        <v>PR025</v>
      </c>
      <c r="H902" s="2" t="str">
        <f>IFERROR(__xludf.DUMMYFUNCTION("""COMPUTED_VALUE"""),"VD047")</f>
        <v>VD047</v>
      </c>
      <c r="I902" s="2">
        <f>IFERROR(__xludf.DUMMYFUNCTION("""COMPUTED_VALUE"""),2.0)</f>
        <v>2</v>
      </c>
      <c r="J902" s="2">
        <f>IFERROR(__xludf.DUMMYFUNCTION("""COMPUTED_VALUE"""),635.79)</f>
        <v>635.79</v>
      </c>
      <c r="K902" s="2">
        <f>IFERROR(__xludf.DUMMYFUNCTION("""COMPUTED_VALUE"""),635.79)</f>
        <v>635.79</v>
      </c>
    </row>
    <row r="903">
      <c r="A903" s="2">
        <f>IFERROR(__xludf.DUMMYFUNCTION("""COMPUTED_VALUE"""),1000.0)</f>
        <v>1000</v>
      </c>
      <c r="B903" s="2">
        <f>IFERROR(__xludf.DUMMYFUNCTION("""COMPUTED_VALUE"""),184113.0)</f>
        <v>184113</v>
      </c>
      <c r="C903" s="2">
        <f>IFERROR(__xludf.DUMMYFUNCTION("""COMPUTED_VALUE"""),2026.0)</f>
        <v>2026</v>
      </c>
      <c r="D903" s="2">
        <f>IFERROR(__xludf.DUMMYFUNCTION("""COMPUTED_VALUE"""),46212.0)</f>
        <v>46212</v>
      </c>
      <c r="E903" s="2" t="str">
        <f>IFERROR(__xludf.DUMMYFUNCTION("""COMPUTED_VALUE"""),"VF")</f>
        <v>VF</v>
      </c>
      <c r="F903" s="2">
        <f>IFERROR(__xludf.DUMMYFUNCTION("""COMPUTED_VALUE"""),1.0)</f>
        <v>1</v>
      </c>
      <c r="G903" s="2" t="str">
        <f>IFERROR(__xludf.DUMMYFUNCTION("""COMPUTED_VALUE"""),"PR044")</f>
        <v>PR044</v>
      </c>
      <c r="H903" s="2" t="str">
        <f>IFERROR(__xludf.DUMMYFUNCTION("""COMPUTED_VALUE"""),"VD020")</f>
        <v>VD020</v>
      </c>
      <c r="I903" s="2">
        <f>IFERROR(__xludf.DUMMYFUNCTION("""COMPUTED_VALUE"""),9.0)</f>
        <v>9</v>
      </c>
      <c r="J903" s="2">
        <f>IFERROR(__xludf.DUMMYFUNCTION("""COMPUTED_VALUE"""),652.5)</f>
        <v>652.5</v>
      </c>
      <c r="K903" s="2">
        <f>IFERROR(__xludf.DUMMYFUNCTION("""COMPUTED_VALUE"""),652.5)</f>
        <v>652.5</v>
      </c>
    </row>
    <row r="904">
      <c r="A904" s="2">
        <f>IFERROR(__xludf.DUMMYFUNCTION("""COMPUTED_VALUE"""),1000.0)</f>
        <v>1000</v>
      </c>
      <c r="B904" s="2">
        <f>IFERROR(__xludf.DUMMYFUNCTION("""COMPUTED_VALUE"""),184114.0)</f>
        <v>184114</v>
      </c>
      <c r="C904" s="2">
        <f>IFERROR(__xludf.DUMMYFUNCTION("""COMPUTED_VALUE"""),2026.0)</f>
        <v>2026</v>
      </c>
      <c r="D904" s="2">
        <f>IFERROR(__xludf.DUMMYFUNCTION("""COMPUTED_VALUE"""),46211.0)</f>
        <v>46211</v>
      </c>
      <c r="E904" s="2" t="str">
        <f>IFERROR(__xludf.DUMMYFUNCTION("""COMPUTED_VALUE"""),"VF")</f>
        <v>VF</v>
      </c>
      <c r="F904" s="2">
        <f>IFERROR(__xludf.DUMMYFUNCTION("""COMPUTED_VALUE"""),1.0)</f>
        <v>1</v>
      </c>
      <c r="G904" s="2" t="str">
        <f>IFERROR(__xludf.DUMMYFUNCTION("""COMPUTED_VALUE"""),"PR054")</f>
        <v>PR054</v>
      </c>
      <c r="H904" s="2" t="str">
        <f>IFERROR(__xludf.DUMMYFUNCTION("""COMPUTED_VALUE"""),"VD011")</f>
        <v>VD011</v>
      </c>
      <c r="I904" s="2">
        <f>IFERROR(__xludf.DUMMYFUNCTION("""COMPUTED_VALUE"""),2.0)</f>
        <v>2</v>
      </c>
      <c r="J904" s="2">
        <f>IFERROR(__xludf.DUMMYFUNCTION("""COMPUTED_VALUE"""),100.8)</f>
        <v>100.8</v>
      </c>
      <c r="K904" s="2">
        <f>IFERROR(__xludf.DUMMYFUNCTION("""COMPUTED_VALUE"""),100.8)</f>
        <v>100.8</v>
      </c>
    </row>
    <row r="905">
      <c r="A905" s="2">
        <f>IFERROR(__xludf.DUMMYFUNCTION("""COMPUTED_VALUE"""),1000.0)</f>
        <v>1000</v>
      </c>
      <c r="B905" s="2">
        <f>IFERROR(__xludf.DUMMYFUNCTION("""COMPUTED_VALUE"""),184115.0)</f>
        <v>184115</v>
      </c>
      <c r="C905" s="2">
        <f>IFERROR(__xludf.DUMMYFUNCTION("""COMPUTED_VALUE"""),2026.0)</f>
        <v>2026</v>
      </c>
      <c r="D905" s="2">
        <f>IFERROR(__xludf.DUMMYFUNCTION("""COMPUTED_VALUE"""),46211.0)</f>
        <v>46211</v>
      </c>
      <c r="E905" s="2" t="str">
        <f>IFERROR(__xludf.DUMMYFUNCTION("""COMPUTED_VALUE"""),"VF")</f>
        <v>VF</v>
      </c>
      <c r="F905" s="2">
        <f>IFERROR(__xludf.DUMMYFUNCTION("""COMPUTED_VALUE"""),1.0)</f>
        <v>1</v>
      </c>
      <c r="G905" s="2" t="str">
        <f>IFERROR(__xludf.DUMMYFUNCTION("""COMPUTED_VALUE"""),"PR004")</f>
        <v>PR004</v>
      </c>
      <c r="H905" s="2" t="str">
        <f>IFERROR(__xludf.DUMMYFUNCTION("""COMPUTED_VALUE"""),"VD039")</f>
        <v>VD039</v>
      </c>
      <c r="I905" s="2">
        <f>IFERROR(__xludf.DUMMYFUNCTION("""COMPUTED_VALUE"""),14.0)</f>
        <v>14</v>
      </c>
      <c r="J905" s="2">
        <f>IFERROR(__xludf.DUMMYFUNCTION("""COMPUTED_VALUE"""),2212.7)</f>
        <v>2212.7</v>
      </c>
      <c r="K905" s="2">
        <f>IFERROR(__xludf.DUMMYFUNCTION("""COMPUTED_VALUE"""),2212.7)</f>
        <v>2212.7</v>
      </c>
    </row>
    <row r="906">
      <c r="A906" s="2">
        <f>IFERROR(__xludf.DUMMYFUNCTION("""COMPUTED_VALUE"""),1000.0)</f>
        <v>1000</v>
      </c>
      <c r="B906" s="2">
        <f>IFERROR(__xludf.DUMMYFUNCTION("""COMPUTED_VALUE"""),184115.0)</f>
        <v>184115</v>
      </c>
      <c r="C906" s="2">
        <f>IFERROR(__xludf.DUMMYFUNCTION("""COMPUTED_VALUE"""),2026.0)</f>
        <v>2026</v>
      </c>
      <c r="D906" s="2">
        <f>IFERROR(__xludf.DUMMYFUNCTION("""COMPUTED_VALUE"""),46210.0)</f>
        <v>46210</v>
      </c>
      <c r="E906" s="2" t="str">
        <f>IFERROR(__xludf.DUMMYFUNCTION("""COMPUTED_VALUE"""),"VF")</f>
        <v>VF</v>
      </c>
      <c r="F906" s="2">
        <f>IFERROR(__xludf.DUMMYFUNCTION("""COMPUTED_VALUE"""),2.0)</f>
        <v>2</v>
      </c>
      <c r="G906" s="2" t="str">
        <f>IFERROR(__xludf.DUMMYFUNCTION("""COMPUTED_VALUE"""),"PR032")</f>
        <v>PR032</v>
      </c>
      <c r="H906" s="2" t="str">
        <f>IFERROR(__xludf.DUMMYFUNCTION("""COMPUTED_VALUE"""),"VD017")</f>
        <v>VD017</v>
      </c>
      <c r="I906" s="2">
        <f>IFERROR(__xludf.DUMMYFUNCTION("""COMPUTED_VALUE"""),12.0)</f>
        <v>12</v>
      </c>
      <c r="J906" s="2">
        <f>IFERROR(__xludf.DUMMYFUNCTION("""COMPUTED_VALUE"""),3030.0)</f>
        <v>3030</v>
      </c>
      <c r="K906" s="2">
        <f>IFERROR(__xludf.DUMMYFUNCTION("""COMPUTED_VALUE"""),3030.0)</f>
        <v>3030</v>
      </c>
    </row>
    <row r="907">
      <c r="A907" s="2">
        <f>IFERROR(__xludf.DUMMYFUNCTION("""COMPUTED_VALUE"""),1000.0)</f>
        <v>1000</v>
      </c>
      <c r="B907" s="2">
        <f>IFERROR(__xludf.DUMMYFUNCTION("""COMPUTED_VALUE"""),184116.0)</f>
        <v>184116</v>
      </c>
      <c r="C907" s="2">
        <f>IFERROR(__xludf.DUMMYFUNCTION("""COMPUTED_VALUE"""),2026.0)</f>
        <v>2026</v>
      </c>
      <c r="D907" s="2">
        <f>IFERROR(__xludf.DUMMYFUNCTION("""COMPUTED_VALUE"""),46210.0)</f>
        <v>46210</v>
      </c>
      <c r="E907" s="2" t="str">
        <f>IFERROR(__xludf.DUMMYFUNCTION("""COMPUTED_VALUE"""),"VF")</f>
        <v>VF</v>
      </c>
      <c r="F907" s="2">
        <f>IFERROR(__xludf.DUMMYFUNCTION("""COMPUTED_VALUE"""),1.0)</f>
        <v>1</v>
      </c>
      <c r="G907" s="2" t="str">
        <f>IFERROR(__xludf.DUMMYFUNCTION("""COMPUTED_VALUE"""),"PR060")</f>
        <v>PR060</v>
      </c>
      <c r="H907" s="2" t="str">
        <f>IFERROR(__xludf.DUMMYFUNCTION("""COMPUTED_VALUE"""),"VD040")</f>
        <v>VD040</v>
      </c>
      <c r="I907" s="2">
        <f>IFERROR(__xludf.DUMMYFUNCTION("""COMPUTED_VALUE"""),18.0)</f>
        <v>18</v>
      </c>
      <c r="J907" s="2">
        <f>IFERROR(__xludf.DUMMYFUNCTION("""COMPUTED_VALUE"""),3434.4)</f>
        <v>3434.4</v>
      </c>
      <c r="K907" s="2">
        <f>IFERROR(__xludf.DUMMYFUNCTION("""COMPUTED_VALUE"""),3434.4)</f>
        <v>3434.4</v>
      </c>
    </row>
    <row r="908">
      <c r="A908" s="2">
        <f>IFERROR(__xludf.DUMMYFUNCTION("""COMPUTED_VALUE"""),1000.0)</f>
        <v>1000</v>
      </c>
      <c r="B908" s="2">
        <f>IFERROR(__xludf.DUMMYFUNCTION("""COMPUTED_VALUE"""),184116.0)</f>
        <v>184116</v>
      </c>
      <c r="C908" s="2">
        <f>IFERROR(__xludf.DUMMYFUNCTION("""COMPUTED_VALUE"""),2026.0)</f>
        <v>2026</v>
      </c>
      <c r="D908" s="2">
        <f>IFERROR(__xludf.DUMMYFUNCTION("""COMPUTED_VALUE"""),46210.0)</f>
        <v>46210</v>
      </c>
      <c r="E908" s="2" t="str">
        <f>IFERROR(__xludf.DUMMYFUNCTION("""COMPUTED_VALUE"""),"VF")</f>
        <v>VF</v>
      </c>
      <c r="F908" s="2">
        <f>IFERROR(__xludf.DUMMYFUNCTION("""COMPUTED_VALUE"""),2.0)</f>
        <v>2</v>
      </c>
      <c r="G908" s="2" t="str">
        <f>IFERROR(__xludf.DUMMYFUNCTION("""COMPUTED_VALUE"""),"PR041")</f>
        <v>PR041</v>
      </c>
      <c r="H908" s="2" t="str">
        <f>IFERROR(__xludf.DUMMYFUNCTION("""COMPUTED_VALUE"""),"VD018")</f>
        <v>VD018</v>
      </c>
      <c r="I908" s="2">
        <f>IFERROR(__xludf.DUMMYFUNCTION("""COMPUTED_VALUE"""),1.0)</f>
        <v>1</v>
      </c>
      <c r="J908" s="2">
        <f>IFERROR(__xludf.DUMMYFUNCTION("""COMPUTED_VALUE"""),59.29)</f>
        <v>59.29</v>
      </c>
      <c r="K908" s="2">
        <f>IFERROR(__xludf.DUMMYFUNCTION("""COMPUTED_VALUE"""),59.29)</f>
        <v>59.29</v>
      </c>
    </row>
    <row r="909">
      <c r="A909" s="2">
        <f>IFERROR(__xludf.DUMMYFUNCTION("""COMPUTED_VALUE"""),1000.0)</f>
        <v>1000</v>
      </c>
      <c r="B909" s="2">
        <f>IFERROR(__xludf.DUMMYFUNCTION("""COMPUTED_VALUE"""),184116.0)</f>
        <v>184116</v>
      </c>
      <c r="C909" s="2">
        <f>IFERROR(__xludf.DUMMYFUNCTION("""COMPUTED_VALUE"""),2026.0)</f>
        <v>2026</v>
      </c>
      <c r="D909" s="2">
        <f>IFERROR(__xludf.DUMMYFUNCTION("""COMPUTED_VALUE"""),46210.0)</f>
        <v>46210</v>
      </c>
      <c r="E909" s="2" t="str">
        <f>IFERROR(__xludf.DUMMYFUNCTION("""COMPUTED_VALUE"""),"VF")</f>
        <v>VF</v>
      </c>
      <c r="F909" s="2">
        <f>IFERROR(__xludf.DUMMYFUNCTION("""COMPUTED_VALUE"""),3.0)</f>
        <v>3</v>
      </c>
      <c r="G909" s="2" t="str">
        <f>IFERROR(__xludf.DUMMYFUNCTION("""COMPUTED_VALUE"""),"PR029")</f>
        <v>PR029</v>
      </c>
      <c r="H909" s="2" t="str">
        <f>IFERROR(__xludf.DUMMYFUNCTION("""COMPUTED_VALUE"""),"VD029")</f>
        <v>VD029</v>
      </c>
      <c r="I909" s="2">
        <f>IFERROR(__xludf.DUMMYFUNCTION("""COMPUTED_VALUE"""),6.0)</f>
        <v>6</v>
      </c>
      <c r="J909" s="2">
        <f>IFERROR(__xludf.DUMMYFUNCTION("""COMPUTED_VALUE"""),1575.9)</f>
        <v>1575.9</v>
      </c>
      <c r="K909" s="2">
        <f>IFERROR(__xludf.DUMMYFUNCTION("""COMPUTED_VALUE"""),1575.9)</f>
        <v>1575.9</v>
      </c>
    </row>
    <row r="910">
      <c r="A910" s="2">
        <f>IFERROR(__xludf.DUMMYFUNCTION("""COMPUTED_VALUE"""),1000.0)</f>
        <v>1000</v>
      </c>
      <c r="B910" s="2">
        <f>IFERROR(__xludf.DUMMYFUNCTION("""COMPUTED_VALUE"""),184117.0)</f>
        <v>184117</v>
      </c>
      <c r="C910" s="2">
        <f>IFERROR(__xludf.DUMMYFUNCTION("""COMPUTED_VALUE"""),2026.0)</f>
        <v>2026</v>
      </c>
      <c r="D910" s="2">
        <f>IFERROR(__xludf.DUMMYFUNCTION("""COMPUTED_VALUE"""),46210.0)</f>
        <v>46210</v>
      </c>
      <c r="E910" s="2" t="str">
        <f>IFERROR(__xludf.DUMMYFUNCTION("""COMPUTED_VALUE"""),"VF")</f>
        <v>VF</v>
      </c>
      <c r="F910" s="2">
        <f>IFERROR(__xludf.DUMMYFUNCTION("""COMPUTED_VALUE"""),1.0)</f>
        <v>1</v>
      </c>
      <c r="G910" s="2" t="str">
        <f>IFERROR(__xludf.DUMMYFUNCTION("""COMPUTED_VALUE"""),"PR039")</f>
        <v>PR039</v>
      </c>
      <c r="H910" s="2" t="str">
        <f>IFERROR(__xludf.DUMMYFUNCTION("""COMPUTED_VALUE"""),"VD034")</f>
        <v>VD034</v>
      </c>
      <c r="I910" s="2">
        <f>IFERROR(__xludf.DUMMYFUNCTION("""COMPUTED_VALUE"""),16.0)</f>
        <v>16</v>
      </c>
      <c r="J910" s="2">
        <f>IFERROR(__xludf.DUMMYFUNCTION("""COMPUTED_VALUE"""),2336.0)</f>
        <v>2336</v>
      </c>
      <c r="K910" s="2">
        <f>IFERROR(__xludf.DUMMYFUNCTION("""COMPUTED_VALUE"""),2336.0)</f>
        <v>2336</v>
      </c>
    </row>
    <row r="911">
      <c r="A911" s="2">
        <f>IFERROR(__xludf.DUMMYFUNCTION("""COMPUTED_VALUE"""),1000.0)</f>
        <v>1000</v>
      </c>
      <c r="B911" s="2">
        <f>IFERROR(__xludf.DUMMYFUNCTION("""COMPUTED_VALUE"""),184118.0)</f>
        <v>184118</v>
      </c>
      <c r="C911" s="2">
        <f>IFERROR(__xludf.DUMMYFUNCTION("""COMPUTED_VALUE"""),2026.0)</f>
        <v>2026</v>
      </c>
      <c r="D911" s="2">
        <f>IFERROR(__xludf.DUMMYFUNCTION("""COMPUTED_VALUE"""),46209.0)</f>
        <v>46209</v>
      </c>
      <c r="E911" s="2" t="str">
        <f>IFERROR(__xludf.DUMMYFUNCTION("""COMPUTED_VALUE"""),"VF")</f>
        <v>VF</v>
      </c>
      <c r="F911" s="2">
        <f>IFERROR(__xludf.DUMMYFUNCTION("""COMPUTED_VALUE"""),1.0)</f>
        <v>1</v>
      </c>
      <c r="G911" s="2" t="str">
        <f>IFERROR(__xludf.DUMMYFUNCTION("""COMPUTED_VALUE"""),"PR048")</f>
        <v>PR048</v>
      </c>
      <c r="H911" s="2" t="str">
        <f>IFERROR(__xludf.DUMMYFUNCTION("""COMPUTED_VALUE"""),"VD026")</f>
        <v>VD026</v>
      </c>
      <c r="I911" s="2">
        <f>IFERROR(__xludf.DUMMYFUNCTION("""COMPUTED_VALUE"""),6.0)</f>
        <v>6</v>
      </c>
      <c r="J911" s="2">
        <f>IFERROR(__xludf.DUMMYFUNCTION("""COMPUTED_VALUE"""),1774.19)</f>
        <v>1774.19</v>
      </c>
      <c r="K911" s="2">
        <f>IFERROR(__xludf.DUMMYFUNCTION("""COMPUTED_VALUE"""),1774.19)</f>
        <v>1774.19</v>
      </c>
    </row>
    <row r="912">
      <c r="A912" s="2">
        <f>IFERROR(__xludf.DUMMYFUNCTION("""COMPUTED_VALUE"""),1000.0)</f>
        <v>1000</v>
      </c>
      <c r="B912" s="2">
        <f>IFERROR(__xludf.DUMMYFUNCTION("""COMPUTED_VALUE"""),184118.0)</f>
        <v>184118</v>
      </c>
      <c r="C912" s="2">
        <f>IFERROR(__xludf.DUMMYFUNCTION("""COMPUTED_VALUE"""),2026.0)</f>
        <v>2026</v>
      </c>
      <c r="D912" s="2">
        <f>IFERROR(__xludf.DUMMYFUNCTION("""COMPUTED_VALUE"""),46209.0)</f>
        <v>46209</v>
      </c>
      <c r="E912" s="2" t="str">
        <f>IFERROR(__xludf.DUMMYFUNCTION("""COMPUTED_VALUE"""),"VF")</f>
        <v>VF</v>
      </c>
      <c r="F912" s="2">
        <f>IFERROR(__xludf.DUMMYFUNCTION("""COMPUTED_VALUE"""),2.0)</f>
        <v>2</v>
      </c>
      <c r="G912" s="2" t="str">
        <f>IFERROR(__xludf.DUMMYFUNCTION("""COMPUTED_VALUE"""),"PR015")</f>
        <v>PR015</v>
      </c>
      <c r="H912" s="2" t="str">
        <f>IFERROR(__xludf.DUMMYFUNCTION("""COMPUTED_VALUE"""),"VD012")</f>
        <v>VD012</v>
      </c>
      <c r="I912" s="2">
        <f>IFERROR(__xludf.DUMMYFUNCTION("""COMPUTED_VALUE"""),2.0)</f>
        <v>2</v>
      </c>
      <c r="J912" s="2">
        <f>IFERROR(__xludf.DUMMYFUNCTION("""COMPUTED_VALUE"""),85.85)</f>
        <v>85.85</v>
      </c>
      <c r="K912" s="2">
        <f>IFERROR(__xludf.DUMMYFUNCTION("""COMPUTED_VALUE"""),85.85)</f>
        <v>85.85</v>
      </c>
    </row>
    <row r="913">
      <c r="A913" s="2">
        <f>IFERROR(__xludf.DUMMYFUNCTION("""COMPUTED_VALUE"""),1000.0)</f>
        <v>1000</v>
      </c>
      <c r="B913" s="2">
        <f>IFERROR(__xludf.DUMMYFUNCTION("""COMPUTED_VALUE"""),184119.0)</f>
        <v>184119</v>
      </c>
      <c r="C913" s="2">
        <f>IFERROR(__xludf.DUMMYFUNCTION("""COMPUTED_VALUE"""),2026.0)</f>
        <v>2026</v>
      </c>
      <c r="D913" s="2">
        <f>IFERROR(__xludf.DUMMYFUNCTION("""COMPUTED_VALUE"""),46209.0)</f>
        <v>46209</v>
      </c>
      <c r="E913" s="2" t="str">
        <f>IFERROR(__xludf.DUMMYFUNCTION("""COMPUTED_VALUE"""),"VF")</f>
        <v>VF</v>
      </c>
      <c r="F913" s="2">
        <f>IFERROR(__xludf.DUMMYFUNCTION("""COMPUTED_VALUE"""),1.0)</f>
        <v>1</v>
      </c>
      <c r="G913" s="2" t="str">
        <f>IFERROR(__xludf.DUMMYFUNCTION("""COMPUTED_VALUE"""),"PR051")</f>
        <v>PR051</v>
      </c>
      <c r="H913" s="2" t="str">
        <f>IFERROR(__xludf.DUMMYFUNCTION("""COMPUTED_VALUE"""),"VD036")</f>
        <v>VD036</v>
      </c>
      <c r="I913" s="2">
        <f>IFERROR(__xludf.DUMMYFUNCTION("""COMPUTED_VALUE"""),10.0)</f>
        <v>10</v>
      </c>
      <c r="J913" s="2">
        <f>IFERROR(__xludf.DUMMYFUNCTION("""COMPUTED_VALUE"""),348.74)</f>
        <v>348.74</v>
      </c>
      <c r="K913" s="2">
        <f>IFERROR(__xludf.DUMMYFUNCTION("""COMPUTED_VALUE"""),348.74)</f>
        <v>348.74</v>
      </c>
    </row>
    <row r="914">
      <c r="A914" s="2">
        <f>IFERROR(__xludf.DUMMYFUNCTION("""COMPUTED_VALUE"""),2000.0)</f>
        <v>2000</v>
      </c>
      <c r="B914" s="2">
        <f>IFERROR(__xludf.DUMMYFUNCTION("""COMPUTED_VALUE"""),184119.0)</f>
        <v>184119</v>
      </c>
      <c r="C914" s="2">
        <f>IFERROR(__xludf.DUMMYFUNCTION("""COMPUTED_VALUE"""),2026.0)</f>
        <v>2026</v>
      </c>
      <c r="D914" s="2">
        <f>IFERROR(__xludf.DUMMYFUNCTION("""COMPUTED_VALUE"""),46209.0)</f>
        <v>46209</v>
      </c>
      <c r="E914" s="2" t="str">
        <f>IFERROR(__xludf.DUMMYFUNCTION("""COMPUTED_VALUE"""),"VF")</f>
        <v>VF</v>
      </c>
      <c r="F914" s="2">
        <f>IFERROR(__xludf.DUMMYFUNCTION("""COMPUTED_VALUE"""),2.0)</f>
        <v>2</v>
      </c>
      <c r="G914" s="2" t="str">
        <f>IFERROR(__xludf.DUMMYFUNCTION("""COMPUTED_VALUE"""),"PR060")</f>
        <v>PR060</v>
      </c>
      <c r="H914" s="2" t="str">
        <f>IFERROR(__xludf.DUMMYFUNCTION("""COMPUTED_VALUE"""),"VD021")</f>
        <v>VD021</v>
      </c>
      <c r="I914" s="2">
        <f>IFERROR(__xludf.DUMMYFUNCTION("""COMPUTED_VALUE"""),12.0)</f>
        <v>12</v>
      </c>
      <c r="J914" s="2">
        <f>IFERROR(__xludf.DUMMYFUNCTION("""COMPUTED_VALUE"""),2246.4)</f>
        <v>2246.4</v>
      </c>
      <c r="K914" s="2">
        <f>IFERROR(__xludf.DUMMYFUNCTION("""COMPUTED_VALUE"""),2246.4)</f>
        <v>2246.4</v>
      </c>
    </row>
    <row r="915">
      <c r="A915" s="2">
        <f>IFERROR(__xludf.DUMMYFUNCTION("""COMPUTED_VALUE"""),2000.0)</f>
        <v>2000</v>
      </c>
      <c r="B915" s="2">
        <f>IFERROR(__xludf.DUMMYFUNCTION("""COMPUTED_VALUE"""),184120.0)</f>
        <v>184120</v>
      </c>
      <c r="C915" s="2">
        <f>IFERROR(__xludf.DUMMYFUNCTION("""COMPUTED_VALUE"""),2026.0)</f>
        <v>2026</v>
      </c>
      <c r="D915" s="2">
        <f>IFERROR(__xludf.DUMMYFUNCTION("""COMPUTED_VALUE"""),46208.0)</f>
        <v>46208</v>
      </c>
      <c r="E915" s="2" t="str">
        <f>IFERROR(__xludf.DUMMYFUNCTION("""COMPUTED_VALUE"""),"VF")</f>
        <v>VF</v>
      </c>
      <c r="F915" s="2">
        <f>IFERROR(__xludf.DUMMYFUNCTION("""COMPUTED_VALUE"""),1.0)</f>
        <v>1</v>
      </c>
      <c r="G915" s="2" t="str">
        <f>IFERROR(__xludf.DUMMYFUNCTION("""COMPUTED_VALUE"""),"PR053")</f>
        <v>PR053</v>
      </c>
      <c r="H915" s="2" t="str">
        <f>IFERROR(__xludf.DUMMYFUNCTION("""COMPUTED_VALUE"""),"VD047")</f>
        <v>VD047</v>
      </c>
      <c r="I915" s="2">
        <f>IFERROR(__xludf.DUMMYFUNCTION("""COMPUTED_VALUE"""),6.0)</f>
        <v>6</v>
      </c>
      <c r="J915" s="2">
        <f>IFERROR(__xludf.DUMMYFUNCTION("""COMPUTED_VALUE"""),317.36)</f>
        <v>317.36</v>
      </c>
      <c r="K915" s="2">
        <f>IFERROR(__xludf.DUMMYFUNCTION("""COMPUTED_VALUE"""),317.36)</f>
        <v>317.36</v>
      </c>
    </row>
    <row r="916">
      <c r="A916" s="2">
        <f>IFERROR(__xludf.DUMMYFUNCTION("""COMPUTED_VALUE"""),1000.0)</f>
        <v>1000</v>
      </c>
      <c r="B916" s="2">
        <f>IFERROR(__xludf.DUMMYFUNCTION("""COMPUTED_VALUE"""),184120.0)</f>
        <v>184120</v>
      </c>
      <c r="C916" s="2">
        <f>IFERROR(__xludf.DUMMYFUNCTION("""COMPUTED_VALUE"""),2026.0)</f>
        <v>2026</v>
      </c>
      <c r="D916" s="2">
        <f>IFERROR(__xludf.DUMMYFUNCTION("""COMPUTED_VALUE"""),46208.0)</f>
        <v>46208</v>
      </c>
      <c r="E916" s="2" t="str">
        <f>IFERROR(__xludf.DUMMYFUNCTION("""COMPUTED_VALUE"""),"VF")</f>
        <v>VF</v>
      </c>
      <c r="F916" s="2">
        <f>IFERROR(__xludf.DUMMYFUNCTION("""COMPUTED_VALUE"""),2.0)</f>
        <v>2</v>
      </c>
      <c r="G916" s="2" t="str">
        <f>IFERROR(__xludf.DUMMYFUNCTION("""COMPUTED_VALUE"""),"PR051")</f>
        <v>PR051</v>
      </c>
      <c r="H916" s="2" t="str">
        <f>IFERROR(__xludf.DUMMYFUNCTION("""COMPUTED_VALUE"""),"VD016")</f>
        <v>VD016</v>
      </c>
      <c r="I916" s="2">
        <f>IFERROR(__xludf.DUMMYFUNCTION("""COMPUTED_VALUE"""),8.0)</f>
        <v>8</v>
      </c>
      <c r="J916" s="2">
        <f>IFERROR(__xludf.DUMMYFUNCTION("""COMPUTED_VALUE"""),263.2)</f>
        <v>263.2</v>
      </c>
      <c r="K916" s="2">
        <f>IFERROR(__xludf.DUMMYFUNCTION("""COMPUTED_VALUE"""),263.2)</f>
        <v>263.2</v>
      </c>
    </row>
    <row r="917">
      <c r="A917" s="2">
        <f>IFERROR(__xludf.DUMMYFUNCTION("""COMPUTED_VALUE"""),1000.0)</f>
        <v>1000</v>
      </c>
      <c r="B917" s="2">
        <f>IFERROR(__xludf.DUMMYFUNCTION("""COMPUTED_VALUE"""),184120.0)</f>
        <v>184120</v>
      </c>
      <c r="C917" s="2">
        <f>IFERROR(__xludf.DUMMYFUNCTION("""COMPUTED_VALUE"""),2026.0)</f>
        <v>2026</v>
      </c>
      <c r="D917" s="2">
        <f>IFERROR(__xludf.DUMMYFUNCTION("""COMPUTED_VALUE"""),46208.0)</f>
        <v>46208</v>
      </c>
      <c r="E917" s="2" t="str">
        <f>IFERROR(__xludf.DUMMYFUNCTION("""COMPUTED_VALUE"""),"VF")</f>
        <v>VF</v>
      </c>
      <c r="F917" s="2">
        <f>IFERROR(__xludf.DUMMYFUNCTION("""COMPUTED_VALUE"""),3.0)</f>
        <v>3</v>
      </c>
      <c r="G917" s="2" t="str">
        <f>IFERROR(__xludf.DUMMYFUNCTION("""COMPUTED_VALUE"""),"PR035")</f>
        <v>PR035</v>
      </c>
      <c r="H917" s="2" t="str">
        <f>IFERROR(__xludf.DUMMYFUNCTION("""COMPUTED_VALUE"""),"VD016")</f>
        <v>VD016</v>
      </c>
      <c r="I917" s="2">
        <f>IFERROR(__xludf.DUMMYFUNCTION("""COMPUTED_VALUE"""),12.0)</f>
        <v>12</v>
      </c>
      <c r="J917" s="2">
        <f>IFERROR(__xludf.DUMMYFUNCTION("""COMPUTED_VALUE"""),1107.77)</f>
        <v>1107.77</v>
      </c>
      <c r="K917" s="2">
        <f>IFERROR(__xludf.DUMMYFUNCTION("""COMPUTED_VALUE"""),1107.77)</f>
        <v>1107.77</v>
      </c>
    </row>
    <row r="918">
      <c r="A918" s="2">
        <f>IFERROR(__xludf.DUMMYFUNCTION("""COMPUTED_VALUE"""),2000.0)</f>
        <v>2000</v>
      </c>
      <c r="B918" s="2">
        <f>IFERROR(__xludf.DUMMYFUNCTION("""COMPUTED_VALUE"""),184120.0)</f>
        <v>184120</v>
      </c>
      <c r="C918" s="2">
        <f>IFERROR(__xludf.DUMMYFUNCTION("""COMPUTED_VALUE"""),2026.0)</f>
        <v>2026</v>
      </c>
      <c r="D918" s="2">
        <f>IFERROR(__xludf.DUMMYFUNCTION("""COMPUTED_VALUE"""),46207.0)</f>
        <v>46207</v>
      </c>
      <c r="E918" s="2" t="str">
        <f>IFERROR(__xludf.DUMMYFUNCTION("""COMPUTED_VALUE"""),"VF")</f>
        <v>VF</v>
      </c>
      <c r="F918" s="2">
        <f>IFERROR(__xludf.DUMMYFUNCTION("""COMPUTED_VALUE"""),4.0)</f>
        <v>4</v>
      </c>
      <c r="G918" s="2" t="str">
        <f>IFERROR(__xludf.DUMMYFUNCTION("""COMPUTED_VALUE"""),"PR046")</f>
        <v>PR046</v>
      </c>
      <c r="H918" s="2" t="str">
        <f>IFERROR(__xludf.DUMMYFUNCTION("""COMPUTED_VALUE"""),"VD031")</f>
        <v>VD031</v>
      </c>
      <c r="I918" s="2">
        <f>IFERROR(__xludf.DUMMYFUNCTION("""COMPUTED_VALUE"""),14.0)</f>
        <v>14</v>
      </c>
      <c r="J918" s="2">
        <f>IFERROR(__xludf.DUMMYFUNCTION("""COMPUTED_VALUE"""),4099.19)</f>
        <v>4099.19</v>
      </c>
      <c r="K918" s="2">
        <f>IFERROR(__xludf.DUMMYFUNCTION("""COMPUTED_VALUE"""),4099.19)</f>
        <v>4099.19</v>
      </c>
    </row>
    <row r="919">
      <c r="A919" s="2">
        <f>IFERROR(__xludf.DUMMYFUNCTION("""COMPUTED_VALUE"""),2000.0)</f>
        <v>2000</v>
      </c>
      <c r="B919" s="2">
        <f>IFERROR(__xludf.DUMMYFUNCTION("""COMPUTED_VALUE"""),184120.0)</f>
        <v>184120</v>
      </c>
      <c r="C919" s="2">
        <f>IFERROR(__xludf.DUMMYFUNCTION("""COMPUTED_VALUE"""),2026.0)</f>
        <v>2026</v>
      </c>
      <c r="D919" s="2">
        <f>IFERROR(__xludf.DUMMYFUNCTION("""COMPUTED_VALUE"""),46207.0)</f>
        <v>46207</v>
      </c>
      <c r="E919" s="2" t="str">
        <f>IFERROR(__xludf.DUMMYFUNCTION("""COMPUTED_VALUE"""),"VF")</f>
        <v>VF</v>
      </c>
      <c r="F919" s="2">
        <f>IFERROR(__xludf.DUMMYFUNCTION("""COMPUTED_VALUE"""),5.0)</f>
        <v>5</v>
      </c>
      <c r="G919" s="2" t="str">
        <f>IFERROR(__xludf.DUMMYFUNCTION("""COMPUTED_VALUE"""),"PR057")</f>
        <v>PR057</v>
      </c>
      <c r="H919" s="2" t="str">
        <f>IFERROR(__xludf.DUMMYFUNCTION("""COMPUTED_VALUE"""),"VD047")</f>
        <v>VD047</v>
      </c>
      <c r="I919" s="2">
        <f>IFERROR(__xludf.DUMMYFUNCTION("""COMPUTED_VALUE"""),12.0)</f>
        <v>12</v>
      </c>
      <c r="J919" s="2">
        <f>IFERROR(__xludf.DUMMYFUNCTION("""COMPUTED_VALUE"""),1121.95)</f>
        <v>1121.95</v>
      </c>
      <c r="K919" s="2">
        <f>IFERROR(__xludf.DUMMYFUNCTION("""COMPUTED_VALUE"""),1121.95)</f>
        <v>1121.95</v>
      </c>
    </row>
    <row r="920">
      <c r="A920" s="2">
        <f>IFERROR(__xludf.DUMMYFUNCTION("""COMPUTED_VALUE"""),1000.0)</f>
        <v>1000</v>
      </c>
      <c r="B920" s="2">
        <f>IFERROR(__xludf.DUMMYFUNCTION("""COMPUTED_VALUE"""),184121.0)</f>
        <v>184121</v>
      </c>
      <c r="C920" s="2">
        <f>IFERROR(__xludf.DUMMYFUNCTION("""COMPUTED_VALUE"""),2026.0)</f>
        <v>2026</v>
      </c>
      <c r="D920" s="2">
        <f>IFERROR(__xludf.DUMMYFUNCTION("""COMPUTED_VALUE"""),46206.0)</f>
        <v>46206</v>
      </c>
      <c r="E920" s="2" t="str">
        <f>IFERROR(__xludf.DUMMYFUNCTION("""COMPUTED_VALUE"""),"VF")</f>
        <v>VF</v>
      </c>
      <c r="F920" s="2">
        <f>IFERROR(__xludf.DUMMYFUNCTION("""COMPUTED_VALUE"""),1.0)</f>
        <v>1</v>
      </c>
      <c r="G920" s="2" t="str">
        <f>IFERROR(__xludf.DUMMYFUNCTION("""COMPUTED_VALUE"""),"PR050")</f>
        <v>PR050</v>
      </c>
      <c r="H920" s="2" t="str">
        <f>IFERROR(__xludf.DUMMYFUNCTION("""COMPUTED_VALUE"""),"VD031")</f>
        <v>VD031</v>
      </c>
      <c r="I920" s="2">
        <f>IFERROR(__xludf.DUMMYFUNCTION("""COMPUTED_VALUE"""),20.0)</f>
        <v>20</v>
      </c>
      <c r="J920" s="2">
        <f>IFERROR(__xludf.DUMMYFUNCTION("""COMPUTED_VALUE"""),697.48)</f>
        <v>697.48</v>
      </c>
      <c r="K920" s="2">
        <f>IFERROR(__xludf.DUMMYFUNCTION("""COMPUTED_VALUE"""),697.48)</f>
        <v>697.48</v>
      </c>
    </row>
    <row r="921">
      <c r="A921" s="2">
        <f>IFERROR(__xludf.DUMMYFUNCTION("""COMPUTED_VALUE"""),1000.0)</f>
        <v>1000</v>
      </c>
      <c r="B921" s="2">
        <f>IFERROR(__xludf.DUMMYFUNCTION("""COMPUTED_VALUE"""),184121.0)</f>
        <v>184121</v>
      </c>
      <c r="C921" s="2">
        <f>IFERROR(__xludf.DUMMYFUNCTION("""COMPUTED_VALUE"""),2026.0)</f>
        <v>2026</v>
      </c>
      <c r="D921" s="2">
        <f>IFERROR(__xludf.DUMMYFUNCTION("""COMPUTED_VALUE"""),46206.0)</f>
        <v>46206</v>
      </c>
      <c r="E921" s="2" t="str">
        <f>IFERROR(__xludf.DUMMYFUNCTION("""COMPUTED_VALUE"""),"VF")</f>
        <v>VF</v>
      </c>
      <c r="F921" s="2">
        <f>IFERROR(__xludf.DUMMYFUNCTION("""COMPUTED_VALUE"""),2.0)</f>
        <v>2</v>
      </c>
      <c r="G921" s="2" t="str">
        <f>IFERROR(__xludf.DUMMYFUNCTION("""COMPUTED_VALUE"""),"PR012")</f>
        <v>PR012</v>
      </c>
      <c r="H921" s="2" t="str">
        <f>IFERROR(__xludf.DUMMYFUNCTION("""COMPUTED_VALUE"""),"VD020")</f>
        <v>VD020</v>
      </c>
      <c r="I921" s="2">
        <f>IFERROR(__xludf.DUMMYFUNCTION("""COMPUTED_VALUE"""),14.0)</f>
        <v>14</v>
      </c>
      <c r="J921" s="2">
        <f>IFERROR(__xludf.DUMMYFUNCTION("""COMPUTED_VALUE"""),711.98)</f>
        <v>711.98</v>
      </c>
      <c r="K921" s="2">
        <f>IFERROR(__xludf.DUMMYFUNCTION("""COMPUTED_VALUE"""),711.98)</f>
        <v>711.98</v>
      </c>
    </row>
    <row r="922">
      <c r="A922" s="2">
        <f>IFERROR(__xludf.DUMMYFUNCTION("""COMPUTED_VALUE"""),1000.0)</f>
        <v>1000</v>
      </c>
      <c r="B922" s="2">
        <f>IFERROR(__xludf.DUMMYFUNCTION("""COMPUTED_VALUE"""),184121.0)</f>
        <v>184121</v>
      </c>
      <c r="C922" s="2">
        <f>IFERROR(__xludf.DUMMYFUNCTION("""COMPUTED_VALUE"""),2026.0)</f>
        <v>2026</v>
      </c>
      <c r="D922" s="2">
        <f>IFERROR(__xludf.DUMMYFUNCTION("""COMPUTED_VALUE"""),46206.0)</f>
        <v>46206</v>
      </c>
      <c r="E922" s="2" t="str">
        <f>IFERROR(__xludf.DUMMYFUNCTION("""COMPUTED_VALUE"""),"VF")</f>
        <v>VF</v>
      </c>
      <c r="F922" s="2">
        <f>IFERROR(__xludf.DUMMYFUNCTION("""COMPUTED_VALUE"""),3.0)</f>
        <v>3</v>
      </c>
      <c r="G922" s="2" t="str">
        <f>IFERROR(__xludf.DUMMYFUNCTION("""COMPUTED_VALUE"""),"PR011")</f>
        <v>PR011</v>
      </c>
      <c r="H922" s="2" t="str">
        <f>IFERROR(__xludf.DUMMYFUNCTION("""COMPUTED_VALUE"""),"VD038")</f>
        <v>VD038</v>
      </c>
      <c r="I922" s="2">
        <f>IFERROR(__xludf.DUMMYFUNCTION("""COMPUTED_VALUE"""),10.0)</f>
        <v>10</v>
      </c>
      <c r="J922" s="2">
        <f>IFERROR(__xludf.DUMMYFUNCTION("""COMPUTED_VALUE"""),492.45)</f>
        <v>492.45</v>
      </c>
      <c r="K922" s="2">
        <f>IFERROR(__xludf.DUMMYFUNCTION("""COMPUTED_VALUE"""),492.45)</f>
        <v>492.45</v>
      </c>
    </row>
    <row r="923">
      <c r="A923" s="2">
        <f>IFERROR(__xludf.DUMMYFUNCTION("""COMPUTED_VALUE"""),1000.0)</f>
        <v>1000</v>
      </c>
      <c r="B923" s="2">
        <f>IFERROR(__xludf.DUMMYFUNCTION("""COMPUTED_VALUE"""),184122.0)</f>
        <v>184122</v>
      </c>
      <c r="C923" s="2">
        <f>IFERROR(__xludf.DUMMYFUNCTION("""COMPUTED_VALUE"""),2026.0)</f>
        <v>2026</v>
      </c>
      <c r="D923" s="2">
        <f>IFERROR(__xludf.DUMMYFUNCTION("""COMPUTED_VALUE"""),46205.0)</f>
        <v>46205</v>
      </c>
      <c r="E923" s="2" t="str">
        <f>IFERROR(__xludf.DUMMYFUNCTION("""COMPUTED_VALUE"""),"VF")</f>
        <v>VF</v>
      </c>
      <c r="F923" s="2">
        <f>IFERROR(__xludf.DUMMYFUNCTION("""COMPUTED_VALUE"""),1.0)</f>
        <v>1</v>
      </c>
      <c r="G923" s="2" t="str">
        <f>IFERROR(__xludf.DUMMYFUNCTION("""COMPUTED_VALUE"""),"PR024")</f>
        <v>PR024</v>
      </c>
      <c r="H923" s="2" t="str">
        <f>IFERROR(__xludf.DUMMYFUNCTION("""COMPUTED_VALUE"""),"VD041")</f>
        <v>VD041</v>
      </c>
      <c r="I923" s="2">
        <f>IFERROR(__xludf.DUMMYFUNCTION("""COMPUTED_VALUE"""),2.0)</f>
        <v>2</v>
      </c>
      <c r="J923" s="2">
        <f>IFERROR(__xludf.DUMMYFUNCTION("""COMPUTED_VALUE"""),550.99)</f>
        <v>550.99</v>
      </c>
      <c r="K923" s="2">
        <f>IFERROR(__xludf.DUMMYFUNCTION("""COMPUTED_VALUE"""),550.99)</f>
        <v>550.99</v>
      </c>
    </row>
    <row r="924">
      <c r="A924" s="2">
        <f>IFERROR(__xludf.DUMMYFUNCTION("""COMPUTED_VALUE"""),1000.0)</f>
        <v>1000</v>
      </c>
      <c r="B924" s="2">
        <f>IFERROR(__xludf.DUMMYFUNCTION("""COMPUTED_VALUE"""),184123.0)</f>
        <v>184123</v>
      </c>
      <c r="C924" s="2">
        <f>IFERROR(__xludf.DUMMYFUNCTION("""COMPUTED_VALUE"""),2026.0)</f>
        <v>2026</v>
      </c>
      <c r="D924" s="2">
        <f>IFERROR(__xludf.DUMMYFUNCTION("""COMPUTED_VALUE"""),46205.0)</f>
        <v>46205</v>
      </c>
      <c r="E924" s="2" t="str">
        <f>IFERROR(__xludf.DUMMYFUNCTION("""COMPUTED_VALUE"""),"VF")</f>
        <v>VF</v>
      </c>
      <c r="F924" s="2">
        <f>IFERROR(__xludf.DUMMYFUNCTION("""COMPUTED_VALUE"""),1.0)</f>
        <v>1</v>
      </c>
      <c r="G924" s="2" t="str">
        <f>IFERROR(__xludf.DUMMYFUNCTION("""COMPUTED_VALUE"""),"PR049")</f>
        <v>PR049</v>
      </c>
      <c r="H924" s="2" t="str">
        <f>IFERROR(__xludf.DUMMYFUNCTION("""COMPUTED_VALUE"""),"VD017")</f>
        <v>VD017</v>
      </c>
      <c r="I924" s="2">
        <f>IFERROR(__xludf.DUMMYFUNCTION("""COMPUTED_VALUE"""),20.0)</f>
        <v>20</v>
      </c>
      <c r="J924" s="2">
        <f>IFERROR(__xludf.DUMMYFUNCTION("""COMPUTED_VALUE"""),671.16)</f>
        <v>671.16</v>
      </c>
      <c r="K924" s="2">
        <f>IFERROR(__xludf.DUMMYFUNCTION("""COMPUTED_VALUE"""),671.16)</f>
        <v>671.16</v>
      </c>
    </row>
    <row r="925">
      <c r="A925" s="2">
        <f>IFERROR(__xludf.DUMMYFUNCTION("""COMPUTED_VALUE"""),1000.0)</f>
        <v>1000</v>
      </c>
      <c r="B925" s="2">
        <f>IFERROR(__xludf.DUMMYFUNCTION("""COMPUTED_VALUE"""),184124.0)</f>
        <v>184124</v>
      </c>
      <c r="C925" s="2">
        <f>IFERROR(__xludf.DUMMYFUNCTION("""COMPUTED_VALUE"""),2026.0)</f>
        <v>2026</v>
      </c>
      <c r="D925" s="2">
        <f>IFERROR(__xludf.DUMMYFUNCTION("""COMPUTED_VALUE"""),46204.0)</f>
        <v>46204</v>
      </c>
      <c r="E925" s="2" t="str">
        <f>IFERROR(__xludf.DUMMYFUNCTION("""COMPUTED_VALUE"""),"VF")</f>
        <v>VF</v>
      </c>
      <c r="F925" s="2">
        <f>IFERROR(__xludf.DUMMYFUNCTION("""COMPUTED_VALUE"""),1.0)</f>
        <v>1</v>
      </c>
      <c r="G925" s="2" t="str">
        <f>IFERROR(__xludf.DUMMYFUNCTION("""COMPUTED_VALUE"""),"PR050")</f>
        <v>PR050</v>
      </c>
      <c r="H925" s="2" t="str">
        <f>IFERROR(__xludf.DUMMYFUNCTION("""COMPUTED_VALUE"""),"VD011")</f>
        <v>VD011</v>
      </c>
      <c r="I925" s="2">
        <f>IFERROR(__xludf.DUMMYFUNCTION("""COMPUTED_VALUE"""),2.0)</f>
        <v>2</v>
      </c>
      <c r="J925" s="2">
        <f>IFERROR(__xludf.DUMMYFUNCTION("""COMPUTED_VALUE"""),71.06)</f>
        <v>71.06</v>
      </c>
      <c r="K925" s="2">
        <f>IFERROR(__xludf.DUMMYFUNCTION("""COMPUTED_VALUE"""),71.06)</f>
        <v>71.06</v>
      </c>
    </row>
    <row r="926">
      <c r="A926" s="2">
        <f>IFERROR(__xludf.DUMMYFUNCTION("""COMPUTED_VALUE"""),2000.0)</f>
        <v>2000</v>
      </c>
      <c r="B926" s="2">
        <f>IFERROR(__xludf.DUMMYFUNCTION("""COMPUTED_VALUE"""),184124.0)</f>
        <v>184124</v>
      </c>
      <c r="C926" s="2">
        <f>IFERROR(__xludf.DUMMYFUNCTION("""COMPUTED_VALUE"""),2026.0)</f>
        <v>2026</v>
      </c>
      <c r="D926" s="2">
        <f>IFERROR(__xludf.DUMMYFUNCTION("""COMPUTED_VALUE"""),46204.0)</f>
        <v>46204</v>
      </c>
      <c r="E926" s="2" t="str">
        <f>IFERROR(__xludf.DUMMYFUNCTION("""COMPUTED_VALUE"""),"VF")</f>
        <v>VF</v>
      </c>
      <c r="F926" s="2">
        <f>IFERROR(__xludf.DUMMYFUNCTION("""COMPUTED_VALUE"""),2.0)</f>
        <v>2</v>
      </c>
      <c r="G926" s="2" t="str">
        <f>IFERROR(__xludf.DUMMYFUNCTION("""COMPUTED_VALUE"""),"PR008")</f>
        <v>PR008</v>
      </c>
      <c r="H926" s="2" t="str">
        <f>IFERROR(__xludf.DUMMYFUNCTION("""COMPUTED_VALUE"""),"VD046")</f>
        <v>VD046</v>
      </c>
      <c r="I926" s="2">
        <f>IFERROR(__xludf.DUMMYFUNCTION("""COMPUTED_VALUE"""),2.0)</f>
        <v>2</v>
      </c>
      <c r="J926" s="2">
        <f>IFERROR(__xludf.DUMMYFUNCTION("""COMPUTED_VALUE"""),186.99)</f>
        <v>186.99</v>
      </c>
      <c r="K926" s="2">
        <f>IFERROR(__xludf.DUMMYFUNCTION("""COMPUTED_VALUE"""),186.99)</f>
        <v>186.99</v>
      </c>
    </row>
    <row r="927">
      <c r="A927" s="2">
        <f>IFERROR(__xludf.DUMMYFUNCTION("""COMPUTED_VALUE"""),2000.0)</f>
        <v>2000</v>
      </c>
      <c r="B927" s="2">
        <f>IFERROR(__xludf.DUMMYFUNCTION("""COMPUTED_VALUE"""),184124.0)</f>
        <v>184124</v>
      </c>
      <c r="C927" s="2">
        <f>IFERROR(__xludf.DUMMYFUNCTION("""COMPUTED_VALUE"""),2026.0)</f>
        <v>2026</v>
      </c>
      <c r="D927" s="2">
        <f>IFERROR(__xludf.DUMMYFUNCTION("""COMPUTED_VALUE"""),46204.0)</f>
        <v>46204</v>
      </c>
      <c r="E927" s="2" t="str">
        <f>IFERROR(__xludf.DUMMYFUNCTION("""COMPUTED_VALUE"""),"VF")</f>
        <v>VF</v>
      </c>
      <c r="F927" s="2">
        <f>IFERROR(__xludf.DUMMYFUNCTION("""COMPUTED_VALUE"""),3.0)</f>
        <v>3</v>
      </c>
      <c r="G927" s="2" t="str">
        <f>IFERROR(__xludf.DUMMYFUNCTION("""COMPUTED_VALUE"""),"PR024")</f>
        <v>PR024</v>
      </c>
      <c r="H927" s="2" t="str">
        <f>IFERROR(__xludf.DUMMYFUNCTION("""COMPUTED_VALUE"""),"VD039")</f>
        <v>VD039</v>
      </c>
      <c r="I927" s="2">
        <f>IFERROR(__xludf.DUMMYFUNCTION("""COMPUTED_VALUE"""),2.0)</f>
        <v>2</v>
      </c>
      <c r="J927" s="2">
        <f>IFERROR(__xludf.DUMMYFUNCTION("""COMPUTED_VALUE"""),561.38)</f>
        <v>561.38</v>
      </c>
      <c r="K927" s="2">
        <f>IFERROR(__xludf.DUMMYFUNCTION("""COMPUTED_VALUE"""),561.38)</f>
        <v>561.38</v>
      </c>
    </row>
    <row r="928">
      <c r="A928" s="2">
        <f>IFERROR(__xludf.DUMMYFUNCTION("""COMPUTED_VALUE"""),1000.0)</f>
        <v>1000</v>
      </c>
      <c r="B928" s="2">
        <f>IFERROR(__xludf.DUMMYFUNCTION("""COMPUTED_VALUE"""),184125.0)</f>
        <v>184125</v>
      </c>
      <c r="C928" s="2">
        <f>IFERROR(__xludf.DUMMYFUNCTION("""COMPUTED_VALUE"""),2026.0)</f>
        <v>2026</v>
      </c>
      <c r="D928" s="2">
        <f>IFERROR(__xludf.DUMMYFUNCTION("""COMPUTED_VALUE"""),46203.0)</f>
        <v>46203</v>
      </c>
      <c r="E928" s="2" t="str">
        <f>IFERROR(__xludf.DUMMYFUNCTION("""COMPUTED_VALUE"""),"VF")</f>
        <v>VF</v>
      </c>
      <c r="F928" s="2">
        <f>IFERROR(__xludf.DUMMYFUNCTION("""COMPUTED_VALUE"""),1.0)</f>
        <v>1</v>
      </c>
      <c r="G928" s="2" t="str">
        <f>IFERROR(__xludf.DUMMYFUNCTION("""COMPUTED_VALUE"""),"PR016")</f>
        <v>PR016</v>
      </c>
      <c r="H928" s="2" t="str">
        <f>IFERROR(__xludf.DUMMYFUNCTION("""COMPUTED_VALUE"""),"VD028")</f>
        <v>VD028</v>
      </c>
      <c r="I928" s="2">
        <f>IFERROR(__xludf.DUMMYFUNCTION("""COMPUTED_VALUE"""),5.0)</f>
        <v>5</v>
      </c>
      <c r="J928" s="2">
        <f>IFERROR(__xludf.DUMMYFUNCTION("""COMPUTED_VALUE"""),132.09)</f>
        <v>132.09</v>
      </c>
      <c r="K928" s="2">
        <f>IFERROR(__xludf.DUMMYFUNCTION("""COMPUTED_VALUE"""),132.09)</f>
        <v>132.09</v>
      </c>
    </row>
    <row r="929">
      <c r="A929" s="2">
        <f>IFERROR(__xludf.DUMMYFUNCTION("""COMPUTED_VALUE"""),1000.0)</f>
        <v>1000</v>
      </c>
      <c r="B929" s="2">
        <f>IFERROR(__xludf.DUMMYFUNCTION("""COMPUTED_VALUE"""),184125.0)</f>
        <v>184125</v>
      </c>
      <c r="C929" s="2">
        <f>IFERROR(__xludf.DUMMYFUNCTION("""COMPUTED_VALUE"""),2026.0)</f>
        <v>2026</v>
      </c>
      <c r="D929" s="2">
        <f>IFERROR(__xludf.DUMMYFUNCTION("""COMPUTED_VALUE"""),46203.0)</f>
        <v>46203</v>
      </c>
      <c r="E929" s="2" t="str">
        <f>IFERROR(__xludf.DUMMYFUNCTION("""COMPUTED_VALUE"""),"VF")</f>
        <v>VF</v>
      </c>
      <c r="F929" s="2">
        <f>IFERROR(__xludf.DUMMYFUNCTION("""COMPUTED_VALUE"""),2.0)</f>
        <v>2</v>
      </c>
      <c r="G929" s="2" t="str">
        <f>IFERROR(__xludf.DUMMYFUNCTION("""COMPUTED_VALUE"""),"PR025")</f>
        <v>PR025</v>
      </c>
      <c r="H929" s="2" t="str">
        <f>IFERROR(__xludf.DUMMYFUNCTION("""COMPUTED_VALUE"""),"VD047")</f>
        <v>VD047</v>
      </c>
      <c r="I929" s="2">
        <f>IFERROR(__xludf.DUMMYFUNCTION("""COMPUTED_VALUE"""),20.0)</f>
        <v>20</v>
      </c>
      <c r="J929" s="2">
        <f>IFERROR(__xludf.DUMMYFUNCTION("""COMPUTED_VALUE"""),6297.9)</f>
        <v>6297.9</v>
      </c>
      <c r="K929" s="2">
        <f>IFERROR(__xludf.DUMMYFUNCTION("""COMPUTED_VALUE"""),6297.9)</f>
        <v>6297.9</v>
      </c>
    </row>
    <row r="930">
      <c r="A930" s="2">
        <f>IFERROR(__xludf.DUMMYFUNCTION("""COMPUTED_VALUE"""),2000.0)</f>
        <v>2000</v>
      </c>
      <c r="B930" s="2">
        <f>IFERROR(__xludf.DUMMYFUNCTION("""COMPUTED_VALUE"""),184126.0)</f>
        <v>184126</v>
      </c>
      <c r="C930" s="2">
        <f>IFERROR(__xludf.DUMMYFUNCTION("""COMPUTED_VALUE"""),2026.0)</f>
        <v>2026</v>
      </c>
      <c r="D930" s="2">
        <f>IFERROR(__xludf.DUMMYFUNCTION("""COMPUTED_VALUE"""),46203.0)</f>
        <v>46203</v>
      </c>
      <c r="E930" s="2" t="str">
        <f>IFERROR(__xludf.DUMMYFUNCTION("""COMPUTED_VALUE"""),"VF")</f>
        <v>VF</v>
      </c>
      <c r="F930" s="2">
        <f>IFERROR(__xludf.DUMMYFUNCTION("""COMPUTED_VALUE"""),1.0)</f>
        <v>1</v>
      </c>
      <c r="G930" s="2" t="str">
        <f>IFERROR(__xludf.DUMMYFUNCTION("""COMPUTED_VALUE"""),"PR055")</f>
        <v>PR055</v>
      </c>
      <c r="H930" s="2" t="str">
        <f>IFERROR(__xludf.DUMMYFUNCTION("""COMPUTED_VALUE"""),"VD047")</f>
        <v>VD047</v>
      </c>
      <c r="I930" s="2">
        <f>IFERROR(__xludf.DUMMYFUNCTION("""COMPUTED_VALUE"""),8.0)</f>
        <v>8</v>
      </c>
      <c r="J930" s="2">
        <f>IFERROR(__xludf.DUMMYFUNCTION("""COMPUTED_VALUE"""),783.93)</f>
        <v>783.93</v>
      </c>
      <c r="K930" s="2">
        <f>IFERROR(__xludf.DUMMYFUNCTION("""COMPUTED_VALUE"""),783.93)</f>
        <v>783.93</v>
      </c>
    </row>
    <row r="931">
      <c r="A931" s="2">
        <f>IFERROR(__xludf.DUMMYFUNCTION("""COMPUTED_VALUE"""),1000.0)</f>
        <v>1000</v>
      </c>
      <c r="B931" s="2">
        <f>IFERROR(__xludf.DUMMYFUNCTION("""COMPUTED_VALUE"""),184126.0)</f>
        <v>184126</v>
      </c>
      <c r="C931" s="2">
        <f>IFERROR(__xludf.DUMMYFUNCTION("""COMPUTED_VALUE"""),2026.0)</f>
        <v>2026</v>
      </c>
      <c r="D931" s="2">
        <f>IFERROR(__xludf.DUMMYFUNCTION("""COMPUTED_VALUE"""),46203.0)</f>
        <v>46203</v>
      </c>
      <c r="E931" s="2" t="str">
        <f>IFERROR(__xludf.DUMMYFUNCTION("""COMPUTED_VALUE"""),"VF")</f>
        <v>VF</v>
      </c>
      <c r="F931" s="2">
        <f>IFERROR(__xludf.DUMMYFUNCTION("""COMPUTED_VALUE"""),2.0)</f>
        <v>2</v>
      </c>
      <c r="G931" s="2" t="str">
        <f>IFERROR(__xludf.DUMMYFUNCTION("""COMPUTED_VALUE"""),"PR047")</f>
        <v>PR047</v>
      </c>
      <c r="H931" s="2" t="str">
        <f>IFERROR(__xludf.DUMMYFUNCTION("""COMPUTED_VALUE"""),"VD025")</f>
        <v>VD025</v>
      </c>
      <c r="I931" s="2">
        <f>IFERROR(__xludf.DUMMYFUNCTION("""COMPUTED_VALUE"""),7.0)</f>
        <v>7</v>
      </c>
      <c r="J931" s="2">
        <f>IFERROR(__xludf.DUMMYFUNCTION("""COMPUTED_VALUE"""),2110.47)</f>
        <v>2110.47</v>
      </c>
      <c r="K931" s="2">
        <f>IFERROR(__xludf.DUMMYFUNCTION("""COMPUTED_VALUE"""),2110.47)</f>
        <v>2110.47</v>
      </c>
    </row>
    <row r="932">
      <c r="A932" s="2">
        <f>IFERROR(__xludf.DUMMYFUNCTION("""COMPUTED_VALUE"""),1000.0)</f>
        <v>1000</v>
      </c>
      <c r="B932" s="2">
        <f>IFERROR(__xludf.DUMMYFUNCTION("""COMPUTED_VALUE"""),184127.0)</f>
        <v>184127</v>
      </c>
      <c r="C932" s="2">
        <f>IFERROR(__xludf.DUMMYFUNCTION("""COMPUTED_VALUE"""),2026.0)</f>
        <v>2026</v>
      </c>
      <c r="D932" s="2">
        <f>IFERROR(__xludf.DUMMYFUNCTION("""COMPUTED_VALUE"""),46203.0)</f>
        <v>46203</v>
      </c>
      <c r="E932" s="2" t="str">
        <f>IFERROR(__xludf.DUMMYFUNCTION("""COMPUTED_VALUE"""),"VF")</f>
        <v>VF</v>
      </c>
      <c r="F932" s="2">
        <f>IFERROR(__xludf.DUMMYFUNCTION("""COMPUTED_VALUE"""),1.0)</f>
        <v>1</v>
      </c>
      <c r="G932" s="2" t="str">
        <f>IFERROR(__xludf.DUMMYFUNCTION("""COMPUTED_VALUE"""),"PR001")</f>
        <v>PR001</v>
      </c>
      <c r="H932" s="2" t="str">
        <f>IFERROR(__xludf.DUMMYFUNCTION("""COMPUTED_VALUE"""),"VD012")</f>
        <v>VD012</v>
      </c>
      <c r="I932" s="2">
        <f>IFERROR(__xludf.DUMMYFUNCTION("""COMPUTED_VALUE"""),12.0)</f>
        <v>12</v>
      </c>
      <c r="J932" s="2">
        <f>IFERROR(__xludf.DUMMYFUNCTION("""COMPUTED_VALUE"""),846.16)</f>
        <v>846.16</v>
      </c>
      <c r="K932" s="2">
        <f>IFERROR(__xludf.DUMMYFUNCTION("""COMPUTED_VALUE"""),846.16)</f>
        <v>846.16</v>
      </c>
    </row>
    <row r="933">
      <c r="A933" s="2">
        <f>IFERROR(__xludf.DUMMYFUNCTION("""COMPUTED_VALUE"""),1000.0)</f>
        <v>1000</v>
      </c>
      <c r="B933" s="2">
        <f>IFERROR(__xludf.DUMMYFUNCTION("""COMPUTED_VALUE"""),184128.0)</f>
        <v>184128</v>
      </c>
      <c r="C933" s="2">
        <f>IFERROR(__xludf.DUMMYFUNCTION("""COMPUTED_VALUE"""),2026.0)</f>
        <v>2026</v>
      </c>
      <c r="D933" s="2">
        <f>IFERROR(__xludf.DUMMYFUNCTION("""COMPUTED_VALUE"""),46203.0)</f>
        <v>46203</v>
      </c>
      <c r="E933" s="2" t="str">
        <f>IFERROR(__xludf.DUMMYFUNCTION("""COMPUTED_VALUE"""),"VF")</f>
        <v>VF</v>
      </c>
      <c r="F933" s="2">
        <f>IFERROR(__xludf.DUMMYFUNCTION("""COMPUTED_VALUE"""),1.0)</f>
        <v>1</v>
      </c>
      <c r="G933" s="2" t="str">
        <f>IFERROR(__xludf.DUMMYFUNCTION("""COMPUTED_VALUE"""),"PR017")</f>
        <v>PR017</v>
      </c>
      <c r="H933" s="2" t="str">
        <f>IFERROR(__xludf.DUMMYFUNCTION("""COMPUTED_VALUE"""),"VD032")</f>
        <v>VD032</v>
      </c>
      <c r="I933" s="2">
        <f>IFERROR(__xludf.DUMMYFUNCTION("""COMPUTED_VALUE"""),18.0)</f>
        <v>18</v>
      </c>
      <c r="J933" s="2">
        <f>IFERROR(__xludf.DUMMYFUNCTION("""COMPUTED_VALUE"""),559.73)</f>
        <v>559.73</v>
      </c>
      <c r="K933" s="2">
        <f>IFERROR(__xludf.DUMMYFUNCTION("""COMPUTED_VALUE"""),559.73)</f>
        <v>559.73</v>
      </c>
    </row>
    <row r="934">
      <c r="A934" s="2">
        <f>IFERROR(__xludf.DUMMYFUNCTION("""COMPUTED_VALUE"""),1000.0)</f>
        <v>1000</v>
      </c>
      <c r="B934" s="2">
        <f>IFERROR(__xludf.DUMMYFUNCTION("""COMPUTED_VALUE"""),184129.0)</f>
        <v>184129</v>
      </c>
      <c r="C934" s="2">
        <f>IFERROR(__xludf.DUMMYFUNCTION("""COMPUTED_VALUE"""),2026.0)</f>
        <v>2026</v>
      </c>
      <c r="D934" s="2">
        <f>IFERROR(__xludf.DUMMYFUNCTION("""COMPUTED_VALUE"""),46203.0)</f>
        <v>46203</v>
      </c>
      <c r="E934" s="2" t="str">
        <f>IFERROR(__xludf.DUMMYFUNCTION("""COMPUTED_VALUE"""),"VF")</f>
        <v>VF</v>
      </c>
      <c r="F934" s="2">
        <f>IFERROR(__xludf.DUMMYFUNCTION("""COMPUTED_VALUE"""),1.0)</f>
        <v>1</v>
      </c>
      <c r="G934" s="2" t="str">
        <f>IFERROR(__xludf.DUMMYFUNCTION("""COMPUTED_VALUE"""),"PR031")</f>
        <v>PR031</v>
      </c>
      <c r="H934" s="2" t="str">
        <f>IFERROR(__xludf.DUMMYFUNCTION("""COMPUTED_VALUE"""),"VD039")</f>
        <v>VD039</v>
      </c>
      <c r="I934" s="2">
        <f>IFERROR(__xludf.DUMMYFUNCTION("""COMPUTED_VALUE"""),2.0)</f>
        <v>2</v>
      </c>
      <c r="J934" s="2">
        <f>IFERROR(__xludf.DUMMYFUNCTION("""COMPUTED_VALUE"""),529.2)</f>
        <v>529.2</v>
      </c>
      <c r="K934" s="2">
        <f>IFERROR(__xludf.DUMMYFUNCTION("""COMPUTED_VALUE"""),529.2)</f>
        <v>529.2</v>
      </c>
    </row>
    <row r="935">
      <c r="A935" s="2">
        <f>IFERROR(__xludf.DUMMYFUNCTION("""COMPUTED_VALUE"""),1000.0)</f>
        <v>1000</v>
      </c>
      <c r="B935" s="2">
        <f>IFERROR(__xludf.DUMMYFUNCTION("""COMPUTED_VALUE"""),184130.0)</f>
        <v>184130</v>
      </c>
      <c r="C935" s="2">
        <f>IFERROR(__xludf.DUMMYFUNCTION("""COMPUTED_VALUE"""),2026.0)</f>
        <v>2026</v>
      </c>
      <c r="D935" s="2">
        <f>IFERROR(__xludf.DUMMYFUNCTION("""COMPUTED_VALUE"""),46203.0)</f>
        <v>46203</v>
      </c>
      <c r="E935" s="2" t="str">
        <f>IFERROR(__xludf.DUMMYFUNCTION("""COMPUTED_VALUE"""),"VF")</f>
        <v>VF</v>
      </c>
      <c r="F935" s="2">
        <f>IFERROR(__xludf.DUMMYFUNCTION("""COMPUTED_VALUE"""),1.0)</f>
        <v>1</v>
      </c>
      <c r="G935" s="2" t="str">
        <f>IFERROR(__xludf.DUMMYFUNCTION("""COMPUTED_VALUE"""),"PR059")</f>
        <v>PR059</v>
      </c>
      <c r="H935" s="2" t="str">
        <f>IFERROR(__xludf.DUMMYFUNCTION("""COMPUTED_VALUE"""),"VD024")</f>
        <v>VD024</v>
      </c>
      <c r="I935" s="2">
        <f>IFERROR(__xludf.DUMMYFUNCTION("""COMPUTED_VALUE"""),14.0)</f>
        <v>14</v>
      </c>
      <c r="J935" s="2">
        <f>IFERROR(__xludf.DUMMYFUNCTION("""COMPUTED_VALUE"""),2570.4)</f>
        <v>2570.4</v>
      </c>
      <c r="K935" s="2">
        <f>IFERROR(__xludf.DUMMYFUNCTION("""COMPUTED_VALUE"""),2570.4)</f>
        <v>2570.4</v>
      </c>
    </row>
    <row r="936">
      <c r="A936" s="2">
        <f>IFERROR(__xludf.DUMMYFUNCTION("""COMPUTED_VALUE"""),1000.0)</f>
        <v>1000</v>
      </c>
      <c r="B936" s="2">
        <f>IFERROR(__xludf.DUMMYFUNCTION("""COMPUTED_VALUE"""),184131.0)</f>
        <v>184131</v>
      </c>
      <c r="C936" s="2">
        <f>IFERROR(__xludf.DUMMYFUNCTION("""COMPUTED_VALUE"""),2026.0)</f>
        <v>2026</v>
      </c>
      <c r="D936" s="2">
        <f>IFERROR(__xludf.DUMMYFUNCTION("""COMPUTED_VALUE"""),46203.0)</f>
        <v>46203</v>
      </c>
      <c r="E936" s="2" t="str">
        <f>IFERROR(__xludf.DUMMYFUNCTION("""COMPUTED_VALUE"""),"VF")</f>
        <v>VF</v>
      </c>
      <c r="F936" s="2">
        <f>IFERROR(__xludf.DUMMYFUNCTION("""COMPUTED_VALUE"""),1.0)</f>
        <v>1</v>
      </c>
      <c r="G936" s="2" t="str">
        <f>IFERROR(__xludf.DUMMYFUNCTION("""COMPUTED_VALUE"""),"PR008")</f>
        <v>PR008</v>
      </c>
      <c r="H936" s="2" t="str">
        <f>IFERROR(__xludf.DUMMYFUNCTION("""COMPUTED_VALUE"""),"VD046")</f>
        <v>VD046</v>
      </c>
      <c r="I936" s="2">
        <f>IFERROR(__xludf.DUMMYFUNCTION("""COMPUTED_VALUE"""),8.0)</f>
        <v>8</v>
      </c>
      <c r="J936" s="2">
        <f>IFERROR(__xludf.DUMMYFUNCTION("""COMPUTED_VALUE"""),776.74)</f>
        <v>776.74</v>
      </c>
      <c r="K936" s="2">
        <f>IFERROR(__xludf.DUMMYFUNCTION("""COMPUTED_VALUE"""),776.74)</f>
        <v>776.74</v>
      </c>
    </row>
    <row r="937">
      <c r="A937" s="2">
        <f>IFERROR(__xludf.DUMMYFUNCTION("""COMPUTED_VALUE"""),1000.0)</f>
        <v>1000</v>
      </c>
      <c r="B937" s="2">
        <f>IFERROR(__xludf.DUMMYFUNCTION("""COMPUTED_VALUE"""),184131.0)</f>
        <v>184131</v>
      </c>
      <c r="C937" s="2">
        <f>IFERROR(__xludf.DUMMYFUNCTION("""COMPUTED_VALUE"""),2026.0)</f>
        <v>2026</v>
      </c>
      <c r="D937" s="2">
        <f>IFERROR(__xludf.DUMMYFUNCTION("""COMPUTED_VALUE"""),46203.0)</f>
        <v>46203</v>
      </c>
      <c r="E937" s="2" t="str">
        <f>IFERROR(__xludf.DUMMYFUNCTION("""COMPUTED_VALUE"""),"VF")</f>
        <v>VF</v>
      </c>
      <c r="F937" s="2">
        <f>IFERROR(__xludf.DUMMYFUNCTION("""COMPUTED_VALUE"""),2.0)</f>
        <v>2</v>
      </c>
      <c r="G937" s="2" t="str">
        <f>IFERROR(__xludf.DUMMYFUNCTION("""COMPUTED_VALUE"""),"PR044")</f>
        <v>PR044</v>
      </c>
      <c r="H937" s="2" t="str">
        <f>IFERROR(__xludf.DUMMYFUNCTION("""COMPUTED_VALUE"""),"VD037")</f>
        <v>VD037</v>
      </c>
      <c r="I937" s="2">
        <f>IFERROR(__xludf.DUMMYFUNCTION("""COMPUTED_VALUE"""),8.0)</f>
        <v>8</v>
      </c>
      <c r="J937" s="2">
        <f>IFERROR(__xludf.DUMMYFUNCTION("""COMPUTED_VALUE"""),585.8)</f>
        <v>585.8</v>
      </c>
      <c r="K937" s="2">
        <f>IFERROR(__xludf.DUMMYFUNCTION("""COMPUTED_VALUE"""),585.8)</f>
        <v>585.8</v>
      </c>
    </row>
    <row r="938">
      <c r="A938" s="2">
        <f>IFERROR(__xludf.DUMMYFUNCTION("""COMPUTED_VALUE"""),1000.0)</f>
        <v>1000</v>
      </c>
      <c r="B938" s="2">
        <f>IFERROR(__xludf.DUMMYFUNCTION("""COMPUTED_VALUE"""),184131.0)</f>
        <v>184131</v>
      </c>
      <c r="C938" s="2">
        <f>IFERROR(__xludf.DUMMYFUNCTION("""COMPUTED_VALUE"""),2026.0)</f>
        <v>2026</v>
      </c>
      <c r="D938" s="2">
        <f>IFERROR(__xludf.DUMMYFUNCTION("""COMPUTED_VALUE"""),46202.0)</f>
        <v>46202</v>
      </c>
      <c r="E938" s="2" t="str">
        <f>IFERROR(__xludf.DUMMYFUNCTION("""COMPUTED_VALUE"""),"VF")</f>
        <v>VF</v>
      </c>
      <c r="F938" s="2">
        <f>IFERROR(__xludf.DUMMYFUNCTION("""COMPUTED_VALUE"""),3.0)</f>
        <v>3</v>
      </c>
      <c r="G938" s="2" t="str">
        <f>IFERROR(__xludf.DUMMYFUNCTION("""COMPUTED_VALUE"""),"PR034")</f>
        <v>PR034</v>
      </c>
      <c r="H938" s="2" t="str">
        <f>IFERROR(__xludf.DUMMYFUNCTION("""COMPUTED_VALUE"""),"VD020")</f>
        <v>VD020</v>
      </c>
      <c r="I938" s="2">
        <f>IFERROR(__xludf.DUMMYFUNCTION("""COMPUTED_VALUE"""),2.0)</f>
        <v>2</v>
      </c>
      <c r="J938" s="2">
        <f>IFERROR(__xludf.DUMMYFUNCTION("""COMPUTED_VALUE"""),183.4)</f>
        <v>183.4</v>
      </c>
      <c r="K938" s="2">
        <f>IFERROR(__xludf.DUMMYFUNCTION("""COMPUTED_VALUE"""),183.4)</f>
        <v>183.4</v>
      </c>
    </row>
    <row r="939">
      <c r="A939" s="2">
        <f>IFERROR(__xludf.DUMMYFUNCTION("""COMPUTED_VALUE"""),1000.0)</f>
        <v>1000</v>
      </c>
      <c r="B939" s="2">
        <f>IFERROR(__xludf.DUMMYFUNCTION("""COMPUTED_VALUE"""),184131.0)</f>
        <v>184131</v>
      </c>
      <c r="C939" s="2">
        <f>IFERROR(__xludf.DUMMYFUNCTION("""COMPUTED_VALUE"""),2026.0)</f>
        <v>2026</v>
      </c>
      <c r="D939" s="2">
        <f>IFERROR(__xludf.DUMMYFUNCTION("""COMPUTED_VALUE"""),46202.0)</f>
        <v>46202</v>
      </c>
      <c r="E939" s="2" t="str">
        <f>IFERROR(__xludf.DUMMYFUNCTION("""COMPUTED_VALUE"""),"VF")</f>
        <v>VF</v>
      </c>
      <c r="F939" s="2">
        <f>IFERROR(__xludf.DUMMYFUNCTION("""COMPUTED_VALUE"""),4.0)</f>
        <v>4</v>
      </c>
      <c r="G939" s="2" t="str">
        <f>IFERROR(__xludf.DUMMYFUNCTION("""COMPUTED_VALUE"""),"PR020")</f>
        <v>PR020</v>
      </c>
      <c r="H939" s="2" t="str">
        <f>IFERROR(__xludf.DUMMYFUNCTION("""COMPUTED_VALUE"""),"VD014")</f>
        <v>VD014</v>
      </c>
      <c r="I939" s="2">
        <f>IFERROR(__xludf.DUMMYFUNCTION("""COMPUTED_VALUE"""),8.0)</f>
        <v>8</v>
      </c>
      <c r="J939" s="2">
        <f>IFERROR(__xludf.DUMMYFUNCTION("""COMPUTED_VALUE"""),2639.12)</f>
        <v>2639.12</v>
      </c>
      <c r="K939" s="2">
        <f>IFERROR(__xludf.DUMMYFUNCTION("""COMPUTED_VALUE"""),2639.12)</f>
        <v>2639.12</v>
      </c>
    </row>
    <row r="940">
      <c r="A940" s="2">
        <f>IFERROR(__xludf.DUMMYFUNCTION("""COMPUTED_VALUE"""),1000.0)</f>
        <v>1000</v>
      </c>
      <c r="B940" s="2">
        <f>IFERROR(__xludf.DUMMYFUNCTION("""COMPUTED_VALUE"""),184132.0)</f>
        <v>184132</v>
      </c>
      <c r="C940" s="2">
        <f>IFERROR(__xludf.DUMMYFUNCTION("""COMPUTED_VALUE"""),2026.0)</f>
        <v>2026</v>
      </c>
      <c r="D940" s="2">
        <f>IFERROR(__xludf.DUMMYFUNCTION("""COMPUTED_VALUE"""),46201.0)</f>
        <v>46201</v>
      </c>
      <c r="E940" s="2" t="str">
        <f>IFERROR(__xludf.DUMMYFUNCTION("""COMPUTED_VALUE"""),"VF")</f>
        <v>VF</v>
      </c>
      <c r="F940" s="2">
        <f>IFERROR(__xludf.DUMMYFUNCTION("""COMPUTED_VALUE"""),1.0)</f>
        <v>1</v>
      </c>
      <c r="G940" s="2" t="str">
        <f>IFERROR(__xludf.DUMMYFUNCTION("""COMPUTED_VALUE"""),"PR056")</f>
        <v>PR056</v>
      </c>
      <c r="H940" s="2" t="str">
        <f>IFERROR(__xludf.DUMMYFUNCTION("""COMPUTED_VALUE"""),"VD013")</f>
        <v>VD013</v>
      </c>
      <c r="I940" s="2">
        <f>IFERROR(__xludf.DUMMYFUNCTION("""COMPUTED_VALUE"""),16.0)</f>
        <v>16</v>
      </c>
      <c r="J940" s="2">
        <f>IFERROR(__xludf.DUMMYFUNCTION("""COMPUTED_VALUE"""),1438.4)</f>
        <v>1438.4</v>
      </c>
      <c r="K940" s="2">
        <f>IFERROR(__xludf.DUMMYFUNCTION("""COMPUTED_VALUE"""),1438.4)</f>
        <v>1438.4</v>
      </c>
    </row>
    <row r="941">
      <c r="A941" s="2">
        <f>IFERROR(__xludf.DUMMYFUNCTION("""COMPUTED_VALUE"""),1000.0)</f>
        <v>1000</v>
      </c>
      <c r="B941" s="2">
        <f>IFERROR(__xludf.DUMMYFUNCTION("""COMPUTED_VALUE"""),184132.0)</f>
        <v>184132</v>
      </c>
      <c r="C941" s="2">
        <f>IFERROR(__xludf.DUMMYFUNCTION("""COMPUTED_VALUE"""),2026.0)</f>
        <v>2026</v>
      </c>
      <c r="D941" s="2">
        <f>IFERROR(__xludf.DUMMYFUNCTION("""COMPUTED_VALUE"""),46201.0)</f>
        <v>46201</v>
      </c>
      <c r="E941" s="2" t="str">
        <f>IFERROR(__xludf.DUMMYFUNCTION("""COMPUTED_VALUE"""),"VF")</f>
        <v>VF</v>
      </c>
      <c r="F941" s="2">
        <f>IFERROR(__xludf.DUMMYFUNCTION("""COMPUTED_VALUE"""),2.0)</f>
        <v>2</v>
      </c>
      <c r="G941" s="2" t="str">
        <f>IFERROR(__xludf.DUMMYFUNCTION("""COMPUTED_VALUE"""),"PR057")</f>
        <v>PR057</v>
      </c>
      <c r="H941" s="2" t="str">
        <f>IFERROR(__xludf.DUMMYFUNCTION("""COMPUTED_VALUE"""),"VD018")</f>
        <v>VD018</v>
      </c>
      <c r="I941" s="2">
        <f>IFERROR(__xludf.DUMMYFUNCTION("""COMPUTED_VALUE"""),14.0)</f>
        <v>14</v>
      </c>
      <c r="J941" s="2">
        <f>IFERROR(__xludf.DUMMYFUNCTION("""COMPUTED_VALUE"""),1346.7)</f>
        <v>1346.7</v>
      </c>
      <c r="K941" s="2">
        <f>IFERROR(__xludf.DUMMYFUNCTION("""COMPUTED_VALUE"""),1346.7)</f>
        <v>1346.7</v>
      </c>
    </row>
    <row r="942">
      <c r="A942" s="2">
        <f>IFERROR(__xludf.DUMMYFUNCTION("""COMPUTED_VALUE"""),1000.0)</f>
        <v>1000</v>
      </c>
      <c r="B942" s="2">
        <f>IFERROR(__xludf.DUMMYFUNCTION("""COMPUTED_VALUE"""),184132.0)</f>
        <v>184132</v>
      </c>
      <c r="C942" s="2">
        <f>IFERROR(__xludf.DUMMYFUNCTION("""COMPUTED_VALUE"""),2026.0)</f>
        <v>2026</v>
      </c>
      <c r="D942" s="2">
        <f>IFERROR(__xludf.DUMMYFUNCTION("""COMPUTED_VALUE"""),46201.0)</f>
        <v>46201</v>
      </c>
      <c r="E942" s="2" t="str">
        <f>IFERROR(__xludf.DUMMYFUNCTION("""COMPUTED_VALUE"""),"VF")</f>
        <v>VF</v>
      </c>
      <c r="F942" s="2">
        <f>IFERROR(__xludf.DUMMYFUNCTION("""COMPUTED_VALUE"""),3.0)</f>
        <v>3</v>
      </c>
      <c r="G942" s="2" t="str">
        <f>IFERROR(__xludf.DUMMYFUNCTION("""COMPUTED_VALUE"""),"PR038")</f>
        <v>PR038</v>
      </c>
      <c r="H942" s="2" t="str">
        <f>IFERROR(__xludf.DUMMYFUNCTION("""COMPUTED_VALUE"""),"VD031")</f>
        <v>VD031</v>
      </c>
      <c r="I942" s="2">
        <f>IFERROR(__xludf.DUMMYFUNCTION("""COMPUTED_VALUE"""),14.0)</f>
        <v>14</v>
      </c>
      <c r="J942" s="2">
        <f>IFERROR(__xludf.DUMMYFUNCTION("""COMPUTED_VALUE"""),2180.65)</f>
        <v>2180.65</v>
      </c>
      <c r="K942" s="2">
        <f>IFERROR(__xludf.DUMMYFUNCTION("""COMPUTED_VALUE"""),2180.65)</f>
        <v>2180.65</v>
      </c>
    </row>
    <row r="943">
      <c r="A943" s="2">
        <f>IFERROR(__xludf.DUMMYFUNCTION("""COMPUTED_VALUE"""),1000.0)</f>
        <v>1000</v>
      </c>
      <c r="B943" s="2">
        <f>IFERROR(__xludf.DUMMYFUNCTION("""COMPUTED_VALUE"""),184133.0)</f>
        <v>184133</v>
      </c>
      <c r="C943" s="2">
        <f>IFERROR(__xludf.DUMMYFUNCTION("""COMPUTED_VALUE"""),2026.0)</f>
        <v>2026</v>
      </c>
      <c r="D943" s="2">
        <f>IFERROR(__xludf.DUMMYFUNCTION("""COMPUTED_VALUE"""),46201.0)</f>
        <v>46201</v>
      </c>
      <c r="E943" s="2" t="str">
        <f>IFERROR(__xludf.DUMMYFUNCTION("""COMPUTED_VALUE"""),"VF")</f>
        <v>VF</v>
      </c>
      <c r="F943" s="2">
        <f>IFERROR(__xludf.DUMMYFUNCTION("""COMPUTED_VALUE"""),1.0)</f>
        <v>1</v>
      </c>
      <c r="G943" s="2" t="str">
        <f>IFERROR(__xludf.DUMMYFUNCTION("""COMPUTED_VALUE"""),"PR033")</f>
        <v>PR033</v>
      </c>
      <c r="H943" s="2" t="str">
        <f>IFERROR(__xludf.DUMMYFUNCTION("""COMPUTED_VALUE"""),"VD041")</f>
        <v>VD041</v>
      </c>
      <c r="I943" s="2">
        <f>IFERROR(__xludf.DUMMYFUNCTION("""COMPUTED_VALUE"""),2.0)</f>
        <v>2</v>
      </c>
      <c r="J943" s="2">
        <f>IFERROR(__xludf.DUMMYFUNCTION("""COMPUTED_VALUE"""),535.39)</f>
        <v>535.39</v>
      </c>
      <c r="K943" s="2">
        <f>IFERROR(__xludf.DUMMYFUNCTION("""COMPUTED_VALUE"""),535.39)</f>
        <v>535.39</v>
      </c>
    </row>
    <row r="944">
      <c r="A944" s="2">
        <f>IFERROR(__xludf.DUMMYFUNCTION("""COMPUTED_VALUE"""),1000.0)</f>
        <v>1000</v>
      </c>
      <c r="B944" s="2">
        <f>IFERROR(__xludf.DUMMYFUNCTION("""COMPUTED_VALUE"""),184134.0)</f>
        <v>184134</v>
      </c>
      <c r="C944" s="2">
        <f>IFERROR(__xludf.DUMMYFUNCTION("""COMPUTED_VALUE"""),2026.0)</f>
        <v>2026</v>
      </c>
      <c r="D944" s="2">
        <f>IFERROR(__xludf.DUMMYFUNCTION("""COMPUTED_VALUE"""),46200.0)</f>
        <v>46200</v>
      </c>
      <c r="E944" s="2" t="str">
        <f>IFERROR(__xludf.DUMMYFUNCTION("""COMPUTED_VALUE"""),"VF")</f>
        <v>VF</v>
      </c>
      <c r="F944" s="2">
        <f>IFERROR(__xludf.DUMMYFUNCTION("""COMPUTED_VALUE"""),1.0)</f>
        <v>1</v>
      </c>
      <c r="G944" s="2" t="str">
        <f>IFERROR(__xludf.DUMMYFUNCTION("""COMPUTED_VALUE"""),"PR008")</f>
        <v>PR008</v>
      </c>
      <c r="H944" s="2" t="str">
        <f>IFERROR(__xludf.DUMMYFUNCTION("""COMPUTED_VALUE"""),"VD019")</f>
        <v>VD019</v>
      </c>
      <c r="I944" s="2">
        <f>IFERROR(__xludf.DUMMYFUNCTION("""COMPUTED_VALUE"""),10.0)</f>
        <v>10</v>
      </c>
      <c r="J944" s="2">
        <f>IFERROR(__xludf.DUMMYFUNCTION("""COMPUTED_VALUE"""),934.96)</f>
        <v>934.96</v>
      </c>
      <c r="K944" s="2">
        <f>IFERROR(__xludf.DUMMYFUNCTION("""COMPUTED_VALUE"""),934.96)</f>
        <v>934.96</v>
      </c>
    </row>
    <row r="945">
      <c r="A945" s="2">
        <f>IFERROR(__xludf.DUMMYFUNCTION("""COMPUTED_VALUE"""),2000.0)</f>
        <v>2000</v>
      </c>
      <c r="B945" s="2">
        <f>IFERROR(__xludf.DUMMYFUNCTION("""COMPUTED_VALUE"""),184135.0)</f>
        <v>184135</v>
      </c>
      <c r="C945" s="2">
        <f>IFERROR(__xludf.DUMMYFUNCTION("""COMPUTED_VALUE"""),2026.0)</f>
        <v>2026</v>
      </c>
      <c r="D945" s="2">
        <f>IFERROR(__xludf.DUMMYFUNCTION("""COMPUTED_VALUE"""),46200.0)</f>
        <v>46200</v>
      </c>
      <c r="E945" s="2" t="str">
        <f>IFERROR(__xludf.DUMMYFUNCTION("""COMPUTED_VALUE"""),"VF")</f>
        <v>VF</v>
      </c>
      <c r="F945" s="2">
        <f>IFERROR(__xludf.DUMMYFUNCTION("""COMPUTED_VALUE"""),1.0)</f>
        <v>1</v>
      </c>
      <c r="G945" s="2" t="str">
        <f>IFERROR(__xludf.DUMMYFUNCTION("""COMPUTED_VALUE"""),"PR051")</f>
        <v>PR051</v>
      </c>
      <c r="H945" s="2" t="str">
        <f>IFERROR(__xludf.DUMMYFUNCTION("""COMPUTED_VALUE"""),"VD037")</f>
        <v>VD037</v>
      </c>
      <c r="I945" s="2">
        <f>IFERROR(__xludf.DUMMYFUNCTION("""COMPUTED_VALUE"""),4.0)</f>
        <v>4</v>
      </c>
      <c r="J945" s="2">
        <f>IFERROR(__xludf.DUMMYFUNCTION("""COMPUTED_VALUE"""),135.55)</f>
        <v>135.55</v>
      </c>
      <c r="K945" s="2">
        <f>IFERROR(__xludf.DUMMYFUNCTION("""COMPUTED_VALUE"""),135.55)</f>
        <v>135.55</v>
      </c>
    </row>
    <row r="946">
      <c r="A946" s="2">
        <f>IFERROR(__xludf.DUMMYFUNCTION("""COMPUTED_VALUE"""),2000.0)</f>
        <v>2000</v>
      </c>
      <c r="B946" s="2">
        <f>IFERROR(__xludf.DUMMYFUNCTION("""COMPUTED_VALUE"""),184136.0)</f>
        <v>184136</v>
      </c>
      <c r="C946" s="2">
        <f>IFERROR(__xludf.DUMMYFUNCTION("""COMPUTED_VALUE"""),2026.0)</f>
        <v>2026</v>
      </c>
      <c r="D946" s="2">
        <f>IFERROR(__xludf.DUMMYFUNCTION("""COMPUTED_VALUE"""),46199.0)</f>
        <v>46199</v>
      </c>
      <c r="E946" s="2" t="str">
        <f>IFERROR(__xludf.DUMMYFUNCTION("""COMPUTED_VALUE"""),"VF")</f>
        <v>VF</v>
      </c>
      <c r="F946" s="2">
        <f>IFERROR(__xludf.DUMMYFUNCTION("""COMPUTED_VALUE"""),1.0)</f>
        <v>1</v>
      </c>
      <c r="G946" s="2" t="str">
        <f>IFERROR(__xludf.DUMMYFUNCTION("""COMPUTED_VALUE"""),"PR038")</f>
        <v>PR038</v>
      </c>
      <c r="H946" s="2" t="str">
        <f>IFERROR(__xludf.DUMMYFUNCTION("""COMPUTED_VALUE"""),"VD022")</f>
        <v>VD022</v>
      </c>
      <c r="I946" s="2">
        <f>IFERROR(__xludf.DUMMYFUNCTION("""COMPUTED_VALUE"""),7.0)</f>
        <v>7</v>
      </c>
      <c r="J946" s="2">
        <f>IFERROR(__xludf.DUMMYFUNCTION("""COMPUTED_VALUE"""),1100.33)</f>
        <v>1100.33</v>
      </c>
      <c r="K946" s="2">
        <f>IFERROR(__xludf.DUMMYFUNCTION("""COMPUTED_VALUE"""),1100.33)</f>
        <v>1100.33</v>
      </c>
    </row>
    <row r="947">
      <c r="A947" s="2">
        <f>IFERROR(__xludf.DUMMYFUNCTION("""COMPUTED_VALUE"""),1000.0)</f>
        <v>1000</v>
      </c>
      <c r="B947" s="2">
        <f>IFERROR(__xludf.DUMMYFUNCTION("""COMPUTED_VALUE"""),184137.0)</f>
        <v>184137</v>
      </c>
      <c r="C947" s="2">
        <f>IFERROR(__xludf.DUMMYFUNCTION("""COMPUTED_VALUE"""),2026.0)</f>
        <v>2026</v>
      </c>
      <c r="D947" s="2">
        <f>IFERROR(__xludf.DUMMYFUNCTION("""COMPUTED_VALUE"""),46199.0)</f>
        <v>46199</v>
      </c>
      <c r="E947" s="2" t="str">
        <f>IFERROR(__xludf.DUMMYFUNCTION("""COMPUTED_VALUE"""),"VF")</f>
        <v>VF</v>
      </c>
      <c r="F947" s="2">
        <f>IFERROR(__xludf.DUMMYFUNCTION("""COMPUTED_VALUE"""),1.0)</f>
        <v>1</v>
      </c>
      <c r="G947" s="2" t="str">
        <f>IFERROR(__xludf.DUMMYFUNCTION("""COMPUTED_VALUE"""),"PR009")</f>
        <v>PR009</v>
      </c>
      <c r="H947" s="2" t="str">
        <f>IFERROR(__xludf.DUMMYFUNCTION("""COMPUTED_VALUE"""),"VD013")</f>
        <v>VD013</v>
      </c>
      <c r="I947" s="2">
        <f>IFERROR(__xludf.DUMMYFUNCTION("""COMPUTED_VALUE"""),2.0)</f>
        <v>2</v>
      </c>
      <c r="J947" s="2">
        <f>IFERROR(__xludf.DUMMYFUNCTION("""COMPUTED_VALUE"""),195.09)</f>
        <v>195.09</v>
      </c>
      <c r="K947" s="2">
        <f>IFERROR(__xludf.DUMMYFUNCTION("""COMPUTED_VALUE"""),195.09)</f>
        <v>195.09</v>
      </c>
    </row>
    <row r="948">
      <c r="A948" s="2">
        <f>IFERROR(__xludf.DUMMYFUNCTION("""COMPUTED_VALUE"""),1000.0)</f>
        <v>1000</v>
      </c>
      <c r="B948" s="2">
        <f>IFERROR(__xludf.DUMMYFUNCTION("""COMPUTED_VALUE"""),184137.0)</f>
        <v>184137</v>
      </c>
      <c r="C948" s="2">
        <f>IFERROR(__xludf.DUMMYFUNCTION("""COMPUTED_VALUE"""),2026.0)</f>
        <v>2026</v>
      </c>
      <c r="D948" s="2">
        <f>IFERROR(__xludf.DUMMYFUNCTION("""COMPUTED_VALUE"""),46198.0)</f>
        <v>46198</v>
      </c>
      <c r="E948" s="2" t="str">
        <f>IFERROR(__xludf.DUMMYFUNCTION("""COMPUTED_VALUE"""),"VF")</f>
        <v>VF</v>
      </c>
      <c r="F948" s="2">
        <f>IFERROR(__xludf.DUMMYFUNCTION("""COMPUTED_VALUE"""),2.0)</f>
        <v>2</v>
      </c>
      <c r="G948" s="2" t="str">
        <f>IFERROR(__xludf.DUMMYFUNCTION("""COMPUTED_VALUE"""),"PR017")</f>
        <v>PR017</v>
      </c>
      <c r="H948" s="2" t="str">
        <f>IFERROR(__xludf.DUMMYFUNCTION("""COMPUTED_VALUE"""),"VD022")</f>
        <v>VD022</v>
      </c>
      <c r="I948" s="2">
        <f>IFERROR(__xludf.DUMMYFUNCTION("""COMPUTED_VALUE"""),8.0)</f>
        <v>8</v>
      </c>
      <c r="J948" s="2">
        <f>IFERROR(__xludf.DUMMYFUNCTION("""COMPUTED_VALUE"""),263.12)</f>
        <v>263.12</v>
      </c>
      <c r="K948" s="2">
        <f>IFERROR(__xludf.DUMMYFUNCTION("""COMPUTED_VALUE"""),263.12)</f>
        <v>263.12</v>
      </c>
    </row>
    <row r="949">
      <c r="A949" s="2">
        <f>IFERROR(__xludf.DUMMYFUNCTION("""COMPUTED_VALUE"""),1000.0)</f>
        <v>1000</v>
      </c>
      <c r="B949" s="2">
        <f>IFERROR(__xludf.DUMMYFUNCTION("""COMPUTED_VALUE"""),184138.0)</f>
        <v>184138</v>
      </c>
      <c r="C949" s="2">
        <f>IFERROR(__xludf.DUMMYFUNCTION("""COMPUTED_VALUE"""),2026.0)</f>
        <v>2026</v>
      </c>
      <c r="D949" s="2">
        <f>IFERROR(__xludf.DUMMYFUNCTION("""COMPUTED_VALUE"""),46198.0)</f>
        <v>46198</v>
      </c>
      <c r="E949" s="2" t="str">
        <f>IFERROR(__xludf.DUMMYFUNCTION("""COMPUTED_VALUE"""),"VF")</f>
        <v>VF</v>
      </c>
      <c r="F949" s="2">
        <f>IFERROR(__xludf.DUMMYFUNCTION("""COMPUTED_VALUE"""),1.0)</f>
        <v>1</v>
      </c>
      <c r="G949" s="2" t="str">
        <f>IFERROR(__xludf.DUMMYFUNCTION("""COMPUTED_VALUE"""),"PR036")</f>
        <v>PR036</v>
      </c>
      <c r="H949" s="2" t="str">
        <f>IFERROR(__xludf.DUMMYFUNCTION("""COMPUTED_VALUE"""),"VD048")</f>
        <v>VD048</v>
      </c>
      <c r="I949" s="2">
        <f>IFERROR(__xludf.DUMMYFUNCTION("""COMPUTED_VALUE"""),14.0)</f>
        <v>14</v>
      </c>
      <c r="J949" s="2">
        <f>IFERROR(__xludf.DUMMYFUNCTION("""COMPUTED_VALUE"""),1374.45)</f>
        <v>1374.45</v>
      </c>
      <c r="K949" s="2">
        <f>IFERROR(__xludf.DUMMYFUNCTION("""COMPUTED_VALUE"""),1374.45)</f>
        <v>1374.45</v>
      </c>
    </row>
    <row r="950">
      <c r="A950" s="2">
        <f>IFERROR(__xludf.DUMMYFUNCTION("""COMPUTED_VALUE"""),1000.0)</f>
        <v>1000</v>
      </c>
      <c r="B950" s="2">
        <f>IFERROR(__xludf.DUMMYFUNCTION("""COMPUTED_VALUE"""),184138.0)</f>
        <v>184138</v>
      </c>
      <c r="C950" s="2">
        <f>IFERROR(__xludf.DUMMYFUNCTION("""COMPUTED_VALUE"""),2026.0)</f>
        <v>2026</v>
      </c>
      <c r="D950" s="2">
        <f>IFERROR(__xludf.DUMMYFUNCTION("""COMPUTED_VALUE"""),46198.0)</f>
        <v>46198</v>
      </c>
      <c r="E950" s="2" t="str">
        <f>IFERROR(__xludf.DUMMYFUNCTION("""COMPUTED_VALUE"""),"VF")</f>
        <v>VF</v>
      </c>
      <c r="F950" s="2">
        <f>IFERROR(__xludf.DUMMYFUNCTION("""COMPUTED_VALUE"""),2.0)</f>
        <v>2</v>
      </c>
      <c r="G950" s="2" t="str">
        <f>IFERROR(__xludf.DUMMYFUNCTION("""COMPUTED_VALUE"""),"PR008")</f>
        <v>PR008</v>
      </c>
      <c r="H950" s="2" t="str">
        <f>IFERROR(__xludf.DUMMYFUNCTION("""COMPUTED_VALUE"""),"VD014")</f>
        <v>VD014</v>
      </c>
      <c r="I950" s="2">
        <f>IFERROR(__xludf.DUMMYFUNCTION("""COMPUTED_VALUE"""),8.0)</f>
        <v>8</v>
      </c>
      <c r="J950" s="2">
        <f>IFERROR(__xludf.DUMMYFUNCTION("""COMPUTED_VALUE"""),783.93)</f>
        <v>783.93</v>
      </c>
      <c r="K950" s="2">
        <f>IFERROR(__xludf.DUMMYFUNCTION("""COMPUTED_VALUE"""),783.93)</f>
        <v>783.93</v>
      </c>
    </row>
    <row r="951">
      <c r="A951" s="2">
        <f>IFERROR(__xludf.DUMMYFUNCTION("""COMPUTED_VALUE"""),1000.0)</f>
        <v>1000</v>
      </c>
      <c r="B951" s="2">
        <f>IFERROR(__xludf.DUMMYFUNCTION("""COMPUTED_VALUE"""),184138.0)</f>
        <v>184138</v>
      </c>
      <c r="C951" s="2">
        <f>IFERROR(__xludf.DUMMYFUNCTION("""COMPUTED_VALUE"""),2026.0)</f>
        <v>2026</v>
      </c>
      <c r="D951" s="2">
        <f>IFERROR(__xludf.DUMMYFUNCTION("""COMPUTED_VALUE"""),46197.0)</f>
        <v>46197</v>
      </c>
      <c r="E951" s="2" t="str">
        <f>IFERROR(__xludf.DUMMYFUNCTION("""COMPUTED_VALUE"""),"VF")</f>
        <v>VF</v>
      </c>
      <c r="F951" s="2">
        <f>IFERROR(__xludf.DUMMYFUNCTION("""COMPUTED_VALUE"""),3.0)</f>
        <v>3</v>
      </c>
      <c r="G951" s="2" t="str">
        <f>IFERROR(__xludf.DUMMYFUNCTION("""COMPUTED_VALUE"""),"PR047")</f>
        <v>PR047</v>
      </c>
      <c r="H951" s="2" t="str">
        <f>IFERROR(__xludf.DUMMYFUNCTION("""COMPUTED_VALUE"""),"VD019")</f>
        <v>VD019</v>
      </c>
      <c r="I951" s="2">
        <f>IFERROR(__xludf.DUMMYFUNCTION("""COMPUTED_VALUE"""),5.0)</f>
        <v>5</v>
      </c>
      <c r="J951" s="2">
        <f>IFERROR(__xludf.DUMMYFUNCTION("""COMPUTED_VALUE"""),1550.97)</f>
        <v>1550.97</v>
      </c>
      <c r="K951" s="2">
        <f>IFERROR(__xludf.DUMMYFUNCTION("""COMPUTED_VALUE"""),1550.97)</f>
        <v>1550.97</v>
      </c>
    </row>
    <row r="952">
      <c r="A952" s="2">
        <f>IFERROR(__xludf.DUMMYFUNCTION("""COMPUTED_VALUE"""),2000.0)</f>
        <v>2000</v>
      </c>
      <c r="B952" s="2">
        <f>IFERROR(__xludf.DUMMYFUNCTION("""COMPUTED_VALUE"""),184139.0)</f>
        <v>184139</v>
      </c>
      <c r="C952" s="2">
        <f>IFERROR(__xludf.DUMMYFUNCTION("""COMPUTED_VALUE"""),2026.0)</f>
        <v>2026</v>
      </c>
      <c r="D952" s="2">
        <f>IFERROR(__xludf.DUMMYFUNCTION("""COMPUTED_VALUE"""),46197.0)</f>
        <v>46197</v>
      </c>
      <c r="E952" s="2" t="str">
        <f>IFERROR(__xludf.DUMMYFUNCTION("""COMPUTED_VALUE"""),"VF")</f>
        <v>VF</v>
      </c>
      <c r="F952" s="2">
        <f>IFERROR(__xludf.DUMMYFUNCTION("""COMPUTED_VALUE"""),1.0)</f>
        <v>1</v>
      </c>
      <c r="G952" s="2" t="str">
        <f>IFERROR(__xludf.DUMMYFUNCTION("""COMPUTED_VALUE"""),"PR046")</f>
        <v>PR046</v>
      </c>
      <c r="H952" s="2" t="str">
        <f>IFERROR(__xludf.DUMMYFUNCTION("""COMPUTED_VALUE"""),"VD021")</f>
        <v>VD021</v>
      </c>
      <c r="I952" s="2">
        <f>IFERROR(__xludf.DUMMYFUNCTION("""COMPUTED_VALUE"""),3.0)</f>
        <v>3</v>
      </c>
      <c r="J952" s="2">
        <f>IFERROR(__xludf.DUMMYFUNCTION("""COMPUTED_VALUE"""),930.58)</f>
        <v>930.58</v>
      </c>
      <c r="K952" s="2">
        <f>IFERROR(__xludf.DUMMYFUNCTION("""COMPUTED_VALUE"""),930.58)</f>
        <v>930.58</v>
      </c>
    </row>
    <row r="953">
      <c r="A953" s="2">
        <f>IFERROR(__xludf.DUMMYFUNCTION("""COMPUTED_VALUE"""),1000.0)</f>
        <v>1000</v>
      </c>
      <c r="B953" s="2">
        <f>IFERROR(__xludf.DUMMYFUNCTION("""COMPUTED_VALUE"""),184140.0)</f>
        <v>184140</v>
      </c>
      <c r="C953" s="2">
        <f>IFERROR(__xludf.DUMMYFUNCTION("""COMPUTED_VALUE"""),2026.0)</f>
        <v>2026</v>
      </c>
      <c r="D953" s="2">
        <f>IFERROR(__xludf.DUMMYFUNCTION("""COMPUTED_VALUE"""),46196.0)</f>
        <v>46196</v>
      </c>
      <c r="E953" s="2" t="str">
        <f>IFERROR(__xludf.DUMMYFUNCTION("""COMPUTED_VALUE"""),"VF")</f>
        <v>VF</v>
      </c>
      <c r="F953" s="2">
        <f>IFERROR(__xludf.DUMMYFUNCTION("""COMPUTED_VALUE"""),1.0)</f>
        <v>1</v>
      </c>
      <c r="G953" s="2" t="str">
        <f>IFERROR(__xludf.DUMMYFUNCTION("""COMPUTED_VALUE"""),"PR050")</f>
        <v>PR050</v>
      </c>
      <c r="H953" s="2" t="str">
        <f>IFERROR(__xludf.DUMMYFUNCTION("""COMPUTED_VALUE"""),"VD018")</f>
        <v>VD018</v>
      </c>
      <c r="I953" s="2">
        <f>IFERROR(__xludf.DUMMYFUNCTION("""COMPUTED_VALUE"""),4.0)</f>
        <v>4</v>
      </c>
      <c r="J953" s="2">
        <f>IFERROR(__xludf.DUMMYFUNCTION("""COMPUTED_VALUE"""),144.76)</f>
        <v>144.76</v>
      </c>
      <c r="K953" s="2">
        <f>IFERROR(__xludf.DUMMYFUNCTION("""COMPUTED_VALUE"""),144.76)</f>
        <v>144.76</v>
      </c>
    </row>
    <row r="954">
      <c r="A954" s="2">
        <f>IFERROR(__xludf.DUMMYFUNCTION("""COMPUTED_VALUE"""),1000.0)</f>
        <v>1000</v>
      </c>
      <c r="B954" s="2">
        <f>IFERROR(__xludf.DUMMYFUNCTION("""COMPUTED_VALUE"""),184141.0)</f>
        <v>184141</v>
      </c>
      <c r="C954" s="2">
        <f>IFERROR(__xludf.DUMMYFUNCTION("""COMPUTED_VALUE"""),2026.0)</f>
        <v>2026</v>
      </c>
      <c r="D954" s="2">
        <f>IFERROR(__xludf.DUMMYFUNCTION("""COMPUTED_VALUE"""),46196.0)</f>
        <v>46196</v>
      </c>
      <c r="E954" s="2" t="str">
        <f>IFERROR(__xludf.DUMMYFUNCTION("""COMPUTED_VALUE"""),"VF")</f>
        <v>VF</v>
      </c>
      <c r="F954" s="2">
        <f>IFERROR(__xludf.DUMMYFUNCTION("""COMPUTED_VALUE"""),1.0)</f>
        <v>1</v>
      </c>
      <c r="G954" s="2" t="str">
        <f>IFERROR(__xludf.DUMMYFUNCTION("""COMPUTED_VALUE"""),"PR038")</f>
        <v>PR038</v>
      </c>
      <c r="H954" s="2" t="str">
        <f>IFERROR(__xludf.DUMMYFUNCTION("""COMPUTED_VALUE"""),"VD034")</f>
        <v>VD034</v>
      </c>
      <c r="I954" s="2">
        <f>IFERROR(__xludf.DUMMYFUNCTION("""COMPUTED_VALUE"""),1.0)</f>
        <v>1</v>
      </c>
      <c r="J954" s="2">
        <f>IFERROR(__xludf.DUMMYFUNCTION("""COMPUTED_VALUE"""),148.62)</f>
        <v>148.62</v>
      </c>
      <c r="K954" s="2">
        <f>IFERROR(__xludf.DUMMYFUNCTION("""COMPUTED_VALUE"""),148.62)</f>
        <v>148.62</v>
      </c>
    </row>
    <row r="955">
      <c r="A955" s="2">
        <f>IFERROR(__xludf.DUMMYFUNCTION("""COMPUTED_VALUE"""),1000.0)</f>
        <v>1000</v>
      </c>
      <c r="B955" s="2">
        <f>IFERROR(__xludf.DUMMYFUNCTION("""COMPUTED_VALUE"""),184142.0)</f>
        <v>184142</v>
      </c>
      <c r="C955" s="2">
        <f>IFERROR(__xludf.DUMMYFUNCTION("""COMPUTED_VALUE"""),2026.0)</f>
        <v>2026</v>
      </c>
      <c r="D955" s="2">
        <f>IFERROR(__xludf.DUMMYFUNCTION("""COMPUTED_VALUE"""),46196.0)</f>
        <v>46196</v>
      </c>
      <c r="E955" s="2" t="str">
        <f>IFERROR(__xludf.DUMMYFUNCTION("""COMPUTED_VALUE"""),"VF")</f>
        <v>VF</v>
      </c>
      <c r="F955" s="2">
        <f>IFERROR(__xludf.DUMMYFUNCTION("""COMPUTED_VALUE"""),1.0)</f>
        <v>1</v>
      </c>
      <c r="G955" s="2" t="str">
        <f>IFERROR(__xludf.DUMMYFUNCTION("""COMPUTED_VALUE"""),"PR046")</f>
        <v>PR046</v>
      </c>
      <c r="H955" s="2" t="str">
        <f>IFERROR(__xludf.DUMMYFUNCTION("""COMPUTED_VALUE"""),"VD018")</f>
        <v>VD018</v>
      </c>
      <c r="I955" s="2">
        <f>IFERROR(__xludf.DUMMYFUNCTION("""COMPUTED_VALUE"""),3.0)</f>
        <v>3</v>
      </c>
      <c r="J955" s="2">
        <f>IFERROR(__xludf.DUMMYFUNCTION("""COMPUTED_VALUE"""),947.97)</f>
        <v>947.97</v>
      </c>
      <c r="K955" s="2">
        <f>IFERROR(__xludf.DUMMYFUNCTION("""COMPUTED_VALUE"""),947.97)</f>
        <v>947.97</v>
      </c>
    </row>
    <row r="956">
      <c r="A956" s="2">
        <f>IFERROR(__xludf.DUMMYFUNCTION("""COMPUTED_VALUE"""),1000.0)</f>
        <v>1000</v>
      </c>
      <c r="B956" s="2">
        <f>IFERROR(__xludf.DUMMYFUNCTION("""COMPUTED_VALUE"""),184142.0)</f>
        <v>184142</v>
      </c>
      <c r="C956" s="2">
        <f>IFERROR(__xludf.DUMMYFUNCTION("""COMPUTED_VALUE"""),2026.0)</f>
        <v>2026</v>
      </c>
      <c r="D956" s="2">
        <f>IFERROR(__xludf.DUMMYFUNCTION("""COMPUTED_VALUE"""),46196.0)</f>
        <v>46196</v>
      </c>
      <c r="E956" s="2" t="str">
        <f>IFERROR(__xludf.DUMMYFUNCTION("""COMPUTED_VALUE"""),"VF")</f>
        <v>VF</v>
      </c>
      <c r="F956" s="2">
        <f>IFERROR(__xludf.DUMMYFUNCTION("""COMPUTED_VALUE"""),2.0)</f>
        <v>2</v>
      </c>
      <c r="G956" s="2" t="str">
        <f>IFERROR(__xludf.DUMMYFUNCTION("""COMPUTED_VALUE"""),"PR004")</f>
        <v>PR004</v>
      </c>
      <c r="H956" s="2" t="str">
        <f>IFERROR(__xludf.DUMMYFUNCTION("""COMPUTED_VALUE"""),"VD026")</f>
        <v>VD026</v>
      </c>
      <c r="I956" s="2">
        <f>IFERROR(__xludf.DUMMYFUNCTION("""COMPUTED_VALUE"""),2.0)</f>
        <v>2</v>
      </c>
      <c r="J956" s="2">
        <f>IFERROR(__xludf.DUMMYFUNCTION("""COMPUTED_VALUE"""),301.6)</f>
        <v>301.6</v>
      </c>
      <c r="K956" s="2">
        <f>IFERROR(__xludf.DUMMYFUNCTION("""COMPUTED_VALUE"""),301.6)</f>
        <v>301.6</v>
      </c>
    </row>
    <row r="957">
      <c r="A957" s="2">
        <f>IFERROR(__xludf.DUMMYFUNCTION("""COMPUTED_VALUE"""),1000.0)</f>
        <v>1000</v>
      </c>
      <c r="B957" s="2">
        <f>IFERROR(__xludf.DUMMYFUNCTION("""COMPUTED_VALUE"""),184143.0)</f>
        <v>184143</v>
      </c>
      <c r="C957" s="2">
        <f>IFERROR(__xludf.DUMMYFUNCTION("""COMPUTED_VALUE"""),2026.0)</f>
        <v>2026</v>
      </c>
      <c r="D957" s="2">
        <f>IFERROR(__xludf.DUMMYFUNCTION("""COMPUTED_VALUE"""),46196.0)</f>
        <v>46196</v>
      </c>
      <c r="E957" s="2" t="str">
        <f>IFERROR(__xludf.DUMMYFUNCTION("""COMPUTED_VALUE"""),"VF")</f>
        <v>VF</v>
      </c>
      <c r="F957" s="2">
        <f>IFERROR(__xludf.DUMMYFUNCTION("""COMPUTED_VALUE"""),1.0)</f>
        <v>1</v>
      </c>
      <c r="G957" s="2" t="str">
        <f>IFERROR(__xludf.DUMMYFUNCTION("""COMPUTED_VALUE"""),"PR030")</f>
        <v>PR030</v>
      </c>
      <c r="H957" s="2" t="str">
        <f>IFERROR(__xludf.DUMMYFUNCTION("""COMPUTED_VALUE"""),"VD012")</f>
        <v>VD012</v>
      </c>
      <c r="I957" s="2">
        <f>IFERROR(__xludf.DUMMYFUNCTION("""COMPUTED_VALUE"""),9.0)</f>
        <v>9</v>
      </c>
      <c r="J957" s="2">
        <f>IFERROR(__xludf.DUMMYFUNCTION("""COMPUTED_VALUE"""),2339.1)</f>
        <v>2339.1</v>
      </c>
      <c r="K957" s="2">
        <f>IFERROR(__xludf.DUMMYFUNCTION("""COMPUTED_VALUE"""),2339.1)</f>
        <v>2339.1</v>
      </c>
    </row>
    <row r="958">
      <c r="A958" s="2">
        <f>IFERROR(__xludf.DUMMYFUNCTION("""COMPUTED_VALUE"""),1000.0)</f>
        <v>1000</v>
      </c>
      <c r="B958" s="2">
        <f>IFERROR(__xludf.DUMMYFUNCTION("""COMPUTED_VALUE"""),184143.0)</f>
        <v>184143</v>
      </c>
      <c r="C958" s="2">
        <f>IFERROR(__xludf.DUMMYFUNCTION("""COMPUTED_VALUE"""),2026.0)</f>
        <v>2026</v>
      </c>
      <c r="D958" s="2">
        <f>IFERROR(__xludf.DUMMYFUNCTION("""COMPUTED_VALUE"""),46196.0)</f>
        <v>46196</v>
      </c>
      <c r="E958" s="2" t="str">
        <f>IFERROR(__xludf.DUMMYFUNCTION("""COMPUTED_VALUE"""),"VF")</f>
        <v>VF</v>
      </c>
      <c r="F958" s="2">
        <f>IFERROR(__xludf.DUMMYFUNCTION("""COMPUTED_VALUE"""),2.0)</f>
        <v>2</v>
      </c>
      <c r="G958" s="2" t="str">
        <f>IFERROR(__xludf.DUMMYFUNCTION("""COMPUTED_VALUE"""),"PR019")</f>
        <v>PR019</v>
      </c>
      <c r="H958" s="2" t="str">
        <f>IFERROR(__xludf.DUMMYFUNCTION("""COMPUTED_VALUE"""),"VD027")</f>
        <v>VD027</v>
      </c>
      <c r="I958" s="2">
        <f>IFERROR(__xludf.DUMMYFUNCTION("""COMPUTED_VALUE"""),1.0)</f>
        <v>1</v>
      </c>
      <c r="J958" s="2">
        <f>IFERROR(__xludf.DUMMYFUNCTION("""COMPUTED_VALUE"""),49.9)</f>
        <v>49.9</v>
      </c>
      <c r="K958" s="2">
        <f>IFERROR(__xludf.DUMMYFUNCTION("""COMPUTED_VALUE"""),49.9)</f>
        <v>49.9</v>
      </c>
    </row>
    <row r="959">
      <c r="A959" s="2">
        <f>IFERROR(__xludf.DUMMYFUNCTION("""COMPUTED_VALUE"""),1000.0)</f>
        <v>1000</v>
      </c>
      <c r="B959" s="2">
        <f>IFERROR(__xludf.DUMMYFUNCTION("""COMPUTED_VALUE"""),184144.0)</f>
        <v>184144</v>
      </c>
      <c r="C959" s="2">
        <f>IFERROR(__xludf.DUMMYFUNCTION("""COMPUTED_VALUE"""),2026.0)</f>
        <v>2026</v>
      </c>
      <c r="D959" s="2">
        <f>IFERROR(__xludf.DUMMYFUNCTION("""COMPUTED_VALUE"""),46196.0)</f>
        <v>46196</v>
      </c>
      <c r="E959" s="2" t="str">
        <f>IFERROR(__xludf.DUMMYFUNCTION("""COMPUTED_VALUE"""),"VF")</f>
        <v>VF</v>
      </c>
      <c r="F959" s="2">
        <f>IFERROR(__xludf.DUMMYFUNCTION("""COMPUTED_VALUE"""),1.0)</f>
        <v>1</v>
      </c>
      <c r="G959" s="2" t="str">
        <f>IFERROR(__xludf.DUMMYFUNCTION("""COMPUTED_VALUE"""),"PR019")</f>
        <v>PR019</v>
      </c>
      <c r="H959" s="2" t="str">
        <f>IFERROR(__xludf.DUMMYFUNCTION("""COMPUTED_VALUE"""),"VD019")</f>
        <v>VD019</v>
      </c>
      <c r="I959" s="2">
        <f>IFERROR(__xludf.DUMMYFUNCTION("""COMPUTED_VALUE"""),20.0)</f>
        <v>20</v>
      </c>
      <c r="J959" s="2">
        <f>IFERROR(__xludf.DUMMYFUNCTION("""COMPUTED_VALUE"""),1027.94)</f>
        <v>1027.94</v>
      </c>
      <c r="K959" s="2">
        <f>IFERROR(__xludf.DUMMYFUNCTION("""COMPUTED_VALUE"""),1027.94)</f>
        <v>1027.94</v>
      </c>
    </row>
    <row r="960">
      <c r="A960" s="2">
        <f>IFERROR(__xludf.DUMMYFUNCTION("""COMPUTED_VALUE"""),1000.0)</f>
        <v>1000</v>
      </c>
      <c r="B960" s="2">
        <f>IFERROR(__xludf.DUMMYFUNCTION("""COMPUTED_VALUE"""),184145.0)</f>
        <v>184145</v>
      </c>
      <c r="C960" s="2">
        <f>IFERROR(__xludf.DUMMYFUNCTION("""COMPUTED_VALUE"""),2026.0)</f>
        <v>2026</v>
      </c>
      <c r="D960" s="2">
        <f>IFERROR(__xludf.DUMMYFUNCTION("""COMPUTED_VALUE"""),46196.0)</f>
        <v>46196</v>
      </c>
      <c r="E960" s="2" t="str">
        <f>IFERROR(__xludf.DUMMYFUNCTION("""COMPUTED_VALUE"""),"VF")</f>
        <v>VF</v>
      </c>
      <c r="F960" s="2">
        <f>IFERROR(__xludf.DUMMYFUNCTION("""COMPUTED_VALUE"""),1.0)</f>
        <v>1</v>
      </c>
      <c r="G960" s="2" t="str">
        <f>IFERROR(__xludf.DUMMYFUNCTION("""COMPUTED_VALUE"""),"PR020")</f>
        <v>PR020</v>
      </c>
      <c r="H960" s="2" t="str">
        <f>IFERROR(__xludf.DUMMYFUNCTION("""COMPUTED_VALUE"""),"VD038")</f>
        <v>VD038</v>
      </c>
      <c r="I960" s="2">
        <f>IFERROR(__xludf.DUMMYFUNCTION("""COMPUTED_VALUE"""),7.0)</f>
        <v>7</v>
      </c>
      <c r="J960" s="2">
        <f>IFERROR(__xludf.DUMMYFUNCTION("""COMPUTED_VALUE"""),2225.26)</f>
        <v>2225.26</v>
      </c>
      <c r="K960" s="2">
        <f>IFERROR(__xludf.DUMMYFUNCTION("""COMPUTED_VALUE"""),2225.26)</f>
        <v>2225.26</v>
      </c>
    </row>
    <row r="961">
      <c r="A961" s="2">
        <f>IFERROR(__xludf.DUMMYFUNCTION("""COMPUTED_VALUE"""),1000.0)</f>
        <v>1000</v>
      </c>
      <c r="B961" s="2">
        <f>IFERROR(__xludf.DUMMYFUNCTION("""COMPUTED_VALUE"""),184146.0)</f>
        <v>184146</v>
      </c>
      <c r="C961" s="2">
        <f>IFERROR(__xludf.DUMMYFUNCTION("""COMPUTED_VALUE"""),2026.0)</f>
        <v>2026</v>
      </c>
      <c r="D961" s="2">
        <f>IFERROR(__xludf.DUMMYFUNCTION("""COMPUTED_VALUE"""),46196.0)</f>
        <v>46196</v>
      </c>
      <c r="E961" s="2" t="str">
        <f>IFERROR(__xludf.DUMMYFUNCTION("""COMPUTED_VALUE"""),"VF")</f>
        <v>VF</v>
      </c>
      <c r="F961" s="2">
        <f>IFERROR(__xludf.DUMMYFUNCTION("""COMPUTED_VALUE"""),1.0)</f>
        <v>1</v>
      </c>
      <c r="G961" s="2" t="str">
        <f>IFERROR(__xludf.DUMMYFUNCTION("""COMPUTED_VALUE"""),"PR041")</f>
        <v>PR041</v>
      </c>
      <c r="H961" s="2" t="str">
        <f>IFERROR(__xludf.DUMMYFUNCTION("""COMPUTED_VALUE"""),"VD023")</f>
        <v>VD023</v>
      </c>
      <c r="I961" s="2">
        <f>IFERROR(__xludf.DUMMYFUNCTION("""COMPUTED_VALUE"""),16.0)</f>
        <v>16</v>
      </c>
      <c r="J961" s="2">
        <f>IFERROR(__xludf.DUMMYFUNCTION("""COMPUTED_VALUE"""),887.18)</f>
        <v>887.18</v>
      </c>
      <c r="K961" s="2">
        <f>IFERROR(__xludf.DUMMYFUNCTION("""COMPUTED_VALUE"""),887.18)</f>
        <v>887.18</v>
      </c>
    </row>
    <row r="962">
      <c r="A962" s="2">
        <f>IFERROR(__xludf.DUMMYFUNCTION("""COMPUTED_VALUE"""),2000.0)</f>
        <v>2000</v>
      </c>
      <c r="B962" s="2">
        <f>IFERROR(__xludf.DUMMYFUNCTION("""COMPUTED_VALUE"""),184147.0)</f>
        <v>184147</v>
      </c>
      <c r="C962" s="2">
        <f>IFERROR(__xludf.DUMMYFUNCTION("""COMPUTED_VALUE"""),2026.0)</f>
        <v>2026</v>
      </c>
      <c r="D962" s="2">
        <f>IFERROR(__xludf.DUMMYFUNCTION("""COMPUTED_VALUE"""),46196.0)</f>
        <v>46196</v>
      </c>
      <c r="E962" s="2" t="str">
        <f>IFERROR(__xludf.DUMMYFUNCTION("""COMPUTED_VALUE"""),"VF")</f>
        <v>VF</v>
      </c>
      <c r="F962" s="2">
        <f>IFERROR(__xludf.DUMMYFUNCTION("""COMPUTED_VALUE"""),1.0)</f>
        <v>1</v>
      </c>
      <c r="G962" s="2" t="str">
        <f>IFERROR(__xludf.DUMMYFUNCTION("""COMPUTED_VALUE"""),"PR004")</f>
        <v>PR004</v>
      </c>
      <c r="H962" s="2" t="str">
        <f>IFERROR(__xludf.DUMMYFUNCTION("""COMPUTED_VALUE"""),"VD039")</f>
        <v>VD039</v>
      </c>
      <c r="I962" s="2">
        <f>IFERROR(__xludf.DUMMYFUNCTION("""COMPUTED_VALUE"""),8.0)</f>
        <v>8</v>
      </c>
      <c r="J962" s="2">
        <f>IFERROR(__xludf.DUMMYFUNCTION("""COMPUTED_VALUE"""),1160.0)</f>
        <v>1160</v>
      </c>
      <c r="K962" s="2">
        <f>IFERROR(__xludf.DUMMYFUNCTION("""COMPUTED_VALUE"""),1160.0)</f>
        <v>1160</v>
      </c>
    </row>
    <row r="963">
      <c r="A963" s="2">
        <f>IFERROR(__xludf.DUMMYFUNCTION("""COMPUTED_VALUE"""),1000.0)</f>
        <v>1000</v>
      </c>
      <c r="B963" s="2">
        <f>IFERROR(__xludf.DUMMYFUNCTION("""COMPUTED_VALUE"""),184147.0)</f>
        <v>184147</v>
      </c>
      <c r="C963" s="2">
        <f>IFERROR(__xludf.DUMMYFUNCTION("""COMPUTED_VALUE"""),2026.0)</f>
        <v>2026</v>
      </c>
      <c r="D963" s="2">
        <f>IFERROR(__xludf.DUMMYFUNCTION("""COMPUTED_VALUE"""),46196.0)</f>
        <v>46196</v>
      </c>
      <c r="E963" s="2" t="str">
        <f>IFERROR(__xludf.DUMMYFUNCTION("""COMPUTED_VALUE"""),"VF")</f>
        <v>VF</v>
      </c>
      <c r="F963" s="2">
        <f>IFERROR(__xludf.DUMMYFUNCTION("""COMPUTED_VALUE"""),2.0)</f>
        <v>2</v>
      </c>
      <c r="G963" s="2" t="str">
        <f>IFERROR(__xludf.DUMMYFUNCTION("""COMPUTED_VALUE"""),"PR028")</f>
        <v>PR028</v>
      </c>
      <c r="H963" s="2" t="str">
        <f>IFERROR(__xludf.DUMMYFUNCTION("""COMPUTED_VALUE"""),"VD038")</f>
        <v>VD038</v>
      </c>
      <c r="I963" s="2">
        <f>IFERROR(__xludf.DUMMYFUNCTION("""COMPUTED_VALUE"""),6.0)</f>
        <v>6</v>
      </c>
      <c r="J963" s="2">
        <f>IFERROR(__xludf.DUMMYFUNCTION("""COMPUTED_VALUE"""),1544.38)</f>
        <v>1544.38</v>
      </c>
      <c r="K963" s="2">
        <f>IFERROR(__xludf.DUMMYFUNCTION("""COMPUTED_VALUE"""),1544.38)</f>
        <v>1544.38</v>
      </c>
    </row>
    <row r="964">
      <c r="A964" s="2">
        <f>IFERROR(__xludf.DUMMYFUNCTION("""COMPUTED_VALUE"""),1000.0)</f>
        <v>1000</v>
      </c>
      <c r="B964" s="2">
        <f>IFERROR(__xludf.DUMMYFUNCTION("""COMPUTED_VALUE"""),184148.0)</f>
        <v>184148</v>
      </c>
      <c r="C964" s="2">
        <f>IFERROR(__xludf.DUMMYFUNCTION("""COMPUTED_VALUE"""),2026.0)</f>
        <v>2026</v>
      </c>
      <c r="D964" s="2">
        <f>IFERROR(__xludf.DUMMYFUNCTION("""COMPUTED_VALUE"""),46195.0)</f>
        <v>46195</v>
      </c>
      <c r="E964" s="2" t="str">
        <f>IFERROR(__xludf.DUMMYFUNCTION("""COMPUTED_VALUE"""),"VF")</f>
        <v>VF</v>
      </c>
      <c r="F964" s="2">
        <f>IFERROR(__xludf.DUMMYFUNCTION("""COMPUTED_VALUE"""),1.0)</f>
        <v>1</v>
      </c>
      <c r="G964" s="2" t="str">
        <f>IFERROR(__xludf.DUMMYFUNCTION("""COMPUTED_VALUE"""),"PR023")</f>
        <v>PR023</v>
      </c>
      <c r="H964" s="2" t="str">
        <f>IFERROR(__xludf.DUMMYFUNCTION("""COMPUTED_VALUE"""),"VD012")</f>
        <v>VD012</v>
      </c>
      <c r="I964" s="2">
        <f>IFERROR(__xludf.DUMMYFUNCTION("""COMPUTED_VALUE"""),10.0)</f>
        <v>10</v>
      </c>
      <c r="J964" s="2">
        <f>IFERROR(__xludf.DUMMYFUNCTION("""COMPUTED_VALUE"""),2673.93)</f>
        <v>2673.93</v>
      </c>
      <c r="K964" s="2">
        <f>IFERROR(__xludf.DUMMYFUNCTION("""COMPUTED_VALUE"""),2673.93)</f>
        <v>2673.93</v>
      </c>
    </row>
    <row r="965">
      <c r="A965" s="2">
        <f>IFERROR(__xludf.DUMMYFUNCTION("""COMPUTED_VALUE"""),1000.0)</f>
        <v>1000</v>
      </c>
      <c r="B965" s="2">
        <f>IFERROR(__xludf.DUMMYFUNCTION("""COMPUTED_VALUE"""),184149.0)</f>
        <v>184149</v>
      </c>
      <c r="C965" s="2">
        <f>IFERROR(__xludf.DUMMYFUNCTION("""COMPUTED_VALUE"""),2026.0)</f>
        <v>2026</v>
      </c>
      <c r="D965" s="2">
        <f>IFERROR(__xludf.DUMMYFUNCTION("""COMPUTED_VALUE"""),46195.0)</f>
        <v>46195</v>
      </c>
      <c r="E965" s="2" t="str">
        <f>IFERROR(__xludf.DUMMYFUNCTION("""COMPUTED_VALUE"""),"VF")</f>
        <v>VF</v>
      </c>
      <c r="F965" s="2">
        <f>IFERROR(__xludf.DUMMYFUNCTION("""COMPUTED_VALUE"""),1.0)</f>
        <v>1</v>
      </c>
      <c r="G965" s="2" t="str">
        <f>IFERROR(__xludf.DUMMYFUNCTION("""COMPUTED_VALUE"""),"PR033")</f>
        <v>PR033</v>
      </c>
      <c r="H965" s="2" t="str">
        <f>IFERROR(__xludf.DUMMYFUNCTION("""COMPUTED_VALUE"""),"VD015")</f>
        <v>VD015</v>
      </c>
      <c r="I965" s="2">
        <f>IFERROR(__xludf.DUMMYFUNCTION("""COMPUTED_VALUE"""),7.0)</f>
        <v>7</v>
      </c>
      <c r="J965" s="2">
        <f>IFERROR(__xludf.DUMMYFUNCTION("""COMPUTED_VALUE"""),1910.27)</f>
        <v>1910.27</v>
      </c>
      <c r="K965" s="2">
        <f>IFERROR(__xludf.DUMMYFUNCTION("""COMPUTED_VALUE"""),1910.27)</f>
        <v>1910.27</v>
      </c>
    </row>
    <row r="966">
      <c r="A966" s="2">
        <f>IFERROR(__xludf.DUMMYFUNCTION("""COMPUTED_VALUE"""),1000.0)</f>
        <v>1000</v>
      </c>
      <c r="B966" s="2">
        <f>IFERROR(__xludf.DUMMYFUNCTION("""COMPUTED_VALUE"""),184150.0)</f>
        <v>184150</v>
      </c>
      <c r="C966" s="2">
        <f>IFERROR(__xludf.DUMMYFUNCTION("""COMPUTED_VALUE"""),2026.0)</f>
        <v>2026</v>
      </c>
      <c r="D966" s="2">
        <f>IFERROR(__xludf.DUMMYFUNCTION("""COMPUTED_VALUE"""),46195.0)</f>
        <v>46195</v>
      </c>
      <c r="E966" s="2" t="str">
        <f>IFERROR(__xludf.DUMMYFUNCTION("""COMPUTED_VALUE"""),"VF")</f>
        <v>VF</v>
      </c>
      <c r="F966" s="2">
        <f>IFERROR(__xludf.DUMMYFUNCTION("""COMPUTED_VALUE"""),1.0)</f>
        <v>1</v>
      </c>
      <c r="G966" s="2" t="str">
        <f>IFERROR(__xludf.DUMMYFUNCTION("""COMPUTED_VALUE"""),"PR014")</f>
        <v>PR014</v>
      </c>
      <c r="H966" s="2" t="str">
        <f>IFERROR(__xludf.DUMMYFUNCTION("""COMPUTED_VALUE"""),"VD028")</f>
        <v>VD028</v>
      </c>
      <c r="I966" s="2">
        <f>IFERROR(__xludf.DUMMYFUNCTION("""COMPUTED_VALUE"""),10.0)</f>
        <v>10</v>
      </c>
      <c r="J966" s="2">
        <f>IFERROR(__xludf.DUMMYFUNCTION("""COMPUTED_VALUE"""),430.92)</f>
        <v>430.92</v>
      </c>
      <c r="K966" s="2">
        <f>IFERROR(__xludf.DUMMYFUNCTION("""COMPUTED_VALUE"""),430.92)</f>
        <v>430.92</v>
      </c>
    </row>
    <row r="967">
      <c r="A967" s="2">
        <f>IFERROR(__xludf.DUMMYFUNCTION("""COMPUTED_VALUE"""),2000.0)</f>
        <v>2000</v>
      </c>
      <c r="B967" s="2">
        <f>IFERROR(__xludf.DUMMYFUNCTION("""COMPUTED_VALUE"""),184151.0)</f>
        <v>184151</v>
      </c>
      <c r="C967" s="2">
        <f>IFERROR(__xludf.DUMMYFUNCTION("""COMPUTED_VALUE"""),2026.0)</f>
        <v>2026</v>
      </c>
      <c r="D967" s="2">
        <f>IFERROR(__xludf.DUMMYFUNCTION("""COMPUTED_VALUE"""),46194.0)</f>
        <v>46194</v>
      </c>
      <c r="E967" s="2" t="str">
        <f>IFERROR(__xludf.DUMMYFUNCTION("""COMPUTED_VALUE"""),"VF")</f>
        <v>VF</v>
      </c>
      <c r="F967" s="2">
        <f>IFERROR(__xludf.DUMMYFUNCTION("""COMPUTED_VALUE"""),1.0)</f>
        <v>1</v>
      </c>
      <c r="G967" s="2" t="str">
        <f>IFERROR(__xludf.DUMMYFUNCTION("""COMPUTED_VALUE"""),"PR003")</f>
        <v>PR003</v>
      </c>
      <c r="H967" s="2" t="str">
        <f>IFERROR(__xludf.DUMMYFUNCTION("""COMPUTED_VALUE"""),"VD043")</f>
        <v>VD043</v>
      </c>
      <c r="I967" s="2">
        <f>IFERROR(__xludf.DUMMYFUNCTION("""COMPUTED_VALUE"""),12.0)</f>
        <v>12</v>
      </c>
      <c r="J967" s="2">
        <f>IFERROR(__xludf.DUMMYFUNCTION("""COMPUTED_VALUE"""),893.34)</f>
        <v>893.34</v>
      </c>
      <c r="K967" s="2">
        <f>IFERROR(__xludf.DUMMYFUNCTION("""COMPUTED_VALUE"""),893.34)</f>
        <v>893.34</v>
      </c>
    </row>
    <row r="968">
      <c r="A968" s="2">
        <f>IFERROR(__xludf.DUMMYFUNCTION("""COMPUTED_VALUE"""),1000.0)</f>
        <v>1000</v>
      </c>
      <c r="B968" s="2">
        <f>IFERROR(__xludf.DUMMYFUNCTION("""COMPUTED_VALUE"""),184151.0)</f>
        <v>184151</v>
      </c>
      <c r="C968" s="2">
        <f>IFERROR(__xludf.DUMMYFUNCTION("""COMPUTED_VALUE"""),2026.0)</f>
        <v>2026</v>
      </c>
      <c r="D968" s="2">
        <f>IFERROR(__xludf.DUMMYFUNCTION("""COMPUTED_VALUE"""),46194.0)</f>
        <v>46194</v>
      </c>
      <c r="E968" s="2" t="str">
        <f>IFERROR(__xludf.DUMMYFUNCTION("""COMPUTED_VALUE"""),"VF")</f>
        <v>VF</v>
      </c>
      <c r="F968" s="2">
        <f>IFERROR(__xludf.DUMMYFUNCTION("""COMPUTED_VALUE"""),2.0)</f>
        <v>2</v>
      </c>
      <c r="G968" s="2" t="str">
        <f>IFERROR(__xludf.DUMMYFUNCTION("""COMPUTED_VALUE"""),"PR037")</f>
        <v>PR037</v>
      </c>
      <c r="H968" s="2" t="str">
        <f>IFERROR(__xludf.DUMMYFUNCTION("""COMPUTED_VALUE"""),"VD047")</f>
        <v>VD047</v>
      </c>
      <c r="I968" s="2">
        <f>IFERROR(__xludf.DUMMYFUNCTION("""COMPUTED_VALUE"""),16.0)</f>
        <v>16</v>
      </c>
      <c r="J968" s="2">
        <f>IFERROR(__xludf.DUMMYFUNCTION("""COMPUTED_VALUE"""),2307.2)</f>
        <v>2307.2</v>
      </c>
      <c r="K968" s="2">
        <f>IFERROR(__xludf.DUMMYFUNCTION("""COMPUTED_VALUE"""),2307.2)</f>
        <v>2307.2</v>
      </c>
    </row>
    <row r="969">
      <c r="A969" s="2">
        <f>IFERROR(__xludf.DUMMYFUNCTION("""COMPUTED_VALUE"""),1000.0)</f>
        <v>1000</v>
      </c>
      <c r="B969" s="2">
        <f>IFERROR(__xludf.DUMMYFUNCTION("""COMPUTED_VALUE"""),184152.0)</f>
        <v>184152</v>
      </c>
      <c r="C969" s="2">
        <f>IFERROR(__xludf.DUMMYFUNCTION("""COMPUTED_VALUE"""),2026.0)</f>
        <v>2026</v>
      </c>
      <c r="D969" s="2">
        <f>IFERROR(__xludf.DUMMYFUNCTION("""COMPUTED_VALUE"""),46194.0)</f>
        <v>46194</v>
      </c>
      <c r="E969" s="2" t="str">
        <f>IFERROR(__xludf.DUMMYFUNCTION("""COMPUTED_VALUE"""),"VF")</f>
        <v>VF</v>
      </c>
      <c r="F969" s="2">
        <f>IFERROR(__xludf.DUMMYFUNCTION("""COMPUTED_VALUE"""),1.0)</f>
        <v>1</v>
      </c>
      <c r="G969" s="2" t="str">
        <f>IFERROR(__xludf.DUMMYFUNCTION("""COMPUTED_VALUE"""),"PR010")</f>
        <v>PR010</v>
      </c>
      <c r="H969" s="2" t="str">
        <f>IFERROR(__xludf.DUMMYFUNCTION("""COMPUTED_VALUE"""),"VD048")</f>
        <v>VD048</v>
      </c>
      <c r="I969" s="2">
        <f>IFERROR(__xludf.DUMMYFUNCTION("""COMPUTED_VALUE"""),20.0)</f>
        <v>20</v>
      </c>
      <c r="J969" s="2">
        <f>IFERROR(__xludf.DUMMYFUNCTION("""COMPUTED_VALUE"""),915.96)</f>
        <v>915.96</v>
      </c>
      <c r="K969" s="2">
        <f>IFERROR(__xludf.DUMMYFUNCTION("""COMPUTED_VALUE"""),915.96)</f>
        <v>915.96</v>
      </c>
    </row>
    <row r="970">
      <c r="A970" s="2">
        <f>IFERROR(__xludf.DUMMYFUNCTION("""COMPUTED_VALUE"""),1000.0)</f>
        <v>1000</v>
      </c>
      <c r="B970" s="2">
        <f>IFERROR(__xludf.DUMMYFUNCTION("""COMPUTED_VALUE"""),184153.0)</f>
        <v>184153</v>
      </c>
      <c r="C970" s="2">
        <f>IFERROR(__xludf.DUMMYFUNCTION("""COMPUTED_VALUE"""),2026.0)</f>
        <v>2026</v>
      </c>
      <c r="D970" s="2">
        <f>IFERROR(__xludf.DUMMYFUNCTION("""COMPUTED_VALUE"""),46194.0)</f>
        <v>46194</v>
      </c>
      <c r="E970" s="2" t="str">
        <f>IFERROR(__xludf.DUMMYFUNCTION("""COMPUTED_VALUE"""),"VF")</f>
        <v>VF</v>
      </c>
      <c r="F970" s="2">
        <f>IFERROR(__xludf.DUMMYFUNCTION("""COMPUTED_VALUE"""),1.0)</f>
        <v>1</v>
      </c>
      <c r="G970" s="2" t="str">
        <f>IFERROR(__xludf.DUMMYFUNCTION("""COMPUTED_VALUE"""),"PR023")</f>
        <v>PR023</v>
      </c>
      <c r="H970" s="2" t="str">
        <f>IFERROR(__xludf.DUMMYFUNCTION("""COMPUTED_VALUE"""),"VD034")</f>
        <v>VD034</v>
      </c>
      <c r="I970" s="2">
        <f>IFERROR(__xludf.DUMMYFUNCTION("""COMPUTED_VALUE"""),4.0)</f>
        <v>4</v>
      </c>
      <c r="J970" s="2">
        <f>IFERROR(__xludf.DUMMYFUNCTION("""COMPUTED_VALUE"""),1059.58)</f>
        <v>1059.58</v>
      </c>
      <c r="K970" s="2">
        <f>IFERROR(__xludf.DUMMYFUNCTION("""COMPUTED_VALUE"""),1059.58)</f>
        <v>1059.58</v>
      </c>
    </row>
    <row r="971">
      <c r="A971" s="2">
        <f>IFERROR(__xludf.DUMMYFUNCTION("""COMPUTED_VALUE"""),1000.0)</f>
        <v>1000</v>
      </c>
      <c r="B971" s="2">
        <f>IFERROR(__xludf.DUMMYFUNCTION("""COMPUTED_VALUE"""),184154.0)</f>
        <v>184154</v>
      </c>
      <c r="C971" s="2">
        <f>IFERROR(__xludf.DUMMYFUNCTION("""COMPUTED_VALUE"""),2026.0)</f>
        <v>2026</v>
      </c>
      <c r="D971" s="2">
        <f>IFERROR(__xludf.DUMMYFUNCTION("""COMPUTED_VALUE"""),46194.0)</f>
        <v>46194</v>
      </c>
      <c r="E971" s="2" t="str">
        <f>IFERROR(__xludf.DUMMYFUNCTION("""COMPUTED_VALUE"""),"VF")</f>
        <v>VF</v>
      </c>
      <c r="F971" s="2">
        <f>IFERROR(__xludf.DUMMYFUNCTION("""COMPUTED_VALUE"""),1.0)</f>
        <v>1</v>
      </c>
      <c r="G971" s="2" t="str">
        <f>IFERROR(__xludf.DUMMYFUNCTION("""COMPUTED_VALUE"""),"PR038")</f>
        <v>PR038</v>
      </c>
      <c r="H971" s="2" t="str">
        <f>IFERROR(__xludf.DUMMYFUNCTION("""COMPUTED_VALUE"""),"VD024")</f>
        <v>VD024</v>
      </c>
      <c r="I971" s="2">
        <f>IFERROR(__xludf.DUMMYFUNCTION("""COMPUTED_VALUE"""),1.0)</f>
        <v>1</v>
      </c>
      <c r="J971" s="2">
        <f>IFERROR(__xludf.DUMMYFUNCTION("""COMPUTED_VALUE"""),142.9)</f>
        <v>142.9</v>
      </c>
      <c r="K971" s="2">
        <f>IFERROR(__xludf.DUMMYFUNCTION("""COMPUTED_VALUE"""),142.9)</f>
        <v>142.9</v>
      </c>
    </row>
    <row r="972">
      <c r="A972" s="2">
        <f>IFERROR(__xludf.DUMMYFUNCTION("""COMPUTED_VALUE"""),1000.0)</f>
        <v>1000</v>
      </c>
      <c r="B972" s="2">
        <f>IFERROR(__xludf.DUMMYFUNCTION("""COMPUTED_VALUE"""),184155.0)</f>
        <v>184155</v>
      </c>
      <c r="C972" s="2">
        <f>IFERROR(__xludf.DUMMYFUNCTION("""COMPUTED_VALUE"""),2026.0)</f>
        <v>2026</v>
      </c>
      <c r="D972" s="2">
        <f>IFERROR(__xludf.DUMMYFUNCTION("""COMPUTED_VALUE"""),46193.0)</f>
        <v>46193</v>
      </c>
      <c r="E972" s="2" t="str">
        <f>IFERROR(__xludf.DUMMYFUNCTION("""COMPUTED_VALUE"""),"VF")</f>
        <v>VF</v>
      </c>
      <c r="F972" s="2">
        <f>IFERROR(__xludf.DUMMYFUNCTION("""COMPUTED_VALUE"""),1.0)</f>
        <v>1</v>
      </c>
      <c r="G972" s="2" t="str">
        <f>IFERROR(__xludf.DUMMYFUNCTION("""COMPUTED_VALUE"""),"PR021")</f>
        <v>PR021</v>
      </c>
      <c r="H972" s="2" t="str">
        <f>IFERROR(__xludf.DUMMYFUNCTION("""COMPUTED_VALUE"""),"VD018")</f>
        <v>VD018</v>
      </c>
      <c r="I972" s="2">
        <f>IFERROR(__xludf.DUMMYFUNCTION("""COMPUTED_VALUE"""),4.0)</f>
        <v>4</v>
      </c>
      <c r="J972" s="2">
        <f>IFERROR(__xludf.DUMMYFUNCTION("""COMPUTED_VALUE"""),1211.6)</f>
        <v>1211.6</v>
      </c>
      <c r="K972" s="2">
        <f>IFERROR(__xludf.DUMMYFUNCTION("""COMPUTED_VALUE"""),1211.6)</f>
        <v>1211.6</v>
      </c>
    </row>
    <row r="973">
      <c r="A973" s="2">
        <f>IFERROR(__xludf.DUMMYFUNCTION("""COMPUTED_VALUE"""),1000.0)</f>
        <v>1000</v>
      </c>
      <c r="B973" s="2">
        <f>IFERROR(__xludf.DUMMYFUNCTION("""COMPUTED_VALUE"""),184156.0)</f>
        <v>184156</v>
      </c>
      <c r="C973" s="2">
        <f>IFERROR(__xludf.DUMMYFUNCTION("""COMPUTED_VALUE"""),2026.0)</f>
        <v>2026</v>
      </c>
      <c r="D973" s="2">
        <f>IFERROR(__xludf.DUMMYFUNCTION("""COMPUTED_VALUE"""),46193.0)</f>
        <v>46193</v>
      </c>
      <c r="E973" s="2" t="str">
        <f>IFERROR(__xludf.DUMMYFUNCTION("""COMPUTED_VALUE"""),"VF")</f>
        <v>VF</v>
      </c>
      <c r="F973" s="2">
        <f>IFERROR(__xludf.DUMMYFUNCTION("""COMPUTED_VALUE"""),1.0)</f>
        <v>1</v>
      </c>
      <c r="G973" s="2" t="str">
        <f>IFERROR(__xludf.DUMMYFUNCTION("""COMPUTED_VALUE"""),"PR022")</f>
        <v>PR022</v>
      </c>
      <c r="H973" s="2" t="str">
        <f>IFERROR(__xludf.DUMMYFUNCTION("""COMPUTED_VALUE"""),"VD045")</f>
        <v>VD045</v>
      </c>
      <c r="I973" s="2">
        <f>IFERROR(__xludf.DUMMYFUNCTION("""COMPUTED_VALUE"""),20.0)</f>
        <v>20</v>
      </c>
      <c r="J973" s="2">
        <f>IFERROR(__xludf.DUMMYFUNCTION("""COMPUTED_VALUE"""),6000.0)</f>
        <v>6000</v>
      </c>
      <c r="K973" s="2">
        <f>IFERROR(__xludf.DUMMYFUNCTION("""COMPUTED_VALUE"""),6000.0)</f>
        <v>6000</v>
      </c>
    </row>
    <row r="974">
      <c r="A974" s="2">
        <f>IFERROR(__xludf.DUMMYFUNCTION("""COMPUTED_VALUE"""),1000.0)</f>
        <v>1000</v>
      </c>
      <c r="B974" s="2">
        <f>IFERROR(__xludf.DUMMYFUNCTION("""COMPUTED_VALUE"""),184156.0)</f>
        <v>184156</v>
      </c>
      <c r="C974" s="2">
        <f>IFERROR(__xludf.DUMMYFUNCTION("""COMPUTED_VALUE"""),2026.0)</f>
        <v>2026</v>
      </c>
      <c r="D974" s="2">
        <f>IFERROR(__xludf.DUMMYFUNCTION("""COMPUTED_VALUE"""),46192.0)</f>
        <v>46192</v>
      </c>
      <c r="E974" s="2" t="str">
        <f>IFERROR(__xludf.DUMMYFUNCTION("""COMPUTED_VALUE"""),"VF")</f>
        <v>VF</v>
      </c>
      <c r="F974" s="2">
        <f>IFERROR(__xludf.DUMMYFUNCTION("""COMPUTED_VALUE"""),2.0)</f>
        <v>2</v>
      </c>
      <c r="G974" s="2" t="str">
        <f>IFERROR(__xludf.DUMMYFUNCTION("""COMPUTED_VALUE"""),"PR002")</f>
        <v>PR002</v>
      </c>
      <c r="H974" s="2" t="str">
        <f>IFERROR(__xludf.DUMMYFUNCTION("""COMPUTED_VALUE"""),"VD023")</f>
        <v>VD023</v>
      </c>
      <c r="I974" s="2">
        <f>IFERROR(__xludf.DUMMYFUNCTION("""COMPUTED_VALUE"""),3.0)</f>
        <v>3</v>
      </c>
      <c r="J974" s="2">
        <f>IFERROR(__xludf.DUMMYFUNCTION("""COMPUTED_VALUE"""),220.19)</f>
        <v>220.19</v>
      </c>
      <c r="K974" s="2">
        <f>IFERROR(__xludf.DUMMYFUNCTION("""COMPUTED_VALUE"""),220.19)</f>
        <v>220.19</v>
      </c>
    </row>
    <row r="975">
      <c r="A975" s="2">
        <f>IFERROR(__xludf.DUMMYFUNCTION("""COMPUTED_VALUE"""),1000.0)</f>
        <v>1000</v>
      </c>
      <c r="B975" s="2">
        <f>IFERROR(__xludf.DUMMYFUNCTION("""COMPUTED_VALUE"""),184157.0)</f>
        <v>184157</v>
      </c>
      <c r="C975" s="2">
        <f>IFERROR(__xludf.DUMMYFUNCTION("""COMPUTED_VALUE"""),2026.0)</f>
        <v>2026</v>
      </c>
      <c r="D975" s="2">
        <f>IFERROR(__xludf.DUMMYFUNCTION("""COMPUTED_VALUE"""),46192.0)</f>
        <v>46192</v>
      </c>
      <c r="E975" s="2" t="str">
        <f>IFERROR(__xludf.DUMMYFUNCTION("""COMPUTED_VALUE"""),"VF")</f>
        <v>VF</v>
      </c>
      <c r="F975" s="2">
        <f>IFERROR(__xludf.DUMMYFUNCTION("""COMPUTED_VALUE"""),1.0)</f>
        <v>1</v>
      </c>
      <c r="G975" s="2" t="str">
        <f>IFERROR(__xludf.DUMMYFUNCTION("""COMPUTED_VALUE"""),"PR035")</f>
        <v>PR035</v>
      </c>
      <c r="H975" s="2" t="str">
        <f>IFERROR(__xludf.DUMMYFUNCTION("""COMPUTED_VALUE"""),"VD010")</f>
        <v>VD010</v>
      </c>
      <c r="I975" s="2">
        <f>IFERROR(__xludf.DUMMYFUNCTION("""COMPUTED_VALUE"""),6.0)</f>
        <v>6</v>
      </c>
      <c r="J975" s="2">
        <f>IFERROR(__xludf.DUMMYFUNCTION("""COMPUTED_VALUE"""),559.37)</f>
        <v>559.37</v>
      </c>
      <c r="K975" s="2">
        <f>IFERROR(__xludf.DUMMYFUNCTION("""COMPUTED_VALUE"""),559.37)</f>
        <v>559.37</v>
      </c>
    </row>
    <row r="976">
      <c r="A976" s="2">
        <f>IFERROR(__xludf.DUMMYFUNCTION("""COMPUTED_VALUE"""),2000.0)</f>
        <v>2000</v>
      </c>
      <c r="B976" s="2">
        <f>IFERROR(__xludf.DUMMYFUNCTION("""COMPUTED_VALUE"""),184158.0)</f>
        <v>184158</v>
      </c>
      <c r="C976" s="2">
        <f>IFERROR(__xludf.DUMMYFUNCTION("""COMPUTED_VALUE"""),2026.0)</f>
        <v>2026</v>
      </c>
      <c r="D976" s="2">
        <f>IFERROR(__xludf.DUMMYFUNCTION("""COMPUTED_VALUE"""),46192.0)</f>
        <v>46192</v>
      </c>
      <c r="E976" s="2" t="str">
        <f>IFERROR(__xludf.DUMMYFUNCTION("""COMPUTED_VALUE"""),"VF")</f>
        <v>VF</v>
      </c>
      <c r="F976" s="2">
        <f>IFERROR(__xludf.DUMMYFUNCTION("""COMPUTED_VALUE"""),1.0)</f>
        <v>1</v>
      </c>
      <c r="G976" s="2" t="str">
        <f>IFERROR(__xludf.DUMMYFUNCTION("""COMPUTED_VALUE"""),"PR045")</f>
        <v>PR045</v>
      </c>
      <c r="H976" s="2" t="str">
        <f>IFERROR(__xludf.DUMMYFUNCTION("""COMPUTED_VALUE"""),"VD031")</f>
        <v>VD031</v>
      </c>
      <c r="I976" s="2">
        <f>IFERROR(__xludf.DUMMYFUNCTION("""COMPUTED_VALUE"""),2.0)</f>
        <v>2</v>
      </c>
      <c r="J976" s="2">
        <f>IFERROR(__xludf.DUMMYFUNCTION("""COMPUTED_VALUE"""),146.45)</f>
        <v>146.45</v>
      </c>
      <c r="K976" s="2">
        <f>IFERROR(__xludf.DUMMYFUNCTION("""COMPUTED_VALUE"""),146.45)</f>
        <v>146.45</v>
      </c>
    </row>
    <row r="977">
      <c r="A977" s="2">
        <f>IFERROR(__xludf.DUMMYFUNCTION("""COMPUTED_VALUE"""),1000.0)</f>
        <v>1000</v>
      </c>
      <c r="B977" s="2">
        <f>IFERROR(__xludf.DUMMYFUNCTION("""COMPUTED_VALUE"""),184158.0)</f>
        <v>184158</v>
      </c>
      <c r="C977" s="2">
        <f>IFERROR(__xludf.DUMMYFUNCTION("""COMPUTED_VALUE"""),2026.0)</f>
        <v>2026</v>
      </c>
      <c r="D977" s="2">
        <f>IFERROR(__xludf.DUMMYFUNCTION("""COMPUTED_VALUE"""),46191.0)</f>
        <v>46191</v>
      </c>
      <c r="E977" s="2" t="str">
        <f>IFERROR(__xludf.DUMMYFUNCTION("""COMPUTED_VALUE"""),"VF")</f>
        <v>VF</v>
      </c>
      <c r="F977" s="2">
        <f>IFERROR(__xludf.DUMMYFUNCTION("""COMPUTED_VALUE"""),2.0)</f>
        <v>2</v>
      </c>
      <c r="G977" s="2" t="str">
        <f>IFERROR(__xludf.DUMMYFUNCTION("""COMPUTED_VALUE"""),"PR011")</f>
        <v>PR011</v>
      </c>
      <c r="H977" s="2" t="str">
        <f>IFERROR(__xludf.DUMMYFUNCTION("""COMPUTED_VALUE"""),"VD040")</f>
        <v>VD040</v>
      </c>
      <c r="I977" s="2">
        <f>IFERROR(__xludf.DUMMYFUNCTION("""COMPUTED_VALUE"""),4.0)</f>
        <v>4</v>
      </c>
      <c r="J977" s="2">
        <f>IFERROR(__xludf.DUMMYFUNCTION("""COMPUTED_VALUE"""),202.61)</f>
        <v>202.61</v>
      </c>
      <c r="K977" s="2">
        <f>IFERROR(__xludf.DUMMYFUNCTION("""COMPUTED_VALUE"""),202.61)</f>
        <v>202.61</v>
      </c>
    </row>
    <row r="978">
      <c r="A978" s="2">
        <f>IFERROR(__xludf.DUMMYFUNCTION("""COMPUTED_VALUE"""),2000.0)</f>
        <v>2000</v>
      </c>
      <c r="B978" s="2">
        <f>IFERROR(__xludf.DUMMYFUNCTION("""COMPUTED_VALUE"""),184159.0)</f>
        <v>184159</v>
      </c>
      <c r="C978" s="2">
        <f>IFERROR(__xludf.DUMMYFUNCTION("""COMPUTED_VALUE"""),2026.0)</f>
        <v>2026</v>
      </c>
      <c r="D978" s="2">
        <f>IFERROR(__xludf.DUMMYFUNCTION("""COMPUTED_VALUE"""),46191.0)</f>
        <v>46191</v>
      </c>
      <c r="E978" s="2" t="str">
        <f>IFERROR(__xludf.DUMMYFUNCTION("""COMPUTED_VALUE"""),"VF")</f>
        <v>VF</v>
      </c>
      <c r="F978" s="2">
        <f>IFERROR(__xludf.DUMMYFUNCTION("""COMPUTED_VALUE"""),1.0)</f>
        <v>1</v>
      </c>
      <c r="G978" s="2" t="str">
        <f>IFERROR(__xludf.DUMMYFUNCTION("""COMPUTED_VALUE"""),"PR028")</f>
        <v>PR028</v>
      </c>
      <c r="H978" s="2" t="str">
        <f>IFERROR(__xludf.DUMMYFUNCTION("""COMPUTED_VALUE"""),"VD010")</f>
        <v>VD010</v>
      </c>
      <c r="I978" s="2">
        <f>IFERROR(__xludf.DUMMYFUNCTION("""COMPUTED_VALUE"""),10.0)</f>
        <v>10</v>
      </c>
      <c r="J978" s="2">
        <f>IFERROR(__xludf.DUMMYFUNCTION("""COMPUTED_VALUE"""),2673.93)</f>
        <v>2673.93</v>
      </c>
      <c r="K978" s="2">
        <f>IFERROR(__xludf.DUMMYFUNCTION("""COMPUTED_VALUE"""),2673.93)</f>
        <v>2673.93</v>
      </c>
    </row>
    <row r="979">
      <c r="A979" s="2">
        <f>IFERROR(__xludf.DUMMYFUNCTION("""COMPUTED_VALUE"""),1000.0)</f>
        <v>1000</v>
      </c>
      <c r="B979" s="2">
        <f>IFERROR(__xludf.DUMMYFUNCTION("""COMPUTED_VALUE"""),184160.0)</f>
        <v>184160</v>
      </c>
      <c r="C979" s="2">
        <f>IFERROR(__xludf.DUMMYFUNCTION("""COMPUTED_VALUE"""),2026.0)</f>
        <v>2026</v>
      </c>
      <c r="D979" s="2">
        <f>IFERROR(__xludf.DUMMYFUNCTION("""COMPUTED_VALUE"""),46190.0)</f>
        <v>46190</v>
      </c>
      <c r="E979" s="2" t="str">
        <f>IFERROR(__xludf.DUMMYFUNCTION("""COMPUTED_VALUE"""),"VF")</f>
        <v>VF</v>
      </c>
      <c r="F979" s="2">
        <f>IFERROR(__xludf.DUMMYFUNCTION("""COMPUTED_VALUE"""),1.0)</f>
        <v>1</v>
      </c>
      <c r="G979" s="2" t="str">
        <f>IFERROR(__xludf.DUMMYFUNCTION("""COMPUTED_VALUE"""),"PR007")</f>
        <v>PR007</v>
      </c>
      <c r="H979" s="2" t="str">
        <f>IFERROR(__xludf.DUMMYFUNCTION("""COMPUTED_VALUE"""),"VD017")</f>
        <v>VD017</v>
      </c>
      <c r="I979" s="2">
        <f>IFERROR(__xludf.DUMMYFUNCTION("""COMPUTED_VALUE"""),14.0)</f>
        <v>14</v>
      </c>
      <c r="J979" s="2">
        <f>IFERROR(__xludf.DUMMYFUNCTION("""COMPUTED_VALUE"""),1274.76)</f>
        <v>1274.76</v>
      </c>
      <c r="K979" s="2">
        <f>IFERROR(__xludf.DUMMYFUNCTION("""COMPUTED_VALUE"""),1274.76)</f>
        <v>1274.76</v>
      </c>
    </row>
    <row r="980">
      <c r="A980" s="2">
        <f>IFERROR(__xludf.DUMMYFUNCTION("""COMPUTED_VALUE"""),2000.0)</f>
        <v>2000</v>
      </c>
      <c r="B980" s="2">
        <f>IFERROR(__xludf.DUMMYFUNCTION("""COMPUTED_VALUE"""),184160.0)</f>
        <v>184160</v>
      </c>
      <c r="C980" s="2">
        <f>IFERROR(__xludf.DUMMYFUNCTION("""COMPUTED_VALUE"""),2026.0)</f>
        <v>2026</v>
      </c>
      <c r="D980" s="2">
        <f>IFERROR(__xludf.DUMMYFUNCTION("""COMPUTED_VALUE"""),46190.0)</f>
        <v>46190</v>
      </c>
      <c r="E980" s="2" t="str">
        <f>IFERROR(__xludf.DUMMYFUNCTION("""COMPUTED_VALUE"""),"VF")</f>
        <v>VF</v>
      </c>
      <c r="F980" s="2">
        <f>IFERROR(__xludf.DUMMYFUNCTION("""COMPUTED_VALUE"""),2.0)</f>
        <v>2</v>
      </c>
      <c r="G980" s="2" t="str">
        <f>IFERROR(__xludf.DUMMYFUNCTION("""COMPUTED_VALUE"""),"PR052")</f>
        <v>PR052</v>
      </c>
      <c r="H980" s="2" t="str">
        <f>IFERROR(__xludf.DUMMYFUNCTION("""COMPUTED_VALUE"""),"VD029")</f>
        <v>VD029</v>
      </c>
      <c r="I980" s="2">
        <f>IFERROR(__xludf.DUMMYFUNCTION("""COMPUTED_VALUE"""),6.0)</f>
        <v>6</v>
      </c>
      <c r="J980" s="2">
        <f>IFERROR(__xludf.DUMMYFUNCTION("""COMPUTED_VALUE"""),326.35)</f>
        <v>326.35</v>
      </c>
      <c r="K980" s="2">
        <f>IFERROR(__xludf.DUMMYFUNCTION("""COMPUTED_VALUE"""),326.35)</f>
        <v>326.35</v>
      </c>
    </row>
    <row r="981">
      <c r="A981" s="2">
        <f>IFERROR(__xludf.DUMMYFUNCTION("""COMPUTED_VALUE"""),1000.0)</f>
        <v>1000</v>
      </c>
      <c r="B981" s="2">
        <f>IFERROR(__xludf.DUMMYFUNCTION("""COMPUTED_VALUE"""),184160.0)</f>
        <v>184160</v>
      </c>
      <c r="C981" s="2">
        <f>IFERROR(__xludf.DUMMYFUNCTION("""COMPUTED_VALUE"""),2026.0)</f>
        <v>2026</v>
      </c>
      <c r="D981" s="2">
        <f>IFERROR(__xludf.DUMMYFUNCTION("""COMPUTED_VALUE"""),46189.0)</f>
        <v>46189</v>
      </c>
      <c r="E981" s="2" t="str">
        <f>IFERROR(__xludf.DUMMYFUNCTION("""COMPUTED_VALUE"""),"VF")</f>
        <v>VF</v>
      </c>
      <c r="F981" s="2">
        <f>IFERROR(__xludf.DUMMYFUNCTION("""COMPUTED_VALUE"""),3.0)</f>
        <v>3</v>
      </c>
      <c r="G981" s="2" t="str">
        <f>IFERROR(__xludf.DUMMYFUNCTION("""COMPUTED_VALUE"""),"PR046")</f>
        <v>PR046</v>
      </c>
      <c r="H981" s="2" t="str">
        <f>IFERROR(__xludf.DUMMYFUNCTION("""COMPUTED_VALUE"""),"VD022")</f>
        <v>VD022</v>
      </c>
      <c r="I981" s="2">
        <f>IFERROR(__xludf.DUMMYFUNCTION("""COMPUTED_VALUE"""),4.0)</f>
        <v>4</v>
      </c>
      <c r="J981" s="2">
        <f>IFERROR(__xludf.DUMMYFUNCTION("""COMPUTED_VALUE"""),1263.96)</f>
        <v>1263.96</v>
      </c>
      <c r="K981" s="2">
        <f>IFERROR(__xludf.DUMMYFUNCTION("""COMPUTED_VALUE"""),1263.96)</f>
        <v>1263.96</v>
      </c>
    </row>
    <row r="982">
      <c r="A982" s="2">
        <f>IFERROR(__xludf.DUMMYFUNCTION("""COMPUTED_VALUE"""),1000.0)</f>
        <v>1000</v>
      </c>
      <c r="B982" s="2">
        <f>IFERROR(__xludf.DUMMYFUNCTION("""COMPUTED_VALUE"""),184160.0)</f>
        <v>184160</v>
      </c>
      <c r="C982" s="2">
        <f>IFERROR(__xludf.DUMMYFUNCTION("""COMPUTED_VALUE"""),2026.0)</f>
        <v>2026</v>
      </c>
      <c r="D982" s="2">
        <f>IFERROR(__xludf.DUMMYFUNCTION("""COMPUTED_VALUE"""),46189.0)</f>
        <v>46189</v>
      </c>
      <c r="E982" s="2" t="str">
        <f>IFERROR(__xludf.DUMMYFUNCTION("""COMPUTED_VALUE"""),"VF")</f>
        <v>VF</v>
      </c>
      <c r="F982" s="2">
        <f>IFERROR(__xludf.DUMMYFUNCTION("""COMPUTED_VALUE"""),4.0)</f>
        <v>4</v>
      </c>
      <c r="G982" s="2" t="str">
        <f>IFERROR(__xludf.DUMMYFUNCTION("""COMPUTED_VALUE"""),"PR008")</f>
        <v>PR008</v>
      </c>
      <c r="H982" s="2" t="str">
        <f>IFERROR(__xludf.DUMMYFUNCTION("""COMPUTED_VALUE"""),"VD038")</f>
        <v>VD038</v>
      </c>
      <c r="I982" s="2">
        <f>IFERROR(__xludf.DUMMYFUNCTION("""COMPUTED_VALUE"""),8.0)</f>
        <v>8</v>
      </c>
      <c r="J982" s="2">
        <f>IFERROR(__xludf.DUMMYFUNCTION("""COMPUTED_VALUE"""),769.54)</f>
        <v>769.54</v>
      </c>
      <c r="K982" s="2">
        <f>IFERROR(__xludf.DUMMYFUNCTION("""COMPUTED_VALUE"""),769.54)</f>
        <v>769.54</v>
      </c>
    </row>
    <row r="983">
      <c r="A983" s="2">
        <f>IFERROR(__xludf.DUMMYFUNCTION("""COMPUTED_VALUE"""),1000.0)</f>
        <v>1000</v>
      </c>
      <c r="B983" s="2">
        <f>IFERROR(__xludf.DUMMYFUNCTION("""COMPUTED_VALUE"""),184161.0)</f>
        <v>184161</v>
      </c>
      <c r="C983" s="2">
        <f>IFERROR(__xludf.DUMMYFUNCTION("""COMPUTED_VALUE"""),2026.0)</f>
        <v>2026</v>
      </c>
      <c r="D983" s="2">
        <f>IFERROR(__xludf.DUMMYFUNCTION("""COMPUTED_VALUE"""),46189.0)</f>
        <v>46189</v>
      </c>
      <c r="E983" s="2" t="str">
        <f>IFERROR(__xludf.DUMMYFUNCTION("""COMPUTED_VALUE"""),"VF")</f>
        <v>VF</v>
      </c>
      <c r="F983" s="2">
        <f>IFERROR(__xludf.DUMMYFUNCTION("""COMPUTED_VALUE"""),1.0)</f>
        <v>1</v>
      </c>
      <c r="G983" s="2" t="str">
        <f>IFERROR(__xludf.DUMMYFUNCTION("""COMPUTED_VALUE"""),"PR039")</f>
        <v>PR039</v>
      </c>
      <c r="H983" s="2" t="str">
        <f>IFERROR(__xludf.DUMMYFUNCTION("""COMPUTED_VALUE"""),"VD038")</f>
        <v>VD038</v>
      </c>
      <c r="I983" s="2">
        <f>IFERROR(__xludf.DUMMYFUNCTION("""COMPUTED_VALUE"""),1.0)</f>
        <v>1</v>
      </c>
      <c r="J983" s="2">
        <f>IFERROR(__xludf.DUMMYFUNCTION("""COMPUTED_VALUE"""),146.0)</f>
        <v>146</v>
      </c>
      <c r="K983" s="2">
        <f>IFERROR(__xludf.DUMMYFUNCTION("""COMPUTED_VALUE"""),146.0)</f>
        <v>146</v>
      </c>
    </row>
    <row r="984">
      <c r="A984" s="2">
        <f>IFERROR(__xludf.DUMMYFUNCTION("""COMPUTED_VALUE"""),2000.0)</f>
        <v>2000</v>
      </c>
      <c r="B984" s="2">
        <f>IFERROR(__xludf.DUMMYFUNCTION("""COMPUTED_VALUE"""),184162.0)</f>
        <v>184162</v>
      </c>
      <c r="C984" s="2">
        <f>IFERROR(__xludf.DUMMYFUNCTION("""COMPUTED_VALUE"""),2026.0)</f>
        <v>2026</v>
      </c>
      <c r="D984" s="2">
        <f>IFERROR(__xludf.DUMMYFUNCTION("""COMPUTED_VALUE"""),46188.0)</f>
        <v>46188</v>
      </c>
      <c r="E984" s="2" t="str">
        <f>IFERROR(__xludf.DUMMYFUNCTION("""COMPUTED_VALUE"""),"VF")</f>
        <v>VF</v>
      </c>
      <c r="F984" s="2">
        <f>IFERROR(__xludf.DUMMYFUNCTION("""COMPUTED_VALUE"""),1.0)</f>
        <v>1</v>
      </c>
      <c r="G984" s="2" t="str">
        <f>IFERROR(__xludf.DUMMYFUNCTION("""COMPUTED_VALUE"""),"PR038")</f>
        <v>PR038</v>
      </c>
      <c r="H984" s="2" t="str">
        <f>IFERROR(__xludf.DUMMYFUNCTION("""COMPUTED_VALUE"""),"VD012")</f>
        <v>VD012</v>
      </c>
      <c r="I984" s="2">
        <f>IFERROR(__xludf.DUMMYFUNCTION("""COMPUTED_VALUE"""),4.0)</f>
        <v>4</v>
      </c>
      <c r="J984" s="2">
        <f>IFERROR(__xludf.DUMMYFUNCTION("""COMPUTED_VALUE"""),577.32)</f>
        <v>577.32</v>
      </c>
      <c r="K984" s="2">
        <f>IFERROR(__xludf.DUMMYFUNCTION("""COMPUTED_VALUE"""),577.32)</f>
        <v>577.32</v>
      </c>
    </row>
    <row r="985">
      <c r="A985" s="2">
        <f>IFERROR(__xludf.DUMMYFUNCTION("""COMPUTED_VALUE"""),1000.0)</f>
        <v>1000</v>
      </c>
      <c r="B985" s="2">
        <f>IFERROR(__xludf.DUMMYFUNCTION("""COMPUTED_VALUE"""),184163.0)</f>
        <v>184163</v>
      </c>
      <c r="C985" s="2">
        <f>IFERROR(__xludf.DUMMYFUNCTION("""COMPUTED_VALUE"""),2026.0)</f>
        <v>2026</v>
      </c>
      <c r="D985" s="2">
        <f>IFERROR(__xludf.DUMMYFUNCTION("""COMPUTED_VALUE"""),46188.0)</f>
        <v>46188</v>
      </c>
      <c r="E985" s="2" t="str">
        <f>IFERROR(__xludf.DUMMYFUNCTION("""COMPUTED_VALUE"""),"VF")</f>
        <v>VF</v>
      </c>
      <c r="F985" s="2">
        <f>IFERROR(__xludf.DUMMYFUNCTION("""COMPUTED_VALUE"""),1.0)</f>
        <v>1</v>
      </c>
      <c r="G985" s="2" t="str">
        <f>IFERROR(__xludf.DUMMYFUNCTION("""COMPUTED_VALUE"""),"PR030")</f>
        <v>PR030</v>
      </c>
      <c r="H985" s="2" t="str">
        <f>IFERROR(__xludf.DUMMYFUNCTION("""COMPUTED_VALUE"""),"VD035")</f>
        <v>VD035</v>
      </c>
      <c r="I985" s="2">
        <f>IFERROR(__xludf.DUMMYFUNCTION("""COMPUTED_VALUE"""),2.0)</f>
        <v>2</v>
      </c>
      <c r="J985" s="2">
        <f>IFERROR(__xludf.DUMMYFUNCTION("""COMPUTED_VALUE"""),571.78)</f>
        <v>571.78</v>
      </c>
      <c r="K985" s="2">
        <f>IFERROR(__xludf.DUMMYFUNCTION("""COMPUTED_VALUE"""),571.78)</f>
        <v>571.78</v>
      </c>
    </row>
    <row r="986">
      <c r="A986" s="2">
        <f>IFERROR(__xludf.DUMMYFUNCTION("""COMPUTED_VALUE"""),1000.0)</f>
        <v>1000</v>
      </c>
      <c r="B986" s="2">
        <f>IFERROR(__xludf.DUMMYFUNCTION("""COMPUTED_VALUE"""),184164.0)</f>
        <v>184164</v>
      </c>
      <c r="C986" s="2">
        <f>IFERROR(__xludf.DUMMYFUNCTION("""COMPUTED_VALUE"""),2026.0)</f>
        <v>2026</v>
      </c>
      <c r="D986" s="2">
        <f>IFERROR(__xludf.DUMMYFUNCTION("""COMPUTED_VALUE"""),46188.0)</f>
        <v>46188</v>
      </c>
      <c r="E986" s="2" t="str">
        <f>IFERROR(__xludf.DUMMYFUNCTION("""COMPUTED_VALUE"""),"VF")</f>
        <v>VF</v>
      </c>
      <c r="F986" s="2">
        <f>IFERROR(__xludf.DUMMYFUNCTION("""COMPUTED_VALUE"""),1.0)</f>
        <v>1</v>
      </c>
      <c r="G986" s="2" t="str">
        <f>IFERROR(__xludf.DUMMYFUNCTION("""COMPUTED_VALUE"""),"PR015")</f>
        <v>PR015</v>
      </c>
      <c r="H986" s="2" t="str">
        <f>IFERROR(__xludf.DUMMYFUNCTION("""COMPUTED_VALUE"""),"VD013")</f>
        <v>VD013</v>
      </c>
      <c r="I986" s="2">
        <f>IFERROR(__xludf.DUMMYFUNCTION("""COMPUTED_VALUE"""),20.0)</f>
        <v>20</v>
      </c>
      <c r="J986" s="2">
        <f>IFERROR(__xludf.DUMMYFUNCTION("""COMPUTED_VALUE"""),901.0)</f>
        <v>901</v>
      </c>
      <c r="K986" s="2">
        <f>IFERROR(__xludf.DUMMYFUNCTION("""COMPUTED_VALUE"""),901.0)</f>
        <v>901</v>
      </c>
    </row>
    <row r="987">
      <c r="A987" s="2">
        <f>IFERROR(__xludf.DUMMYFUNCTION("""COMPUTED_VALUE"""),1000.0)</f>
        <v>1000</v>
      </c>
      <c r="B987" s="2">
        <f>IFERROR(__xludf.DUMMYFUNCTION("""COMPUTED_VALUE"""),184165.0)</f>
        <v>184165</v>
      </c>
      <c r="C987" s="2">
        <f>IFERROR(__xludf.DUMMYFUNCTION("""COMPUTED_VALUE"""),2026.0)</f>
        <v>2026</v>
      </c>
      <c r="D987" s="2">
        <f>IFERROR(__xludf.DUMMYFUNCTION("""COMPUTED_VALUE"""),46187.0)</f>
        <v>46187</v>
      </c>
      <c r="E987" s="2" t="str">
        <f>IFERROR(__xludf.DUMMYFUNCTION("""COMPUTED_VALUE"""),"VF")</f>
        <v>VF</v>
      </c>
      <c r="F987" s="2">
        <f>IFERROR(__xludf.DUMMYFUNCTION("""COMPUTED_VALUE"""),1.0)</f>
        <v>1</v>
      </c>
      <c r="G987" s="2" t="str">
        <f>IFERROR(__xludf.DUMMYFUNCTION("""COMPUTED_VALUE"""),"PR025")</f>
        <v>PR025</v>
      </c>
      <c r="H987" s="2" t="str">
        <f>IFERROR(__xludf.DUMMYFUNCTION("""COMPUTED_VALUE"""),"VD021")</f>
        <v>VD021</v>
      </c>
      <c r="I987" s="2">
        <f>IFERROR(__xludf.DUMMYFUNCTION("""COMPUTED_VALUE"""),12.0)</f>
        <v>12</v>
      </c>
      <c r="J987" s="2">
        <f>IFERROR(__xludf.DUMMYFUNCTION("""COMPUTED_VALUE"""),3850.72)</f>
        <v>3850.72</v>
      </c>
      <c r="K987" s="2">
        <f>IFERROR(__xludf.DUMMYFUNCTION("""COMPUTED_VALUE"""),3850.72)</f>
        <v>3850.72</v>
      </c>
    </row>
    <row r="988">
      <c r="A988" s="2">
        <f>IFERROR(__xludf.DUMMYFUNCTION("""COMPUTED_VALUE"""),1000.0)</f>
        <v>1000</v>
      </c>
      <c r="B988" s="2">
        <f>IFERROR(__xludf.DUMMYFUNCTION("""COMPUTED_VALUE"""),184166.0)</f>
        <v>184166</v>
      </c>
      <c r="C988" s="2">
        <f>IFERROR(__xludf.DUMMYFUNCTION("""COMPUTED_VALUE"""),2026.0)</f>
        <v>2026</v>
      </c>
      <c r="D988" s="2">
        <f>IFERROR(__xludf.DUMMYFUNCTION("""COMPUTED_VALUE"""),46187.0)</f>
        <v>46187</v>
      </c>
      <c r="E988" s="2" t="str">
        <f>IFERROR(__xludf.DUMMYFUNCTION("""COMPUTED_VALUE"""),"VF")</f>
        <v>VF</v>
      </c>
      <c r="F988" s="2">
        <f>IFERROR(__xludf.DUMMYFUNCTION("""COMPUTED_VALUE"""),1.0)</f>
        <v>1</v>
      </c>
      <c r="G988" s="2" t="str">
        <f>IFERROR(__xludf.DUMMYFUNCTION("""COMPUTED_VALUE"""),"PR016")</f>
        <v>PR016</v>
      </c>
      <c r="H988" s="2" t="str">
        <f>IFERROR(__xludf.DUMMYFUNCTION("""COMPUTED_VALUE"""),"VD023")</f>
        <v>VD023</v>
      </c>
      <c r="I988" s="2">
        <f>IFERROR(__xludf.DUMMYFUNCTION("""COMPUTED_VALUE"""),14.0)</f>
        <v>14</v>
      </c>
      <c r="J988" s="2">
        <f>IFERROR(__xludf.DUMMYFUNCTION("""COMPUTED_VALUE"""),398.86)</f>
        <v>398.86</v>
      </c>
      <c r="K988" s="2">
        <f>IFERROR(__xludf.DUMMYFUNCTION("""COMPUTED_VALUE"""),398.86)</f>
        <v>398.86</v>
      </c>
    </row>
    <row r="989">
      <c r="A989" s="2">
        <f>IFERROR(__xludf.DUMMYFUNCTION("""COMPUTED_VALUE"""),1000.0)</f>
        <v>1000</v>
      </c>
      <c r="B989" s="2">
        <f>IFERROR(__xludf.DUMMYFUNCTION("""COMPUTED_VALUE"""),184167.0)</f>
        <v>184167</v>
      </c>
      <c r="C989" s="2">
        <f>IFERROR(__xludf.DUMMYFUNCTION("""COMPUTED_VALUE"""),2026.0)</f>
        <v>2026</v>
      </c>
      <c r="D989" s="2">
        <f>IFERROR(__xludf.DUMMYFUNCTION("""COMPUTED_VALUE"""),46187.0)</f>
        <v>46187</v>
      </c>
      <c r="E989" s="2" t="str">
        <f>IFERROR(__xludf.DUMMYFUNCTION("""COMPUTED_VALUE"""),"VF")</f>
        <v>VF</v>
      </c>
      <c r="F989" s="2">
        <f>IFERROR(__xludf.DUMMYFUNCTION("""COMPUTED_VALUE"""),1.0)</f>
        <v>1</v>
      </c>
      <c r="G989" s="2" t="str">
        <f>IFERROR(__xludf.DUMMYFUNCTION("""COMPUTED_VALUE"""),"PR048")</f>
        <v>PR048</v>
      </c>
      <c r="H989" s="2" t="str">
        <f>IFERROR(__xludf.DUMMYFUNCTION("""COMPUTED_VALUE"""),"VD038")</f>
        <v>VD038</v>
      </c>
      <c r="I989" s="2">
        <f>IFERROR(__xludf.DUMMYFUNCTION("""COMPUTED_VALUE"""),2.0)</f>
        <v>2</v>
      </c>
      <c r="J989" s="2">
        <f>IFERROR(__xludf.DUMMYFUNCTION("""COMPUTED_VALUE"""),620.39)</f>
        <v>620.39</v>
      </c>
      <c r="K989" s="2">
        <f>IFERROR(__xludf.DUMMYFUNCTION("""COMPUTED_VALUE"""),620.39)</f>
        <v>620.39</v>
      </c>
    </row>
    <row r="990">
      <c r="A990" s="2">
        <f>IFERROR(__xludf.DUMMYFUNCTION("""COMPUTED_VALUE"""),1000.0)</f>
        <v>1000</v>
      </c>
      <c r="B990" s="2">
        <f>IFERROR(__xludf.DUMMYFUNCTION("""COMPUTED_VALUE"""),184168.0)</f>
        <v>184168</v>
      </c>
      <c r="C990" s="2">
        <f>IFERROR(__xludf.DUMMYFUNCTION("""COMPUTED_VALUE"""),2026.0)</f>
        <v>2026</v>
      </c>
      <c r="D990" s="2">
        <f>IFERROR(__xludf.DUMMYFUNCTION("""COMPUTED_VALUE"""),46186.0)</f>
        <v>46186</v>
      </c>
      <c r="E990" s="2" t="str">
        <f>IFERROR(__xludf.DUMMYFUNCTION("""COMPUTED_VALUE"""),"VF")</f>
        <v>VF</v>
      </c>
      <c r="F990" s="2">
        <f>IFERROR(__xludf.DUMMYFUNCTION("""COMPUTED_VALUE"""),1.0)</f>
        <v>1</v>
      </c>
      <c r="G990" s="2" t="str">
        <f>IFERROR(__xludf.DUMMYFUNCTION("""COMPUTED_VALUE"""),"PR051")</f>
        <v>PR051</v>
      </c>
      <c r="H990" s="2" t="str">
        <f>IFERROR(__xludf.DUMMYFUNCTION("""COMPUTED_VALUE"""),"VD010")</f>
        <v>VD010</v>
      </c>
      <c r="I990" s="2">
        <f>IFERROR(__xludf.DUMMYFUNCTION("""COMPUTED_VALUE"""),10.0)</f>
        <v>10</v>
      </c>
      <c r="J990" s="2">
        <f>IFERROR(__xludf.DUMMYFUNCTION("""COMPUTED_VALUE"""),342.16)</f>
        <v>342.16</v>
      </c>
      <c r="K990" s="2">
        <f>IFERROR(__xludf.DUMMYFUNCTION("""COMPUTED_VALUE"""),342.16)</f>
        <v>342.16</v>
      </c>
    </row>
    <row r="991">
      <c r="A991" s="2">
        <f>IFERROR(__xludf.DUMMYFUNCTION("""COMPUTED_VALUE"""),1000.0)</f>
        <v>1000</v>
      </c>
      <c r="B991" s="2">
        <f>IFERROR(__xludf.DUMMYFUNCTION("""COMPUTED_VALUE"""),184169.0)</f>
        <v>184169</v>
      </c>
      <c r="C991" s="2">
        <f>IFERROR(__xludf.DUMMYFUNCTION("""COMPUTED_VALUE"""),2026.0)</f>
        <v>2026</v>
      </c>
      <c r="D991" s="2">
        <f>IFERROR(__xludf.DUMMYFUNCTION("""COMPUTED_VALUE"""),46186.0)</f>
        <v>46186</v>
      </c>
      <c r="E991" s="2" t="str">
        <f>IFERROR(__xludf.DUMMYFUNCTION("""COMPUTED_VALUE"""),"VF")</f>
        <v>VF</v>
      </c>
      <c r="F991" s="2">
        <f>IFERROR(__xludf.DUMMYFUNCTION("""COMPUTED_VALUE"""),1.0)</f>
        <v>1</v>
      </c>
      <c r="G991" s="2" t="str">
        <f>IFERROR(__xludf.DUMMYFUNCTION("""COMPUTED_VALUE"""),"PR060")</f>
        <v>PR060</v>
      </c>
      <c r="H991" s="2" t="str">
        <f>IFERROR(__xludf.DUMMYFUNCTION("""COMPUTED_VALUE"""),"VD025")</f>
        <v>VD025</v>
      </c>
      <c r="I991" s="2">
        <f>IFERROR(__xludf.DUMMYFUNCTION("""COMPUTED_VALUE"""),7.0)</f>
        <v>7</v>
      </c>
      <c r="J991" s="2">
        <f>IFERROR(__xludf.DUMMYFUNCTION("""COMPUTED_VALUE"""),1335.6)</f>
        <v>1335.6</v>
      </c>
      <c r="K991" s="2">
        <f>IFERROR(__xludf.DUMMYFUNCTION("""COMPUTED_VALUE"""),1335.6)</f>
        <v>1335.6</v>
      </c>
    </row>
    <row r="992">
      <c r="A992" s="2">
        <f>IFERROR(__xludf.DUMMYFUNCTION("""COMPUTED_VALUE"""),2000.0)</f>
        <v>2000</v>
      </c>
      <c r="B992" s="2">
        <f>IFERROR(__xludf.DUMMYFUNCTION("""COMPUTED_VALUE"""),184170.0)</f>
        <v>184170</v>
      </c>
      <c r="C992" s="2">
        <f>IFERROR(__xludf.DUMMYFUNCTION("""COMPUTED_VALUE"""),2026.0)</f>
        <v>2026</v>
      </c>
      <c r="D992" s="2">
        <f>IFERROR(__xludf.DUMMYFUNCTION("""COMPUTED_VALUE"""),46185.0)</f>
        <v>46185</v>
      </c>
      <c r="E992" s="2" t="str">
        <f>IFERROR(__xludf.DUMMYFUNCTION("""COMPUTED_VALUE"""),"VF")</f>
        <v>VF</v>
      </c>
      <c r="F992" s="2">
        <f>IFERROR(__xludf.DUMMYFUNCTION("""COMPUTED_VALUE"""),1.0)</f>
        <v>1</v>
      </c>
      <c r="G992" s="2" t="str">
        <f>IFERROR(__xludf.DUMMYFUNCTION("""COMPUTED_VALUE"""),"PR056")</f>
        <v>PR056</v>
      </c>
      <c r="H992" s="2" t="str">
        <f>IFERROR(__xludf.DUMMYFUNCTION("""COMPUTED_VALUE"""),"VD035")</f>
        <v>VD035</v>
      </c>
      <c r="I992" s="2">
        <f>IFERROR(__xludf.DUMMYFUNCTION("""COMPUTED_VALUE"""),4.0)</f>
        <v>4</v>
      </c>
      <c r="J992" s="2">
        <f>IFERROR(__xludf.DUMMYFUNCTION("""COMPUTED_VALUE"""),370.39)</f>
        <v>370.39</v>
      </c>
      <c r="K992" s="2">
        <f>IFERROR(__xludf.DUMMYFUNCTION("""COMPUTED_VALUE"""),370.39)</f>
        <v>370.39</v>
      </c>
    </row>
    <row r="993">
      <c r="A993" s="2">
        <f>IFERROR(__xludf.DUMMYFUNCTION("""COMPUTED_VALUE"""),1000.0)</f>
        <v>1000</v>
      </c>
      <c r="B993" s="2">
        <f>IFERROR(__xludf.DUMMYFUNCTION("""COMPUTED_VALUE"""),184170.0)</f>
        <v>184170</v>
      </c>
      <c r="C993" s="2">
        <f>IFERROR(__xludf.DUMMYFUNCTION("""COMPUTED_VALUE"""),2026.0)</f>
        <v>2026</v>
      </c>
      <c r="D993" s="2">
        <f>IFERROR(__xludf.DUMMYFUNCTION("""COMPUTED_VALUE"""),46185.0)</f>
        <v>46185</v>
      </c>
      <c r="E993" s="2" t="str">
        <f>IFERROR(__xludf.DUMMYFUNCTION("""COMPUTED_VALUE"""),"VF")</f>
        <v>VF</v>
      </c>
      <c r="F993" s="2">
        <f>IFERROR(__xludf.DUMMYFUNCTION("""COMPUTED_VALUE"""),2.0)</f>
        <v>2</v>
      </c>
      <c r="G993" s="2" t="str">
        <f>IFERROR(__xludf.DUMMYFUNCTION("""COMPUTED_VALUE"""),"PR033")</f>
        <v>PR033</v>
      </c>
      <c r="H993" s="2" t="str">
        <f>IFERROR(__xludf.DUMMYFUNCTION("""COMPUTED_VALUE"""),"VD036")</f>
        <v>VD036</v>
      </c>
      <c r="I993" s="2">
        <f>IFERROR(__xludf.DUMMYFUNCTION("""COMPUTED_VALUE"""),1.0)</f>
        <v>1</v>
      </c>
      <c r="J993" s="2">
        <f>IFERROR(__xludf.DUMMYFUNCTION("""COMPUTED_VALUE"""),262.5)</f>
        <v>262.5</v>
      </c>
      <c r="K993" s="2">
        <f>IFERROR(__xludf.DUMMYFUNCTION("""COMPUTED_VALUE"""),262.5)</f>
        <v>262.5</v>
      </c>
    </row>
    <row r="994">
      <c r="A994" s="2">
        <f>IFERROR(__xludf.DUMMYFUNCTION("""COMPUTED_VALUE"""),1000.0)</f>
        <v>1000</v>
      </c>
      <c r="B994" s="2">
        <f>IFERROR(__xludf.DUMMYFUNCTION("""COMPUTED_VALUE"""),184171.0)</f>
        <v>184171</v>
      </c>
      <c r="C994" s="2">
        <f>IFERROR(__xludf.DUMMYFUNCTION("""COMPUTED_VALUE"""),2026.0)</f>
        <v>2026</v>
      </c>
      <c r="D994" s="2">
        <f>IFERROR(__xludf.DUMMYFUNCTION("""COMPUTED_VALUE"""),46185.0)</f>
        <v>46185</v>
      </c>
      <c r="E994" s="2" t="str">
        <f>IFERROR(__xludf.DUMMYFUNCTION("""COMPUTED_VALUE"""),"VF")</f>
        <v>VF</v>
      </c>
      <c r="F994" s="2">
        <f>IFERROR(__xludf.DUMMYFUNCTION("""COMPUTED_VALUE"""),1.0)</f>
        <v>1</v>
      </c>
      <c r="G994" s="2" t="str">
        <f>IFERROR(__xludf.DUMMYFUNCTION("""COMPUTED_VALUE"""),"PR040")</f>
        <v>PR040</v>
      </c>
      <c r="H994" s="2" t="str">
        <f>IFERROR(__xludf.DUMMYFUNCTION("""COMPUTED_VALUE"""),"VD036")</f>
        <v>VD036</v>
      </c>
      <c r="I994" s="2">
        <f>IFERROR(__xludf.DUMMYFUNCTION("""COMPUTED_VALUE"""),8.0)</f>
        <v>8</v>
      </c>
      <c r="J994" s="2">
        <f>IFERROR(__xludf.DUMMYFUNCTION("""COMPUTED_VALUE"""),576.8)</f>
        <v>576.8</v>
      </c>
      <c r="K994" s="2">
        <f>IFERROR(__xludf.DUMMYFUNCTION("""COMPUTED_VALUE"""),576.8)</f>
        <v>576.8</v>
      </c>
    </row>
    <row r="995">
      <c r="A995" s="2">
        <f>IFERROR(__xludf.DUMMYFUNCTION("""COMPUTED_VALUE"""),1000.0)</f>
        <v>1000</v>
      </c>
      <c r="B995" s="2">
        <f>IFERROR(__xludf.DUMMYFUNCTION("""COMPUTED_VALUE"""),184172.0)</f>
        <v>184172</v>
      </c>
      <c r="C995" s="2">
        <f>IFERROR(__xludf.DUMMYFUNCTION("""COMPUTED_VALUE"""),2026.0)</f>
        <v>2026</v>
      </c>
      <c r="D995" s="2">
        <f>IFERROR(__xludf.DUMMYFUNCTION("""COMPUTED_VALUE"""),46185.0)</f>
        <v>46185</v>
      </c>
      <c r="E995" s="2" t="str">
        <f>IFERROR(__xludf.DUMMYFUNCTION("""COMPUTED_VALUE"""),"VF")</f>
        <v>VF</v>
      </c>
      <c r="F995" s="2">
        <f>IFERROR(__xludf.DUMMYFUNCTION("""COMPUTED_VALUE"""),1.0)</f>
        <v>1</v>
      </c>
      <c r="G995" s="2" t="str">
        <f>IFERROR(__xludf.DUMMYFUNCTION("""COMPUTED_VALUE"""),"PR045")</f>
        <v>PR045</v>
      </c>
      <c r="H995" s="2" t="str">
        <f>IFERROR(__xludf.DUMMYFUNCTION("""COMPUTED_VALUE"""),"VD020")</f>
        <v>VD020</v>
      </c>
      <c r="I995" s="2">
        <f>IFERROR(__xludf.DUMMYFUNCTION("""COMPUTED_VALUE"""),6.0)</f>
        <v>6</v>
      </c>
      <c r="J995" s="2">
        <f>IFERROR(__xludf.DUMMYFUNCTION("""COMPUTED_VALUE"""),435.0)</f>
        <v>435</v>
      </c>
      <c r="K995" s="2">
        <f>IFERROR(__xludf.DUMMYFUNCTION("""COMPUTED_VALUE"""),435.0)</f>
        <v>435</v>
      </c>
    </row>
    <row r="996">
      <c r="A996" s="2">
        <f>IFERROR(__xludf.DUMMYFUNCTION("""COMPUTED_VALUE"""),2000.0)</f>
        <v>2000</v>
      </c>
      <c r="B996" s="2">
        <f>IFERROR(__xludf.DUMMYFUNCTION("""COMPUTED_VALUE"""),184173.0)</f>
        <v>184173</v>
      </c>
      <c r="C996" s="2">
        <f>IFERROR(__xludf.DUMMYFUNCTION("""COMPUTED_VALUE"""),2026.0)</f>
        <v>2026</v>
      </c>
      <c r="D996" s="2">
        <f>IFERROR(__xludf.DUMMYFUNCTION("""COMPUTED_VALUE"""),46185.0)</f>
        <v>46185</v>
      </c>
      <c r="E996" s="2" t="str">
        <f>IFERROR(__xludf.DUMMYFUNCTION("""COMPUTED_VALUE"""),"VF")</f>
        <v>VF</v>
      </c>
      <c r="F996" s="2">
        <f>IFERROR(__xludf.DUMMYFUNCTION("""COMPUTED_VALUE"""),1.0)</f>
        <v>1</v>
      </c>
      <c r="G996" s="2" t="str">
        <f>IFERROR(__xludf.DUMMYFUNCTION("""COMPUTED_VALUE"""),"PR017")</f>
        <v>PR017</v>
      </c>
      <c r="H996" s="2" t="str">
        <f>IFERROR(__xludf.DUMMYFUNCTION("""COMPUTED_VALUE"""),"VD022")</f>
        <v>VD022</v>
      </c>
      <c r="I996" s="2">
        <f>IFERROR(__xludf.DUMMYFUNCTION("""COMPUTED_VALUE"""),10.0)</f>
        <v>10</v>
      </c>
      <c r="J996" s="2">
        <f>IFERROR(__xludf.DUMMYFUNCTION("""COMPUTED_VALUE"""),325.91)</f>
        <v>325.91</v>
      </c>
      <c r="K996" s="2">
        <f>IFERROR(__xludf.DUMMYFUNCTION("""COMPUTED_VALUE"""),325.91)</f>
        <v>325.91</v>
      </c>
    </row>
    <row r="997">
      <c r="A997" s="2">
        <f>IFERROR(__xludf.DUMMYFUNCTION("""COMPUTED_VALUE"""),2000.0)</f>
        <v>2000</v>
      </c>
      <c r="B997" s="2">
        <f>IFERROR(__xludf.DUMMYFUNCTION("""COMPUTED_VALUE"""),184174.0)</f>
        <v>184174</v>
      </c>
      <c r="C997" s="2">
        <f>IFERROR(__xludf.DUMMYFUNCTION("""COMPUTED_VALUE"""),2026.0)</f>
        <v>2026</v>
      </c>
      <c r="D997" s="2">
        <f>IFERROR(__xludf.DUMMYFUNCTION("""COMPUTED_VALUE"""),46185.0)</f>
        <v>46185</v>
      </c>
      <c r="E997" s="2" t="str">
        <f>IFERROR(__xludf.DUMMYFUNCTION("""COMPUTED_VALUE"""),"VF")</f>
        <v>VF</v>
      </c>
      <c r="F997" s="2">
        <f>IFERROR(__xludf.DUMMYFUNCTION("""COMPUTED_VALUE"""),1.0)</f>
        <v>1</v>
      </c>
      <c r="G997" s="2" t="str">
        <f>IFERROR(__xludf.DUMMYFUNCTION("""COMPUTED_VALUE"""),"PR033")</f>
        <v>PR033</v>
      </c>
      <c r="H997" s="2" t="str">
        <f>IFERROR(__xludf.DUMMYFUNCTION("""COMPUTED_VALUE"""),"VD036")</f>
        <v>VD036</v>
      </c>
      <c r="I997" s="2">
        <f>IFERROR(__xludf.DUMMYFUNCTION("""COMPUTED_VALUE"""),10.0)</f>
        <v>10</v>
      </c>
      <c r="J997" s="2">
        <f>IFERROR(__xludf.DUMMYFUNCTION("""COMPUTED_VALUE"""),2780.93)</f>
        <v>2780.93</v>
      </c>
      <c r="K997" s="2">
        <f>IFERROR(__xludf.DUMMYFUNCTION("""COMPUTED_VALUE"""),2780.93)</f>
        <v>2780.93</v>
      </c>
    </row>
    <row r="998">
      <c r="A998" s="2">
        <f>IFERROR(__xludf.DUMMYFUNCTION("""COMPUTED_VALUE"""),1000.0)</f>
        <v>1000</v>
      </c>
      <c r="B998" s="2">
        <f>IFERROR(__xludf.DUMMYFUNCTION("""COMPUTED_VALUE"""),184175.0)</f>
        <v>184175</v>
      </c>
      <c r="C998" s="2">
        <f>IFERROR(__xludf.DUMMYFUNCTION("""COMPUTED_VALUE"""),2026.0)</f>
        <v>2026</v>
      </c>
      <c r="D998" s="2">
        <f>IFERROR(__xludf.DUMMYFUNCTION("""COMPUTED_VALUE"""),46185.0)</f>
        <v>46185</v>
      </c>
      <c r="E998" s="2" t="str">
        <f>IFERROR(__xludf.DUMMYFUNCTION("""COMPUTED_VALUE"""),"VF")</f>
        <v>VF</v>
      </c>
      <c r="F998" s="2">
        <f>IFERROR(__xludf.DUMMYFUNCTION("""COMPUTED_VALUE"""),1.0)</f>
        <v>1</v>
      </c>
      <c r="G998" s="2" t="str">
        <f>IFERROR(__xludf.DUMMYFUNCTION("""COMPUTED_VALUE"""),"PR017")</f>
        <v>PR017</v>
      </c>
      <c r="H998" s="2" t="str">
        <f>IFERROR(__xludf.DUMMYFUNCTION("""COMPUTED_VALUE"""),"VD025")</f>
        <v>VD025</v>
      </c>
      <c r="I998" s="2">
        <f>IFERROR(__xludf.DUMMYFUNCTION("""COMPUTED_VALUE"""),1.0)</f>
        <v>1</v>
      </c>
      <c r="J998" s="2">
        <f>IFERROR(__xludf.DUMMYFUNCTION("""COMPUTED_VALUE"""),30.2)</f>
        <v>30.2</v>
      </c>
      <c r="K998" s="2">
        <f>IFERROR(__xludf.DUMMYFUNCTION("""COMPUTED_VALUE"""),30.2)</f>
        <v>30.2</v>
      </c>
    </row>
    <row r="999">
      <c r="A999" s="2">
        <f>IFERROR(__xludf.DUMMYFUNCTION("""COMPUTED_VALUE"""),1000.0)</f>
        <v>1000</v>
      </c>
      <c r="B999" s="2">
        <f>IFERROR(__xludf.DUMMYFUNCTION("""COMPUTED_VALUE"""),184176.0)</f>
        <v>184176</v>
      </c>
      <c r="C999" s="2">
        <f>IFERROR(__xludf.DUMMYFUNCTION("""COMPUTED_VALUE"""),2026.0)</f>
        <v>2026</v>
      </c>
      <c r="D999" s="2">
        <f>IFERROR(__xludf.DUMMYFUNCTION("""COMPUTED_VALUE"""),46185.0)</f>
        <v>46185</v>
      </c>
      <c r="E999" s="2" t="str">
        <f>IFERROR(__xludf.DUMMYFUNCTION("""COMPUTED_VALUE"""),"VF")</f>
        <v>VF</v>
      </c>
      <c r="F999" s="2">
        <f>IFERROR(__xludf.DUMMYFUNCTION("""COMPUTED_VALUE"""),1.0)</f>
        <v>1</v>
      </c>
      <c r="G999" s="2" t="str">
        <f>IFERROR(__xludf.DUMMYFUNCTION("""COMPUTED_VALUE"""),"PR055")</f>
        <v>PR055</v>
      </c>
      <c r="H999" s="2" t="str">
        <f>IFERROR(__xludf.DUMMYFUNCTION("""COMPUTED_VALUE"""),"VD037")</f>
        <v>VD037</v>
      </c>
      <c r="I999" s="2">
        <f>IFERROR(__xludf.DUMMYFUNCTION("""COMPUTED_VALUE"""),3.0)</f>
        <v>3</v>
      </c>
      <c r="J999" s="2">
        <f>IFERROR(__xludf.DUMMYFUNCTION("""COMPUTED_VALUE"""),296.67)</f>
        <v>296.67</v>
      </c>
      <c r="K999" s="2">
        <f>IFERROR(__xludf.DUMMYFUNCTION("""COMPUTED_VALUE"""),296.67)</f>
        <v>296.67</v>
      </c>
    </row>
    <row r="1000">
      <c r="A1000" s="2">
        <f>IFERROR(__xludf.DUMMYFUNCTION("""COMPUTED_VALUE"""),1000.0)</f>
        <v>1000</v>
      </c>
      <c r="B1000" s="2">
        <f>IFERROR(__xludf.DUMMYFUNCTION("""COMPUTED_VALUE"""),184177.0)</f>
        <v>184177</v>
      </c>
      <c r="C1000" s="2">
        <f>IFERROR(__xludf.DUMMYFUNCTION("""COMPUTED_VALUE"""),2026.0)</f>
        <v>2026</v>
      </c>
      <c r="D1000" s="2">
        <f>IFERROR(__xludf.DUMMYFUNCTION("""COMPUTED_VALUE"""),46185.0)</f>
        <v>46185</v>
      </c>
      <c r="E1000" s="2" t="str">
        <f>IFERROR(__xludf.DUMMYFUNCTION("""COMPUTED_VALUE"""),"VF")</f>
        <v>VF</v>
      </c>
      <c r="F1000" s="2">
        <f>IFERROR(__xludf.DUMMYFUNCTION("""COMPUTED_VALUE"""),1.0)</f>
        <v>1</v>
      </c>
      <c r="G1000" s="2" t="str">
        <f>IFERROR(__xludf.DUMMYFUNCTION("""COMPUTED_VALUE"""),"PR019")</f>
        <v>PR019</v>
      </c>
      <c r="H1000" s="2" t="str">
        <f>IFERROR(__xludf.DUMMYFUNCTION("""COMPUTED_VALUE"""),"VD027")</f>
        <v>VD027</v>
      </c>
      <c r="I1000" s="2">
        <f>IFERROR(__xludf.DUMMYFUNCTION("""COMPUTED_VALUE"""),4.0)</f>
        <v>4</v>
      </c>
      <c r="J1000" s="2">
        <f>IFERROR(__xludf.DUMMYFUNCTION("""COMPUTED_VALUE"""),217.56)</f>
        <v>217.56</v>
      </c>
      <c r="K1000" s="2">
        <f>IFERROR(__xludf.DUMMYFUNCTION("""COMPUTED_VALUE"""),217.56)</f>
        <v>217.56</v>
      </c>
    </row>
    <row r="1001">
      <c r="A1001" s="2">
        <f>IFERROR(__xludf.DUMMYFUNCTION("""COMPUTED_VALUE"""),1000.0)</f>
        <v>1000</v>
      </c>
      <c r="B1001" s="2">
        <f>IFERROR(__xludf.DUMMYFUNCTION("""COMPUTED_VALUE"""),184178.0)</f>
        <v>184178</v>
      </c>
      <c r="C1001" s="2">
        <f>IFERROR(__xludf.DUMMYFUNCTION("""COMPUTED_VALUE"""),2026.0)</f>
        <v>2026</v>
      </c>
      <c r="D1001" s="2">
        <f>IFERROR(__xludf.DUMMYFUNCTION("""COMPUTED_VALUE"""),46184.0)</f>
        <v>46184</v>
      </c>
      <c r="E1001" s="2" t="str">
        <f>IFERROR(__xludf.DUMMYFUNCTION("""COMPUTED_VALUE"""),"VF")</f>
        <v>VF</v>
      </c>
      <c r="F1001" s="2">
        <f>IFERROR(__xludf.DUMMYFUNCTION("""COMPUTED_VALUE"""),1.0)</f>
        <v>1</v>
      </c>
      <c r="G1001" s="2" t="str">
        <f>IFERROR(__xludf.DUMMYFUNCTION("""COMPUTED_VALUE"""),"PR014")</f>
        <v>PR014</v>
      </c>
      <c r="H1001" s="2" t="str">
        <f>IFERROR(__xludf.DUMMYFUNCTION("""COMPUTED_VALUE"""),"VD018")</f>
        <v>VD018</v>
      </c>
      <c r="I1001" s="2">
        <f>IFERROR(__xludf.DUMMYFUNCTION("""COMPUTED_VALUE"""),18.0)</f>
        <v>18</v>
      </c>
      <c r="J1001" s="2">
        <f>IFERROR(__xludf.DUMMYFUNCTION("""COMPUTED_VALUE"""),775.66)</f>
        <v>775.66</v>
      </c>
      <c r="K1001" s="2">
        <f>IFERROR(__xludf.DUMMYFUNCTION("""COMPUTED_VALUE"""),775.66)</f>
        <v>775.66</v>
      </c>
    </row>
    <row r="1002">
      <c r="A1002" s="2">
        <f>IFERROR(__xludf.DUMMYFUNCTION("""COMPUTED_VALUE"""),1000.0)</f>
        <v>1000</v>
      </c>
      <c r="B1002" s="2">
        <f>IFERROR(__xludf.DUMMYFUNCTION("""COMPUTED_VALUE"""),184179.0)</f>
        <v>184179</v>
      </c>
      <c r="C1002" s="2">
        <f>IFERROR(__xludf.DUMMYFUNCTION("""COMPUTED_VALUE"""),2026.0)</f>
        <v>2026</v>
      </c>
      <c r="D1002" s="2">
        <f>IFERROR(__xludf.DUMMYFUNCTION("""COMPUTED_VALUE"""),46184.0)</f>
        <v>46184</v>
      </c>
      <c r="E1002" s="2" t="str">
        <f>IFERROR(__xludf.DUMMYFUNCTION("""COMPUTED_VALUE"""),"VF")</f>
        <v>VF</v>
      </c>
      <c r="F1002" s="2">
        <f>IFERROR(__xludf.DUMMYFUNCTION("""COMPUTED_VALUE"""),1.0)</f>
        <v>1</v>
      </c>
      <c r="G1002" s="2" t="str">
        <f>IFERROR(__xludf.DUMMYFUNCTION("""COMPUTED_VALUE"""),"PR045")</f>
        <v>PR045</v>
      </c>
      <c r="H1002" s="2" t="str">
        <f>IFERROR(__xludf.DUMMYFUNCTION("""COMPUTED_VALUE"""),"VD036")</f>
        <v>VD036</v>
      </c>
      <c r="I1002" s="2">
        <f>IFERROR(__xludf.DUMMYFUNCTION("""COMPUTED_VALUE"""),14.0)</f>
        <v>14</v>
      </c>
      <c r="J1002" s="2">
        <f>IFERROR(__xludf.DUMMYFUNCTION("""COMPUTED_VALUE"""),1025.15)</f>
        <v>1025.15</v>
      </c>
      <c r="K1002" s="2">
        <f>IFERROR(__xludf.DUMMYFUNCTION("""COMPUTED_VALUE"""),1025.15)</f>
        <v>1025.15</v>
      </c>
    </row>
    <row r="1003">
      <c r="A1003" s="2">
        <f>IFERROR(__xludf.DUMMYFUNCTION("""COMPUTED_VALUE"""),1000.0)</f>
        <v>1000</v>
      </c>
      <c r="B1003" s="2">
        <f>IFERROR(__xludf.DUMMYFUNCTION("""COMPUTED_VALUE"""),184180.0)</f>
        <v>184180</v>
      </c>
      <c r="C1003" s="2">
        <f>IFERROR(__xludf.DUMMYFUNCTION("""COMPUTED_VALUE"""),2026.0)</f>
        <v>2026</v>
      </c>
      <c r="D1003" s="2">
        <f>IFERROR(__xludf.DUMMYFUNCTION("""COMPUTED_VALUE"""),46184.0)</f>
        <v>46184</v>
      </c>
      <c r="E1003" s="2" t="str">
        <f>IFERROR(__xludf.DUMMYFUNCTION("""COMPUTED_VALUE"""),"VF")</f>
        <v>VF</v>
      </c>
      <c r="F1003" s="2">
        <f>IFERROR(__xludf.DUMMYFUNCTION("""COMPUTED_VALUE"""),1.0)</f>
        <v>1</v>
      </c>
      <c r="G1003" s="2" t="str">
        <f>IFERROR(__xludf.DUMMYFUNCTION("""COMPUTED_VALUE"""),"PR036")</f>
        <v>PR036</v>
      </c>
      <c r="H1003" s="2" t="str">
        <f>IFERROR(__xludf.DUMMYFUNCTION("""COMPUTED_VALUE"""),"VD034")</f>
        <v>VD034</v>
      </c>
      <c r="I1003" s="2">
        <f>IFERROR(__xludf.DUMMYFUNCTION("""COMPUTED_VALUE"""),8.0)</f>
        <v>8</v>
      </c>
      <c r="J1003" s="2">
        <f>IFERROR(__xludf.DUMMYFUNCTION("""COMPUTED_VALUE"""),770.44)</f>
        <v>770.44</v>
      </c>
      <c r="K1003" s="2">
        <f>IFERROR(__xludf.DUMMYFUNCTION("""COMPUTED_VALUE"""),770.44)</f>
        <v>770.44</v>
      </c>
    </row>
    <row r="1004">
      <c r="A1004" s="2">
        <f>IFERROR(__xludf.DUMMYFUNCTION("""COMPUTED_VALUE"""),1000.0)</f>
        <v>1000</v>
      </c>
      <c r="B1004" s="2">
        <f>IFERROR(__xludf.DUMMYFUNCTION("""COMPUTED_VALUE"""),184181.0)</f>
        <v>184181</v>
      </c>
      <c r="C1004" s="2">
        <f>IFERROR(__xludf.DUMMYFUNCTION("""COMPUTED_VALUE"""),2026.0)</f>
        <v>2026</v>
      </c>
      <c r="D1004" s="2">
        <f>IFERROR(__xludf.DUMMYFUNCTION("""COMPUTED_VALUE"""),46183.0)</f>
        <v>46183</v>
      </c>
      <c r="E1004" s="2" t="str">
        <f>IFERROR(__xludf.DUMMYFUNCTION("""COMPUTED_VALUE"""),"VF")</f>
        <v>VF</v>
      </c>
      <c r="F1004" s="2">
        <f>IFERROR(__xludf.DUMMYFUNCTION("""COMPUTED_VALUE"""),1.0)</f>
        <v>1</v>
      </c>
      <c r="G1004" s="2" t="str">
        <f>IFERROR(__xludf.DUMMYFUNCTION("""COMPUTED_VALUE"""),"PR007")</f>
        <v>PR007</v>
      </c>
      <c r="H1004" s="2" t="str">
        <f>IFERROR(__xludf.DUMMYFUNCTION("""COMPUTED_VALUE"""),"VD013")</f>
        <v>VD013</v>
      </c>
      <c r="I1004" s="2">
        <f>IFERROR(__xludf.DUMMYFUNCTION("""COMPUTED_VALUE"""),3.0)</f>
        <v>3</v>
      </c>
      <c r="J1004" s="2">
        <f>IFERROR(__xludf.DUMMYFUNCTION("""COMPUTED_VALUE"""),278.32)</f>
        <v>278.32</v>
      </c>
      <c r="K1004" s="2">
        <f>IFERROR(__xludf.DUMMYFUNCTION("""COMPUTED_VALUE"""),278.32)</f>
        <v>278.32</v>
      </c>
    </row>
    <row r="1005">
      <c r="A1005" s="2">
        <f>IFERROR(__xludf.DUMMYFUNCTION("""COMPUTED_VALUE"""),1000.0)</f>
        <v>1000</v>
      </c>
      <c r="B1005" s="2">
        <f>IFERROR(__xludf.DUMMYFUNCTION("""COMPUTED_VALUE"""),184182.0)</f>
        <v>184182</v>
      </c>
      <c r="C1005" s="2">
        <f>IFERROR(__xludf.DUMMYFUNCTION("""COMPUTED_VALUE"""),2026.0)</f>
        <v>2026</v>
      </c>
      <c r="D1005" s="2">
        <f>IFERROR(__xludf.DUMMYFUNCTION("""COMPUTED_VALUE"""),46183.0)</f>
        <v>46183</v>
      </c>
      <c r="E1005" s="2" t="str">
        <f>IFERROR(__xludf.DUMMYFUNCTION("""COMPUTED_VALUE"""),"VF")</f>
        <v>VF</v>
      </c>
      <c r="F1005" s="2">
        <f>IFERROR(__xludf.DUMMYFUNCTION("""COMPUTED_VALUE"""),1.0)</f>
        <v>1</v>
      </c>
      <c r="G1005" s="2" t="str">
        <f>IFERROR(__xludf.DUMMYFUNCTION("""COMPUTED_VALUE"""),"PR051")</f>
        <v>PR051</v>
      </c>
      <c r="H1005" s="2" t="str">
        <f>IFERROR(__xludf.DUMMYFUNCTION("""COMPUTED_VALUE"""),"VD028")</f>
        <v>VD028</v>
      </c>
      <c r="I1005" s="2">
        <f>IFERROR(__xludf.DUMMYFUNCTION("""COMPUTED_VALUE"""),7.0)</f>
        <v>7</v>
      </c>
      <c r="J1005" s="2">
        <f>IFERROR(__xludf.DUMMYFUNCTION("""COMPUTED_VALUE"""),230.3)</f>
        <v>230.3</v>
      </c>
      <c r="K1005" s="2">
        <f>IFERROR(__xludf.DUMMYFUNCTION("""COMPUTED_VALUE"""),230.3)</f>
        <v>230.3</v>
      </c>
    </row>
    <row r="1006">
      <c r="A1006" s="2">
        <f>IFERROR(__xludf.DUMMYFUNCTION("""COMPUTED_VALUE"""),1000.0)</f>
        <v>1000</v>
      </c>
      <c r="B1006" s="2">
        <f>IFERROR(__xludf.DUMMYFUNCTION("""COMPUTED_VALUE"""),184183.0)</f>
        <v>184183</v>
      </c>
      <c r="C1006" s="2">
        <f>IFERROR(__xludf.DUMMYFUNCTION("""COMPUTED_VALUE"""),2026.0)</f>
        <v>2026</v>
      </c>
      <c r="D1006" s="2">
        <f>IFERROR(__xludf.DUMMYFUNCTION("""COMPUTED_VALUE"""),46183.0)</f>
        <v>46183</v>
      </c>
      <c r="E1006" s="2" t="str">
        <f>IFERROR(__xludf.DUMMYFUNCTION("""COMPUTED_VALUE"""),"VF")</f>
        <v>VF</v>
      </c>
      <c r="F1006" s="2">
        <f>IFERROR(__xludf.DUMMYFUNCTION("""COMPUTED_VALUE"""),1.0)</f>
        <v>1</v>
      </c>
      <c r="G1006" s="2" t="str">
        <f>IFERROR(__xludf.DUMMYFUNCTION("""COMPUTED_VALUE"""),"PR020")</f>
        <v>PR020</v>
      </c>
      <c r="H1006" s="2" t="str">
        <f>IFERROR(__xludf.DUMMYFUNCTION("""COMPUTED_VALUE"""),"VD013")</f>
        <v>VD013</v>
      </c>
      <c r="I1006" s="2">
        <f>IFERROR(__xludf.DUMMYFUNCTION("""COMPUTED_VALUE"""),20.0)</f>
        <v>20</v>
      </c>
      <c r="J1006" s="2">
        <f>IFERROR(__xludf.DUMMYFUNCTION("""COMPUTED_VALUE"""),6597.8)</f>
        <v>6597.8</v>
      </c>
      <c r="K1006" s="2">
        <f>IFERROR(__xludf.DUMMYFUNCTION("""COMPUTED_VALUE"""),6597.8)</f>
        <v>6597.8</v>
      </c>
    </row>
    <row r="1007">
      <c r="A1007" s="2">
        <f>IFERROR(__xludf.DUMMYFUNCTION("""COMPUTED_VALUE"""),1000.0)</f>
        <v>1000</v>
      </c>
      <c r="B1007" s="2">
        <f>IFERROR(__xludf.DUMMYFUNCTION("""COMPUTED_VALUE"""),184184.0)</f>
        <v>184184</v>
      </c>
      <c r="C1007" s="2">
        <f>IFERROR(__xludf.DUMMYFUNCTION("""COMPUTED_VALUE"""),2026.0)</f>
        <v>2026</v>
      </c>
      <c r="D1007" s="2">
        <f>IFERROR(__xludf.DUMMYFUNCTION("""COMPUTED_VALUE"""),46183.0)</f>
        <v>46183</v>
      </c>
      <c r="E1007" s="2" t="str">
        <f>IFERROR(__xludf.DUMMYFUNCTION("""COMPUTED_VALUE"""),"VF")</f>
        <v>VF</v>
      </c>
      <c r="F1007" s="2">
        <f>IFERROR(__xludf.DUMMYFUNCTION("""COMPUTED_VALUE"""),1.0)</f>
        <v>1</v>
      </c>
      <c r="G1007" s="2" t="str">
        <f>IFERROR(__xludf.DUMMYFUNCTION("""COMPUTED_VALUE"""),"PR021")</f>
        <v>PR021</v>
      </c>
      <c r="H1007" s="2" t="str">
        <f>IFERROR(__xludf.DUMMYFUNCTION("""COMPUTED_VALUE"""),"VD033")</f>
        <v>VD033</v>
      </c>
      <c r="I1007" s="2">
        <f>IFERROR(__xludf.DUMMYFUNCTION("""COMPUTED_VALUE"""),6.0)</f>
        <v>6</v>
      </c>
      <c r="J1007" s="2">
        <f>IFERROR(__xludf.DUMMYFUNCTION("""COMPUTED_VALUE"""),1999.14)</f>
        <v>1999.14</v>
      </c>
      <c r="K1007" s="2">
        <f>IFERROR(__xludf.DUMMYFUNCTION("""COMPUTED_VALUE"""),1999.14)</f>
        <v>1999.14</v>
      </c>
    </row>
    <row r="1008">
      <c r="A1008" s="2">
        <f>IFERROR(__xludf.DUMMYFUNCTION("""COMPUTED_VALUE"""),1000.0)</f>
        <v>1000</v>
      </c>
      <c r="B1008" s="2">
        <f>IFERROR(__xludf.DUMMYFUNCTION("""COMPUTED_VALUE"""),184184.0)</f>
        <v>184184</v>
      </c>
      <c r="C1008" s="2">
        <f>IFERROR(__xludf.DUMMYFUNCTION("""COMPUTED_VALUE"""),2026.0)</f>
        <v>2026</v>
      </c>
      <c r="D1008" s="2">
        <f>IFERROR(__xludf.DUMMYFUNCTION("""COMPUTED_VALUE"""),46182.0)</f>
        <v>46182</v>
      </c>
      <c r="E1008" s="2" t="str">
        <f>IFERROR(__xludf.DUMMYFUNCTION("""COMPUTED_VALUE"""),"VF")</f>
        <v>VF</v>
      </c>
      <c r="F1008" s="2">
        <f>IFERROR(__xludf.DUMMYFUNCTION("""COMPUTED_VALUE"""),2.0)</f>
        <v>2</v>
      </c>
      <c r="G1008" s="2" t="str">
        <f>IFERROR(__xludf.DUMMYFUNCTION("""COMPUTED_VALUE"""),"PR034")</f>
        <v>PR034</v>
      </c>
      <c r="H1008" s="2" t="str">
        <f>IFERROR(__xludf.DUMMYFUNCTION("""COMPUTED_VALUE"""),"VD017")</f>
        <v>VD017</v>
      </c>
      <c r="I1008" s="2">
        <f>IFERROR(__xludf.DUMMYFUNCTION("""COMPUTED_VALUE"""),8.0)</f>
        <v>8</v>
      </c>
      <c r="J1008" s="2">
        <f>IFERROR(__xludf.DUMMYFUNCTION("""COMPUTED_VALUE"""),726.39)</f>
        <v>726.39</v>
      </c>
      <c r="K1008" s="2">
        <f>IFERROR(__xludf.DUMMYFUNCTION("""COMPUTED_VALUE"""),726.39)</f>
        <v>726.39</v>
      </c>
    </row>
    <row r="1009">
      <c r="A1009" s="2">
        <f>IFERROR(__xludf.DUMMYFUNCTION("""COMPUTED_VALUE"""),2000.0)</f>
        <v>2000</v>
      </c>
      <c r="B1009" s="2">
        <f>IFERROR(__xludf.DUMMYFUNCTION("""COMPUTED_VALUE"""),184185.0)</f>
        <v>184185</v>
      </c>
      <c r="C1009" s="2">
        <f>IFERROR(__xludf.DUMMYFUNCTION("""COMPUTED_VALUE"""),2026.0)</f>
        <v>2026</v>
      </c>
      <c r="D1009" s="2">
        <f>IFERROR(__xludf.DUMMYFUNCTION("""COMPUTED_VALUE"""),46182.0)</f>
        <v>46182</v>
      </c>
      <c r="E1009" s="2" t="str">
        <f>IFERROR(__xludf.DUMMYFUNCTION("""COMPUTED_VALUE"""),"VF")</f>
        <v>VF</v>
      </c>
      <c r="F1009" s="2">
        <f>IFERROR(__xludf.DUMMYFUNCTION("""COMPUTED_VALUE"""),1.0)</f>
        <v>1</v>
      </c>
      <c r="G1009" s="2" t="str">
        <f>IFERROR(__xludf.DUMMYFUNCTION("""COMPUTED_VALUE"""),"PR032")</f>
        <v>PR032</v>
      </c>
      <c r="H1009" s="2" t="str">
        <f>IFERROR(__xludf.DUMMYFUNCTION("""COMPUTED_VALUE"""),"VD016")</f>
        <v>VD016</v>
      </c>
      <c r="I1009" s="2">
        <f>IFERROR(__xludf.DUMMYFUNCTION("""COMPUTED_VALUE"""),12.0)</f>
        <v>12</v>
      </c>
      <c r="J1009" s="2">
        <f>IFERROR(__xludf.DUMMYFUNCTION("""COMPUTED_VALUE"""),3150.0)</f>
        <v>3150</v>
      </c>
      <c r="K1009" s="2">
        <f>IFERROR(__xludf.DUMMYFUNCTION("""COMPUTED_VALUE"""),3150.0)</f>
        <v>3150</v>
      </c>
    </row>
    <row r="1010">
      <c r="A1010" s="2">
        <f>IFERROR(__xludf.DUMMYFUNCTION("""COMPUTED_VALUE"""),2000.0)</f>
        <v>2000</v>
      </c>
      <c r="B1010" s="2">
        <f>IFERROR(__xludf.DUMMYFUNCTION("""COMPUTED_VALUE"""),184186.0)</f>
        <v>184186</v>
      </c>
      <c r="C1010" s="2">
        <f>IFERROR(__xludf.DUMMYFUNCTION("""COMPUTED_VALUE"""),2026.0)</f>
        <v>2026</v>
      </c>
      <c r="D1010" s="2">
        <f>IFERROR(__xludf.DUMMYFUNCTION("""COMPUTED_VALUE"""),46182.0)</f>
        <v>46182</v>
      </c>
      <c r="E1010" s="2" t="str">
        <f>IFERROR(__xludf.DUMMYFUNCTION("""COMPUTED_VALUE"""),"VF")</f>
        <v>VF</v>
      </c>
      <c r="F1010" s="2">
        <f>IFERROR(__xludf.DUMMYFUNCTION("""COMPUTED_VALUE"""),1.0)</f>
        <v>1</v>
      </c>
      <c r="G1010" s="2" t="str">
        <f>IFERROR(__xludf.DUMMYFUNCTION("""COMPUTED_VALUE"""),"PR032")</f>
        <v>PR032</v>
      </c>
      <c r="H1010" s="2" t="str">
        <f>IFERROR(__xludf.DUMMYFUNCTION("""COMPUTED_VALUE"""),"VD014")</f>
        <v>VD014</v>
      </c>
      <c r="I1010" s="2">
        <f>IFERROR(__xludf.DUMMYFUNCTION("""COMPUTED_VALUE"""),5.0)</f>
        <v>5</v>
      </c>
      <c r="J1010" s="2">
        <f>IFERROR(__xludf.DUMMYFUNCTION("""COMPUTED_VALUE"""),1325.0)</f>
        <v>1325</v>
      </c>
      <c r="K1010" s="2">
        <f>IFERROR(__xludf.DUMMYFUNCTION("""COMPUTED_VALUE"""),1325.0)</f>
        <v>1325</v>
      </c>
    </row>
    <row r="1011">
      <c r="A1011" s="2">
        <f>IFERROR(__xludf.DUMMYFUNCTION("""COMPUTED_VALUE"""),1000.0)</f>
        <v>1000</v>
      </c>
      <c r="B1011" s="2">
        <f>IFERROR(__xludf.DUMMYFUNCTION("""COMPUTED_VALUE"""),184187.0)</f>
        <v>184187</v>
      </c>
      <c r="C1011" s="2">
        <f>IFERROR(__xludf.DUMMYFUNCTION("""COMPUTED_VALUE"""),2026.0)</f>
        <v>2026</v>
      </c>
      <c r="D1011" s="2">
        <f>IFERROR(__xludf.DUMMYFUNCTION("""COMPUTED_VALUE"""),46181.0)</f>
        <v>46181</v>
      </c>
      <c r="E1011" s="2" t="str">
        <f>IFERROR(__xludf.DUMMYFUNCTION("""COMPUTED_VALUE"""),"VF")</f>
        <v>VF</v>
      </c>
      <c r="F1011" s="2">
        <f>IFERROR(__xludf.DUMMYFUNCTION("""COMPUTED_VALUE"""),1.0)</f>
        <v>1</v>
      </c>
      <c r="G1011" s="2" t="str">
        <f>IFERROR(__xludf.DUMMYFUNCTION("""COMPUTED_VALUE"""),"PR053")</f>
        <v>PR053</v>
      </c>
      <c r="H1011" s="2" t="str">
        <f>IFERROR(__xludf.DUMMYFUNCTION("""COMPUTED_VALUE"""),"VD029")</f>
        <v>VD029</v>
      </c>
      <c r="I1011" s="2">
        <f>IFERROR(__xludf.DUMMYFUNCTION("""COMPUTED_VALUE"""),8.0)</f>
        <v>8</v>
      </c>
      <c r="J1011" s="2">
        <f>IFERROR(__xludf.DUMMYFUNCTION("""COMPUTED_VALUE"""),431.14)</f>
        <v>431.14</v>
      </c>
      <c r="K1011" s="2">
        <f>IFERROR(__xludf.DUMMYFUNCTION("""COMPUTED_VALUE"""),431.14)</f>
        <v>431.14</v>
      </c>
    </row>
    <row r="1012">
      <c r="A1012" s="2">
        <f>IFERROR(__xludf.DUMMYFUNCTION("""COMPUTED_VALUE"""),2000.0)</f>
        <v>2000</v>
      </c>
      <c r="B1012" s="2">
        <f>IFERROR(__xludf.DUMMYFUNCTION("""COMPUTED_VALUE"""),184188.0)</f>
        <v>184188</v>
      </c>
      <c r="C1012" s="2">
        <f>IFERROR(__xludf.DUMMYFUNCTION("""COMPUTED_VALUE"""),2026.0)</f>
        <v>2026</v>
      </c>
      <c r="D1012" s="2">
        <f>IFERROR(__xludf.DUMMYFUNCTION("""COMPUTED_VALUE"""),46181.0)</f>
        <v>46181</v>
      </c>
      <c r="E1012" s="2" t="str">
        <f>IFERROR(__xludf.DUMMYFUNCTION("""COMPUTED_VALUE"""),"VF")</f>
        <v>VF</v>
      </c>
      <c r="F1012" s="2">
        <f>IFERROR(__xludf.DUMMYFUNCTION("""COMPUTED_VALUE"""),1.0)</f>
        <v>1</v>
      </c>
      <c r="G1012" s="2" t="str">
        <f>IFERROR(__xludf.DUMMYFUNCTION("""COMPUTED_VALUE"""),"PR014")</f>
        <v>PR014</v>
      </c>
      <c r="H1012" s="2" t="str">
        <f>IFERROR(__xludf.DUMMYFUNCTION("""COMPUTED_VALUE"""),"VD029")</f>
        <v>VD029</v>
      </c>
      <c r="I1012" s="2">
        <f>IFERROR(__xludf.DUMMYFUNCTION("""COMPUTED_VALUE"""),20.0)</f>
        <v>20</v>
      </c>
      <c r="J1012" s="2">
        <f>IFERROR(__xludf.DUMMYFUNCTION("""COMPUTED_VALUE"""),805.98)</f>
        <v>805.98</v>
      </c>
      <c r="K1012" s="2">
        <f>IFERROR(__xludf.DUMMYFUNCTION("""COMPUTED_VALUE"""),805.98)</f>
        <v>805.98</v>
      </c>
    </row>
    <row r="1013">
      <c r="A1013" s="2">
        <f>IFERROR(__xludf.DUMMYFUNCTION("""COMPUTED_VALUE"""),1000.0)</f>
        <v>1000</v>
      </c>
      <c r="B1013" s="2">
        <f>IFERROR(__xludf.DUMMYFUNCTION("""COMPUTED_VALUE"""),184188.0)</f>
        <v>184188</v>
      </c>
      <c r="C1013" s="2">
        <f>IFERROR(__xludf.DUMMYFUNCTION("""COMPUTED_VALUE"""),2026.0)</f>
        <v>2026</v>
      </c>
      <c r="D1013" s="2">
        <f>IFERROR(__xludf.DUMMYFUNCTION("""COMPUTED_VALUE"""),46181.0)</f>
        <v>46181</v>
      </c>
      <c r="E1013" s="2" t="str">
        <f>IFERROR(__xludf.DUMMYFUNCTION("""COMPUTED_VALUE"""),"VF")</f>
        <v>VF</v>
      </c>
      <c r="F1013" s="2">
        <f>IFERROR(__xludf.DUMMYFUNCTION("""COMPUTED_VALUE"""),2.0)</f>
        <v>2</v>
      </c>
      <c r="G1013" s="2" t="str">
        <f>IFERROR(__xludf.DUMMYFUNCTION("""COMPUTED_VALUE"""),"PR005")</f>
        <v>PR005</v>
      </c>
      <c r="H1013" s="2" t="str">
        <f>IFERROR(__xludf.DUMMYFUNCTION("""COMPUTED_VALUE"""),"VD047")</f>
        <v>VD047</v>
      </c>
      <c r="I1013" s="2">
        <f>IFERROR(__xludf.DUMMYFUNCTION("""COMPUTED_VALUE"""),2.0)</f>
        <v>2</v>
      </c>
      <c r="J1013" s="2">
        <f>IFERROR(__xludf.DUMMYFUNCTION("""COMPUTED_VALUE"""),566.58)</f>
        <v>566.58</v>
      </c>
      <c r="K1013" s="2">
        <f>IFERROR(__xludf.DUMMYFUNCTION("""COMPUTED_VALUE"""),566.58)</f>
        <v>566.58</v>
      </c>
    </row>
    <row r="1014">
      <c r="A1014" s="2">
        <f>IFERROR(__xludf.DUMMYFUNCTION("""COMPUTED_VALUE"""),1000.0)</f>
        <v>1000</v>
      </c>
      <c r="B1014" s="2">
        <f>IFERROR(__xludf.DUMMYFUNCTION("""COMPUTED_VALUE"""),184189.0)</f>
        <v>184189</v>
      </c>
      <c r="C1014" s="2">
        <f>IFERROR(__xludf.DUMMYFUNCTION("""COMPUTED_VALUE"""),2026.0)</f>
        <v>2026</v>
      </c>
      <c r="D1014" s="2">
        <f>IFERROR(__xludf.DUMMYFUNCTION("""COMPUTED_VALUE"""),46181.0)</f>
        <v>46181</v>
      </c>
      <c r="E1014" s="2" t="str">
        <f>IFERROR(__xludf.DUMMYFUNCTION("""COMPUTED_VALUE"""),"VF")</f>
        <v>VF</v>
      </c>
      <c r="F1014" s="2">
        <f>IFERROR(__xludf.DUMMYFUNCTION("""COMPUTED_VALUE"""),1.0)</f>
        <v>1</v>
      </c>
      <c r="G1014" s="2" t="str">
        <f>IFERROR(__xludf.DUMMYFUNCTION("""COMPUTED_VALUE"""),"PR008")</f>
        <v>PR008</v>
      </c>
      <c r="H1014" s="2" t="str">
        <f>IFERROR(__xludf.DUMMYFUNCTION("""COMPUTED_VALUE"""),"VD032")</f>
        <v>VD032</v>
      </c>
      <c r="I1014" s="2">
        <f>IFERROR(__xludf.DUMMYFUNCTION("""COMPUTED_VALUE"""),18.0)</f>
        <v>18</v>
      </c>
      <c r="J1014" s="2">
        <f>IFERROR(__xludf.DUMMYFUNCTION("""COMPUTED_VALUE"""),1715.29)</f>
        <v>1715.29</v>
      </c>
      <c r="K1014" s="2">
        <f>IFERROR(__xludf.DUMMYFUNCTION("""COMPUTED_VALUE"""),1715.29)</f>
        <v>1715.29</v>
      </c>
    </row>
    <row r="1015">
      <c r="A1015" s="2">
        <f>IFERROR(__xludf.DUMMYFUNCTION("""COMPUTED_VALUE"""),1000.0)</f>
        <v>1000</v>
      </c>
      <c r="B1015" s="2">
        <f>IFERROR(__xludf.DUMMYFUNCTION("""COMPUTED_VALUE"""),184190.0)</f>
        <v>184190</v>
      </c>
      <c r="C1015" s="2">
        <f>IFERROR(__xludf.DUMMYFUNCTION("""COMPUTED_VALUE"""),2026.0)</f>
        <v>2026</v>
      </c>
      <c r="D1015" s="2">
        <f>IFERROR(__xludf.DUMMYFUNCTION("""COMPUTED_VALUE"""),46180.0)</f>
        <v>46180</v>
      </c>
      <c r="E1015" s="2" t="str">
        <f>IFERROR(__xludf.DUMMYFUNCTION("""COMPUTED_VALUE"""),"VF")</f>
        <v>VF</v>
      </c>
      <c r="F1015" s="2">
        <f>IFERROR(__xludf.DUMMYFUNCTION("""COMPUTED_VALUE"""),1.0)</f>
        <v>1</v>
      </c>
      <c r="G1015" s="2" t="str">
        <f>IFERROR(__xludf.DUMMYFUNCTION("""COMPUTED_VALUE"""),"PR048")</f>
        <v>PR048</v>
      </c>
      <c r="H1015" s="2" t="str">
        <f>IFERROR(__xludf.DUMMYFUNCTION("""COMPUTED_VALUE"""),"VD044")</f>
        <v>VD044</v>
      </c>
      <c r="I1015" s="2">
        <f>IFERROR(__xludf.DUMMYFUNCTION("""COMPUTED_VALUE"""),18.0)</f>
        <v>18</v>
      </c>
      <c r="J1015" s="2">
        <f>IFERROR(__xludf.DUMMYFUNCTION("""COMPUTED_VALUE"""),5740.02)</f>
        <v>5740.02</v>
      </c>
      <c r="K1015" s="2">
        <f>IFERROR(__xludf.DUMMYFUNCTION("""COMPUTED_VALUE"""),5740.02)</f>
        <v>5740.02</v>
      </c>
    </row>
    <row r="1016">
      <c r="A1016" s="2">
        <f>IFERROR(__xludf.DUMMYFUNCTION("""COMPUTED_VALUE"""),1000.0)</f>
        <v>1000</v>
      </c>
      <c r="B1016" s="2">
        <f>IFERROR(__xludf.DUMMYFUNCTION("""COMPUTED_VALUE"""),184190.0)</f>
        <v>184190</v>
      </c>
      <c r="C1016" s="2">
        <f>IFERROR(__xludf.DUMMYFUNCTION("""COMPUTED_VALUE"""),2026.0)</f>
        <v>2026</v>
      </c>
      <c r="D1016" s="2">
        <f>IFERROR(__xludf.DUMMYFUNCTION("""COMPUTED_VALUE"""),46180.0)</f>
        <v>46180</v>
      </c>
      <c r="E1016" s="2" t="str">
        <f>IFERROR(__xludf.DUMMYFUNCTION("""COMPUTED_VALUE"""),"VF")</f>
        <v>VF</v>
      </c>
      <c r="F1016" s="2">
        <f>IFERROR(__xludf.DUMMYFUNCTION("""COMPUTED_VALUE"""),2.0)</f>
        <v>2</v>
      </c>
      <c r="G1016" s="2" t="str">
        <f>IFERROR(__xludf.DUMMYFUNCTION("""COMPUTED_VALUE"""),"PR011")</f>
        <v>PR011</v>
      </c>
      <c r="H1016" s="2" t="str">
        <f>IFERROR(__xludf.DUMMYFUNCTION("""COMPUTED_VALUE"""),"VD030")</f>
        <v>VD030</v>
      </c>
      <c r="I1016" s="2">
        <f>IFERROR(__xludf.DUMMYFUNCTION("""COMPUTED_VALUE"""),8.0)</f>
        <v>8</v>
      </c>
      <c r="J1016" s="2">
        <f>IFERROR(__xludf.DUMMYFUNCTION("""COMPUTED_VALUE"""),390.21)</f>
        <v>390.21</v>
      </c>
      <c r="K1016" s="2">
        <f>IFERROR(__xludf.DUMMYFUNCTION("""COMPUTED_VALUE"""),390.21)</f>
        <v>390.21</v>
      </c>
    </row>
    <row r="1017">
      <c r="A1017" s="2">
        <f>IFERROR(__xludf.DUMMYFUNCTION("""COMPUTED_VALUE"""),2000.0)</f>
        <v>2000</v>
      </c>
      <c r="B1017" s="2">
        <f>IFERROR(__xludf.DUMMYFUNCTION("""COMPUTED_VALUE"""),184191.0)</f>
        <v>184191</v>
      </c>
      <c r="C1017" s="2">
        <f>IFERROR(__xludf.DUMMYFUNCTION("""COMPUTED_VALUE"""),2026.0)</f>
        <v>2026</v>
      </c>
      <c r="D1017" s="2">
        <f>IFERROR(__xludf.DUMMYFUNCTION("""COMPUTED_VALUE"""),46180.0)</f>
        <v>46180</v>
      </c>
      <c r="E1017" s="2" t="str">
        <f>IFERROR(__xludf.DUMMYFUNCTION("""COMPUTED_VALUE"""),"VF")</f>
        <v>VF</v>
      </c>
      <c r="F1017" s="2">
        <f>IFERROR(__xludf.DUMMYFUNCTION("""COMPUTED_VALUE"""),1.0)</f>
        <v>1</v>
      </c>
      <c r="G1017" s="2" t="str">
        <f>IFERROR(__xludf.DUMMYFUNCTION("""COMPUTED_VALUE"""),"PR057")</f>
        <v>PR057</v>
      </c>
      <c r="H1017" s="2" t="str">
        <f>IFERROR(__xludf.DUMMYFUNCTION("""COMPUTED_VALUE"""),"VD025")</f>
        <v>VD025</v>
      </c>
      <c r="I1017" s="2">
        <f>IFERROR(__xludf.DUMMYFUNCTION("""COMPUTED_VALUE"""),14.0)</f>
        <v>14</v>
      </c>
      <c r="J1017" s="2">
        <f>IFERROR(__xludf.DUMMYFUNCTION("""COMPUTED_VALUE"""),1346.7)</f>
        <v>1346.7</v>
      </c>
      <c r="K1017" s="2">
        <f>IFERROR(__xludf.DUMMYFUNCTION("""COMPUTED_VALUE"""),1346.7)</f>
        <v>1346.7</v>
      </c>
    </row>
    <row r="1018">
      <c r="A1018" s="2">
        <f>IFERROR(__xludf.DUMMYFUNCTION("""COMPUTED_VALUE"""),1000.0)</f>
        <v>1000</v>
      </c>
      <c r="B1018" s="2">
        <f>IFERROR(__xludf.DUMMYFUNCTION("""COMPUTED_VALUE"""),184192.0)</f>
        <v>184192</v>
      </c>
      <c r="C1018" s="2">
        <f>IFERROR(__xludf.DUMMYFUNCTION("""COMPUTED_VALUE"""),2026.0)</f>
        <v>2026</v>
      </c>
      <c r="D1018" s="2">
        <f>IFERROR(__xludf.DUMMYFUNCTION("""COMPUTED_VALUE"""),46179.0)</f>
        <v>46179</v>
      </c>
      <c r="E1018" s="2" t="str">
        <f>IFERROR(__xludf.DUMMYFUNCTION("""COMPUTED_VALUE"""),"VF")</f>
        <v>VF</v>
      </c>
      <c r="F1018" s="2">
        <f>IFERROR(__xludf.DUMMYFUNCTION("""COMPUTED_VALUE"""),1.0)</f>
        <v>1</v>
      </c>
      <c r="G1018" s="2" t="str">
        <f>IFERROR(__xludf.DUMMYFUNCTION("""COMPUTED_VALUE"""),"PR029")</f>
        <v>PR029</v>
      </c>
      <c r="H1018" s="2" t="str">
        <f>IFERROR(__xludf.DUMMYFUNCTION("""COMPUTED_VALUE"""),"VD033")</f>
        <v>VD033</v>
      </c>
      <c r="I1018" s="2">
        <f>IFERROR(__xludf.DUMMYFUNCTION("""COMPUTED_VALUE"""),3.0)</f>
        <v>3</v>
      </c>
      <c r="J1018" s="2">
        <f>IFERROR(__xludf.DUMMYFUNCTION("""COMPUTED_VALUE"""),787.95)</f>
        <v>787.95</v>
      </c>
      <c r="K1018" s="2">
        <f>IFERROR(__xludf.DUMMYFUNCTION("""COMPUTED_VALUE"""),787.95)</f>
        <v>787.95</v>
      </c>
    </row>
    <row r="1019">
      <c r="A1019" s="2">
        <f>IFERROR(__xludf.DUMMYFUNCTION("""COMPUTED_VALUE"""),1000.0)</f>
        <v>1000</v>
      </c>
      <c r="B1019" s="2">
        <f>IFERROR(__xludf.DUMMYFUNCTION("""COMPUTED_VALUE"""),184193.0)</f>
        <v>184193</v>
      </c>
      <c r="C1019" s="2">
        <f>IFERROR(__xludf.DUMMYFUNCTION("""COMPUTED_VALUE"""),2026.0)</f>
        <v>2026</v>
      </c>
      <c r="D1019" s="2">
        <f>IFERROR(__xludf.DUMMYFUNCTION("""COMPUTED_VALUE"""),46179.0)</f>
        <v>46179</v>
      </c>
      <c r="E1019" s="2" t="str">
        <f>IFERROR(__xludf.DUMMYFUNCTION("""COMPUTED_VALUE"""),"VF")</f>
        <v>VF</v>
      </c>
      <c r="F1019" s="2">
        <f>IFERROR(__xludf.DUMMYFUNCTION("""COMPUTED_VALUE"""),1.0)</f>
        <v>1</v>
      </c>
      <c r="G1019" s="2" t="str">
        <f>IFERROR(__xludf.DUMMYFUNCTION("""COMPUTED_VALUE"""),"PR053")</f>
        <v>PR053</v>
      </c>
      <c r="H1019" s="2" t="str">
        <f>IFERROR(__xludf.DUMMYFUNCTION("""COMPUTED_VALUE"""),"VD031")</f>
        <v>VD031</v>
      </c>
      <c r="I1019" s="2">
        <f>IFERROR(__xludf.DUMMYFUNCTION("""COMPUTED_VALUE"""),7.0)</f>
        <v>7</v>
      </c>
      <c r="J1019" s="2">
        <f>IFERROR(__xludf.DUMMYFUNCTION("""COMPUTED_VALUE"""),349.3)</f>
        <v>349.3</v>
      </c>
      <c r="K1019" s="2">
        <f>IFERROR(__xludf.DUMMYFUNCTION("""COMPUTED_VALUE"""),349.3)</f>
        <v>349.3</v>
      </c>
    </row>
    <row r="1020">
      <c r="A1020" s="2">
        <f>IFERROR(__xludf.DUMMYFUNCTION("""COMPUTED_VALUE"""),2000.0)</f>
        <v>2000</v>
      </c>
      <c r="B1020" s="2">
        <f>IFERROR(__xludf.DUMMYFUNCTION("""COMPUTED_VALUE"""),184194.0)</f>
        <v>184194</v>
      </c>
      <c r="C1020" s="2">
        <f>IFERROR(__xludf.DUMMYFUNCTION("""COMPUTED_VALUE"""),2026.0)</f>
        <v>2026</v>
      </c>
      <c r="D1020" s="2">
        <f>IFERROR(__xludf.DUMMYFUNCTION("""COMPUTED_VALUE"""),46179.0)</f>
        <v>46179</v>
      </c>
      <c r="E1020" s="2" t="str">
        <f>IFERROR(__xludf.DUMMYFUNCTION("""COMPUTED_VALUE"""),"VF")</f>
        <v>VF</v>
      </c>
      <c r="F1020" s="2">
        <f>IFERROR(__xludf.DUMMYFUNCTION("""COMPUTED_VALUE"""),1.0)</f>
        <v>1</v>
      </c>
      <c r="G1020" s="2" t="str">
        <f>IFERROR(__xludf.DUMMYFUNCTION("""COMPUTED_VALUE"""),"PR018")</f>
        <v>PR018</v>
      </c>
      <c r="H1020" s="2" t="str">
        <f>IFERROR(__xludf.DUMMYFUNCTION("""COMPUTED_VALUE"""),"VD027")</f>
        <v>VD027</v>
      </c>
      <c r="I1020" s="2">
        <f>IFERROR(__xludf.DUMMYFUNCTION("""COMPUTED_VALUE"""),10.0)</f>
        <v>10</v>
      </c>
      <c r="J1020" s="2">
        <f>IFERROR(__xludf.DUMMYFUNCTION("""COMPUTED_VALUE"""),335.58)</f>
        <v>335.58</v>
      </c>
      <c r="K1020" s="2">
        <f>IFERROR(__xludf.DUMMYFUNCTION("""COMPUTED_VALUE"""),335.58)</f>
        <v>335.58</v>
      </c>
    </row>
    <row r="1021">
      <c r="A1021" s="2">
        <f>IFERROR(__xludf.DUMMYFUNCTION("""COMPUTED_VALUE"""),1000.0)</f>
        <v>1000</v>
      </c>
      <c r="B1021" s="2">
        <f>IFERROR(__xludf.DUMMYFUNCTION("""COMPUTED_VALUE"""),184195.0)</f>
        <v>184195</v>
      </c>
      <c r="C1021" s="2">
        <f>IFERROR(__xludf.DUMMYFUNCTION("""COMPUTED_VALUE"""),2026.0)</f>
        <v>2026</v>
      </c>
      <c r="D1021" s="2">
        <f>IFERROR(__xludf.DUMMYFUNCTION("""COMPUTED_VALUE"""),46179.0)</f>
        <v>46179</v>
      </c>
      <c r="E1021" s="2" t="str">
        <f>IFERROR(__xludf.DUMMYFUNCTION("""COMPUTED_VALUE"""),"VF")</f>
        <v>VF</v>
      </c>
      <c r="F1021" s="2">
        <f>IFERROR(__xludf.DUMMYFUNCTION("""COMPUTED_VALUE"""),1.0)</f>
        <v>1</v>
      </c>
      <c r="G1021" s="2" t="str">
        <f>IFERROR(__xludf.DUMMYFUNCTION("""COMPUTED_VALUE"""),"PR048")</f>
        <v>PR048</v>
      </c>
      <c r="H1021" s="2" t="str">
        <f>IFERROR(__xludf.DUMMYFUNCTION("""COMPUTED_VALUE"""),"VD046")</f>
        <v>VD046</v>
      </c>
      <c r="I1021" s="2">
        <f>IFERROR(__xludf.DUMMYFUNCTION("""COMPUTED_VALUE"""),12.0)</f>
        <v>12</v>
      </c>
      <c r="J1021" s="2">
        <f>IFERROR(__xludf.DUMMYFUNCTION("""COMPUTED_VALUE"""),3757.1)</f>
        <v>3757.1</v>
      </c>
      <c r="K1021" s="2">
        <f>IFERROR(__xludf.DUMMYFUNCTION("""COMPUTED_VALUE"""),3757.1)</f>
        <v>3757.1</v>
      </c>
    </row>
    <row r="1022">
      <c r="A1022" s="2">
        <f>IFERROR(__xludf.DUMMYFUNCTION("""COMPUTED_VALUE"""),1000.0)</f>
        <v>1000</v>
      </c>
      <c r="B1022" s="2">
        <f>IFERROR(__xludf.DUMMYFUNCTION("""COMPUTED_VALUE"""),184196.0)</f>
        <v>184196</v>
      </c>
      <c r="C1022" s="2">
        <f>IFERROR(__xludf.DUMMYFUNCTION("""COMPUTED_VALUE"""),2026.0)</f>
        <v>2026</v>
      </c>
      <c r="D1022" s="2">
        <f>IFERROR(__xludf.DUMMYFUNCTION("""COMPUTED_VALUE"""),46179.0)</f>
        <v>46179</v>
      </c>
      <c r="E1022" s="2" t="str">
        <f>IFERROR(__xludf.DUMMYFUNCTION("""COMPUTED_VALUE"""),"VF")</f>
        <v>VF</v>
      </c>
      <c r="F1022" s="2">
        <f>IFERROR(__xludf.DUMMYFUNCTION("""COMPUTED_VALUE"""),1.0)</f>
        <v>1</v>
      </c>
      <c r="G1022" s="2" t="str">
        <f>IFERROR(__xludf.DUMMYFUNCTION("""COMPUTED_VALUE"""),"PR031")</f>
        <v>PR031</v>
      </c>
      <c r="H1022" s="2" t="str">
        <f>IFERROR(__xludf.DUMMYFUNCTION("""COMPUTED_VALUE"""),"VD011")</f>
        <v>VD011</v>
      </c>
      <c r="I1022" s="2">
        <f>IFERROR(__xludf.DUMMYFUNCTION("""COMPUTED_VALUE"""),10.0)</f>
        <v>10</v>
      </c>
      <c r="J1022" s="2">
        <f>IFERROR(__xludf.DUMMYFUNCTION("""COMPUTED_VALUE"""),2474.5)</f>
        <v>2474.5</v>
      </c>
      <c r="K1022" s="2">
        <f>IFERROR(__xludf.DUMMYFUNCTION("""COMPUTED_VALUE"""),2474.5)</f>
        <v>2474.5</v>
      </c>
    </row>
    <row r="1023">
      <c r="A1023" s="2">
        <f>IFERROR(__xludf.DUMMYFUNCTION("""COMPUTED_VALUE"""),1000.0)</f>
        <v>1000</v>
      </c>
      <c r="B1023" s="2">
        <f>IFERROR(__xludf.DUMMYFUNCTION("""COMPUTED_VALUE"""),184197.0)</f>
        <v>184197</v>
      </c>
      <c r="C1023" s="2">
        <f>IFERROR(__xludf.DUMMYFUNCTION("""COMPUTED_VALUE"""),2026.0)</f>
        <v>2026</v>
      </c>
      <c r="D1023" s="2">
        <f>IFERROR(__xludf.DUMMYFUNCTION("""COMPUTED_VALUE"""),46178.0)</f>
        <v>46178</v>
      </c>
      <c r="E1023" s="2" t="str">
        <f>IFERROR(__xludf.DUMMYFUNCTION("""COMPUTED_VALUE"""),"VF")</f>
        <v>VF</v>
      </c>
      <c r="F1023" s="2">
        <f>IFERROR(__xludf.DUMMYFUNCTION("""COMPUTED_VALUE"""),1.0)</f>
        <v>1</v>
      </c>
      <c r="G1023" s="2" t="str">
        <f>IFERROR(__xludf.DUMMYFUNCTION("""COMPUTED_VALUE"""),"PR042")</f>
        <v>PR042</v>
      </c>
      <c r="H1023" s="2" t="str">
        <f>IFERROR(__xludf.DUMMYFUNCTION("""COMPUTED_VALUE"""),"VD020")</f>
        <v>VD020</v>
      </c>
      <c r="I1023" s="2">
        <f>IFERROR(__xludf.DUMMYFUNCTION("""COMPUTED_VALUE"""),3.0)</f>
        <v>3</v>
      </c>
      <c r="J1023" s="2">
        <f>IFERROR(__xludf.DUMMYFUNCTION("""COMPUTED_VALUE"""),169.64)</f>
        <v>169.64</v>
      </c>
      <c r="K1023" s="2">
        <f>IFERROR(__xludf.DUMMYFUNCTION("""COMPUTED_VALUE"""),169.64)</f>
        <v>169.64</v>
      </c>
    </row>
    <row r="1024">
      <c r="A1024" s="2">
        <f>IFERROR(__xludf.DUMMYFUNCTION("""COMPUTED_VALUE"""),1000.0)</f>
        <v>1000</v>
      </c>
      <c r="B1024" s="2">
        <f>IFERROR(__xludf.DUMMYFUNCTION("""COMPUTED_VALUE"""),184198.0)</f>
        <v>184198</v>
      </c>
      <c r="C1024" s="2">
        <f>IFERROR(__xludf.DUMMYFUNCTION("""COMPUTED_VALUE"""),2026.0)</f>
        <v>2026</v>
      </c>
      <c r="D1024" s="2">
        <f>IFERROR(__xludf.DUMMYFUNCTION("""COMPUTED_VALUE"""),46178.0)</f>
        <v>46178</v>
      </c>
      <c r="E1024" s="2" t="str">
        <f>IFERROR(__xludf.DUMMYFUNCTION("""COMPUTED_VALUE"""),"VF")</f>
        <v>VF</v>
      </c>
      <c r="F1024" s="2">
        <f>IFERROR(__xludf.DUMMYFUNCTION("""COMPUTED_VALUE"""),1.0)</f>
        <v>1</v>
      </c>
      <c r="G1024" s="2" t="str">
        <f>IFERROR(__xludf.DUMMYFUNCTION("""COMPUTED_VALUE"""),"PR053")</f>
        <v>PR053</v>
      </c>
      <c r="H1024" s="2" t="str">
        <f>IFERROR(__xludf.DUMMYFUNCTION("""COMPUTED_VALUE"""),"VD027")</f>
        <v>VD027</v>
      </c>
      <c r="I1024" s="2">
        <f>IFERROR(__xludf.DUMMYFUNCTION("""COMPUTED_VALUE"""),12.0)</f>
        <v>12</v>
      </c>
      <c r="J1024" s="2">
        <f>IFERROR(__xludf.DUMMYFUNCTION("""COMPUTED_VALUE"""),604.79)</f>
        <v>604.79</v>
      </c>
      <c r="K1024" s="2">
        <f>IFERROR(__xludf.DUMMYFUNCTION("""COMPUTED_VALUE"""),604.79)</f>
        <v>604.79</v>
      </c>
    </row>
    <row r="1025">
      <c r="A1025" s="2">
        <f>IFERROR(__xludf.DUMMYFUNCTION("""COMPUTED_VALUE"""),1000.0)</f>
        <v>1000</v>
      </c>
      <c r="B1025" s="2">
        <f>IFERROR(__xludf.DUMMYFUNCTION("""COMPUTED_VALUE"""),184199.0)</f>
        <v>184199</v>
      </c>
      <c r="C1025" s="2">
        <f>IFERROR(__xludf.DUMMYFUNCTION("""COMPUTED_VALUE"""),2026.0)</f>
        <v>2026</v>
      </c>
      <c r="D1025" s="2">
        <f>IFERROR(__xludf.DUMMYFUNCTION("""COMPUTED_VALUE"""),46177.0)</f>
        <v>46177</v>
      </c>
      <c r="E1025" s="2" t="str">
        <f>IFERROR(__xludf.DUMMYFUNCTION("""COMPUTED_VALUE"""),"VF")</f>
        <v>VF</v>
      </c>
      <c r="F1025" s="2">
        <f>IFERROR(__xludf.DUMMYFUNCTION("""COMPUTED_VALUE"""),1.0)</f>
        <v>1</v>
      </c>
      <c r="G1025" s="2" t="str">
        <f>IFERROR(__xludf.DUMMYFUNCTION("""COMPUTED_VALUE"""),"PR032")</f>
        <v>PR032</v>
      </c>
      <c r="H1025" s="2" t="str">
        <f>IFERROR(__xludf.DUMMYFUNCTION("""COMPUTED_VALUE"""),"VD047")</f>
        <v>VD047</v>
      </c>
      <c r="I1025" s="2">
        <f>IFERROR(__xludf.DUMMYFUNCTION("""COMPUTED_VALUE"""),18.0)</f>
        <v>18</v>
      </c>
      <c r="J1025" s="2">
        <f>IFERROR(__xludf.DUMMYFUNCTION("""COMPUTED_VALUE"""),4860.0)</f>
        <v>4860</v>
      </c>
      <c r="K1025" s="2">
        <f>IFERROR(__xludf.DUMMYFUNCTION("""COMPUTED_VALUE"""),4860.0)</f>
        <v>4860</v>
      </c>
    </row>
    <row r="1026">
      <c r="A1026" s="2">
        <f>IFERROR(__xludf.DUMMYFUNCTION("""COMPUTED_VALUE"""),2000.0)</f>
        <v>2000</v>
      </c>
      <c r="B1026" s="2">
        <f>IFERROR(__xludf.DUMMYFUNCTION("""COMPUTED_VALUE"""),184199.0)</f>
        <v>184199</v>
      </c>
      <c r="C1026" s="2">
        <f>IFERROR(__xludf.DUMMYFUNCTION("""COMPUTED_VALUE"""),2026.0)</f>
        <v>2026</v>
      </c>
      <c r="D1026" s="2">
        <f>IFERROR(__xludf.DUMMYFUNCTION("""COMPUTED_VALUE"""),46177.0)</f>
        <v>46177</v>
      </c>
      <c r="E1026" s="2" t="str">
        <f>IFERROR(__xludf.DUMMYFUNCTION("""COMPUTED_VALUE"""),"VF")</f>
        <v>VF</v>
      </c>
      <c r="F1026" s="2">
        <f>IFERROR(__xludf.DUMMYFUNCTION("""COMPUTED_VALUE"""),2.0)</f>
        <v>2</v>
      </c>
      <c r="G1026" s="2" t="str">
        <f>IFERROR(__xludf.DUMMYFUNCTION("""COMPUTED_VALUE"""),"PR015")</f>
        <v>PR015</v>
      </c>
      <c r="H1026" s="2" t="str">
        <f>IFERROR(__xludf.DUMMYFUNCTION("""COMPUTED_VALUE"""),"VD038")</f>
        <v>VD038</v>
      </c>
      <c r="I1026" s="2">
        <f>IFERROR(__xludf.DUMMYFUNCTION("""COMPUTED_VALUE"""),12.0)</f>
        <v>12</v>
      </c>
      <c r="J1026" s="2">
        <f>IFERROR(__xludf.DUMMYFUNCTION("""COMPUTED_VALUE"""),535.5)</f>
        <v>535.5</v>
      </c>
      <c r="K1026" s="2">
        <f>IFERROR(__xludf.DUMMYFUNCTION("""COMPUTED_VALUE"""),535.5)</f>
        <v>535.5</v>
      </c>
    </row>
    <row r="1027">
      <c r="A1027" s="2">
        <f>IFERROR(__xludf.DUMMYFUNCTION("""COMPUTED_VALUE"""),2000.0)</f>
        <v>2000</v>
      </c>
      <c r="B1027" s="2">
        <f>IFERROR(__xludf.DUMMYFUNCTION("""COMPUTED_VALUE"""),184199.0)</f>
        <v>184199</v>
      </c>
      <c r="C1027" s="2">
        <f>IFERROR(__xludf.DUMMYFUNCTION("""COMPUTED_VALUE"""),2026.0)</f>
        <v>2026</v>
      </c>
      <c r="D1027" s="2">
        <f>IFERROR(__xludf.DUMMYFUNCTION("""COMPUTED_VALUE"""),46177.0)</f>
        <v>46177</v>
      </c>
      <c r="E1027" s="2" t="str">
        <f>IFERROR(__xludf.DUMMYFUNCTION("""COMPUTED_VALUE"""),"VF")</f>
        <v>VF</v>
      </c>
      <c r="F1027" s="2">
        <f>IFERROR(__xludf.DUMMYFUNCTION("""COMPUTED_VALUE"""),3.0)</f>
        <v>3</v>
      </c>
      <c r="G1027" s="2" t="str">
        <f>IFERROR(__xludf.DUMMYFUNCTION("""COMPUTED_VALUE"""),"PR059")</f>
        <v>PR059</v>
      </c>
      <c r="H1027" s="2" t="str">
        <f>IFERROR(__xludf.DUMMYFUNCTION("""COMPUTED_VALUE"""),"VD047")</f>
        <v>VD047</v>
      </c>
      <c r="I1027" s="2">
        <f>IFERROR(__xludf.DUMMYFUNCTION("""COMPUTED_VALUE"""),14.0)</f>
        <v>14</v>
      </c>
      <c r="J1027" s="2">
        <f>IFERROR(__xludf.DUMMYFUNCTION("""COMPUTED_VALUE"""),2671.2)</f>
        <v>2671.2</v>
      </c>
      <c r="K1027" s="2">
        <f>IFERROR(__xludf.DUMMYFUNCTION("""COMPUTED_VALUE"""),2671.2)</f>
        <v>2671.2</v>
      </c>
    </row>
    <row r="1028">
      <c r="A1028" s="2">
        <f>IFERROR(__xludf.DUMMYFUNCTION("""COMPUTED_VALUE"""),1000.0)</f>
        <v>1000</v>
      </c>
      <c r="B1028" s="2">
        <f>IFERROR(__xludf.DUMMYFUNCTION("""COMPUTED_VALUE"""),184199.0)</f>
        <v>184199</v>
      </c>
      <c r="C1028" s="2">
        <f>IFERROR(__xludf.DUMMYFUNCTION("""COMPUTED_VALUE"""),2026.0)</f>
        <v>2026</v>
      </c>
      <c r="D1028" s="2">
        <f>IFERROR(__xludf.DUMMYFUNCTION("""COMPUTED_VALUE"""),46177.0)</f>
        <v>46177</v>
      </c>
      <c r="E1028" s="2" t="str">
        <f>IFERROR(__xludf.DUMMYFUNCTION("""COMPUTED_VALUE"""),"VF")</f>
        <v>VF</v>
      </c>
      <c r="F1028" s="2">
        <f>IFERROR(__xludf.DUMMYFUNCTION("""COMPUTED_VALUE"""),4.0)</f>
        <v>4</v>
      </c>
      <c r="G1028" s="2" t="str">
        <f>IFERROR(__xludf.DUMMYFUNCTION("""COMPUTED_VALUE"""),"PR004")</f>
        <v>PR004</v>
      </c>
      <c r="H1028" s="2" t="str">
        <f>IFERROR(__xludf.DUMMYFUNCTION("""COMPUTED_VALUE"""),"VD022")</f>
        <v>VD022</v>
      </c>
      <c r="I1028" s="2">
        <f>IFERROR(__xludf.DUMMYFUNCTION("""COMPUTED_VALUE"""),6.0)</f>
        <v>6</v>
      </c>
      <c r="J1028" s="2">
        <f>IFERROR(__xludf.DUMMYFUNCTION("""COMPUTED_VALUE"""),887.4)</f>
        <v>887.4</v>
      </c>
      <c r="K1028" s="2">
        <f>IFERROR(__xludf.DUMMYFUNCTION("""COMPUTED_VALUE"""),887.4)</f>
        <v>887.4</v>
      </c>
    </row>
    <row r="1029">
      <c r="A1029" s="2">
        <f>IFERROR(__xludf.DUMMYFUNCTION("""COMPUTED_VALUE"""),2000.0)</f>
        <v>2000</v>
      </c>
      <c r="B1029" s="2">
        <f>IFERROR(__xludf.DUMMYFUNCTION("""COMPUTED_VALUE"""),184199.0)</f>
        <v>184199</v>
      </c>
      <c r="C1029" s="2">
        <f>IFERROR(__xludf.DUMMYFUNCTION("""COMPUTED_VALUE"""),2026.0)</f>
        <v>2026</v>
      </c>
      <c r="D1029" s="2">
        <f>IFERROR(__xludf.DUMMYFUNCTION("""COMPUTED_VALUE"""),46177.0)</f>
        <v>46177</v>
      </c>
      <c r="E1029" s="2" t="str">
        <f>IFERROR(__xludf.DUMMYFUNCTION("""COMPUTED_VALUE"""),"VF")</f>
        <v>VF</v>
      </c>
      <c r="F1029" s="2">
        <f>IFERROR(__xludf.DUMMYFUNCTION("""COMPUTED_VALUE"""),5.0)</f>
        <v>5</v>
      </c>
      <c r="G1029" s="2" t="str">
        <f>IFERROR(__xludf.DUMMYFUNCTION("""COMPUTED_VALUE"""),"PR028")</f>
        <v>PR028</v>
      </c>
      <c r="H1029" s="2" t="str">
        <f>IFERROR(__xludf.DUMMYFUNCTION("""COMPUTED_VALUE"""),"VD026")</f>
        <v>VD026</v>
      </c>
      <c r="I1029" s="2">
        <f>IFERROR(__xludf.DUMMYFUNCTION("""COMPUTED_VALUE"""),5.0)</f>
        <v>5</v>
      </c>
      <c r="J1029" s="2">
        <f>IFERROR(__xludf.DUMMYFUNCTION("""COMPUTED_VALUE"""),1361.96)</f>
        <v>1361.96</v>
      </c>
      <c r="K1029" s="2">
        <f>IFERROR(__xludf.DUMMYFUNCTION("""COMPUTED_VALUE"""),1361.96)</f>
        <v>1361.96</v>
      </c>
    </row>
    <row r="1030">
      <c r="A1030" s="2">
        <f>IFERROR(__xludf.DUMMYFUNCTION("""COMPUTED_VALUE"""),1000.0)</f>
        <v>1000</v>
      </c>
      <c r="B1030" s="2">
        <f>IFERROR(__xludf.DUMMYFUNCTION("""COMPUTED_VALUE"""),184200.0)</f>
        <v>184200</v>
      </c>
      <c r="C1030" s="2">
        <f>IFERROR(__xludf.DUMMYFUNCTION("""COMPUTED_VALUE"""),2026.0)</f>
        <v>2026</v>
      </c>
      <c r="D1030" s="2">
        <f>IFERROR(__xludf.DUMMYFUNCTION("""COMPUTED_VALUE"""),46177.0)</f>
        <v>46177</v>
      </c>
      <c r="E1030" s="2" t="str">
        <f>IFERROR(__xludf.DUMMYFUNCTION("""COMPUTED_VALUE"""),"VF")</f>
        <v>VF</v>
      </c>
      <c r="F1030" s="2">
        <f>IFERROR(__xludf.DUMMYFUNCTION("""COMPUTED_VALUE"""),1.0)</f>
        <v>1</v>
      </c>
      <c r="G1030" s="2" t="str">
        <f>IFERROR(__xludf.DUMMYFUNCTION("""COMPUTED_VALUE"""),"PR037")</f>
        <v>PR037</v>
      </c>
      <c r="H1030" s="2" t="str">
        <f>IFERROR(__xludf.DUMMYFUNCTION("""COMPUTED_VALUE"""),"VD019")</f>
        <v>VD019</v>
      </c>
      <c r="I1030" s="2">
        <f>IFERROR(__xludf.DUMMYFUNCTION("""COMPUTED_VALUE"""),12.0)</f>
        <v>12</v>
      </c>
      <c r="J1030" s="2">
        <f>IFERROR(__xludf.DUMMYFUNCTION("""COMPUTED_VALUE"""),1747.2)</f>
        <v>1747.2</v>
      </c>
      <c r="K1030" s="2">
        <f>IFERROR(__xludf.DUMMYFUNCTION("""COMPUTED_VALUE"""),1747.2)</f>
        <v>1747.2</v>
      </c>
    </row>
    <row r="1031">
      <c r="A1031" s="2">
        <f>IFERROR(__xludf.DUMMYFUNCTION("""COMPUTED_VALUE"""),2000.0)</f>
        <v>2000</v>
      </c>
      <c r="B1031" s="2">
        <f>IFERROR(__xludf.DUMMYFUNCTION("""COMPUTED_VALUE"""),184200.0)</f>
        <v>184200</v>
      </c>
      <c r="C1031" s="2">
        <f>IFERROR(__xludf.DUMMYFUNCTION("""COMPUTED_VALUE"""),2026.0)</f>
        <v>2026</v>
      </c>
      <c r="D1031" s="2">
        <f>IFERROR(__xludf.DUMMYFUNCTION("""COMPUTED_VALUE"""),46177.0)</f>
        <v>46177</v>
      </c>
      <c r="E1031" s="2" t="str">
        <f>IFERROR(__xludf.DUMMYFUNCTION("""COMPUTED_VALUE"""),"VF")</f>
        <v>VF</v>
      </c>
      <c r="F1031" s="2">
        <f>IFERROR(__xludf.DUMMYFUNCTION("""COMPUTED_VALUE"""),2.0)</f>
        <v>2</v>
      </c>
      <c r="G1031" s="2" t="str">
        <f>IFERROR(__xludf.DUMMYFUNCTION("""COMPUTED_VALUE"""),"PR031")</f>
        <v>PR031</v>
      </c>
      <c r="H1031" s="2" t="str">
        <f>IFERROR(__xludf.DUMMYFUNCTION("""COMPUTED_VALUE"""),"VD036")</f>
        <v>VD036</v>
      </c>
      <c r="I1031" s="2">
        <f>IFERROR(__xludf.DUMMYFUNCTION("""COMPUTED_VALUE"""),6.0)</f>
        <v>6</v>
      </c>
      <c r="J1031" s="2">
        <f>IFERROR(__xludf.DUMMYFUNCTION("""COMPUTED_VALUE"""),1499.4)</f>
        <v>1499.4</v>
      </c>
      <c r="K1031" s="2">
        <f>IFERROR(__xludf.DUMMYFUNCTION("""COMPUTED_VALUE"""),1499.4)</f>
        <v>1499.4</v>
      </c>
    </row>
    <row r="1032">
      <c r="A1032" s="2">
        <f>IFERROR(__xludf.DUMMYFUNCTION("""COMPUTED_VALUE"""),1000.0)</f>
        <v>1000</v>
      </c>
      <c r="B1032" s="2">
        <f>IFERROR(__xludf.DUMMYFUNCTION("""COMPUTED_VALUE"""),184201.0)</f>
        <v>184201</v>
      </c>
      <c r="C1032" s="2">
        <f>IFERROR(__xludf.DUMMYFUNCTION("""COMPUTED_VALUE"""),2026.0)</f>
        <v>2026</v>
      </c>
      <c r="D1032" s="2">
        <f>IFERROR(__xludf.DUMMYFUNCTION("""COMPUTED_VALUE"""),46177.0)</f>
        <v>46177</v>
      </c>
      <c r="E1032" s="2" t="str">
        <f>IFERROR(__xludf.DUMMYFUNCTION("""COMPUTED_VALUE"""),"VF")</f>
        <v>VF</v>
      </c>
      <c r="F1032" s="2">
        <f>IFERROR(__xludf.DUMMYFUNCTION("""COMPUTED_VALUE"""),1.0)</f>
        <v>1</v>
      </c>
      <c r="G1032" s="2" t="str">
        <f>IFERROR(__xludf.DUMMYFUNCTION("""COMPUTED_VALUE"""),"PR038")</f>
        <v>PR038</v>
      </c>
      <c r="H1032" s="2" t="str">
        <f>IFERROR(__xludf.DUMMYFUNCTION("""COMPUTED_VALUE"""),"VD033")</f>
        <v>VD033</v>
      </c>
      <c r="I1032" s="2">
        <f>IFERROR(__xludf.DUMMYFUNCTION("""COMPUTED_VALUE"""),10.0)</f>
        <v>10</v>
      </c>
      <c r="J1032" s="2">
        <f>IFERROR(__xludf.DUMMYFUNCTION("""COMPUTED_VALUE"""),1443.29)</f>
        <v>1443.29</v>
      </c>
      <c r="K1032" s="2">
        <f>IFERROR(__xludf.DUMMYFUNCTION("""COMPUTED_VALUE"""),1443.29)</f>
        <v>1443.29</v>
      </c>
    </row>
    <row r="1033">
      <c r="A1033" s="2">
        <f>IFERROR(__xludf.DUMMYFUNCTION("""COMPUTED_VALUE"""),1000.0)</f>
        <v>1000</v>
      </c>
      <c r="B1033" s="2">
        <f>IFERROR(__xludf.DUMMYFUNCTION("""COMPUTED_VALUE"""),184202.0)</f>
        <v>184202</v>
      </c>
      <c r="C1033" s="2">
        <f>IFERROR(__xludf.DUMMYFUNCTION("""COMPUTED_VALUE"""),2026.0)</f>
        <v>2026</v>
      </c>
      <c r="D1033" s="2">
        <f>IFERROR(__xludf.DUMMYFUNCTION("""COMPUTED_VALUE"""),46177.0)</f>
        <v>46177</v>
      </c>
      <c r="E1033" s="2" t="str">
        <f>IFERROR(__xludf.DUMMYFUNCTION("""COMPUTED_VALUE"""),"VF")</f>
        <v>VF</v>
      </c>
      <c r="F1033" s="2">
        <f>IFERROR(__xludf.DUMMYFUNCTION("""COMPUTED_VALUE"""),1.0)</f>
        <v>1</v>
      </c>
      <c r="G1033" s="2" t="str">
        <f>IFERROR(__xludf.DUMMYFUNCTION("""COMPUTED_VALUE"""),"PR009")</f>
        <v>PR009</v>
      </c>
      <c r="H1033" s="2" t="str">
        <f>IFERROR(__xludf.DUMMYFUNCTION("""COMPUTED_VALUE"""),"VD035")</f>
        <v>VD035</v>
      </c>
      <c r="I1033" s="2">
        <f>IFERROR(__xludf.DUMMYFUNCTION("""COMPUTED_VALUE"""),16.0)</f>
        <v>16</v>
      </c>
      <c r="J1033" s="2">
        <f>IFERROR(__xludf.DUMMYFUNCTION("""COMPUTED_VALUE"""),1545.86)</f>
        <v>1545.86</v>
      </c>
      <c r="K1033" s="2">
        <f>IFERROR(__xludf.DUMMYFUNCTION("""COMPUTED_VALUE"""),1545.86)</f>
        <v>1545.86</v>
      </c>
    </row>
    <row r="1034">
      <c r="A1034" s="2">
        <f>IFERROR(__xludf.DUMMYFUNCTION("""COMPUTED_VALUE"""),2000.0)</f>
        <v>2000</v>
      </c>
      <c r="B1034" s="2">
        <f>IFERROR(__xludf.DUMMYFUNCTION("""COMPUTED_VALUE"""),184203.0)</f>
        <v>184203</v>
      </c>
      <c r="C1034" s="2">
        <f>IFERROR(__xludf.DUMMYFUNCTION("""COMPUTED_VALUE"""),2026.0)</f>
        <v>2026</v>
      </c>
      <c r="D1034" s="2">
        <f>IFERROR(__xludf.DUMMYFUNCTION("""COMPUTED_VALUE"""),46177.0)</f>
        <v>46177</v>
      </c>
      <c r="E1034" s="2" t="str">
        <f>IFERROR(__xludf.DUMMYFUNCTION("""COMPUTED_VALUE"""),"VF")</f>
        <v>VF</v>
      </c>
      <c r="F1034" s="2">
        <f>IFERROR(__xludf.DUMMYFUNCTION("""COMPUTED_VALUE"""),1.0)</f>
        <v>1</v>
      </c>
      <c r="G1034" s="2" t="str">
        <f>IFERROR(__xludf.DUMMYFUNCTION("""COMPUTED_VALUE"""),"PR041")</f>
        <v>PR041</v>
      </c>
      <c r="H1034" s="2" t="str">
        <f>IFERROR(__xludf.DUMMYFUNCTION("""COMPUTED_VALUE"""),"VD019")</f>
        <v>VD019</v>
      </c>
      <c r="I1034" s="2">
        <f>IFERROR(__xludf.DUMMYFUNCTION("""COMPUTED_VALUE"""),3.0)</f>
        <v>3</v>
      </c>
      <c r="J1034" s="2">
        <f>IFERROR(__xludf.DUMMYFUNCTION("""COMPUTED_VALUE"""),171.29)</f>
        <v>171.29</v>
      </c>
      <c r="K1034" s="2">
        <f>IFERROR(__xludf.DUMMYFUNCTION("""COMPUTED_VALUE"""),171.29)</f>
        <v>171.29</v>
      </c>
    </row>
    <row r="1035">
      <c r="A1035" s="2">
        <f>IFERROR(__xludf.DUMMYFUNCTION("""COMPUTED_VALUE"""),1000.0)</f>
        <v>1000</v>
      </c>
      <c r="B1035" s="2">
        <f>IFERROR(__xludf.DUMMYFUNCTION("""COMPUTED_VALUE"""),184204.0)</f>
        <v>184204</v>
      </c>
      <c r="C1035" s="2">
        <f>IFERROR(__xludf.DUMMYFUNCTION("""COMPUTED_VALUE"""),2026.0)</f>
        <v>2026</v>
      </c>
      <c r="D1035" s="2">
        <f>IFERROR(__xludf.DUMMYFUNCTION("""COMPUTED_VALUE"""),46177.0)</f>
        <v>46177</v>
      </c>
      <c r="E1035" s="2" t="str">
        <f>IFERROR(__xludf.DUMMYFUNCTION("""COMPUTED_VALUE"""),"VF")</f>
        <v>VF</v>
      </c>
      <c r="F1035" s="2">
        <f>IFERROR(__xludf.DUMMYFUNCTION("""COMPUTED_VALUE"""),1.0)</f>
        <v>1</v>
      </c>
      <c r="G1035" s="2" t="str">
        <f>IFERROR(__xludf.DUMMYFUNCTION("""COMPUTED_VALUE"""),"PR026")</f>
        <v>PR026</v>
      </c>
      <c r="H1035" s="2" t="str">
        <f>IFERROR(__xludf.DUMMYFUNCTION("""COMPUTED_VALUE"""),"VD027")</f>
        <v>VD027</v>
      </c>
      <c r="I1035" s="2">
        <f>IFERROR(__xludf.DUMMYFUNCTION("""COMPUTED_VALUE"""),12.0)</f>
        <v>12</v>
      </c>
      <c r="J1035" s="2">
        <f>IFERROR(__xludf.DUMMYFUNCTION("""COMPUTED_VALUE"""),4618.68)</f>
        <v>4618.68</v>
      </c>
      <c r="K1035" s="2">
        <f>IFERROR(__xludf.DUMMYFUNCTION("""COMPUTED_VALUE"""),4618.68)</f>
        <v>4618.68</v>
      </c>
    </row>
    <row r="1036">
      <c r="A1036" s="2">
        <f>IFERROR(__xludf.DUMMYFUNCTION("""COMPUTED_VALUE"""),1000.0)</f>
        <v>1000</v>
      </c>
      <c r="B1036" s="2">
        <f>IFERROR(__xludf.DUMMYFUNCTION("""COMPUTED_VALUE"""),184205.0)</f>
        <v>184205</v>
      </c>
      <c r="C1036" s="2">
        <f>IFERROR(__xludf.DUMMYFUNCTION("""COMPUTED_VALUE"""),2026.0)</f>
        <v>2026</v>
      </c>
      <c r="D1036" s="2">
        <f>IFERROR(__xludf.DUMMYFUNCTION("""COMPUTED_VALUE"""),46177.0)</f>
        <v>46177</v>
      </c>
      <c r="E1036" s="2" t="str">
        <f>IFERROR(__xludf.DUMMYFUNCTION("""COMPUTED_VALUE"""),"VF")</f>
        <v>VF</v>
      </c>
      <c r="F1036" s="2">
        <f>IFERROR(__xludf.DUMMYFUNCTION("""COMPUTED_VALUE"""),1.0)</f>
        <v>1</v>
      </c>
      <c r="G1036" s="2" t="str">
        <f>IFERROR(__xludf.DUMMYFUNCTION("""COMPUTED_VALUE"""),"PR026")</f>
        <v>PR026</v>
      </c>
      <c r="H1036" s="2" t="str">
        <f>IFERROR(__xludf.DUMMYFUNCTION("""COMPUTED_VALUE"""),"VD030")</f>
        <v>VD030</v>
      </c>
      <c r="I1036" s="2">
        <f>IFERROR(__xludf.DUMMYFUNCTION("""COMPUTED_VALUE"""),2.0)</f>
        <v>2</v>
      </c>
      <c r="J1036" s="2">
        <f>IFERROR(__xludf.DUMMYFUNCTION("""COMPUTED_VALUE"""),713.8)</f>
        <v>713.8</v>
      </c>
      <c r="K1036" s="2">
        <f>IFERROR(__xludf.DUMMYFUNCTION("""COMPUTED_VALUE"""),713.8)</f>
        <v>713.8</v>
      </c>
    </row>
    <row r="1037">
      <c r="A1037" s="2">
        <f>IFERROR(__xludf.DUMMYFUNCTION("""COMPUTED_VALUE"""),1000.0)</f>
        <v>1000</v>
      </c>
      <c r="B1037" s="2">
        <f>IFERROR(__xludf.DUMMYFUNCTION("""COMPUTED_VALUE"""),184206.0)</f>
        <v>184206</v>
      </c>
      <c r="C1037" s="2">
        <f>IFERROR(__xludf.DUMMYFUNCTION("""COMPUTED_VALUE"""),2026.0)</f>
        <v>2026</v>
      </c>
      <c r="D1037" s="2">
        <f>IFERROR(__xludf.DUMMYFUNCTION("""COMPUTED_VALUE"""),46176.0)</f>
        <v>46176</v>
      </c>
      <c r="E1037" s="2" t="str">
        <f>IFERROR(__xludf.DUMMYFUNCTION("""COMPUTED_VALUE"""),"VF")</f>
        <v>VF</v>
      </c>
      <c r="F1037" s="2">
        <f>IFERROR(__xludf.DUMMYFUNCTION("""COMPUTED_VALUE"""),1.0)</f>
        <v>1</v>
      </c>
      <c r="G1037" s="2" t="str">
        <f>IFERROR(__xludf.DUMMYFUNCTION("""COMPUTED_VALUE"""),"PR012")</f>
        <v>PR012</v>
      </c>
      <c r="H1037" s="2" t="str">
        <f>IFERROR(__xludf.DUMMYFUNCTION("""COMPUTED_VALUE"""),"VD027")</f>
        <v>VD027</v>
      </c>
      <c r="I1037" s="2">
        <f>IFERROR(__xludf.DUMMYFUNCTION("""COMPUTED_VALUE"""),18.0)</f>
        <v>18</v>
      </c>
      <c r="J1037" s="2">
        <f>IFERROR(__xludf.DUMMYFUNCTION("""COMPUTED_VALUE"""),933.01)</f>
        <v>933.01</v>
      </c>
      <c r="K1037" s="2">
        <f>IFERROR(__xludf.DUMMYFUNCTION("""COMPUTED_VALUE"""),933.01)</f>
        <v>933.01</v>
      </c>
    </row>
    <row r="1038">
      <c r="A1038" s="2">
        <f>IFERROR(__xludf.DUMMYFUNCTION("""COMPUTED_VALUE"""),1000.0)</f>
        <v>1000</v>
      </c>
      <c r="B1038" s="2">
        <f>IFERROR(__xludf.DUMMYFUNCTION("""COMPUTED_VALUE"""),184207.0)</f>
        <v>184207</v>
      </c>
      <c r="C1038" s="2">
        <f>IFERROR(__xludf.DUMMYFUNCTION("""COMPUTED_VALUE"""),2026.0)</f>
        <v>2026</v>
      </c>
      <c r="D1038" s="2">
        <f>IFERROR(__xludf.DUMMYFUNCTION("""COMPUTED_VALUE"""),46176.0)</f>
        <v>46176</v>
      </c>
      <c r="E1038" s="2" t="str">
        <f>IFERROR(__xludf.DUMMYFUNCTION("""COMPUTED_VALUE"""),"VF")</f>
        <v>VF</v>
      </c>
      <c r="F1038" s="2">
        <f>IFERROR(__xludf.DUMMYFUNCTION("""COMPUTED_VALUE"""),1.0)</f>
        <v>1</v>
      </c>
      <c r="G1038" s="2" t="str">
        <f>IFERROR(__xludf.DUMMYFUNCTION("""COMPUTED_VALUE"""),"PR010")</f>
        <v>PR010</v>
      </c>
      <c r="H1038" s="2" t="str">
        <f>IFERROR(__xludf.DUMMYFUNCTION("""COMPUTED_VALUE"""),"VD025")</f>
        <v>VD025</v>
      </c>
      <c r="I1038" s="2">
        <f>IFERROR(__xludf.DUMMYFUNCTION("""COMPUTED_VALUE"""),14.0)</f>
        <v>14</v>
      </c>
      <c r="J1038" s="2">
        <f>IFERROR(__xludf.DUMMYFUNCTION("""COMPUTED_VALUE"""),672.6)</f>
        <v>672.6</v>
      </c>
      <c r="K1038" s="2">
        <f>IFERROR(__xludf.DUMMYFUNCTION("""COMPUTED_VALUE"""),672.6)</f>
        <v>672.6</v>
      </c>
    </row>
    <row r="1039">
      <c r="A1039" s="2">
        <f>IFERROR(__xludf.DUMMYFUNCTION("""COMPUTED_VALUE"""),1000.0)</f>
        <v>1000</v>
      </c>
      <c r="B1039" s="2">
        <f>IFERROR(__xludf.DUMMYFUNCTION("""COMPUTED_VALUE"""),184208.0)</f>
        <v>184208</v>
      </c>
      <c r="C1039" s="2">
        <f>IFERROR(__xludf.DUMMYFUNCTION("""COMPUTED_VALUE"""),2026.0)</f>
        <v>2026</v>
      </c>
      <c r="D1039" s="2">
        <f>IFERROR(__xludf.DUMMYFUNCTION("""COMPUTED_VALUE"""),46176.0)</f>
        <v>46176</v>
      </c>
      <c r="E1039" s="2" t="str">
        <f>IFERROR(__xludf.DUMMYFUNCTION("""COMPUTED_VALUE"""),"VF")</f>
        <v>VF</v>
      </c>
      <c r="F1039" s="2">
        <f>IFERROR(__xludf.DUMMYFUNCTION("""COMPUTED_VALUE"""),1.0)</f>
        <v>1</v>
      </c>
      <c r="G1039" s="2" t="str">
        <f>IFERROR(__xludf.DUMMYFUNCTION("""COMPUTED_VALUE"""),"PR060")</f>
        <v>PR060</v>
      </c>
      <c r="H1039" s="2" t="str">
        <f>IFERROR(__xludf.DUMMYFUNCTION("""COMPUTED_VALUE"""),"VD033")</f>
        <v>VD033</v>
      </c>
      <c r="I1039" s="2">
        <f>IFERROR(__xludf.DUMMYFUNCTION("""COMPUTED_VALUE"""),10.0)</f>
        <v>10</v>
      </c>
      <c r="J1039" s="2">
        <f>IFERROR(__xludf.DUMMYFUNCTION("""COMPUTED_VALUE"""),1962.0)</f>
        <v>1962</v>
      </c>
      <c r="K1039" s="2">
        <f>IFERROR(__xludf.DUMMYFUNCTION("""COMPUTED_VALUE"""),1962.0)</f>
        <v>1962</v>
      </c>
    </row>
    <row r="1040">
      <c r="A1040" s="2">
        <f>IFERROR(__xludf.DUMMYFUNCTION("""COMPUTED_VALUE"""),1000.0)</f>
        <v>1000</v>
      </c>
      <c r="B1040" s="2">
        <f>IFERROR(__xludf.DUMMYFUNCTION("""COMPUTED_VALUE"""),184209.0)</f>
        <v>184209</v>
      </c>
      <c r="C1040" s="2">
        <f>IFERROR(__xludf.DUMMYFUNCTION("""COMPUTED_VALUE"""),2026.0)</f>
        <v>2026</v>
      </c>
      <c r="D1040" s="2">
        <f>IFERROR(__xludf.DUMMYFUNCTION("""COMPUTED_VALUE"""),46176.0)</f>
        <v>46176</v>
      </c>
      <c r="E1040" s="2" t="str">
        <f>IFERROR(__xludf.DUMMYFUNCTION("""COMPUTED_VALUE"""),"VF")</f>
        <v>VF</v>
      </c>
      <c r="F1040" s="2">
        <f>IFERROR(__xludf.DUMMYFUNCTION("""COMPUTED_VALUE"""),1.0)</f>
        <v>1</v>
      </c>
      <c r="G1040" s="2" t="str">
        <f>IFERROR(__xludf.DUMMYFUNCTION("""COMPUTED_VALUE"""),"PR016")</f>
        <v>PR016</v>
      </c>
      <c r="H1040" s="2" t="str">
        <f>IFERROR(__xludf.DUMMYFUNCTION("""COMPUTED_VALUE"""),"VD011")</f>
        <v>VD011</v>
      </c>
      <c r="I1040" s="2">
        <f>IFERROR(__xludf.DUMMYFUNCTION("""COMPUTED_VALUE"""),2.0)</f>
        <v>2</v>
      </c>
      <c r="J1040" s="2">
        <f>IFERROR(__xludf.DUMMYFUNCTION("""COMPUTED_VALUE"""),51.8)</f>
        <v>51.8</v>
      </c>
      <c r="K1040" s="2">
        <f>IFERROR(__xludf.DUMMYFUNCTION("""COMPUTED_VALUE"""),51.8)</f>
        <v>51.8</v>
      </c>
    </row>
    <row r="1041">
      <c r="A1041" s="2">
        <f>IFERROR(__xludf.DUMMYFUNCTION("""COMPUTED_VALUE"""),1000.0)</f>
        <v>1000</v>
      </c>
      <c r="B1041" s="2">
        <f>IFERROR(__xludf.DUMMYFUNCTION("""COMPUTED_VALUE"""),184210.0)</f>
        <v>184210</v>
      </c>
      <c r="C1041" s="2">
        <f>IFERROR(__xludf.DUMMYFUNCTION("""COMPUTED_VALUE"""),2026.0)</f>
        <v>2026</v>
      </c>
      <c r="D1041" s="2">
        <f>IFERROR(__xludf.DUMMYFUNCTION("""COMPUTED_VALUE"""),46176.0)</f>
        <v>46176</v>
      </c>
      <c r="E1041" s="2" t="str">
        <f>IFERROR(__xludf.DUMMYFUNCTION("""COMPUTED_VALUE"""),"VF")</f>
        <v>VF</v>
      </c>
      <c r="F1041" s="2">
        <f>IFERROR(__xludf.DUMMYFUNCTION("""COMPUTED_VALUE"""),1.0)</f>
        <v>1</v>
      </c>
      <c r="G1041" s="2" t="str">
        <f>IFERROR(__xludf.DUMMYFUNCTION("""COMPUTED_VALUE"""),"PR044")</f>
        <v>PR044</v>
      </c>
      <c r="H1041" s="2" t="str">
        <f>IFERROR(__xludf.DUMMYFUNCTION("""COMPUTED_VALUE"""),"VD044")</f>
        <v>VD044</v>
      </c>
      <c r="I1041" s="2">
        <f>IFERROR(__xludf.DUMMYFUNCTION("""COMPUTED_VALUE"""),8.0)</f>
        <v>8</v>
      </c>
      <c r="J1041" s="2">
        <f>IFERROR(__xludf.DUMMYFUNCTION("""COMPUTED_VALUE"""),580.0)</f>
        <v>580</v>
      </c>
      <c r="K1041" s="2">
        <f>IFERROR(__xludf.DUMMYFUNCTION("""COMPUTED_VALUE"""),580.0)</f>
        <v>580</v>
      </c>
    </row>
    <row r="1042">
      <c r="A1042" s="2">
        <f>IFERROR(__xludf.DUMMYFUNCTION("""COMPUTED_VALUE"""),1000.0)</f>
        <v>1000</v>
      </c>
      <c r="B1042" s="2">
        <f>IFERROR(__xludf.DUMMYFUNCTION("""COMPUTED_VALUE"""),184211.0)</f>
        <v>184211</v>
      </c>
      <c r="C1042" s="2">
        <f>IFERROR(__xludf.DUMMYFUNCTION("""COMPUTED_VALUE"""),2026.0)</f>
        <v>2026</v>
      </c>
      <c r="D1042" s="2">
        <f>IFERROR(__xludf.DUMMYFUNCTION("""COMPUTED_VALUE"""),46175.0)</f>
        <v>46175</v>
      </c>
      <c r="E1042" s="2" t="str">
        <f>IFERROR(__xludf.DUMMYFUNCTION("""COMPUTED_VALUE"""),"VF")</f>
        <v>VF</v>
      </c>
      <c r="F1042" s="2">
        <f>IFERROR(__xludf.DUMMYFUNCTION("""COMPUTED_VALUE"""),1.0)</f>
        <v>1</v>
      </c>
      <c r="G1042" s="2" t="str">
        <f>IFERROR(__xludf.DUMMYFUNCTION("""COMPUTED_VALUE"""),"PR001")</f>
        <v>PR001</v>
      </c>
      <c r="H1042" s="2" t="str">
        <f>IFERROR(__xludf.DUMMYFUNCTION("""COMPUTED_VALUE"""),"VD027")</f>
        <v>VD027</v>
      </c>
      <c r="I1042" s="2">
        <f>IFERROR(__xludf.DUMMYFUNCTION("""COMPUTED_VALUE"""),2.0)</f>
        <v>2</v>
      </c>
      <c r="J1042" s="2">
        <f>IFERROR(__xludf.DUMMYFUNCTION("""COMPUTED_VALUE"""),133.12)</f>
        <v>133.12</v>
      </c>
      <c r="K1042" s="2">
        <f>IFERROR(__xludf.DUMMYFUNCTION("""COMPUTED_VALUE"""),133.12)</f>
        <v>133.12</v>
      </c>
    </row>
    <row r="1043">
      <c r="A1043" s="2">
        <f>IFERROR(__xludf.DUMMYFUNCTION("""COMPUTED_VALUE"""),1000.0)</f>
        <v>1000</v>
      </c>
      <c r="B1043" s="2">
        <f>IFERROR(__xludf.DUMMYFUNCTION("""COMPUTED_VALUE"""),184212.0)</f>
        <v>184212</v>
      </c>
      <c r="C1043" s="2">
        <f>IFERROR(__xludf.DUMMYFUNCTION("""COMPUTED_VALUE"""),2026.0)</f>
        <v>2026</v>
      </c>
      <c r="D1043" s="2">
        <f>IFERROR(__xludf.DUMMYFUNCTION("""COMPUTED_VALUE"""),46175.0)</f>
        <v>46175</v>
      </c>
      <c r="E1043" s="2" t="str">
        <f>IFERROR(__xludf.DUMMYFUNCTION("""COMPUTED_VALUE"""),"VF")</f>
        <v>VF</v>
      </c>
      <c r="F1043" s="2">
        <f>IFERROR(__xludf.DUMMYFUNCTION("""COMPUTED_VALUE"""),1.0)</f>
        <v>1</v>
      </c>
      <c r="G1043" s="2" t="str">
        <f>IFERROR(__xludf.DUMMYFUNCTION("""COMPUTED_VALUE"""),"PR013")</f>
        <v>PR013</v>
      </c>
      <c r="H1043" s="2" t="str">
        <f>IFERROR(__xludf.DUMMYFUNCTION("""COMPUTED_VALUE"""),"VD044")</f>
        <v>VD044</v>
      </c>
      <c r="I1043" s="2">
        <f>IFERROR(__xludf.DUMMYFUNCTION("""COMPUTED_VALUE"""),5.0)</f>
        <v>5</v>
      </c>
      <c r="J1043" s="2">
        <f>IFERROR(__xludf.DUMMYFUNCTION("""COMPUTED_VALUE"""),215.46)</f>
        <v>215.46</v>
      </c>
      <c r="K1043" s="2">
        <f>IFERROR(__xludf.DUMMYFUNCTION("""COMPUTED_VALUE"""),215.46)</f>
        <v>215.46</v>
      </c>
    </row>
    <row r="1044">
      <c r="A1044" s="2">
        <f>IFERROR(__xludf.DUMMYFUNCTION("""COMPUTED_VALUE"""),1000.0)</f>
        <v>1000</v>
      </c>
      <c r="B1044" s="2">
        <f>IFERROR(__xludf.DUMMYFUNCTION("""COMPUTED_VALUE"""),184213.0)</f>
        <v>184213</v>
      </c>
      <c r="C1044" s="2">
        <f>IFERROR(__xludf.DUMMYFUNCTION("""COMPUTED_VALUE"""),2026.0)</f>
        <v>2026</v>
      </c>
      <c r="D1044" s="2">
        <f>IFERROR(__xludf.DUMMYFUNCTION("""COMPUTED_VALUE"""),46175.0)</f>
        <v>46175</v>
      </c>
      <c r="E1044" s="2" t="str">
        <f>IFERROR(__xludf.DUMMYFUNCTION("""COMPUTED_VALUE"""),"VF")</f>
        <v>VF</v>
      </c>
      <c r="F1044" s="2">
        <f>IFERROR(__xludf.DUMMYFUNCTION("""COMPUTED_VALUE"""),1.0)</f>
        <v>1</v>
      </c>
      <c r="G1044" s="2" t="str">
        <f>IFERROR(__xludf.DUMMYFUNCTION("""COMPUTED_VALUE"""),"PR017")</f>
        <v>PR017</v>
      </c>
      <c r="H1044" s="2" t="str">
        <f>IFERROR(__xludf.DUMMYFUNCTION("""COMPUTED_VALUE"""),"VD020")</f>
        <v>VD020</v>
      </c>
      <c r="I1044" s="2">
        <f>IFERROR(__xludf.DUMMYFUNCTION("""COMPUTED_VALUE"""),2.0)</f>
        <v>2</v>
      </c>
      <c r="J1044" s="2">
        <f>IFERROR(__xludf.DUMMYFUNCTION("""COMPUTED_VALUE"""),61.59)</f>
        <v>61.59</v>
      </c>
      <c r="K1044" s="2">
        <f>IFERROR(__xludf.DUMMYFUNCTION("""COMPUTED_VALUE"""),61.59)</f>
        <v>61.59</v>
      </c>
    </row>
    <row r="1045">
      <c r="A1045" s="2">
        <f>IFERROR(__xludf.DUMMYFUNCTION("""COMPUTED_VALUE"""),1000.0)</f>
        <v>1000</v>
      </c>
      <c r="B1045" s="2">
        <f>IFERROR(__xludf.DUMMYFUNCTION("""COMPUTED_VALUE"""),184214.0)</f>
        <v>184214</v>
      </c>
      <c r="C1045" s="2">
        <f>IFERROR(__xludf.DUMMYFUNCTION("""COMPUTED_VALUE"""),2026.0)</f>
        <v>2026</v>
      </c>
      <c r="D1045" s="2">
        <f>IFERROR(__xludf.DUMMYFUNCTION("""COMPUTED_VALUE"""),46175.0)</f>
        <v>46175</v>
      </c>
      <c r="E1045" s="2" t="str">
        <f>IFERROR(__xludf.DUMMYFUNCTION("""COMPUTED_VALUE"""),"VF")</f>
        <v>VF</v>
      </c>
      <c r="F1045" s="2">
        <f>IFERROR(__xludf.DUMMYFUNCTION("""COMPUTED_VALUE"""),1.0)</f>
        <v>1</v>
      </c>
      <c r="G1045" s="2" t="str">
        <f>IFERROR(__xludf.DUMMYFUNCTION("""COMPUTED_VALUE"""),"PR036")</f>
        <v>PR036</v>
      </c>
      <c r="H1045" s="2" t="str">
        <f>IFERROR(__xludf.DUMMYFUNCTION("""COMPUTED_VALUE"""),"VD010")</f>
        <v>VD010</v>
      </c>
      <c r="I1045" s="2">
        <f>IFERROR(__xludf.DUMMYFUNCTION("""COMPUTED_VALUE"""),10.0)</f>
        <v>10</v>
      </c>
      <c r="J1045" s="2">
        <f>IFERROR(__xludf.DUMMYFUNCTION("""COMPUTED_VALUE"""),935.0)</f>
        <v>935</v>
      </c>
      <c r="K1045" s="2">
        <f>IFERROR(__xludf.DUMMYFUNCTION("""COMPUTED_VALUE"""),935.0)</f>
        <v>935</v>
      </c>
    </row>
    <row r="1046">
      <c r="A1046" s="2">
        <f>IFERROR(__xludf.DUMMYFUNCTION("""COMPUTED_VALUE"""),1000.0)</f>
        <v>1000</v>
      </c>
      <c r="B1046" s="2">
        <f>IFERROR(__xludf.DUMMYFUNCTION("""COMPUTED_VALUE"""),184215.0)</f>
        <v>184215</v>
      </c>
      <c r="C1046" s="2">
        <f>IFERROR(__xludf.DUMMYFUNCTION("""COMPUTED_VALUE"""),2026.0)</f>
        <v>2026</v>
      </c>
      <c r="D1046" s="2">
        <f>IFERROR(__xludf.DUMMYFUNCTION("""COMPUTED_VALUE"""),46175.0)</f>
        <v>46175</v>
      </c>
      <c r="E1046" s="2" t="str">
        <f>IFERROR(__xludf.DUMMYFUNCTION("""COMPUTED_VALUE"""),"VF")</f>
        <v>VF</v>
      </c>
      <c r="F1046" s="2">
        <f>IFERROR(__xludf.DUMMYFUNCTION("""COMPUTED_VALUE"""),1.0)</f>
        <v>1</v>
      </c>
      <c r="G1046" s="2" t="str">
        <f>IFERROR(__xludf.DUMMYFUNCTION("""COMPUTED_VALUE"""),"PR009")</f>
        <v>PR009</v>
      </c>
      <c r="H1046" s="2" t="str">
        <f>IFERROR(__xludf.DUMMYFUNCTION("""COMPUTED_VALUE"""),"VD048")</f>
        <v>VD048</v>
      </c>
      <c r="I1046" s="2">
        <f>IFERROR(__xludf.DUMMYFUNCTION("""COMPUTED_VALUE"""),16.0)</f>
        <v>16</v>
      </c>
      <c r="J1046" s="2">
        <f>IFERROR(__xludf.DUMMYFUNCTION("""COMPUTED_VALUE"""),1560.72)</f>
        <v>1560.72</v>
      </c>
      <c r="K1046" s="2">
        <f>IFERROR(__xludf.DUMMYFUNCTION("""COMPUTED_VALUE"""),1560.72)</f>
        <v>1560.72</v>
      </c>
    </row>
    <row r="1047">
      <c r="A1047" s="2">
        <f>IFERROR(__xludf.DUMMYFUNCTION("""COMPUTED_VALUE"""),1000.0)</f>
        <v>1000</v>
      </c>
      <c r="B1047" s="2">
        <f>IFERROR(__xludf.DUMMYFUNCTION("""COMPUTED_VALUE"""),184215.0)</f>
        <v>184215</v>
      </c>
      <c r="C1047" s="2">
        <f>IFERROR(__xludf.DUMMYFUNCTION("""COMPUTED_VALUE"""),2026.0)</f>
        <v>2026</v>
      </c>
      <c r="D1047" s="2">
        <f>IFERROR(__xludf.DUMMYFUNCTION("""COMPUTED_VALUE"""),46175.0)</f>
        <v>46175</v>
      </c>
      <c r="E1047" s="2" t="str">
        <f>IFERROR(__xludf.DUMMYFUNCTION("""COMPUTED_VALUE"""),"VF")</f>
        <v>VF</v>
      </c>
      <c r="F1047" s="2">
        <f>IFERROR(__xludf.DUMMYFUNCTION("""COMPUTED_VALUE"""),2.0)</f>
        <v>2</v>
      </c>
      <c r="G1047" s="2" t="str">
        <f>IFERROR(__xludf.DUMMYFUNCTION("""COMPUTED_VALUE"""),"PR009")</f>
        <v>PR009</v>
      </c>
      <c r="H1047" s="2" t="str">
        <f>IFERROR(__xludf.DUMMYFUNCTION("""COMPUTED_VALUE"""),"VD043")</f>
        <v>VD043</v>
      </c>
      <c r="I1047" s="2">
        <f>IFERROR(__xludf.DUMMYFUNCTION("""COMPUTED_VALUE"""),2.0)</f>
        <v>2</v>
      </c>
      <c r="J1047" s="2">
        <f>IFERROR(__xludf.DUMMYFUNCTION("""COMPUTED_VALUE"""),198.81)</f>
        <v>198.81</v>
      </c>
      <c r="K1047" s="2">
        <f>IFERROR(__xludf.DUMMYFUNCTION("""COMPUTED_VALUE"""),198.81)</f>
        <v>198.81</v>
      </c>
    </row>
    <row r="1048">
      <c r="A1048" s="2">
        <f>IFERROR(__xludf.DUMMYFUNCTION("""COMPUTED_VALUE"""),1000.0)</f>
        <v>1000</v>
      </c>
      <c r="B1048" s="2">
        <f>IFERROR(__xludf.DUMMYFUNCTION("""COMPUTED_VALUE"""),184216.0)</f>
        <v>184216</v>
      </c>
      <c r="C1048" s="2">
        <f>IFERROR(__xludf.DUMMYFUNCTION("""COMPUTED_VALUE"""),2026.0)</f>
        <v>2026</v>
      </c>
      <c r="D1048" s="2">
        <f>IFERROR(__xludf.DUMMYFUNCTION("""COMPUTED_VALUE"""),46174.0)</f>
        <v>46174</v>
      </c>
      <c r="E1048" s="2" t="str">
        <f>IFERROR(__xludf.DUMMYFUNCTION("""COMPUTED_VALUE"""),"VF")</f>
        <v>VF</v>
      </c>
      <c r="F1048" s="2">
        <f>IFERROR(__xludf.DUMMYFUNCTION("""COMPUTED_VALUE"""),1.0)</f>
        <v>1</v>
      </c>
      <c r="G1048" s="2" t="str">
        <f>IFERROR(__xludf.DUMMYFUNCTION("""COMPUTED_VALUE"""),"PR001")</f>
        <v>PR001</v>
      </c>
      <c r="H1048" s="2" t="str">
        <f>IFERROR(__xludf.DUMMYFUNCTION("""COMPUTED_VALUE"""),"VD044")</f>
        <v>VD044</v>
      </c>
      <c r="I1048" s="2">
        <f>IFERROR(__xludf.DUMMYFUNCTION("""COMPUTED_VALUE"""),1.0)</f>
        <v>1</v>
      </c>
      <c r="J1048" s="2">
        <f>IFERROR(__xludf.DUMMYFUNCTION("""COMPUTED_VALUE"""),66.56)</f>
        <v>66.56</v>
      </c>
      <c r="K1048" s="2">
        <f>IFERROR(__xludf.DUMMYFUNCTION("""COMPUTED_VALUE"""),66.56)</f>
        <v>66.56</v>
      </c>
    </row>
    <row r="1049">
      <c r="A1049" s="2">
        <f>IFERROR(__xludf.DUMMYFUNCTION("""COMPUTED_VALUE"""),1000.0)</f>
        <v>1000</v>
      </c>
      <c r="B1049" s="2">
        <f>IFERROR(__xludf.DUMMYFUNCTION("""COMPUTED_VALUE"""),184217.0)</f>
        <v>184217</v>
      </c>
      <c r="C1049" s="2">
        <f>IFERROR(__xludf.DUMMYFUNCTION("""COMPUTED_VALUE"""),2026.0)</f>
        <v>2026</v>
      </c>
      <c r="D1049" s="2">
        <f>IFERROR(__xludf.DUMMYFUNCTION("""COMPUTED_VALUE"""),46174.0)</f>
        <v>46174</v>
      </c>
      <c r="E1049" s="2" t="str">
        <f>IFERROR(__xludf.DUMMYFUNCTION("""COMPUTED_VALUE"""),"VF")</f>
        <v>VF</v>
      </c>
      <c r="F1049" s="2">
        <f>IFERROR(__xludf.DUMMYFUNCTION("""COMPUTED_VALUE"""),1.0)</f>
        <v>1</v>
      </c>
      <c r="G1049" s="2" t="str">
        <f>IFERROR(__xludf.DUMMYFUNCTION("""COMPUTED_VALUE"""),"PR056")</f>
        <v>PR056</v>
      </c>
      <c r="H1049" s="2" t="str">
        <f>IFERROR(__xludf.DUMMYFUNCTION("""COMPUTED_VALUE"""),"VD020")</f>
        <v>VD020</v>
      </c>
      <c r="I1049" s="2">
        <f>IFERROR(__xludf.DUMMYFUNCTION("""COMPUTED_VALUE"""),10.0)</f>
        <v>10</v>
      </c>
      <c r="J1049" s="2">
        <f>IFERROR(__xludf.DUMMYFUNCTION("""COMPUTED_VALUE"""),916.98)</f>
        <v>916.98</v>
      </c>
      <c r="K1049" s="2">
        <f>IFERROR(__xludf.DUMMYFUNCTION("""COMPUTED_VALUE"""),916.98)</f>
        <v>916.98</v>
      </c>
    </row>
    <row r="1050">
      <c r="A1050" s="2">
        <f>IFERROR(__xludf.DUMMYFUNCTION("""COMPUTED_VALUE"""),1000.0)</f>
        <v>1000</v>
      </c>
      <c r="B1050" s="2">
        <f>IFERROR(__xludf.DUMMYFUNCTION("""COMPUTED_VALUE"""),184217.0)</f>
        <v>184217</v>
      </c>
      <c r="C1050" s="2">
        <f>IFERROR(__xludf.DUMMYFUNCTION("""COMPUTED_VALUE"""),2026.0)</f>
        <v>2026</v>
      </c>
      <c r="D1050" s="2">
        <f>IFERROR(__xludf.DUMMYFUNCTION("""COMPUTED_VALUE"""),46174.0)</f>
        <v>46174</v>
      </c>
      <c r="E1050" s="2" t="str">
        <f>IFERROR(__xludf.DUMMYFUNCTION("""COMPUTED_VALUE"""),"VF")</f>
        <v>VF</v>
      </c>
      <c r="F1050" s="2">
        <f>IFERROR(__xludf.DUMMYFUNCTION("""COMPUTED_VALUE"""),2.0)</f>
        <v>2</v>
      </c>
      <c r="G1050" s="2" t="str">
        <f>IFERROR(__xludf.DUMMYFUNCTION("""COMPUTED_VALUE"""),"PR008")</f>
        <v>PR008</v>
      </c>
      <c r="H1050" s="2" t="str">
        <f>IFERROR(__xludf.DUMMYFUNCTION("""COMPUTED_VALUE"""),"VD023")</f>
        <v>VD023</v>
      </c>
      <c r="I1050" s="2">
        <f>IFERROR(__xludf.DUMMYFUNCTION("""COMPUTED_VALUE"""),2.0)</f>
        <v>2</v>
      </c>
      <c r="J1050" s="2">
        <f>IFERROR(__xludf.DUMMYFUNCTION("""COMPUTED_VALUE"""),194.18)</f>
        <v>194.18</v>
      </c>
      <c r="K1050" s="2">
        <f>IFERROR(__xludf.DUMMYFUNCTION("""COMPUTED_VALUE"""),194.18)</f>
        <v>194.18</v>
      </c>
    </row>
    <row r="1051">
      <c r="A1051" s="2">
        <f>IFERROR(__xludf.DUMMYFUNCTION("""COMPUTED_VALUE"""),1000.0)</f>
        <v>1000</v>
      </c>
      <c r="B1051" s="2">
        <f>IFERROR(__xludf.DUMMYFUNCTION("""COMPUTED_VALUE"""),184218.0)</f>
        <v>184218</v>
      </c>
      <c r="C1051" s="2">
        <f>IFERROR(__xludf.DUMMYFUNCTION("""COMPUTED_VALUE"""),2026.0)</f>
        <v>2026</v>
      </c>
      <c r="D1051" s="2">
        <f>IFERROR(__xludf.DUMMYFUNCTION("""COMPUTED_VALUE"""),46174.0)</f>
        <v>46174</v>
      </c>
      <c r="E1051" s="2" t="str">
        <f>IFERROR(__xludf.DUMMYFUNCTION("""COMPUTED_VALUE"""),"VF")</f>
        <v>VF</v>
      </c>
      <c r="F1051" s="2">
        <f>IFERROR(__xludf.DUMMYFUNCTION("""COMPUTED_VALUE"""),1.0)</f>
        <v>1</v>
      </c>
      <c r="G1051" s="2" t="str">
        <f>IFERROR(__xludf.DUMMYFUNCTION("""COMPUTED_VALUE"""),"PR051")</f>
        <v>PR051</v>
      </c>
      <c r="H1051" s="2" t="str">
        <f>IFERROR(__xludf.DUMMYFUNCTION("""COMPUTED_VALUE"""),"VD011")</f>
        <v>VD011</v>
      </c>
      <c r="I1051" s="2">
        <f>IFERROR(__xludf.DUMMYFUNCTION("""COMPUTED_VALUE"""),10.0)</f>
        <v>10</v>
      </c>
      <c r="J1051" s="2">
        <f>IFERROR(__xludf.DUMMYFUNCTION("""COMPUTED_VALUE"""),338.87)</f>
        <v>338.87</v>
      </c>
      <c r="K1051" s="2">
        <f>IFERROR(__xludf.DUMMYFUNCTION("""COMPUTED_VALUE"""),338.87)</f>
        <v>338.87</v>
      </c>
    </row>
    <row r="1052">
      <c r="A1052" s="2">
        <f>IFERROR(__xludf.DUMMYFUNCTION("""COMPUTED_VALUE"""),1000.0)</f>
        <v>1000</v>
      </c>
      <c r="B1052" s="2">
        <f>IFERROR(__xludf.DUMMYFUNCTION("""COMPUTED_VALUE"""),184219.0)</f>
        <v>184219</v>
      </c>
      <c r="C1052" s="2">
        <f>IFERROR(__xludf.DUMMYFUNCTION("""COMPUTED_VALUE"""),2026.0)</f>
        <v>2026</v>
      </c>
      <c r="D1052" s="2">
        <f>IFERROR(__xludf.DUMMYFUNCTION("""COMPUTED_VALUE"""),46174.0)</f>
        <v>46174</v>
      </c>
      <c r="E1052" s="2" t="str">
        <f>IFERROR(__xludf.DUMMYFUNCTION("""COMPUTED_VALUE"""),"VF")</f>
        <v>VF</v>
      </c>
      <c r="F1052" s="2">
        <f>IFERROR(__xludf.DUMMYFUNCTION("""COMPUTED_VALUE"""),1.0)</f>
        <v>1</v>
      </c>
      <c r="G1052" s="2" t="str">
        <f>IFERROR(__xludf.DUMMYFUNCTION("""COMPUTED_VALUE"""),"PR037")</f>
        <v>PR037</v>
      </c>
      <c r="H1052" s="2" t="str">
        <f>IFERROR(__xludf.DUMMYFUNCTION("""COMPUTED_VALUE"""),"VD019")</f>
        <v>VD019</v>
      </c>
      <c r="I1052" s="2">
        <f>IFERROR(__xludf.DUMMYFUNCTION("""COMPUTED_VALUE"""),4.0)</f>
        <v>4</v>
      </c>
      <c r="J1052" s="2">
        <f>IFERROR(__xludf.DUMMYFUNCTION("""COMPUTED_VALUE"""),616.0)</f>
        <v>616</v>
      </c>
      <c r="K1052" s="2">
        <f>IFERROR(__xludf.DUMMYFUNCTION("""COMPUTED_VALUE"""),616.0)</f>
        <v>616</v>
      </c>
    </row>
    <row r="1053">
      <c r="A1053" s="2">
        <f>IFERROR(__xludf.DUMMYFUNCTION("""COMPUTED_VALUE"""),1000.0)</f>
        <v>1000</v>
      </c>
      <c r="B1053" s="2">
        <f>IFERROR(__xludf.DUMMYFUNCTION("""COMPUTED_VALUE"""),184220.0)</f>
        <v>184220</v>
      </c>
      <c r="C1053" s="2">
        <f>IFERROR(__xludf.DUMMYFUNCTION("""COMPUTED_VALUE"""),2026.0)</f>
        <v>2026</v>
      </c>
      <c r="D1053" s="2">
        <f>IFERROR(__xludf.DUMMYFUNCTION("""COMPUTED_VALUE"""),46173.0)</f>
        <v>46173</v>
      </c>
      <c r="E1053" s="2" t="str">
        <f>IFERROR(__xludf.DUMMYFUNCTION("""COMPUTED_VALUE"""),"VF")</f>
        <v>VF</v>
      </c>
      <c r="F1053" s="2">
        <f>IFERROR(__xludf.DUMMYFUNCTION("""COMPUTED_VALUE"""),1.0)</f>
        <v>1</v>
      </c>
      <c r="G1053" s="2" t="str">
        <f>IFERROR(__xludf.DUMMYFUNCTION("""COMPUTED_VALUE"""),"PR055")</f>
        <v>PR055</v>
      </c>
      <c r="H1053" s="2" t="str">
        <f>IFERROR(__xludf.DUMMYFUNCTION("""COMPUTED_VALUE"""),"VD038")</f>
        <v>VD038</v>
      </c>
      <c r="I1053" s="2">
        <f>IFERROR(__xludf.DUMMYFUNCTION("""COMPUTED_VALUE"""),20.0)</f>
        <v>20</v>
      </c>
      <c r="J1053" s="2">
        <f>IFERROR(__xludf.DUMMYFUNCTION("""COMPUTED_VALUE"""),1923.86)</f>
        <v>1923.86</v>
      </c>
      <c r="K1053" s="2">
        <f>IFERROR(__xludf.DUMMYFUNCTION("""COMPUTED_VALUE"""),1923.86)</f>
        <v>1923.86</v>
      </c>
    </row>
    <row r="1054">
      <c r="A1054" s="2">
        <f>IFERROR(__xludf.DUMMYFUNCTION("""COMPUTED_VALUE"""),1000.0)</f>
        <v>1000</v>
      </c>
      <c r="B1054" s="2">
        <f>IFERROR(__xludf.DUMMYFUNCTION("""COMPUTED_VALUE"""),184221.0)</f>
        <v>184221</v>
      </c>
      <c r="C1054" s="2">
        <f>IFERROR(__xludf.DUMMYFUNCTION("""COMPUTED_VALUE"""),2026.0)</f>
        <v>2026</v>
      </c>
      <c r="D1054" s="2">
        <f>IFERROR(__xludf.DUMMYFUNCTION("""COMPUTED_VALUE"""),46173.0)</f>
        <v>46173</v>
      </c>
      <c r="E1054" s="2" t="str">
        <f>IFERROR(__xludf.DUMMYFUNCTION("""COMPUTED_VALUE"""),"VF")</f>
        <v>VF</v>
      </c>
      <c r="F1054" s="2">
        <f>IFERROR(__xludf.DUMMYFUNCTION("""COMPUTED_VALUE"""),1.0)</f>
        <v>1</v>
      </c>
      <c r="G1054" s="2" t="str">
        <f>IFERROR(__xludf.DUMMYFUNCTION("""COMPUTED_VALUE"""),"PR005")</f>
        <v>PR005</v>
      </c>
      <c r="H1054" s="2" t="str">
        <f>IFERROR(__xludf.DUMMYFUNCTION("""COMPUTED_VALUE"""),"VD049")</f>
        <v>VD049</v>
      </c>
      <c r="I1054" s="2">
        <f>IFERROR(__xludf.DUMMYFUNCTION("""COMPUTED_VALUE"""),5.0)</f>
        <v>5</v>
      </c>
      <c r="J1054" s="2">
        <f>IFERROR(__xludf.DUMMYFUNCTION("""COMPUTED_VALUE"""),1364.48)</f>
        <v>1364.48</v>
      </c>
      <c r="K1054" s="2">
        <f>IFERROR(__xludf.DUMMYFUNCTION("""COMPUTED_VALUE"""),1364.48)</f>
        <v>1364.48</v>
      </c>
    </row>
    <row r="1055">
      <c r="A1055" s="2">
        <f>IFERROR(__xludf.DUMMYFUNCTION("""COMPUTED_VALUE"""),1000.0)</f>
        <v>1000</v>
      </c>
      <c r="B1055" s="2">
        <f>IFERROR(__xludf.DUMMYFUNCTION("""COMPUTED_VALUE"""),184222.0)</f>
        <v>184222</v>
      </c>
      <c r="C1055" s="2">
        <f>IFERROR(__xludf.DUMMYFUNCTION("""COMPUTED_VALUE"""),2026.0)</f>
        <v>2026</v>
      </c>
      <c r="D1055" s="2">
        <f>IFERROR(__xludf.DUMMYFUNCTION("""COMPUTED_VALUE"""),46172.0)</f>
        <v>46172</v>
      </c>
      <c r="E1055" s="2" t="str">
        <f>IFERROR(__xludf.DUMMYFUNCTION("""COMPUTED_VALUE"""),"VF")</f>
        <v>VF</v>
      </c>
      <c r="F1055" s="2">
        <f>IFERROR(__xludf.DUMMYFUNCTION("""COMPUTED_VALUE"""),1.0)</f>
        <v>1</v>
      </c>
      <c r="G1055" s="2" t="str">
        <f>IFERROR(__xludf.DUMMYFUNCTION("""COMPUTED_VALUE"""),"PR025")</f>
        <v>PR025</v>
      </c>
      <c r="H1055" s="2" t="str">
        <f>IFERROR(__xludf.DUMMYFUNCTION("""COMPUTED_VALUE"""),"VD018")</f>
        <v>VD018</v>
      </c>
      <c r="I1055" s="2">
        <f>IFERROR(__xludf.DUMMYFUNCTION("""COMPUTED_VALUE"""),8.0)</f>
        <v>8</v>
      </c>
      <c r="J1055" s="2">
        <f>IFERROR(__xludf.DUMMYFUNCTION("""COMPUTED_VALUE"""),2519.16)</f>
        <v>2519.16</v>
      </c>
      <c r="K1055" s="2">
        <f>IFERROR(__xludf.DUMMYFUNCTION("""COMPUTED_VALUE"""),2519.16)</f>
        <v>2519.16</v>
      </c>
    </row>
    <row r="1056">
      <c r="A1056" s="2">
        <f>IFERROR(__xludf.DUMMYFUNCTION("""COMPUTED_VALUE"""),1000.0)</f>
        <v>1000</v>
      </c>
      <c r="B1056" s="2">
        <f>IFERROR(__xludf.DUMMYFUNCTION("""COMPUTED_VALUE"""),184223.0)</f>
        <v>184223</v>
      </c>
      <c r="C1056" s="2">
        <f>IFERROR(__xludf.DUMMYFUNCTION("""COMPUTED_VALUE"""),2026.0)</f>
        <v>2026</v>
      </c>
      <c r="D1056" s="2">
        <f>IFERROR(__xludf.DUMMYFUNCTION("""COMPUTED_VALUE"""),46172.0)</f>
        <v>46172</v>
      </c>
      <c r="E1056" s="2" t="str">
        <f>IFERROR(__xludf.DUMMYFUNCTION("""COMPUTED_VALUE"""),"VF")</f>
        <v>VF</v>
      </c>
      <c r="F1056" s="2">
        <f>IFERROR(__xludf.DUMMYFUNCTION("""COMPUTED_VALUE"""),1.0)</f>
        <v>1</v>
      </c>
      <c r="G1056" s="2" t="str">
        <f>IFERROR(__xludf.DUMMYFUNCTION("""COMPUTED_VALUE"""),"PR034")</f>
        <v>PR034</v>
      </c>
      <c r="H1056" s="2" t="str">
        <f>IFERROR(__xludf.DUMMYFUNCTION("""COMPUTED_VALUE"""),"VD015")</f>
        <v>VD015</v>
      </c>
      <c r="I1056" s="2">
        <f>IFERROR(__xludf.DUMMYFUNCTION("""COMPUTED_VALUE"""),2.0)</f>
        <v>2</v>
      </c>
      <c r="J1056" s="2">
        <f>IFERROR(__xludf.DUMMYFUNCTION("""COMPUTED_VALUE"""),192.39)</f>
        <v>192.39</v>
      </c>
      <c r="K1056" s="2">
        <f>IFERROR(__xludf.DUMMYFUNCTION("""COMPUTED_VALUE"""),192.39)</f>
        <v>192.39</v>
      </c>
    </row>
    <row r="1057">
      <c r="A1057" s="2">
        <f>IFERROR(__xludf.DUMMYFUNCTION("""COMPUTED_VALUE"""),1000.0)</f>
        <v>1000</v>
      </c>
      <c r="B1057" s="2">
        <f>IFERROR(__xludf.DUMMYFUNCTION("""COMPUTED_VALUE"""),184224.0)</f>
        <v>184224</v>
      </c>
      <c r="C1057" s="2">
        <f>IFERROR(__xludf.DUMMYFUNCTION("""COMPUTED_VALUE"""),2026.0)</f>
        <v>2026</v>
      </c>
      <c r="D1057" s="2">
        <f>IFERROR(__xludf.DUMMYFUNCTION("""COMPUTED_VALUE"""),46172.0)</f>
        <v>46172</v>
      </c>
      <c r="E1057" s="2" t="str">
        <f>IFERROR(__xludf.DUMMYFUNCTION("""COMPUTED_VALUE"""),"VF")</f>
        <v>VF</v>
      </c>
      <c r="F1057" s="2">
        <f>IFERROR(__xludf.DUMMYFUNCTION("""COMPUTED_VALUE"""),1.0)</f>
        <v>1</v>
      </c>
      <c r="G1057" s="2" t="str">
        <f>IFERROR(__xludf.DUMMYFUNCTION("""COMPUTED_VALUE"""),"PR048")</f>
        <v>PR048</v>
      </c>
      <c r="H1057" s="2" t="str">
        <f>IFERROR(__xludf.DUMMYFUNCTION("""COMPUTED_VALUE"""),"VD034")</f>
        <v>VD034</v>
      </c>
      <c r="I1057" s="2">
        <f>IFERROR(__xludf.DUMMYFUNCTION("""COMPUTED_VALUE"""),20.0)</f>
        <v>20</v>
      </c>
      <c r="J1057" s="2">
        <f>IFERROR(__xludf.DUMMYFUNCTION("""COMPUTED_VALUE"""),5855.98)</f>
        <v>5855.98</v>
      </c>
      <c r="K1057" s="2">
        <f>IFERROR(__xludf.DUMMYFUNCTION("""COMPUTED_VALUE"""),5855.98)</f>
        <v>5855.98</v>
      </c>
    </row>
    <row r="1058">
      <c r="A1058" s="2">
        <f>IFERROR(__xludf.DUMMYFUNCTION("""COMPUTED_VALUE"""),1000.0)</f>
        <v>1000</v>
      </c>
      <c r="B1058" s="2">
        <f>IFERROR(__xludf.DUMMYFUNCTION("""COMPUTED_VALUE"""),184225.0)</f>
        <v>184225</v>
      </c>
      <c r="C1058" s="2">
        <f>IFERROR(__xludf.DUMMYFUNCTION("""COMPUTED_VALUE"""),2026.0)</f>
        <v>2026</v>
      </c>
      <c r="D1058" s="2">
        <f>IFERROR(__xludf.DUMMYFUNCTION("""COMPUTED_VALUE"""),46171.0)</f>
        <v>46171</v>
      </c>
      <c r="E1058" s="2" t="str">
        <f>IFERROR(__xludf.DUMMYFUNCTION("""COMPUTED_VALUE"""),"VF")</f>
        <v>VF</v>
      </c>
      <c r="F1058" s="2">
        <f>IFERROR(__xludf.DUMMYFUNCTION("""COMPUTED_VALUE"""),1.0)</f>
        <v>1</v>
      </c>
      <c r="G1058" s="2" t="str">
        <f>IFERROR(__xludf.DUMMYFUNCTION("""COMPUTED_VALUE"""),"PR024")</f>
        <v>PR024</v>
      </c>
      <c r="H1058" s="2" t="str">
        <f>IFERROR(__xludf.DUMMYFUNCTION("""COMPUTED_VALUE"""),"VD046")</f>
        <v>VD046</v>
      </c>
      <c r="I1058" s="2">
        <f>IFERROR(__xludf.DUMMYFUNCTION("""COMPUTED_VALUE"""),2.0)</f>
        <v>2</v>
      </c>
      <c r="J1058" s="2">
        <f>IFERROR(__xludf.DUMMYFUNCTION("""COMPUTED_VALUE"""),530.2)</f>
        <v>530.2</v>
      </c>
      <c r="K1058" s="2">
        <f>IFERROR(__xludf.DUMMYFUNCTION("""COMPUTED_VALUE"""),530.2)</f>
        <v>530.2</v>
      </c>
    </row>
    <row r="1059">
      <c r="A1059" s="2">
        <f>IFERROR(__xludf.DUMMYFUNCTION("""COMPUTED_VALUE"""),1000.0)</f>
        <v>1000</v>
      </c>
      <c r="B1059" s="2">
        <f>IFERROR(__xludf.DUMMYFUNCTION("""COMPUTED_VALUE"""),184226.0)</f>
        <v>184226</v>
      </c>
      <c r="C1059" s="2">
        <f>IFERROR(__xludf.DUMMYFUNCTION("""COMPUTED_VALUE"""),2026.0)</f>
        <v>2026</v>
      </c>
      <c r="D1059" s="2">
        <f>IFERROR(__xludf.DUMMYFUNCTION("""COMPUTED_VALUE"""),46171.0)</f>
        <v>46171</v>
      </c>
      <c r="E1059" s="2" t="str">
        <f>IFERROR(__xludf.DUMMYFUNCTION("""COMPUTED_VALUE"""),"VF")</f>
        <v>VF</v>
      </c>
      <c r="F1059" s="2">
        <f>IFERROR(__xludf.DUMMYFUNCTION("""COMPUTED_VALUE"""),1.0)</f>
        <v>1</v>
      </c>
      <c r="G1059" s="2" t="str">
        <f>IFERROR(__xludf.DUMMYFUNCTION("""COMPUTED_VALUE"""),"PR028")</f>
        <v>PR028</v>
      </c>
      <c r="H1059" s="2" t="str">
        <f>IFERROR(__xludf.DUMMYFUNCTION("""COMPUTED_VALUE"""),"VD014")</f>
        <v>VD014</v>
      </c>
      <c r="I1059" s="2">
        <f>IFERROR(__xludf.DUMMYFUNCTION("""COMPUTED_VALUE"""),4.0)</f>
        <v>4</v>
      </c>
      <c r="J1059" s="2">
        <f>IFERROR(__xludf.DUMMYFUNCTION("""COMPUTED_VALUE"""),1069.57)</f>
        <v>1069.57</v>
      </c>
      <c r="K1059" s="2">
        <f>IFERROR(__xludf.DUMMYFUNCTION("""COMPUTED_VALUE"""),1069.57)</f>
        <v>1069.57</v>
      </c>
    </row>
    <row r="1060">
      <c r="A1060" s="2">
        <f>IFERROR(__xludf.DUMMYFUNCTION("""COMPUTED_VALUE"""),1000.0)</f>
        <v>1000</v>
      </c>
      <c r="B1060" s="2">
        <f>IFERROR(__xludf.DUMMYFUNCTION("""COMPUTED_VALUE"""),184227.0)</f>
        <v>184227</v>
      </c>
      <c r="C1060" s="2">
        <f>IFERROR(__xludf.DUMMYFUNCTION("""COMPUTED_VALUE"""),2026.0)</f>
        <v>2026</v>
      </c>
      <c r="D1060" s="2">
        <f>IFERROR(__xludf.DUMMYFUNCTION("""COMPUTED_VALUE"""),46170.0)</f>
        <v>46170</v>
      </c>
      <c r="E1060" s="2" t="str">
        <f>IFERROR(__xludf.DUMMYFUNCTION("""COMPUTED_VALUE"""),"VF")</f>
        <v>VF</v>
      </c>
      <c r="F1060" s="2">
        <f>IFERROR(__xludf.DUMMYFUNCTION("""COMPUTED_VALUE"""),1.0)</f>
        <v>1</v>
      </c>
      <c r="G1060" s="2" t="str">
        <f>IFERROR(__xludf.DUMMYFUNCTION("""COMPUTED_VALUE"""),"PR018")</f>
        <v>PR018</v>
      </c>
      <c r="H1060" s="2" t="str">
        <f>IFERROR(__xludf.DUMMYFUNCTION("""COMPUTED_VALUE"""),"VD041")</f>
        <v>VD041</v>
      </c>
      <c r="I1060" s="2">
        <f>IFERROR(__xludf.DUMMYFUNCTION("""COMPUTED_VALUE"""),3.0)</f>
        <v>3</v>
      </c>
      <c r="J1060" s="2">
        <f>IFERROR(__xludf.DUMMYFUNCTION("""COMPUTED_VALUE"""),102.65)</f>
        <v>102.65</v>
      </c>
      <c r="K1060" s="2">
        <f>IFERROR(__xludf.DUMMYFUNCTION("""COMPUTED_VALUE"""),102.65)</f>
        <v>102.65</v>
      </c>
    </row>
    <row r="1061">
      <c r="A1061" s="2">
        <f>IFERROR(__xludf.DUMMYFUNCTION("""COMPUTED_VALUE"""),1000.0)</f>
        <v>1000</v>
      </c>
      <c r="B1061" s="2">
        <f>IFERROR(__xludf.DUMMYFUNCTION("""COMPUTED_VALUE"""),184228.0)</f>
        <v>184228</v>
      </c>
      <c r="C1061" s="2">
        <f>IFERROR(__xludf.DUMMYFUNCTION("""COMPUTED_VALUE"""),2026.0)</f>
        <v>2026</v>
      </c>
      <c r="D1061" s="2">
        <f>IFERROR(__xludf.DUMMYFUNCTION("""COMPUTED_VALUE"""),46170.0)</f>
        <v>46170</v>
      </c>
      <c r="E1061" s="2" t="str">
        <f>IFERROR(__xludf.DUMMYFUNCTION("""COMPUTED_VALUE"""),"VF")</f>
        <v>VF</v>
      </c>
      <c r="F1061" s="2">
        <f>IFERROR(__xludf.DUMMYFUNCTION("""COMPUTED_VALUE"""),1.0)</f>
        <v>1</v>
      </c>
      <c r="G1061" s="2" t="str">
        <f>IFERROR(__xludf.DUMMYFUNCTION("""COMPUTED_VALUE"""),"PR001")</f>
        <v>PR001</v>
      </c>
      <c r="H1061" s="2" t="str">
        <f>IFERROR(__xludf.DUMMYFUNCTION("""COMPUTED_VALUE"""),"VD027")</f>
        <v>VD027</v>
      </c>
      <c r="I1061" s="2">
        <f>IFERROR(__xludf.DUMMYFUNCTION("""COMPUTED_VALUE"""),18.0)</f>
        <v>18</v>
      </c>
      <c r="J1061" s="2">
        <f>IFERROR(__xludf.DUMMYFUNCTION("""COMPUTED_VALUE"""),1221.79)</f>
        <v>1221.79</v>
      </c>
      <c r="K1061" s="2">
        <f>IFERROR(__xludf.DUMMYFUNCTION("""COMPUTED_VALUE"""),1221.79)</f>
        <v>1221.79</v>
      </c>
    </row>
    <row r="1062">
      <c r="A1062" s="2">
        <f>IFERROR(__xludf.DUMMYFUNCTION("""COMPUTED_VALUE"""),1000.0)</f>
        <v>1000</v>
      </c>
      <c r="B1062" s="2">
        <f>IFERROR(__xludf.DUMMYFUNCTION("""COMPUTED_VALUE"""),184229.0)</f>
        <v>184229</v>
      </c>
      <c r="C1062" s="2">
        <f>IFERROR(__xludf.DUMMYFUNCTION("""COMPUTED_VALUE"""),2026.0)</f>
        <v>2026</v>
      </c>
      <c r="D1062" s="2">
        <f>IFERROR(__xludf.DUMMYFUNCTION("""COMPUTED_VALUE"""),46170.0)</f>
        <v>46170</v>
      </c>
      <c r="E1062" s="2" t="str">
        <f>IFERROR(__xludf.DUMMYFUNCTION("""COMPUTED_VALUE"""),"VF")</f>
        <v>VF</v>
      </c>
      <c r="F1062" s="2">
        <f>IFERROR(__xludf.DUMMYFUNCTION("""COMPUTED_VALUE"""),1.0)</f>
        <v>1</v>
      </c>
      <c r="G1062" s="2" t="str">
        <f>IFERROR(__xludf.DUMMYFUNCTION("""COMPUTED_VALUE"""),"PR021")</f>
        <v>PR021</v>
      </c>
      <c r="H1062" s="2" t="str">
        <f>IFERROR(__xludf.DUMMYFUNCTION("""COMPUTED_VALUE"""),"VD048")</f>
        <v>VD048</v>
      </c>
      <c r="I1062" s="2">
        <f>IFERROR(__xludf.DUMMYFUNCTION("""COMPUTED_VALUE"""),2.0)</f>
        <v>2</v>
      </c>
      <c r="J1062" s="2">
        <f>IFERROR(__xludf.DUMMYFUNCTION("""COMPUTED_VALUE"""),617.92)</f>
        <v>617.92</v>
      </c>
      <c r="K1062" s="2">
        <f>IFERROR(__xludf.DUMMYFUNCTION("""COMPUTED_VALUE"""),617.92)</f>
        <v>617.92</v>
      </c>
    </row>
    <row r="1063">
      <c r="A1063" s="2">
        <f>IFERROR(__xludf.DUMMYFUNCTION("""COMPUTED_VALUE"""),1000.0)</f>
        <v>1000</v>
      </c>
      <c r="B1063" s="2">
        <f>IFERROR(__xludf.DUMMYFUNCTION("""COMPUTED_VALUE"""),184229.0)</f>
        <v>184229</v>
      </c>
      <c r="C1063" s="2">
        <f>IFERROR(__xludf.DUMMYFUNCTION("""COMPUTED_VALUE"""),2026.0)</f>
        <v>2026</v>
      </c>
      <c r="D1063" s="2">
        <f>IFERROR(__xludf.DUMMYFUNCTION("""COMPUTED_VALUE"""),46170.0)</f>
        <v>46170</v>
      </c>
      <c r="E1063" s="2" t="str">
        <f>IFERROR(__xludf.DUMMYFUNCTION("""COMPUTED_VALUE"""),"VF")</f>
        <v>VF</v>
      </c>
      <c r="F1063" s="2">
        <f>IFERROR(__xludf.DUMMYFUNCTION("""COMPUTED_VALUE"""),2.0)</f>
        <v>2</v>
      </c>
      <c r="G1063" s="2" t="str">
        <f>IFERROR(__xludf.DUMMYFUNCTION("""COMPUTED_VALUE"""),"PR012")</f>
        <v>PR012</v>
      </c>
      <c r="H1063" s="2" t="str">
        <f>IFERROR(__xludf.DUMMYFUNCTION("""COMPUTED_VALUE"""),"VD012")</f>
        <v>VD012</v>
      </c>
      <c r="I1063" s="2">
        <f>IFERROR(__xludf.DUMMYFUNCTION("""COMPUTED_VALUE"""),3.0)</f>
        <v>3</v>
      </c>
      <c r="J1063" s="2">
        <f>IFERROR(__xludf.DUMMYFUNCTION("""COMPUTED_VALUE"""),152.57)</f>
        <v>152.57</v>
      </c>
      <c r="K1063" s="2">
        <f>IFERROR(__xludf.DUMMYFUNCTION("""COMPUTED_VALUE"""),152.57)</f>
        <v>152.57</v>
      </c>
    </row>
    <row r="1064">
      <c r="A1064" s="2">
        <f>IFERROR(__xludf.DUMMYFUNCTION("""COMPUTED_VALUE"""),1000.0)</f>
        <v>1000</v>
      </c>
      <c r="B1064" s="2">
        <f>IFERROR(__xludf.DUMMYFUNCTION("""COMPUTED_VALUE"""),184230.0)</f>
        <v>184230</v>
      </c>
      <c r="C1064" s="2">
        <f>IFERROR(__xludf.DUMMYFUNCTION("""COMPUTED_VALUE"""),2026.0)</f>
        <v>2026</v>
      </c>
      <c r="D1064" s="2">
        <f>IFERROR(__xludf.DUMMYFUNCTION("""COMPUTED_VALUE"""),46169.0)</f>
        <v>46169</v>
      </c>
      <c r="E1064" s="2" t="str">
        <f>IFERROR(__xludf.DUMMYFUNCTION("""COMPUTED_VALUE"""),"VF")</f>
        <v>VF</v>
      </c>
      <c r="F1064" s="2">
        <f>IFERROR(__xludf.DUMMYFUNCTION("""COMPUTED_VALUE"""),1.0)</f>
        <v>1</v>
      </c>
      <c r="G1064" s="2" t="str">
        <f>IFERROR(__xludf.DUMMYFUNCTION("""COMPUTED_VALUE"""),"PR035")</f>
        <v>PR035</v>
      </c>
      <c r="H1064" s="2" t="str">
        <f>IFERROR(__xludf.DUMMYFUNCTION("""COMPUTED_VALUE"""),"VD023")</f>
        <v>VD023</v>
      </c>
      <c r="I1064" s="2">
        <f>IFERROR(__xludf.DUMMYFUNCTION("""COMPUTED_VALUE"""),1.0)</f>
        <v>1</v>
      </c>
      <c r="J1064" s="2">
        <f>IFERROR(__xludf.DUMMYFUNCTION("""COMPUTED_VALUE"""),99.63)</f>
        <v>99.63</v>
      </c>
      <c r="K1064" s="2">
        <f>IFERROR(__xludf.DUMMYFUNCTION("""COMPUTED_VALUE"""),99.63)</f>
        <v>99.63</v>
      </c>
    </row>
    <row r="1065">
      <c r="A1065" s="2">
        <f>IFERROR(__xludf.DUMMYFUNCTION("""COMPUTED_VALUE"""),2000.0)</f>
        <v>2000</v>
      </c>
      <c r="B1065" s="2">
        <f>IFERROR(__xludf.DUMMYFUNCTION("""COMPUTED_VALUE"""),184230.0)</f>
        <v>184230</v>
      </c>
      <c r="C1065" s="2">
        <f>IFERROR(__xludf.DUMMYFUNCTION("""COMPUTED_VALUE"""),2026.0)</f>
        <v>2026</v>
      </c>
      <c r="D1065" s="2">
        <f>IFERROR(__xludf.DUMMYFUNCTION("""COMPUTED_VALUE"""),46169.0)</f>
        <v>46169</v>
      </c>
      <c r="E1065" s="2" t="str">
        <f>IFERROR(__xludf.DUMMYFUNCTION("""COMPUTED_VALUE"""),"VF")</f>
        <v>VF</v>
      </c>
      <c r="F1065" s="2">
        <f>IFERROR(__xludf.DUMMYFUNCTION("""COMPUTED_VALUE"""),2.0)</f>
        <v>2</v>
      </c>
      <c r="G1065" s="2" t="str">
        <f>IFERROR(__xludf.DUMMYFUNCTION("""COMPUTED_VALUE"""),"PR006")</f>
        <v>PR006</v>
      </c>
      <c r="H1065" s="2" t="str">
        <f>IFERROR(__xludf.DUMMYFUNCTION("""COMPUTED_VALUE"""),"VD030")</f>
        <v>VD030</v>
      </c>
      <c r="I1065" s="2">
        <f>IFERROR(__xludf.DUMMYFUNCTION("""COMPUTED_VALUE"""),16.0)</f>
        <v>16</v>
      </c>
      <c r="J1065" s="2">
        <f>IFERROR(__xludf.DUMMYFUNCTION("""COMPUTED_VALUE"""),689.47)</f>
        <v>689.47</v>
      </c>
      <c r="K1065" s="2">
        <f>IFERROR(__xludf.DUMMYFUNCTION("""COMPUTED_VALUE"""),689.47)</f>
        <v>689.47</v>
      </c>
    </row>
    <row r="1066">
      <c r="A1066" s="2">
        <f>IFERROR(__xludf.DUMMYFUNCTION("""COMPUTED_VALUE"""),1000.0)</f>
        <v>1000</v>
      </c>
      <c r="B1066" s="2">
        <f>IFERROR(__xludf.DUMMYFUNCTION("""COMPUTED_VALUE"""),184231.0)</f>
        <v>184231</v>
      </c>
      <c r="C1066" s="2">
        <f>IFERROR(__xludf.DUMMYFUNCTION("""COMPUTED_VALUE"""),2026.0)</f>
        <v>2026</v>
      </c>
      <c r="D1066" s="2">
        <f>IFERROR(__xludf.DUMMYFUNCTION("""COMPUTED_VALUE"""),46168.0)</f>
        <v>46168</v>
      </c>
      <c r="E1066" s="2" t="str">
        <f>IFERROR(__xludf.DUMMYFUNCTION("""COMPUTED_VALUE"""),"VF")</f>
        <v>VF</v>
      </c>
      <c r="F1066" s="2">
        <f>IFERROR(__xludf.DUMMYFUNCTION("""COMPUTED_VALUE"""),1.0)</f>
        <v>1</v>
      </c>
      <c r="G1066" s="2" t="str">
        <f>IFERROR(__xludf.DUMMYFUNCTION("""COMPUTED_VALUE"""),"PR053")</f>
        <v>PR053</v>
      </c>
      <c r="H1066" s="2" t="str">
        <f>IFERROR(__xludf.DUMMYFUNCTION("""COMPUTED_VALUE"""),"VD011")</f>
        <v>VD011</v>
      </c>
      <c r="I1066" s="2">
        <f>IFERROR(__xludf.DUMMYFUNCTION("""COMPUTED_VALUE"""),8.0)</f>
        <v>8</v>
      </c>
      <c r="J1066" s="2">
        <f>IFERROR(__xludf.DUMMYFUNCTION("""COMPUTED_VALUE"""),415.17)</f>
        <v>415.17</v>
      </c>
      <c r="K1066" s="2">
        <f>IFERROR(__xludf.DUMMYFUNCTION("""COMPUTED_VALUE"""),415.17)</f>
        <v>415.17</v>
      </c>
    </row>
    <row r="1067">
      <c r="A1067" s="2">
        <f>IFERROR(__xludf.DUMMYFUNCTION("""COMPUTED_VALUE"""),1000.0)</f>
        <v>1000</v>
      </c>
      <c r="B1067" s="2">
        <f>IFERROR(__xludf.DUMMYFUNCTION("""COMPUTED_VALUE"""),184232.0)</f>
        <v>184232</v>
      </c>
      <c r="C1067" s="2">
        <f>IFERROR(__xludf.DUMMYFUNCTION("""COMPUTED_VALUE"""),2026.0)</f>
        <v>2026</v>
      </c>
      <c r="D1067" s="2">
        <f>IFERROR(__xludf.DUMMYFUNCTION("""COMPUTED_VALUE"""),46168.0)</f>
        <v>46168</v>
      </c>
      <c r="E1067" s="2" t="str">
        <f>IFERROR(__xludf.DUMMYFUNCTION("""COMPUTED_VALUE"""),"VF")</f>
        <v>VF</v>
      </c>
      <c r="F1067" s="2">
        <f>IFERROR(__xludf.DUMMYFUNCTION("""COMPUTED_VALUE"""),1.0)</f>
        <v>1</v>
      </c>
      <c r="G1067" s="2" t="str">
        <f>IFERROR(__xludf.DUMMYFUNCTION("""COMPUTED_VALUE"""),"PR009")</f>
        <v>PR009</v>
      </c>
      <c r="H1067" s="2" t="str">
        <f>IFERROR(__xludf.DUMMYFUNCTION("""COMPUTED_VALUE"""),"VD028")</f>
        <v>VD028</v>
      </c>
      <c r="I1067" s="2">
        <f>IFERROR(__xludf.DUMMYFUNCTION("""COMPUTED_VALUE"""),8.0)</f>
        <v>8</v>
      </c>
      <c r="J1067" s="2">
        <f>IFERROR(__xludf.DUMMYFUNCTION("""COMPUTED_VALUE"""),765.5)</f>
        <v>765.5</v>
      </c>
      <c r="K1067" s="2">
        <f>IFERROR(__xludf.DUMMYFUNCTION("""COMPUTED_VALUE"""),765.5)</f>
        <v>765.5</v>
      </c>
    </row>
    <row r="1068">
      <c r="A1068" s="2">
        <f>IFERROR(__xludf.DUMMYFUNCTION("""COMPUTED_VALUE"""),1000.0)</f>
        <v>1000</v>
      </c>
      <c r="B1068" s="2">
        <f>IFERROR(__xludf.DUMMYFUNCTION("""COMPUTED_VALUE"""),184233.0)</f>
        <v>184233</v>
      </c>
      <c r="C1068" s="2">
        <f>IFERROR(__xludf.DUMMYFUNCTION("""COMPUTED_VALUE"""),2026.0)</f>
        <v>2026</v>
      </c>
      <c r="D1068" s="2">
        <f>IFERROR(__xludf.DUMMYFUNCTION("""COMPUTED_VALUE"""),46167.0)</f>
        <v>46167</v>
      </c>
      <c r="E1068" s="2" t="str">
        <f>IFERROR(__xludf.DUMMYFUNCTION("""COMPUTED_VALUE"""),"VF")</f>
        <v>VF</v>
      </c>
      <c r="F1068" s="2">
        <f>IFERROR(__xludf.DUMMYFUNCTION("""COMPUTED_VALUE"""),1.0)</f>
        <v>1</v>
      </c>
      <c r="G1068" s="2" t="str">
        <f>IFERROR(__xludf.DUMMYFUNCTION("""COMPUTED_VALUE"""),"PR004")</f>
        <v>PR004</v>
      </c>
      <c r="H1068" s="2" t="str">
        <f>IFERROR(__xludf.DUMMYFUNCTION("""COMPUTED_VALUE"""),"VD043")</f>
        <v>VD043</v>
      </c>
      <c r="I1068" s="2">
        <f>IFERROR(__xludf.DUMMYFUNCTION("""COMPUTED_VALUE"""),8.0)</f>
        <v>8</v>
      </c>
      <c r="J1068" s="2">
        <f>IFERROR(__xludf.DUMMYFUNCTION("""COMPUTED_VALUE"""),1194.8)</f>
        <v>1194.8</v>
      </c>
      <c r="K1068" s="2">
        <f>IFERROR(__xludf.DUMMYFUNCTION("""COMPUTED_VALUE"""),1194.8)</f>
        <v>1194.8</v>
      </c>
    </row>
    <row r="1069">
      <c r="A1069" s="2">
        <f>IFERROR(__xludf.DUMMYFUNCTION("""COMPUTED_VALUE"""),1000.0)</f>
        <v>1000</v>
      </c>
      <c r="B1069" s="2">
        <f>IFERROR(__xludf.DUMMYFUNCTION("""COMPUTED_VALUE"""),184234.0)</f>
        <v>184234</v>
      </c>
      <c r="C1069" s="2">
        <f>IFERROR(__xludf.DUMMYFUNCTION("""COMPUTED_VALUE"""),2026.0)</f>
        <v>2026</v>
      </c>
      <c r="D1069" s="2">
        <f>IFERROR(__xludf.DUMMYFUNCTION("""COMPUTED_VALUE"""),46167.0)</f>
        <v>46167</v>
      </c>
      <c r="E1069" s="2" t="str">
        <f>IFERROR(__xludf.DUMMYFUNCTION("""COMPUTED_VALUE"""),"VF")</f>
        <v>VF</v>
      </c>
      <c r="F1069" s="2">
        <f>IFERROR(__xludf.DUMMYFUNCTION("""COMPUTED_VALUE"""),1.0)</f>
        <v>1</v>
      </c>
      <c r="G1069" s="2" t="str">
        <f>IFERROR(__xludf.DUMMYFUNCTION("""COMPUTED_VALUE"""),"PR024")</f>
        <v>PR024</v>
      </c>
      <c r="H1069" s="2" t="str">
        <f>IFERROR(__xludf.DUMMYFUNCTION("""COMPUTED_VALUE"""),"VD027")</f>
        <v>VD027</v>
      </c>
      <c r="I1069" s="2">
        <f>IFERROR(__xludf.DUMMYFUNCTION("""COMPUTED_VALUE"""),4.0)</f>
        <v>4</v>
      </c>
      <c r="J1069" s="2">
        <f>IFERROR(__xludf.DUMMYFUNCTION("""COMPUTED_VALUE"""),1070.79)</f>
        <v>1070.79</v>
      </c>
      <c r="K1069" s="2">
        <f>IFERROR(__xludf.DUMMYFUNCTION("""COMPUTED_VALUE"""),1070.79)</f>
        <v>1070.79</v>
      </c>
    </row>
    <row r="1070">
      <c r="A1070" s="2">
        <f>IFERROR(__xludf.DUMMYFUNCTION("""COMPUTED_VALUE"""),2000.0)</f>
        <v>2000</v>
      </c>
      <c r="B1070" s="2">
        <f>IFERROR(__xludf.DUMMYFUNCTION("""COMPUTED_VALUE"""),184235.0)</f>
        <v>184235</v>
      </c>
      <c r="C1070" s="2">
        <f>IFERROR(__xludf.DUMMYFUNCTION("""COMPUTED_VALUE"""),2026.0)</f>
        <v>2026</v>
      </c>
      <c r="D1070" s="2">
        <f>IFERROR(__xludf.DUMMYFUNCTION("""COMPUTED_VALUE"""),46167.0)</f>
        <v>46167</v>
      </c>
      <c r="E1070" s="2" t="str">
        <f>IFERROR(__xludf.DUMMYFUNCTION("""COMPUTED_VALUE"""),"VF")</f>
        <v>VF</v>
      </c>
      <c r="F1070" s="2">
        <f>IFERROR(__xludf.DUMMYFUNCTION("""COMPUTED_VALUE"""),1.0)</f>
        <v>1</v>
      </c>
      <c r="G1070" s="2" t="str">
        <f>IFERROR(__xludf.DUMMYFUNCTION("""COMPUTED_VALUE"""),"PR035")</f>
        <v>PR035</v>
      </c>
      <c r="H1070" s="2" t="str">
        <f>IFERROR(__xludf.DUMMYFUNCTION("""COMPUTED_VALUE"""),"VD046")</f>
        <v>VD046</v>
      </c>
      <c r="I1070" s="2">
        <f>IFERROR(__xludf.DUMMYFUNCTION("""COMPUTED_VALUE"""),2.0)</f>
        <v>2</v>
      </c>
      <c r="J1070" s="2">
        <f>IFERROR(__xludf.DUMMYFUNCTION("""COMPUTED_VALUE"""),190.11)</f>
        <v>190.11</v>
      </c>
      <c r="K1070" s="2">
        <f>IFERROR(__xludf.DUMMYFUNCTION("""COMPUTED_VALUE"""),190.11)</f>
        <v>190.11</v>
      </c>
    </row>
    <row r="1071">
      <c r="A1071" s="2">
        <f>IFERROR(__xludf.DUMMYFUNCTION("""COMPUTED_VALUE"""),2000.0)</f>
        <v>2000</v>
      </c>
      <c r="B1071" s="2">
        <f>IFERROR(__xludf.DUMMYFUNCTION("""COMPUTED_VALUE"""),184235.0)</f>
        <v>184235</v>
      </c>
      <c r="C1071" s="2">
        <f>IFERROR(__xludf.DUMMYFUNCTION("""COMPUTED_VALUE"""),2026.0)</f>
        <v>2026</v>
      </c>
      <c r="D1071" s="2">
        <f>IFERROR(__xludf.DUMMYFUNCTION("""COMPUTED_VALUE"""),46166.0)</f>
        <v>46166</v>
      </c>
      <c r="E1071" s="2" t="str">
        <f>IFERROR(__xludf.DUMMYFUNCTION("""COMPUTED_VALUE"""),"VF")</f>
        <v>VF</v>
      </c>
      <c r="F1071" s="2">
        <f>IFERROR(__xludf.DUMMYFUNCTION("""COMPUTED_VALUE"""),2.0)</f>
        <v>2</v>
      </c>
      <c r="G1071" s="2" t="str">
        <f>IFERROR(__xludf.DUMMYFUNCTION("""COMPUTED_VALUE"""),"PR031")</f>
        <v>PR031</v>
      </c>
      <c r="H1071" s="2" t="str">
        <f>IFERROR(__xludf.DUMMYFUNCTION("""COMPUTED_VALUE"""),"VD029")</f>
        <v>VD029</v>
      </c>
      <c r="I1071" s="2">
        <f>IFERROR(__xludf.DUMMYFUNCTION("""COMPUTED_VALUE"""),16.0)</f>
        <v>16</v>
      </c>
      <c r="J1071" s="2">
        <f>IFERROR(__xludf.DUMMYFUNCTION("""COMPUTED_VALUE"""),3998.4)</f>
        <v>3998.4</v>
      </c>
      <c r="K1071" s="2">
        <f>IFERROR(__xludf.DUMMYFUNCTION("""COMPUTED_VALUE"""),3998.4)</f>
        <v>3998.4</v>
      </c>
    </row>
    <row r="1072">
      <c r="A1072" s="2">
        <f>IFERROR(__xludf.DUMMYFUNCTION("""COMPUTED_VALUE"""),1000.0)</f>
        <v>1000</v>
      </c>
      <c r="B1072" s="2">
        <f>IFERROR(__xludf.DUMMYFUNCTION("""COMPUTED_VALUE"""),184236.0)</f>
        <v>184236</v>
      </c>
      <c r="C1072" s="2">
        <f>IFERROR(__xludf.DUMMYFUNCTION("""COMPUTED_VALUE"""),2026.0)</f>
        <v>2026</v>
      </c>
      <c r="D1072" s="2">
        <f>IFERROR(__xludf.DUMMYFUNCTION("""COMPUTED_VALUE"""),46166.0)</f>
        <v>46166</v>
      </c>
      <c r="E1072" s="2" t="str">
        <f>IFERROR(__xludf.DUMMYFUNCTION("""COMPUTED_VALUE"""),"VF")</f>
        <v>VF</v>
      </c>
      <c r="F1072" s="2">
        <f>IFERROR(__xludf.DUMMYFUNCTION("""COMPUTED_VALUE"""),1.0)</f>
        <v>1</v>
      </c>
      <c r="G1072" s="2" t="str">
        <f>IFERROR(__xludf.DUMMYFUNCTION("""COMPUTED_VALUE"""),"PR052")</f>
        <v>PR052</v>
      </c>
      <c r="H1072" s="2" t="str">
        <f>IFERROR(__xludf.DUMMYFUNCTION("""COMPUTED_VALUE"""),"VD043")</f>
        <v>VD043</v>
      </c>
      <c r="I1072" s="2">
        <f>IFERROR(__xludf.DUMMYFUNCTION("""COMPUTED_VALUE"""),10.0)</f>
        <v>10</v>
      </c>
      <c r="J1072" s="2">
        <f>IFERROR(__xludf.DUMMYFUNCTION("""COMPUTED_VALUE"""),528.94)</f>
        <v>528.94</v>
      </c>
      <c r="K1072" s="2">
        <f>IFERROR(__xludf.DUMMYFUNCTION("""COMPUTED_VALUE"""),528.94)</f>
        <v>528.94</v>
      </c>
    </row>
    <row r="1073">
      <c r="A1073" s="2">
        <f>IFERROR(__xludf.DUMMYFUNCTION("""COMPUTED_VALUE"""),1000.0)</f>
        <v>1000</v>
      </c>
      <c r="B1073" s="2">
        <f>IFERROR(__xludf.DUMMYFUNCTION("""COMPUTED_VALUE"""),184237.0)</f>
        <v>184237</v>
      </c>
      <c r="C1073" s="2">
        <f>IFERROR(__xludf.DUMMYFUNCTION("""COMPUTED_VALUE"""),2026.0)</f>
        <v>2026</v>
      </c>
      <c r="D1073" s="2">
        <f>IFERROR(__xludf.DUMMYFUNCTION("""COMPUTED_VALUE"""),46166.0)</f>
        <v>46166</v>
      </c>
      <c r="E1073" s="2" t="str">
        <f>IFERROR(__xludf.DUMMYFUNCTION("""COMPUTED_VALUE"""),"VF")</f>
        <v>VF</v>
      </c>
      <c r="F1073" s="2">
        <f>IFERROR(__xludf.DUMMYFUNCTION("""COMPUTED_VALUE"""),1.0)</f>
        <v>1</v>
      </c>
      <c r="G1073" s="2" t="str">
        <f>IFERROR(__xludf.DUMMYFUNCTION("""COMPUTED_VALUE"""),"PR044")</f>
        <v>PR044</v>
      </c>
      <c r="H1073" s="2" t="str">
        <f>IFERROR(__xludf.DUMMYFUNCTION("""COMPUTED_VALUE"""),"VD023")</f>
        <v>VD023</v>
      </c>
      <c r="I1073" s="2">
        <f>IFERROR(__xludf.DUMMYFUNCTION("""COMPUTED_VALUE"""),1.0)</f>
        <v>1</v>
      </c>
      <c r="J1073" s="2">
        <f>IFERROR(__xludf.DUMMYFUNCTION("""COMPUTED_VALUE"""),77.58)</f>
        <v>77.58</v>
      </c>
      <c r="K1073" s="2">
        <f>IFERROR(__xludf.DUMMYFUNCTION("""COMPUTED_VALUE"""),77.58)</f>
        <v>77.58</v>
      </c>
    </row>
    <row r="1074">
      <c r="A1074" s="2">
        <f>IFERROR(__xludf.DUMMYFUNCTION("""COMPUTED_VALUE"""),1000.0)</f>
        <v>1000</v>
      </c>
      <c r="B1074" s="2">
        <f>IFERROR(__xludf.DUMMYFUNCTION("""COMPUTED_VALUE"""),184238.0)</f>
        <v>184238</v>
      </c>
      <c r="C1074" s="2">
        <f>IFERROR(__xludf.DUMMYFUNCTION("""COMPUTED_VALUE"""),2026.0)</f>
        <v>2026</v>
      </c>
      <c r="D1074" s="2">
        <f>IFERROR(__xludf.DUMMYFUNCTION("""COMPUTED_VALUE"""),46166.0)</f>
        <v>46166</v>
      </c>
      <c r="E1074" s="2" t="str">
        <f>IFERROR(__xludf.DUMMYFUNCTION("""COMPUTED_VALUE"""),"VF")</f>
        <v>VF</v>
      </c>
      <c r="F1074" s="2">
        <f>IFERROR(__xludf.DUMMYFUNCTION("""COMPUTED_VALUE"""),1.0)</f>
        <v>1</v>
      </c>
      <c r="G1074" s="2" t="str">
        <f>IFERROR(__xludf.DUMMYFUNCTION("""COMPUTED_VALUE"""),"PR047")</f>
        <v>PR047</v>
      </c>
      <c r="H1074" s="2" t="str">
        <f>IFERROR(__xludf.DUMMYFUNCTION("""COMPUTED_VALUE"""),"VD041")</f>
        <v>VD041</v>
      </c>
      <c r="I1074" s="2">
        <f>IFERROR(__xludf.DUMMYFUNCTION("""COMPUTED_VALUE"""),9.0)</f>
        <v>9</v>
      </c>
      <c r="J1074" s="2">
        <f>IFERROR(__xludf.DUMMYFUNCTION("""COMPUTED_VALUE"""),2870.01)</f>
        <v>2870.01</v>
      </c>
      <c r="K1074" s="2">
        <f>IFERROR(__xludf.DUMMYFUNCTION("""COMPUTED_VALUE"""),2870.01)</f>
        <v>2870.01</v>
      </c>
    </row>
    <row r="1075">
      <c r="A1075" s="2">
        <f>IFERROR(__xludf.DUMMYFUNCTION("""COMPUTED_VALUE"""),1000.0)</f>
        <v>1000</v>
      </c>
      <c r="B1075" s="2">
        <f>IFERROR(__xludf.DUMMYFUNCTION("""COMPUTED_VALUE"""),184239.0)</f>
        <v>184239</v>
      </c>
      <c r="C1075" s="2">
        <f>IFERROR(__xludf.DUMMYFUNCTION("""COMPUTED_VALUE"""),2026.0)</f>
        <v>2026</v>
      </c>
      <c r="D1075" s="2">
        <f>IFERROR(__xludf.DUMMYFUNCTION("""COMPUTED_VALUE"""),46166.0)</f>
        <v>46166</v>
      </c>
      <c r="E1075" s="2" t="str">
        <f>IFERROR(__xludf.DUMMYFUNCTION("""COMPUTED_VALUE"""),"VF")</f>
        <v>VF</v>
      </c>
      <c r="F1075" s="2">
        <f>IFERROR(__xludf.DUMMYFUNCTION("""COMPUTED_VALUE"""),1.0)</f>
        <v>1</v>
      </c>
      <c r="G1075" s="2" t="str">
        <f>IFERROR(__xludf.DUMMYFUNCTION("""COMPUTED_VALUE"""),"PR023")</f>
        <v>PR023</v>
      </c>
      <c r="H1075" s="2" t="str">
        <f>IFERROR(__xludf.DUMMYFUNCTION("""COMPUTED_VALUE"""),"VD021")</f>
        <v>VD021</v>
      </c>
      <c r="I1075" s="2">
        <f>IFERROR(__xludf.DUMMYFUNCTION("""COMPUTED_VALUE"""),3.0)</f>
        <v>3</v>
      </c>
      <c r="J1075" s="2">
        <f>IFERROR(__xludf.DUMMYFUNCTION("""COMPUTED_VALUE"""),764.69)</f>
        <v>764.69</v>
      </c>
      <c r="K1075" s="2">
        <f>IFERROR(__xludf.DUMMYFUNCTION("""COMPUTED_VALUE"""),764.69)</f>
        <v>764.69</v>
      </c>
    </row>
    <row r="1076">
      <c r="A1076" s="2">
        <f>IFERROR(__xludf.DUMMYFUNCTION("""COMPUTED_VALUE"""),1000.0)</f>
        <v>1000</v>
      </c>
      <c r="B1076" s="2">
        <f>IFERROR(__xludf.DUMMYFUNCTION("""COMPUTED_VALUE"""),184240.0)</f>
        <v>184240</v>
      </c>
      <c r="C1076" s="2">
        <f>IFERROR(__xludf.DUMMYFUNCTION("""COMPUTED_VALUE"""),2026.0)</f>
        <v>2026</v>
      </c>
      <c r="D1076" s="2">
        <f>IFERROR(__xludf.DUMMYFUNCTION("""COMPUTED_VALUE"""),46166.0)</f>
        <v>46166</v>
      </c>
      <c r="E1076" s="2" t="str">
        <f>IFERROR(__xludf.DUMMYFUNCTION("""COMPUTED_VALUE"""),"VF")</f>
        <v>VF</v>
      </c>
      <c r="F1076" s="2">
        <f>IFERROR(__xludf.DUMMYFUNCTION("""COMPUTED_VALUE"""),1.0)</f>
        <v>1</v>
      </c>
      <c r="G1076" s="2" t="str">
        <f>IFERROR(__xludf.DUMMYFUNCTION("""COMPUTED_VALUE"""),"PR036")</f>
        <v>PR036</v>
      </c>
      <c r="H1076" s="2" t="str">
        <f>IFERROR(__xludf.DUMMYFUNCTION("""COMPUTED_VALUE"""),"VD022")</f>
        <v>VD022</v>
      </c>
      <c r="I1076" s="2">
        <f>IFERROR(__xludf.DUMMYFUNCTION("""COMPUTED_VALUE"""),20.0)</f>
        <v>20</v>
      </c>
      <c r="J1076" s="2">
        <f>IFERROR(__xludf.DUMMYFUNCTION("""COMPUTED_VALUE"""),1926.1)</f>
        <v>1926.1</v>
      </c>
      <c r="K1076" s="2">
        <f>IFERROR(__xludf.DUMMYFUNCTION("""COMPUTED_VALUE"""),1926.1)</f>
        <v>1926.1</v>
      </c>
    </row>
    <row r="1077">
      <c r="A1077" s="2">
        <f>IFERROR(__xludf.DUMMYFUNCTION("""COMPUTED_VALUE"""),1000.0)</f>
        <v>1000</v>
      </c>
      <c r="B1077" s="2">
        <f>IFERROR(__xludf.DUMMYFUNCTION("""COMPUTED_VALUE"""),184241.0)</f>
        <v>184241</v>
      </c>
      <c r="C1077" s="2">
        <f>IFERROR(__xludf.DUMMYFUNCTION("""COMPUTED_VALUE"""),2026.0)</f>
        <v>2026</v>
      </c>
      <c r="D1077" s="2">
        <f>IFERROR(__xludf.DUMMYFUNCTION("""COMPUTED_VALUE"""),46166.0)</f>
        <v>46166</v>
      </c>
      <c r="E1077" s="2" t="str">
        <f>IFERROR(__xludf.DUMMYFUNCTION("""COMPUTED_VALUE"""),"VF")</f>
        <v>VF</v>
      </c>
      <c r="F1077" s="2">
        <f>IFERROR(__xludf.DUMMYFUNCTION("""COMPUTED_VALUE"""),1.0)</f>
        <v>1</v>
      </c>
      <c r="G1077" s="2" t="str">
        <f>IFERROR(__xludf.DUMMYFUNCTION("""COMPUTED_VALUE"""),"PR048")</f>
        <v>PR048</v>
      </c>
      <c r="H1077" s="2" t="str">
        <f>IFERROR(__xludf.DUMMYFUNCTION("""COMPUTED_VALUE"""),"VD013")</f>
        <v>VD013</v>
      </c>
      <c r="I1077" s="2">
        <f>IFERROR(__xludf.DUMMYFUNCTION("""COMPUTED_VALUE"""),10.0)</f>
        <v>10</v>
      </c>
      <c r="J1077" s="2">
        <f>IFERROR(__xludf.DUMMYFUNCTION("""COMPUTED_VALUE"""),3043.95)</f>
        <v>3043.95</v>
      </c>
      <c r="K1077" s="2">
        <f>IFERROR(__xludf.DUMMYFUNCTION("""COMPUTED_VALUE"""),3043.95)</f>
        <v>3043.95</v>
      </c>
    </row>
    <row r="1078">
      <c r="A1078" s="2">
        <f>IFERROR(__xludf.DUMMYFUNCTION("""COMPUTED_VALUE"""),1000.0)</f>
        <v>1000</v>
      </c>
      <c r="B1078" s="2">
        <f>IFERROR(__xludf.DUMMYFUNCTION("""COMPUTED_VALUE"""),184242.0)</f>
        <v>184242</v>
      </c>
      <c r="C1078" s="2">
        <f>IFERROR(__xludf.DUMMYFUNCTION("""COMPUTED_VALUE"""),2026.0)</f>
        <v>2026</v>
      </c>
      <c r="D1078" s="2">
        <f>IFERROR(__xludf.DUMMYFUNCTION("""COMPUTED_VALUE"""),46165.0)</f>
        <v>46165</v>
      </c>
      <c r="E1078" s="2" t="str">
        <f>IFERROR(__xludf.DUMMYFUNCTION("""COMPUTED_VALUE"""),"VF")</f>
        <v>VF</v>
      </c>
      <c r="F1078" s="2">
        <f>IFERROR(__xludf.DUMMYFUNCTION("""COMPUTED_VALUE"""),1.0)</f>
        <v>1</v>
      </c>
      <c r="G1078" s="2" t="str">
        <f>IFERROR(__xludf.DUMMYFUNCTION("""COMPUTED_VALUE"""),"PR056")</f>
        <v>PR056</v>
      </c>
      <c r="H1078" s="2" t="str">
        <f>IFERROR(__xludf.DUMMYFUNCTION("""COMPUTED_VALUE"""),"VD036")</f>
        <v>VD036</v>
      </c>
      <c r="I1078" s="2">
        <f>IFERROR(__xludf.DUMMYFUNCTION("""COMPUTED_VALUE"""),10.0)</f>
        <v>10</v>
      </c>
      <c r="J1078" s="2">
        <f>IFERROR(__xludf.DUMMYFUNCTION("""COMPUTED_VALUE"""),943.95)</f>
        <v>943.95</v>
      </c>
      <c r="K1078" s="2">
        <f>IFERROR(__xludf.DUMMYFUNCTION("""COMPUTED_VALUE"""),943.95)</f>
        <v>943.95</v>
      </c>
    </row>
    <row r="1079">
      <c r="A1079" s="2">
        <f>IFERROR(__xludf.DUMMYFUNCTION("""COMPUTED_VALUE"""),1000.0)</f>
        <v>1000</v>
      </c>
      <c r="B1079" s="2">
        <f>IFERROR(__xludf.DUMMYFUNCTION("""COMPUTED_VALUE"""),184243.0)</f>
        <v>184243</v>
      </c>
      <c r="C1079" s="2">
        <f>IFERROR(__xludf.DUMMYFUNCTION("""COMPUTED_VALUE"""),2026.0)</f>
        <v>2026</v>
      </c>
      <c r="D1079" s="2">
        <f>IFERROR(__xludf.DUMMYFUNCTION("""COMPUTED_VALUE"""),46165.0)</f>
        <v>46165</v>
      </c>
      <c r="E1079" s="2" t="str">
        <f>IFERROR(__xludf.DUMMYFUNCTION("""COMPUTED_VALUE"""),"VF")</f>
        <v>VF</v>
      </c>
      <c r="F1079" s="2">
        <f>IFERROR(__xludf.DUMMYFUNCTION("""COMPUTED_VALUE"""),1.0)</f>
        <v>1</v>
      </c>
      <c r="G1079" s="2" t="str">
        <f>IFERROR(__xludf.DUMMYFUNCTION("""COMPUTED_VALUE"""),"PR018")</f>
        <v>PR018</v>
      </c>
      <c r="H1079" s="2" t="str">
        <f>IFERROR(__xludf.DUMMYFUNCTION("""COMPUTED_VALUE"""),"VD011")</f>
        <v>VD011</v>
      </c>
      <c r="I1079" s="2">
        <f>IFERROR(__xludf.DUMMYFUNCTION("""COMPUTED_VALUE"""),9.0)</f>
        <v>9</v>
      </c>
      <c r="J1079" s="2">
        <f>IFERROR(__xludf.DUMMYFUNCTION("""COMPUTED_VALUE"""),319.79)</f>
        <v>319.79</v>
      </c>
      <c r="K1079" s="2">
        <f>IFERROR(__xludf.DUMMYFUNCTION("""COMPUTED_VALUE"""),319.79)</f>
        <v>319.79</v>
      </c>
    </row>
    <row r="1080">
      <c r="A1080" s="2">
        <f>IFERROR(__xludf.DUMMYFUNCTION("""COMPUTED_VALUE"""),1000.0)</f>
        <v>1000</v>
      </c>
      <c r="B1080" s="2">
        <f>IFERROR(__xludf.DUMMYFUNCTION("""COMPUTED_VALUE"""),184244.0)</f>
        <v>184244</v>
      </c>
      <c r="C1080" s="2">
        <f>IFERROR(__xludf.DUMMYFUNCTION("""COMPUTED_VALUE"""),2026.0)</f>
        <v>2026</v>
      </c>
      <c r="D1080" s="2">
        <f>IFERROR(__xludf.DUMMYFUNCTION("""COMPUTED_VALUE"""),46165.0)</f>
        <v>46165</v>
      </c>
      <c r="E1080" s="2" t="str">
        <f>IFERROR(__xludf.DUMMYFUNCTION("""COMPUTED_VALUE"""),"VF")</f>
        <v>VF</v>
      </c>
      <c r="F1080" s="2">
        <f>IFERROR(__xludf.DUMMYFUNCTION("""COMPUTED_VALUE"""),1.0)</f>
        <v>1</v>
      </c>
      <c r="G1080" s="2" t="str">
        <f>IFERROR(__xludf.DUMMYFUNCTION("""COMPUTED_VALUE"""),"PR017")</f>
        <v>PR017</v>
      </c>
      <c r="H1080" s="2" t="str">
        <f>IFERROR(__xludf.DUMMYFUNCTION("""COMPUTED_VALUE"""),"VD020")</f>
        <v>VD020</v>
      </c>
      <c r="I1080" s="2">
        <f>IFERROR(__xludf.DUMMYFUNCTION("""COMPUTED_VALUE"""),8.0)</f>
        <v>8</v>
      </c>
      <c r="J1080" s="2">
        <f>IFERROR(__xludf.DUMMYFUNCTION("""COMPUTED_VALUE"""),241.59)</f>
        <v>241.59</v>
      </c>
      <c r="K1080" s="2">
        <f>IFERROR(__xludf.DUMMYFUNCTION("""COMPUTED_VALUE"""),241.59)</f>
        <v>241.59</v>
      </c>
    </row>
    <row r="1081">
      <c r="A1081" s="2">
        <f>IFERROR(__xludf.DUMMYFUNCTION("""COMPUTED_VALUE"""),1000.0)</f>
        <v>1000</v>
      </c>
      <c r="B1081" s="2">
        <f>IFERROR(__xludf.DUMMYFUNCTION("""COMPUTED_VALUE"""),184245.0)</f>
        <v>184245</v>
      </c>
      <c r="C1081" s="2">
        <f>IFERROR(__xludf.DUMMYFUNCTION("""COMPUTED_VALUE"""),2026.0)</f>
        <v>2026</v>
      </c>
      <c r="D1081" s="2">
        <f>IFERROR(__xludf.DUMMYFUNCTION("""COMPUTED_VALUE"""),46165.0)</f>
        <v>46165</v>
      </c>
      <c r="E1081" s="2" t="str">
        <f>IFERROR(__xludf.DUMMYFUNCTION("""COMPUTED_VALUE"""),"VF")</f>
        <v>VF</v>
      </c>
      <c r="F1081" s="2">
        <f>IFERROR(__xludf.DUMMYFUNCTION("""COMPUTED_VALUE"""),1.0)</f>
        <v>1</v>
      </c>
      <c r="G1081" s="2" t="str">
        <f>IFERROR(__xludf.DUMMYFUNCTION("""COMPUTED_VALUE"""),"PR048")</f>
        <v>PR048</v>
      </c>
      <c r="H1081" s="2" t="str">
        <f>IFERROR(__xludf.DUMMYFUNCTION("""COMPUTED_VALUE"""),"VD046")</f>
        <v>VD046</v>
      </c>
      <c r="I1081" s="2">
        <f>IFERROR(__xludf.DUMMYFUNCTION("""COMPUTED_VALUE"""),10.0)</f>
        <v>10</v>
      </c>
      <c r="J1081" s="2">
        <f>IFERROR(__xludf.DUMMYFUNCTION("""COMPUTED_VALUE"""),3101.93)</f>
        <v>3101.93</v>
      </c>
      <c r="K1081" s="2">
        <f>IFERROR(__xludf.DUMMYFUNCTION("""COMPUTED_VALUE"""),3101.93)</f>
        <v>3101.93</v>
      </c>
    </row>
    <row r="1082">
      <c r="A1082" s="2">
        <f>IFERROR(__xludf.DUMMYFUNCTION("""COMPUTED_VALUE"""),1000.0)</f>
        <v>1000</v>
      </c>
      <c r="B1082" s="2">
        <f>IFERROR(__xludf.DUMMYFUNCTION("""COMPUTED_VALUE"""),184246.0)</f>
        <v>184246</v>
      </c>
      <c r="C1082" s="2">
        <f>IFERROR(__xludf.DUMMYFUNCTION("""COMPUTED_VALUE"""),2026.0)</f>
        <v>2026</v>
      </c>
      <c r="D1082" s="2">
        <f>IFERROR(__xludf.DUMMYFUNCTION("""COMPUTED_VALUE"""),46165.0)</f>
        <v>46165</v>
      </c>
      <c r="E1082" s="2" t="str">
        <f>IFERROR(__xludf.DUMMYFUNCTION("""COMPUTED_VALUE"""),"VF")</f>
        <v>VF</v>
      </c>
      <c r="F1082" s="2">
        <f>IFERROR(__xludf.DUMMYFUNCTION("""COMPUTED_VALUE"""),1.0)</f>
        <v>1</v>
      </c>
      <c r="G1082" s="2" t="str">
        <f>IFERROR(__xludf.DUMMYFUNCTION("""COMPUTED_VALUE"""),"PR014")</f>
        <v>PR014</v>
      </c>
      <c r="H1082" s="2" t="str">
        <f>IFERROR(__xludf.DUMMYFUNCTION("""COMPUTED_VALUE"""),"VD029")</f>
        <v>VD029</v>
      </c>
      <c r="I1082" s="2">
        <f>IFERROR(__xludf.DUMMYFUNCTION("""COMPUTED_VALUE"""),18.0)</f>
        <v>18</v>
      </c>
      <c r="J1082" s="2">
        <f>IFERROR(__xludf.DUMMYFUNCTION("""COMPUTED_VALUE"""),718.2)</f>
        <v>718.2</v>
      </c>
      <c r="K1082" s="2">
        <f>IFERROR(__xludf.DUMMYFUNCTION("""COMPUTED_VALUE"""),718.2)</f>
        <v>718.2</v>
      </c>
    </row>
    <row r="1083">
      <c r="A1083" s="2">
        <f>IFERROR(__xludf.DUMMYFUNCTION("""COMPUTED_VALUE"""),1000.0)</f>
        <v>1000</v>
      </c>
      <c r="B1083" s="2">
        <f>IFERROR(__xludf.DUMMYFUNCTION("""COMPUTED_VALUE"""),184247.0)</f>
        <v>184247</v>
      </c>
      <c r="C1083" s="2">
        <f>IFERROR(__xludf.DUMMYFUNCTION("""COMPUTED_VALUE"""),2026.0)</f>
        <v>2026</v>
      </c>
      <c r="D1083" s="2">
        <f>IFERROR(__xludf.DUMMYFUNCTION("""COMPUTED_VALUE"""),46165.0)</f>
        <v>46165</v>
      </c>
      <c r="E1083" s="2" t="str">
        <f>IFERROR(__xludf.DUMMYFUNCTION("""COMPUTED_VALUE"""),"VF")</f>
        <v>VF</v>
      </c>
      <c r="F1083" s="2">
        <f>IFERROR(__xludf.DUMMYFUNCTION("""COMPUTED_VALUE"""),1.0)</f>
        <v>1</v>
      </c>
      <c r="G1083" s="2" t="str">
        <f>IFERROR(__xludf.DUMMYFUNCTION("""COMPUTED_VALUE"""),"PR008")</f>
        <v>PR008</v>
      </c>
      <c r="H1083" s="2" t="str">
        <f>IFERROR(__xludf.DUMMYFUNCTION("""COMPUTED_VALUE"""),"VD020")</f>
        <v>VD020</v>
      </c>
      <c r="I1083" s="2">
        <f>IFERROR(__xludf.DUMMYFUNCTION("""COMPUTED_VALUE"""),1.0)</f>
        <v>1</v>
      </c>
      <c r="J1083" s="2">
        <f>IFERROR(__xludf.DUMMYFUNCTION("""COMPUTED_VALUE"""),90.8)</f>
        <v>90.8</v>
      </c>
      <c r="K1083" s="2">
        <f>IFERROR(__xludf.DUMMYFUNCTION("""COMPUTED_VALUE"""),90.8)</f>
        <v>90.8</v>
      </c>
    </row>
    <row r="1084">
      <c r="A1084" s="2">
        <f>IFERROR(__xludf.DUMMYFUNCTION("""COMPUTED_VALUE"""),1000.0)</f>
        <v>1000</v>
      </c>
      <c r="B1084" s="2">
        <f>IFERROR(__xludf.DUMMYFUNCTION("""COMPUTED_VALUE"""),184248.0)</f>
        <v>184248</v>
      </c>
      <c r="C1084" s="2">
        <f>IFERROR(__xludf.DUMMYFUNCTION("""COMPUTED_VALUE"""),2026.0)</f>
        <v>2026</v>
      </c>
      <c r="D1084" s="2">
        <f>IFERROR(__xludf.DUMMYFUNCTION("""COMPUTED_VALUE"""),46164.0)</f>
        <v>46164</v>
      </c>
      <c r="E1084" s="2" t="str">
        <f>IFERROR(__xludf.DUMMYFUNCTION("""COMPUTED_VALUE"""),"VF")</f>
        <v>VF</v>
      </c>
      <c r="F1084" s="2">
        <f>IFERROR(__xludf.DUMMYFUNCTION("""COMPUTED_VALUE"""),1.0)</f>
        <v>1</v>
      </c>
      <c r="G1084" s="2" t="str">
        <f>IFERROR(__xludf.DUMMYFUNCTION("""COMPUTED_VALUE"""),"PR032")</f>
        <v>PR032</v>
      </c>
      <c r="H1084" s="2" t="str">
        <f>IFERROR(__xludf.DUMMYFUNCTION("""COMPUTED_VALUE"""),"VD042")</f>
        <v>VD042</v>
      </c>
      <c r="I1084" s="2">
        <f>IFERROR(__xludf.DUMMYFUNCTION("""COMPUTED_VALUE"""),7.0)</f>
        <v>7</v>
      </c>
      <c r="J1084" s="2">
        <f>IFERROR(__xludf.DUMMYFUNCTION("""COMPUTED_VALUE"""),1872.5)</f>
        <v>1872.5</v>
      </c>
      <c r="K1084" s="2">
        <f>IFERROR(__xludf.DUMMYFUNCTION("""COMPUTED_VALUE"""),1872.5)</f>
        <v>1872.5</v>
      </c>
    </row>
    <row r="1085">
      <c r="A1085" s="2">
        <f>IFERROR(__xludf.DUMMYFUNCTION("""COMPUTED_VALUE"""),1000.0)</f>
        <v>1000</v>
      </c>
      <c r="B1085" s="2">
        <f>IFERROR(__xludf.DUMMYFUNCTION("""COMPUTED_VALUE"""),184248.0)</f>
        <v>184248</v>
      </c>
      <c r="C1085" s="2">
        <f>IFERROR(__xludf.DUMMYFUNCTION("""COMPUTED_VALUE"""),2026.0)</f>
        <v>2026</v>
      </c>
      <c r="D1085" s="2">
        <f>IFERROR(__xludf.DUMMYFUNCTION("""COMPUTED_VALUE"""),46164.0)</f>
        <v>46164</v>
      </c>
      <c r="E1085" s="2" t="str">
        <f>IFERROR(__xludf.DUMMYFUNCTION("""COMPUTED_VALUE"""),"VF")</f>
        <v>VF</v>
      </c>
      <c r="F1085" s="2">
        <f>IFERROR(__xludf.DUMMYFUNCTION("""COMPUTED_VALUE"""),2.0)</f>
        <v>2</v>
      </c>
      <c r="G1085" s="2" t="str">
        <f>IFERROR(__xludf.DUMMYFUNCTION("""COMPUTED_VALUE"""),"PR024")</f>
        <v>PR024</v>
      </c>
      <c r="H1085" s="2" t="str">
        <f>IFERROR(__xludf.DUMMYFUNCTION("""COMPUTED_VALUE"""),"VD028")</f>
        <v>VD028</v>
      </c>
      <c r="I1085" s="2">
        <f>IFERROR(__xludf.DUMMYFUNCTION("""COMPUTED_VALUE"""),20.0)</f>
        <v>20</v>
      </c>
      <c r="J1085" s="2">
        <f>IFERROR(__xludf.DUMMYFUNCTION("""COMPUTED_VALUE"""),5561.86)</f>
        <v>5561.86</v>
      </c>
      <c r="K1085" s="2">
        <f>IFERROR(__xludf.DUMMYFUNCTION("""COMPUTED_VALUE"""),5561.86)</f>
        <v>5561.86</v>
      </c>
    </row>
    <row r="1086">
      <c r="A1086" s="2">
        <f>IFERROR(__xludf.DUMMYFUNCTION("""COMPUTED_VALUE"""),1000.0)</f>
        <v>1000</v>
      </c>
      <c r="B1086" s="2">
        <f>IFERROR(__xludf.DUMMYFUNCTION("""COMPUTED_VALUE"""),184249.0)</f>
        <v>184249</v>
      </c>
      <c r="C1086" s="2">
        <f>IFERROR(__xludf.DUMMYFUNCTION("""COMPUTED_VALUE"""),2026.0)</f>
        <v>2026</v>
      </c>
      <c r="D1086" s="2">
        <f>IFERROR(__xludf.DUMMYFUNCTION("""COMPUTED_VALUE"""),46164.0)</f>
        <v>46164</v>
      </c>
      <c r="E1086" s="2" t="str">
        <f>IFERROR(__xludf.DUMMYFUNCTION("""COMPUTED_VALUE"""),"VF")</f>
        <v>VF</v>
      </c>
      <c r="F1086" s="2">
        <f>IFERROR(__xludf.DUMMYFUNCTION("""COMPUTED_VALUE"""),1.0)</f>
        <v>1</v>
      </c>
      <c r="G1086" s="2" t="str">
        <f>IFERROR(__xludf.DUMMYFUNCTION("""COMPUTED_VALUE"""),"PR047")</f>
        <v>PR047</v>
      </c>
      <c r="H1086" s="2" t="str">
        <f>IFERROR(__xludf.DUMMYFUNCTION("""COMPUTED_VALUE"""),"VD020")</f>
        <v>VD020</v>
      </c>
      <c r="I1086" s="2">
        <f>IFERROR(__xludf.DUMMYFUNCTION("""COMPUTED_VALUE"""),12.0)</f>
        <v>12</v>
      </c>
      <c r="J1086" s="2">
        <f>IFERROR(__xludf.DUMMYFUNCTION("""COMPUTED_VALUE"""),3722.32)</f>
        <v>3722.32</v>
      </c>
      <c r="K1086" s="2">
        <f>IFERROR(__xludf.DUMMYFUNCTION("""COMPUTED_VALUE"""),3722.32)</f>
        <v>3722.32</v>
      </c>
    </row>
    <row r="1087">
      <c r="A1087" s="2">
        <f>IFERROR(__xludf.DUMMYFUNCTION("""COMPUTED_VALUE"""),1000.0)</f>
        <v>1000</v>
      </c>
      <c r="B1087" s="2">
        <f>IFERROR(__xludf.DUMMYFUNCTION("""COMPUTED_VALUE"""),184250.0)</f>
        <v>184250</v>
      </c>
      <c r="C1087" s="2">
        <f>IFERROR(__xludf.DUMMYFUNCTION("""COMPUTED_VALUE"""),2026.0)</f>
        <v>2026</v>
      </c>
      <c r="D1087" s="2">
        <f>IFERROR(__xludf.DUMMYFUNCTION("""COMPUTED_VALUE"""),46163.0)</f>
        <v>46163</v>
      </c>
      <c r="E1087" s="2" t="str">
        <f>IFERROR(__xludf.DUMMYFUNCTION("""COMPUTED_VALUE"""),"VF")</f>
        <v>VF</v>
      </c>
      <c r="F1087" s="2">
        <f>IFERROR(__xludf.DUMMYFUNCTION("""COMPUTED_VALUE"""),1.0)</f>
        <v>1</v>
      </c>
      <c r="G1087" s="2" t="str">
        <f>IFERROR(__xludf.DUMMYFUNCTION("""COMPUTED_VALUE"""),"PR033")</f>
        <v>PR033</v>
      </c>
      <c r="H1087" s="2" t="str">
        <f>IFERROR(__xludf.DUMMYFUNCTION("""COMPUTED_VALUE"""),"VD031")</f>
        <v>VD031</v>
      </c>
      <c r="I1087" s="2">
        <f>IFERROR(__xludf.DUMMYFUNCTION("""COMPUTED_VALUE"""),4.0)</f>
        <v>4</v>
      </c>
      <c r="J1087" s="2">
        <f>IFERROR(__xludf.DUMMYFUNCTION("""COMPUTED_VALUE"""),1091.58)</f>
        <v>1091.58</v>
      </c>
      <c r="K1087" s="2">
        <f>IFERROR(__xludf.DUMMYFUNCTION("""COMPUTED_VALUE"""),1091.58)</f>
        <v>1091.58</v>
      </c>
    </row>
    <row r="1088">
      <c r="A1088" s="2">
        <f>IFERROR(__xludf.DUMMYFUNCTION("""COMPUTED_VALUE"""),1000.0)</f>
        <v>1000</v>
      </c>
      <c r="B1088" s="2">
        <f>IFERROR(__xludf.DUMMYFUNCTION("""COMPUTED_VALUE"""),184250.0)</f>
        <v>184250</v>
      </c>
      <c r="C1088" s="2">
        <f>IFERROR(__xludf.DUMMYFUNCTION("""COMPUTED_VALUE"""),2026.0)</f>
        <v>2026</v>
      </c>
      <c r="D1088" s="2">
        <f>IFERROR(__xludf.DUMMYFUNCTION("""COMPUTED_VALUE"""),46163.0)</f>
        <v>46163</v>
      </c>
      <c r="E1088" s="2" t="str">
        <f>IFERROR(__xludf.DUMMYFUNCTION("""COMPUTED_VALUE"""),"VF")</f>
        <v>VF</v>
      </c>
      <c r="F1088" s="2">
        <f>IFERROR(__xludf.DUMMYFUNCTION("""COMPUTED_VALUE"""),2.0)</f>
        <v>2</v>
      </c>
      <c r="G1088" s="2" t="str">
        <f>IFERROR(__xludf.DUMMYFUNCTION("""COMPUTED_VALUE"""),"PR017")</f>
        <v>PR017</v>
      </c>
      <c r="H1088" s="2" t="str">
        <f>IFERROR(__xludf.DUMMYFUNCTION("""COMPUTED_VALUE"""),"VD024")</f>
        <v>VD024</v>
      </c>
      <c r="I1088" s="2">
        <f>IFERROR(__xludf.DUMMYFUNCTION("""COMPUTED_VALUE"""),2.0)</f>
        <v>2</v>
      </c>
      <c r="J1088" s="2">
        <f>IFERROR(__xludf.DUMMYFUNCTION("""COMPUTED_VALUE"""),65.18)</f>
        <v>65.18</v>
      </c>
      <c r="K1088" s="2">
        <f>IFERROR(__xludf.DUMMYFUNCTION("""COMPUTED_VALUE"""),65.18)</f>
        <v>65.18</v>
      </c>
    </row>
    <row r="1089">
      <c r="A1089" s="2">
        <f>IFERROR(__xludf.DUMMYFUNCTION("""COMPUTED_VALUE"""),1000.0)</f>
        <v>1000</v>
      </c>
      <c r="B1089" s="2">
        <f>IFERROR(__xludf.DUMMYFUNCTION("""COMPUTED_VALUE"""),184251.0)</f>
        <v>184251</v>
      </c>
      <c r="C1089" s="2">
        <f>IFERROR(__xludf.DUMMYFUNCTION("""COMPUTED_VALUE"""),2026.0)</f>
        <v>2026</v>
      </c>
      <c r="D1089" s="2">
        <f>IFERROR(__xludf.DUMMYFUNCTION("""COMPUTED_VALUE"""),46163.0)</f>
        <v>46163</v>
      </c>
      <c r="E1089" s="2" t="str">
        <f>IFERROR(__xludf.DUMMYFUNCTION("""COMPUTED_VALUE"""),"VF")</f>
        <v>VF</v>
      </c>
      <c r="F1089" s="2">
        <f>IFERROR(__xludf.DUMMYFUNCTION("""COMPUTED_VALUE"""),1.0)</f>
        <v>1</v>
      </c>
      <c r="G1089" s="2" t="str">
        <f>IFERROR(__xludf.DUMMYFUNCTION("""COMPUTED_VALUE"""),"PR022")</f>
        <v>PR022</v>
      </c>
      <c r="H1089" s="2" t="str">
        <f>IFERROR(__xludf.DUMMYFUNCTION("""COMPUTED_VALUE"""),"VD029")</f>
        <v>VD029</v>
      </c>
      <c r="I1089" s="2">
        <f>IFERROR(__xludf.DUMMYFUNCTION("""COMPUTED_VALUE"""),18.0)</f>
        <v>18</v>
      </c>
      <c r="J1089" s="2">
        <f>IFERROR(__xludf.DUMMYFUNCTION("""COMPUTED_VALUE"""),5832.0)</f>
        <v>5832</v>
      </c>
      <c r="K1089" s="2">
        <f>IFERROR(__xludf.DUMMYFUNCTION("""COMPUTED_VALUE"""),5832.0)</f>
        <v>5832</v>
      </c>
    </row>
    <row r="1090">
      <c r="A1090" s="2">
        <f>IFERROR(__xludf.DUMMYFUNCTION("""COMPUTED_VALUE"""),1000.0)</f>
        <v>1000</v>
      </c>
      <c r="B1090" s="2">
        <f>IFERROR(__xludf.DUMMYFUNCTION("""COMPUTED_VALUE"""),184252.0)</f>
        <v>184252</v>
      </c>
      <c r="C1090" s="2">
        <f>IFERROR(__xludf.DUMMYFUNCTION("""COMPUTED_VALUE"""),2026.0)</f>
        <v>2026</v>
      </c>
      <c r="D1090" s="2">
        <f>IFERROR(__xludf.DUMMYFUNCTION("""COMPUTED_VALUE"""),46163.0)</f>
        <v>46163</v>
      </c>
      <c r="E1090" s="2" t="str">
        <f>IFERROR(__xludf.DUMMYFUNCTION("""COMPUTED_VALUE"""),"VF")</f>
        <v>VF</v>
      </c>
      <c r="F1090" s="2">
        <f>IFERROR(__xludf.DUMMYFUNCTION("""COMPUTED_VALUE"""),1.0)</f>
        <v>1</v>
      </c>
      <c r="G1090" s="2" t="str">
        <f>IFERROR(__xludf.DUMMYFUNCTION("""COMPUTED_VALUE"""),"PR022")</f>
        <v>PR022</v>
      </c>
      <c r="H1090" s="2" t="str">
        <f>IFERROR(__xludf.DUMMYFUNCTION("""COMPUTED_VALUE"""),"VD011")</f>
        <v>VD011</v>
      </c>
      <c r="I1090" s="2">
        <f>IFERROR(__xludf.DUMMYFUNCTION("""COMPUTED_VALUE"""),2.0)</f>
        <v>2</v>
      </c>
      <c r="J1090" s="2">
        <f>IFERROR(__xludf.DUMMYFUNCTION("""COMPUTED_VALUE"""),624.0)</f>
        <v>624</v>
      </c>
      <c r="K1090" s="2">
        <f>IFERROR(__xludf.DUMMYFUNCTION("""COMPUTED_VALUE"""),624.0)</f>
        <v>624</v>
      </c>
    </row>
    <row r="1091">
      <c r="A1091" s="2">
        <f>IFERROR(__xludf.DUMMYFUNCTION("""COMPUTED_VALUE"""),1000.0)</f>
        <v>1000</v>
      </c>
      <c r="B1091" s="2">
        <f>IFERROR(__xludf.DUMMYFUNCTION("""COMPUTED_VALUE"""),184252.0)</f>
        <v>184252</v>
      </c>
      <c r="C1091" s="2">
        <f>IFERROR(__xludf.DUMMYFUNCTION("""COMPUTED_VALUE"""),2026.0)</f>
        <v>2026</v>
      </c>
      <c r="D1091" s="2">
        <f>IFERROR(__xludf.DUMMYFUNCTION("""COMPUTED_VALUE"""),46162.0)</f>
        <v>46162</v>
      </c>
      <c r="E1091" s="2" t="str">
        <f>IFERROR(__xludf.DUMMYFUNCTION("""COMPUTED_VALUE"""),"VF")</f>
        <v>VF</v>
      </c>
      <c r="F1091" s="2">
        <f>IFERROR(__xludf.DUMMYFUNCTION("""COMPUTED_VALUE"""),2.0)</f>
        <v>2</v>
      </c>
      <c r="G1091" s="2" t="str">
        <f>IFERROR(__xludf.DUMMYFUNCTION("""COMPUTED_VALUE"""),"PR038")</f>
        <v>PR038</v>
      </c>
      <c r="H1091" s="2" t="str">
        <f>IFERROR(__xludf.DUMMYFUNCTION("""COMPUTED_VALUE"""),"VD032")</f>
        <v>VD032</v>
      </c>
      <c r="I1091" s="2">
        <f>IFERROR(__xludf.DUMMYFUNCTION("""COMPUTED_VALUE"""),8.0)</f>
        <v>8</v>
      </c>
      <c r="J1091" s="2">
        <f>IFERROR(__xludf.DUMMYFUNCTION("""COMPUTED_VALUE"""),1188.93)</f>
        <v>1188.93</v>
      </c>
      <c r="K1091" s="2">
        <f>IFERROR(__xludf.DUMMYFUNCTION("""COMPUTED_VALUE"""),1188.93)</f>
        <v>1188.93</v>
      </c>
    </row>
    <row r="1092">
      <c r="A1092" s="2">
        <f>IFERROR(__xludf.DUMMYFUNCTION("""COMPUTED_VALUE"""),1000.0)</f>
        <v>1000</v>
      </c>
      <c r="B1092" s="2">
        <f>IFERROR(__xludf.DUMMYFUNCTION("""COMPUTED_VALUE"""),184253.0)</f>
        <v>184253</v>
      </c>
      <c r="C1092" s="2">
        <f>IFERROR(__xludf.DUMMYFUNCTION("""COMPUTED_VALUE"""),2026.0)</f>
        <v>2026</v>
      </c>
      <c r="D1092" s="2">
        <f>IFERROR(__xludf.DUMMYFUNCTION("""COMPUTED_VALUE"""),46162.0)</f>
        <v>46162</v>
      </c>
      <c r="E1092" s="2" t="str">
        <f>IFERROR(__xludf.DUMMYFUNCTION("""COMPUTED_VALUE"""),"VF")</f>
        <v>VF</v>
      </c>
      <c r="F1092" s="2">
        <f>IFERROR(__xludf.DUMMYFUNCTION("""COMPUTED_VALUE"""),1.0)</f>
        <v>1</v>
      </c>
      <c r="G1092" s="2" t="str">
        <f>IFERROR(__xludf.DUMMYFUNCTION("""COMPUTED_VALUE"""),"PR060")</f>
        <v>PR060</v>
      </c>
      <c r="H1092" s="2" t="str">
        <f>IFERROR(__xludf.DUMMYFUNCTION("""COMPUTED_VALUE"""),"VD047")</f>
        <v>VD047</v>
      </c>
      <c r="I1092" s="2">
        <f>IFERROR(__xludf.DUMMYFUNCTION("""COMPUTED_VALUE"""),16.0)</f>
        <v>16</v>
      </c>
      <c r="J1092" s="2">
        <f>IFERROR(__xludf.DUMMYFUNCTION("""COMPUTED_VALUE"""),3139.2)</f>
        <v>3139.2</v>
      </c>
      <c r="K1092" s="2">
        <f>IFERROR(__xludf.DUMMYFUNCTION("""COMPUTED_VALUE"""),3139.2)</f>
        <v>3139.2</v>
      </c>
    </row>
    <row r="1093">
      <c r="A1093" s="2">
        <f>IFERROR(__xludf.DUMMYFUNCTION("""COMPUTED_VALUE"""),1000.0)</f>
        <v>1000</v>
      </c>
      <c r="B1093" s="2">
        <f>IFERROR(__xludf.DUMMYFUNCTION("""COMPUTED_VALUE"""),184254.0)</f>
        <v>184254</v>
      </c>
      <c r="C1093" s="2">
        <f>IFERROR(__xludf.DUMMYFUNCTION("""COMPUTED_VALUE"""),2026.0)</f>
        <v>2026</v>
      </c>
      <c r="D1093" s="2">
        <f>IFERROR(__xludf.DUMMYFUNCTION("""COMPUTED_VALUE"""),46162.0)</f>
        <v>46162</v>
      </c>
      <c r="E1093" s="2" t="str">
        <f>IFERROR(__xludf.DUMMYFUNCTION("""COMPUTED_VALUE"""),"VF")</f>
        <v>VF</v>
      </c>
      <c r="F1093" s="2">
        <f>IFERROR(__xludf.DUMMYFUNCTION("""COMPUTED_VALUE"""),1.0)</f>
        <v>1</v>
      </c>
      <c r="G1093" s="2" t="str">
        <f>IFERROR(__xludf.DUMMYFUNCTION("""COMPUTED_VALUE"""),"PR049")</f>
        <v>PR049</v>
      </c>
      <c r="H1093" s="2" t="str">
        <f>IFERROR(__xludf.DUMMYFUNCTION("""COMPUTED_VALUE"""),"VD035")</f>
        <v>VD035</v>
      </c>
      <c r="I1093" s="2">
        <f>IFERROR(__xludf.DUMMYFUNCTION("""COMPUTED_VALUE"""),3.0)</f>
        <v>3</v>
      </c>
      <c r="J1093" s="2">
        <f>IFERROR(__xludf.DUMMYFUNCTION("""COMPUTED_VALUE"""),102.65)</f>
        <v>102.65</v>
      </c>
      <c r="K1093" s="2">
        <f>IFERROR(__xludf.DUMMYFUNCTION("""COMPUTED_VALUE"""),102.65)</f>
        <v>102.65</v>
      </c>
    </row>
    <row r="1094">
      <c r="A1094" s="2">
        <f>IFERROR(__xludf.DUMMYFUNCTION("""COMPUTED_VALUE"""),1000.0)</f>
        <v>1000</v>
      </c>
      <c r="B1094" s="2">
        <f>IFERROR(__xludf.DUMMYFUNCTION("""COMPUTED_VALUE"""),184255.0)</f>
        <v>184255</v>
      </c>
      <c r="C1094" s="2">
        <f>IFERROR(__xludf.DUMMYFUNCTION("""COMPUTED_VALUE"""),2026.0)</f>
        <v>2026</v>
      </c>
      <c r="D1094" s="2">
        <f>IFERROR(__xludf.DUMMYFUNCTION("""COMPUTED_VALUE"""),46162.0)</f>
        <v>46162</v>
      </c>
      <c r="E1094" s="2" t="str">
        <f>IFERROR(__xludf.DUMMYFUNCTION("""COMPUTED_VALUE"""),"VF")</f>
        <v>VF</v>
      </c>
      <c r="F1094" s="2">
        <f>IFERROR(__xludf.DUMMYFUNCTION("""COMPUTED_VALUE"""),1.0)</f>
        <v>1</v>
      </c>
      <c r="G1094" s="2" t="str">
        <f>IFERROR(__xludf.DUMMYFUNCTION("""COMPUTED_VALUE"""),"PR035")</f>
        <v>PR035</v>
      </c>
      <c r="H1094" s="2" t="str">
        <f>IFERROR(__xludf.DUMMYFUNCTION("""COMPUTED_VALUE"""),"VD045")</f>
        <v>VD045</v>
      </c>
      <c r="I1094" s="2">
        <f>IFERROR(__xludf.DUMMYFUNCTION("""COMPUTED_VALUE"""),5.0)</f>
        <v>5</v>
      </c>
      <c r="J1094" s="2">
        <f>IFERROR(__xludf.DUMMYFUNCTION("""COMPUTED_VALUE"""),466.14)</f>
        <v>466.14</v>
      </c>
      <c r="K1094" s="2">
        <f>IFERROR(__xludf.DUMMYFUNCTION("""COMPUTED_VALUE"""),466.14)</f>
        <v>466.14</v>
      </c>
    </row>
    <row r="1095">
      <c r="A1095" s="2">
        <f>IFERROR(__xludf.DUMMYFUNCTION("""COMPUTED_VALUE"""),1000.0)</f>
        <v>1000</v>
      </c>
      <c r="B1095" s="2">
        <f>IFERROR(__xludf.DUMMYFUNCTION("""COMPUTED_VALUE"""),184256.0)</f>
        <v>184256</v>
      </c>
      <c r="C1095" s="2">
        <f>IFERROR(__xludf.DUMMYFUNCTION("""COMPUTED_VALUE"""),2026.0)</f>
        <v>2026</v>
      </c>
      <c r="D1095" s="2">
        <f>IFERROR(__xludf.DUMMYFUNCTION("""COMPUTED_VALUE"""),46161.0)</f>
        <v>46161</v>
      </c>
      <c r="E1095" s="2" t="str">
        <f>IFERROR(__xludf.DUMMYFUNCTION("""COMPUTED_VALUE"""),"VF")</f>
        <v>VF</v>
      </c>
      <c r="F1095" s="2">
        <f>IFERROR(__xludf.DUMMYFUNCTION("""COMPUTED_VALUE"""),1.0)</f>
        <v>1</v>
      </c>
      <c r="G1095" s="2" t="str">
        <f>IFERROR(__xludf.DUMMYFUNCTION("""COMPUTED_VALUE"""),"PR017")</f>
        <v>PR017</v>
      </c>
      <c r="H1095" s="2" t="str">
        <f>IFERROR(__xludf.DUMMYFUNCTION("""COMPUTED_VALUE"""),"VD032")</f>
        <v>VD032</v>
      </c>
      <c r="I1095" s="2">
        <f>IFERROR(__xludf.DUMMYFUNCTION("""COMPUTED_VALUE"""),18.0)</f>
        <v>18</v>
      </c>
      <c r="J1095" s="2">
        <f>IFERROR(__xludf.DUMMYFUNCTION("""COMPUTED_VALUE"""),559.73)</f>
        <v>559.73</v>
      </c>
      <c r="K1095" s="2">
        <f>IFERROR(__xludf.DUMMYFUNCTION("""COMPUTED_VALUE"""),559.73)</f>
        <v>559.73</v>
      </c>
    </row>
    <row r="1096">
      <c r="A1096" s="2">
        <f>IFERROR(__xludf.DUMMYFUNCTION("""COMPUTED_VALUE"""),1000.0)</f>
        <v>1000</v>
      </c>
      <c r="B1096" s="2">
        <f>IFERROR(__xludf.DUMMYFUNCTION("""COMPUTED_VALUE"""),184257.0)</f>
        <v>184257</v>
      </c>
      <c r="C1096" s="2">
        <f>IFERROR(__xludf.DUMMYFUNCTION("""COMPUTED_VALUE"""),2026.0)</f>
        <v>2026</v>
      </c>
      <c r="D1096" s="2">
        <f>IFERROR(__xludf.DUMMYFUNCTION("""COMPUTED_VALUE"""),46161.0)</f>
        <v>46161</v>
      </c>
      <c r="E1096" s="2" t="str">
        <f>IFERROR(__xludf.DUMMYFUNCTION("""COMPUTED_VALUE"""),"VF")</f>
        <v>VF</v>
      </c>
      <c r="F1096" s="2">
        <f>IFERROR(__xludf.DUMMYFUNCTION("""COMPUTED_VALUE"""),1.0)</f>
        <v>1</v>
      </c>
      <c r="G1096" s="2" t="str">
        <f>IFERROR(__xludf.DUMMYFUNCTION("""COMPUTED_VALUE"""),"PR060")</f>
        <v>PR060</v>
      </c>
      <c r="H1096" s="2" t="str">
        <f>IFERROR(__xludf.DUMMYFUNCTION("""COMPUTED_VALUE"""),"VD020")</f>
        <v>VD020</v>
      </c>
      <c r="I1096" s="2">
        <f>IFERROR(__xludf.DUMMYFUNCTION("""COMPUTED_VALUE"""),9.0)</f>
        <v>9</v>
      </c>
      <c r="J1096" s="2">
        <f>IFERROR(__xludf.DUMMYFUNCTION("""COMPUTED_VALUE"""),1684.8)</f>
        <v>1684.8</v>
      </c>
      <c r="K1096" s="2">
        <f>IFERROR(__xludf.DUMMYFUNCTION("""COMPUTED_VALUE"""),1684.8)</f>
        <v>1684.8</v>
      </c>
    </row>
    <row r="1097">
      <c r="A1097" s="2">
        <f>IFERROR(__xludf.DUMMYFUNCTION("""COMPUTED_VALUE"""),2000.0)</f>
        <v>2000</v>
      </c>
      <c r="B1097" s="2">
        <f>IFERROR(__xludf.DUMMYFUNCTION("""COMPUTED_VALUE"""),184258.0)</f>
        <v>184258</v>
      </c>
      <c r="C1097" s="2">
        <f>IFERROR(__xludf.DUMMYFUNCTION("""COMPUTED_VALUE"""),2026.0)</f>
        <v>2026</v>
      </c>
      <c r="D1097" s="2">
        <f>IFERROR(__xludf.DUMMYFUNCTION("""COMPUTED_VALUE"""),46160.0)</f>
        <v>46160</v>
      </c>
      <c r="E1097" s="2" t="str">
        <f>IFERROR(__xludf.DUMMYFUNCTION("""COMPUTED_VALUE"""),"VF")</f>
        <v>VF</v>
      </c>
      <c r="F1097" s="2">
        <f>IFERROR(__xludf.DUMMYFUNCTION("""COMPUTED_VALUE"""),1.0)</f>
        <v>1</v>
      </c>
      <c r="G1097" s="2" t="str">
        <f>IFERROR(__xludf.DUMMYFUNCTION("""COMPUTED_VALUE"""),"PR036")</f>
        <v>PR036</v>
      </c>
      <c r="H1097" s="2" t="str">
        <f>IFERROR(__xludf.DUMMYFUNCTION("""COMPUTED_VALUE"""),"VD046")</f>
        <v>VD046</v>
      </c>
      <c r="I1097" s="2">
        <f>IFERROR(__xludf.DUMMYFUNCTION("""COMPUTED_VALUE"""),10.0)</f>
        <v>10</v>
      </c>
      <c r="J1097" s="2">
        <f>IFERROR(__xludf.DUMMYFUNCTION("""COMPUTED_VALUE"""),1028.5)</f>
        <v>1028.5</v>
      </c>
      <c r="K1097" s="2">
        <f>IFERROR(__xludf.DUMMYFUNCTION("""COMPUTED_VALUE"""),1028.5)</f>
        <v>1028.5</v>
      </c>
    </row>
    <row r="1098">
      <c r="A1098" s="2">
        <f>IFERROR(__xludf.DUMMYFUNCTION("""COMPUTED_VALUE"""),1000.0)</f>
        <v>1000</v>
      </c>
      <c r="B1098" s="2">
        <f>IFERROR(__xludf.DUMMYFUNCTION("""COMPUTED_VALUE"""),184258.0)</f>
        <v>184258</v>
      </c>
      <c r="C1098" s="2">
        <f>IFERROR(__xludf.DUMMYFUNCTION("""COMPUTED_VALUE"""),2026.0)</f>
        <v>2026</v>
      </c>
      <c r="D1098" s="2">
        <f>IFERROR(__xludf.DUMMYFUNCTION("""COMPUTED_VALUE"""),46160.0)</f>
        <v>46160</v>
      </c>
      <c r="E1098" s="2" t="str">
        <f>IFERROR(__xludf.DUMMYFUNCTION("""COMPUTED_VALUE"""),"VF")</f>
        <v>VF</v>
      </c>
      <c r="F1098" s="2">
        <f>IFERROR(__xludf.DUMMYFUNCTION("""COMPUTED_VALUE"""),2.0)</f>
        <v>2</v>
      </c>
      <c r="G1098" s="2" t="str">
        <f>IFERROR(__xludf.DUMMYFUNCTION("""COMPUTED_VALUE"""),"PR043")</f>
        <v>PR043</v>
      </c>
      <c r="H1098" s="2" t="str">
        <f>IFERROR(__xludf.DUMMYFUNCTION("""COMPUTED_VALUE"""),"VD022")</f>
        <v>VD022</v>
      </c>
      <c r="I1098" s="2">
        <f>IFERROR(__xludf.DUMMYFUNCTION("""COMPUTED_VALUE"""),2.0)</f>
        <v>2</v>
      </c>
      <c r="J1098" s="2">
        <f>IFERROR(__xludf.DUMMYFUNCTION("""COMPUTED_VALUE"""),153.7)</f>
        <v>153.7</v>
      </c>
      <c r="K1098" s="2">
        <f>IFERROR(__xludf.DUMMYFUNCTION("""COMPUTED_VALUE"""),153.7)</f>
        <v>153.7</v>
      </c>
    </row>
    <row r="1099">
      <c r="A1099" s="2">
        <f>IFERROR(__xludf.DUMMYFUNCTION("""COMPUTED_VALUE"""),1000.0)</f>
        <v>1000</v>
      </c>
      <c r="B1099" s="2">
        <f>IFERROR(__xludf.DUMMYFUNCTION("""COMPUTED_VALUE"""),184259.0)</f>
        <v>184259</v>
      </c>
      <c r="C1099" s="2">
        <f>IFERROR(__xludf.DUMMYFUNCTION("""COMPUTED_VALUE"""),2026.0)</f>
        <v>2026</v>
      </c>
      <c r="D1099" s="2">
        <f>IFERROR(__xludf.DUMMYFUNCTION("""COMPUTED_VALUE"""),46160.0)</f>
        <v>46160</v>
      </c>
      <c r="E1099" s="2" t="str">
        <f>IFERROR(__xludf.DUMMYFUNCTION("""COMPUTED_VALUE"""),"VF")</f>
        <v>VF</v>
      </c>
      <c r="F1099" s="2">
        <f>IFERROR(__xludf.DUMMYFUNCTION("""COMPUTED_VALUE"""),1.0)</f>
        <v>1</v>
      </c>
      <c r="G1099" s="2" t="str">
        <f>IFERROR(__xludf.DUMMYFUNCTION("""COMPUTED_VALUE"""),"PR007")</f>
        <v>PR007</v>
      </c>
      <c r="H1099" s="2" t="str">
        <f>IFERROR(__xludf.DUMMYFUNCTION("""COMPUTED_VALUE"""),"VD041")</f>
        <v>VD041</v>
      </c>
      <c r="I1099" s="2">
        <f>IFERROR(__xludf.DUMMYFUNCTION("""COMPUTED_VALUE"""),2.0)</f>
        <v>2</v>
      </c>
      <c r="J1099" s="2">
        <f>IFERROR(__xludf.DUMMYFUNCTION("""COMPUTED_VALUE"""),187.26)</f>
        <v>187.26</v>
      </c>
      <c r="K1099" s="2">
        <f>IFERROR(__xludf.DUMMYFUNCTION("""COMPUTED_VALUE"""),187.26)</f>
        <v>187.26</v>
      </c>
    </row>
    <row r="1100">
      <c r="A1100" s="2">
        <f>IFERROR(__xludf.DUMMYFUNCTION("""COMPUTED_VALUE"""),1000.0)</f>
        <v>1000</v>
      </c>
      <c r="B1100" s="2">
        <f>IFERROR(__xludf.DUMMYFUNCTION("""COMPUTED_VALUE"""),184260.0)</f>
        <v>184260</v>
      </c>
      <c r="C1100" s="2">
        <f>IFERROR(__xludf.DUMMYFUNCTION("""COMPUTED_VALUE"""),2026.0)</f>
        <v>2026</v>
      </c>
      <c r="D1100" s="2">
        <f>IFERROR(__xludf.DUMMYFUNCTION("""COMPUTED_VALUE"""),46160.0)</f>
        <v>46160</v>
      </c>
      <c r="E1100" s="2" t="str">
        <f>IFERROR(__xludf.DUMMYFUNCTION("""COMPUTED_VALUE"""),"VF")</f>
        <v>VF</v>
      </c>
      <c r="F1100" s="2">
        <f>IFERROR(__xludf.DUMMYFUNCTION("""COMPUTED_VALUE"""),1.0)</f>
        <v>1</v>
      </c>
      <c r="G1100" s="2" t="str">
        <f>IFERROR(__xludf.DUMMYFUNCTION("""COMPUTED_VALUE"""),"PR037")</f>
        <v>PR037</v>
      </c>
      <c r="H1100" s="2" t="str">
        <f>IFERROR(__xludf.DUMMYFUNCTION("""COMPUTED_VALUE"""),"VD043")</f>
        <v>VD043</v>
      </c>
      <c r="I1100" s="2">
        <f>IFERROR(__xludf.DUMMYFUNCTION("""COMPUTED_VALUE"""),9.0)</f>
        <v>9</v>
      </c>
      <c r="J1100" s="2">
        <f>IFERROR(__xludf.DUMMYFUNCTION("""COMPUTED_VALUE"""),1297.8)</f>
        <v>1297.8</v>
      </c>
      <c r="K1100" s="2">
        <f>IFERROR(__xludf.DUMMYFUNCTION("""COMPUTED_VALUE"""),1297.8)</f>
        <v>1297.8</v>
      </c>
    </row>
    <row r="1101">
      <c r="A1101" s="2">
        <f>IFERROR(__xludf.DUMMYFUNCTION("""COMPUTED_VALUE"""),1000.0)</f>
        <v>1000</v>
      </c>
      <c r="B1101" s="2">
        <f>IFERROR(__xludf.DUMMYFUNCTION("""COMPUTED_VALUE"""),184261.0)</f>
        <v>184261</v>
      </c>
      <c r="C1101" s="2">
        <f>IFERROR(__xludf.DUMMYFUNCTION("""COMPUTED_VALUE"""),2026.0)</f>
        <v>2026</v>
      </c>
      <c r="D1101" s="2">
        <f>IFERROR(__xludf.DUMMYFUNCTION("""COMPUTED_VALUE"""),46160.0)</f>
        <v>46160</v>
      </c>
      <c r="E1101" s="2" t="str">
        <f>IFERROR(__xludf.DUMMYFUNCTION("""COMPUTED_VALUE"""),"VF")</f>
        <v>VF</v>
      </c>
      <c r="F1101" s="2">
        <f>IFERROR(__xludf.DUMMYFUNCTION("""COMPUTED_VALUE"""),1.0)</f>
        <v>1</v>
      </c>
      <c r="G1101" s="2" t="str">
        <f>IFERROR(__xludf.DUMMYFUNCTION("""COMPUTED_VALUE"""),"PR030")</f>
        <v>PR030</v>
      </c>
      <c r="H1101" s="2" t="str">
        <f>IFERROR(__xludf.DUMMYFUNCTION("""COMPUTED_VALUE"""),"VD010")</f>
        <v>VD010</v>
      </c>
      <c r="I1101" s="2">
        <f>IFERROR(__xludf.DUMMYFUNCTION("""COMPUTED_VALUE"""),18.0)</f>
        <v>18</v>
      </c>
      <c r="J1101" s="2">
        <f>IFERROR(__xludf.DUMMYFUNCTION("""COMPUTED_VALUE"""),5146.02)</f>
        <v>5146.02</v>
      </c>
      <c r="K1101" s="2">
        <f>IFERROR(__xludf.DUMMYFUNCTION("""COMPUTED_VALUE"""),5146.02)</f>
        <v>5146.02</v>
      </c>
    </row>
    <row r="1102">
      <c r="A1102" s="2">
        <f>IFERROR(__xludf.DUMMYFUNCTION("""COMPUTED_VALUE"""),2000.0)</f>
        <v>2000</v>
      </c>
      <c r="B1102" s="2">
        <f>IFERROR(__xludf.DUMMYFUNCTION("""COMPUTED_VALUE"""),184262.0)</f>
        <v>184262</v>
      </c>
      <c r="C1102" s="2">
        <f>IFERROR(__xludf.DUMMYFUNCTION("""COMPUTED_VALUE"""),2026.0)</f>
        <v>2026</v>
      </c>
      <c r="D1102" s="2">
        <f>IFERROR(__xludf.DUMMYFUNCTION("""COMPUTED_VALUE"""),46160.0)</f>
        <v>46160</v>
      </c>
      <c r="E1102" s="2" t="str">
        <f>IFERROR(__xludf.DUMMYFUNCTION("""COMPUTED_VALUE"""),"VF")</f>
        <v>VF</v>
      </c>
      <c r="F1102" s="2">
        <f>IFERROR(__xludf.DUMMYFUNCTION("""COMPUTED_VALUE"""),1.0)</f>
        <v>1</v>
      </c>
      <c r="G1102" s="2" t="str">
        <f>IFERROR(__xludf.DUMMYFUNCTION("""COMPUTED_VALUE"""),"PR049")</f>
        <v>PR049</v>
      </c>
      <c r="H1102" s="2" t="str">
        <f>IFERROR(__xludf.DUMMYFUNCTION("""COMPUTED_VALUE"""),"VD049")</f>
        <v>VD049</v>
      </c>
      <c r="I1102" s="2">
        <f>IFERROR(__xludf.DUMMYFUNCTION("""COMPUTED_VALUE"""),4.0)</f>
        <v>4</v>
      </c>
      <c r="J1102" s="2">
        <f>IFERROR(__xludf.DUMMYFUNCTION("""COMPUTED_VALUE"""),142.13)</f>
        <v>142.13</v>
      </c>
      <c r="K1102" s="2">
        <f>IFERROR(__xludf.DUMMYFUNCTION("""COMPUTED_VALUE"""),142.13)</f>
        <v>142.13</v>
      </c>
    </row>
    <row r="1103">
      <c r="A1103" s="2">
        <f>IFERROR(__xludf.DUMMYFUNCTION("""COMPUTED_VALUE"""),1000.0)</f>
        <v>1000</v>
      </c>
      <c r="B1103" s="2">
        <f>IFERROR(__xludf.DUMMYFUNCTION("""COMPUTED_VALUE"""),184262.0)</f>
        <v>184262</v>
      </c>
      <c r="C1103" s="2">
        <f>IFERROR(__xludf.DUMMYFUNCTION("""COMPUTED_VALUE"""),2026.0)</f>
        <v>2026</v>
      </c>
      <c r="D1103" s="2">
        <f>IFERROR(__xludf.DUMMYFUNCTION("""COMPUTED_VALUE"""),46160.0)</f>
        <v>46160</v>
      </c>
      <c r="E1103" s="2" t="str">
        <f>IFERROR(__xludf.DUMMYFUNCTION("""COMPUTED_VALUE"""),"VF")</f>
        <v>VF</v>
      </c>
      <c r="F1103" s="2">
        <f>IFERROR(__xludf.DUMMYFUNCTION("""COMPUTED_VALUE"""),2.0)</f>
        <v>2</v>
      </c>
      <c r="G1103" s="2" t="str">
        <f>IFERROR(__xludf.DUMMYFUNCTION("""COMPUTED_VALUE"""),"PR024")</f>
        <v>PR024</v>
      </c>
      <c r="H1103" s="2" t="str">
        <f>IFERROR(__xludf.DUMMYFUNCTION("""COMPUTED_VALUE"""),"VD033")</f>
        <v>VD033</v>
      </c>
      <c r="I1103" s="2">
        <f>IFERROR(__xludf.DUMMYFUNCTION("""COMPUTED_VALUE"""),5.0)</f>
        <v>5</v>
      </c>
      <c r="J1103" s="2">
        <f>IFERROR(__xludf.DUMMYFUNCTION("""COMPUTED_VALUE"""),1312.5)</f>
        <v>1312.5</v>
      </c>
      <c r="K1103" s="2">
        <f>IFERROR(__xludf.DUMMYFUNCTION("""COMPUTED_VALUE"""),1312.5)</f>
        <v>1312.5</v>
      </c>
    </row>
    <row r="1104">
      <c r="A1104" s="2">
        <f>IFERROR(__xludf.DUMMYFUNCTION("""COMPUTED_VALUE"""),1000.0)</f>
        <v>1000</v>
      </c>
      <c r="B1104" s="2">
        <f>IFERROR(__xludf.DUMMYFUNCTION("""COMPUTED_VALUE"""),184262.0)</f>
        <v>184262</v>
      </c>
      <c r="C1104" s="2">
        <f>IFERROR(__xludf.DUMMYFUNCTION("""COMPUTED_VALUE"""),2026.0)</f>
        <v>2026</v>
      </c>
      <c r="D1104" s="2">
        <f>IFERROR(__xludf.DUMMYFUNCTION("""COMPUTED_VALUE"""),46160.0)</f>
        <v>46160</v>
      </c>
      <c r="E1104" s="2" t="str">
        <f>IFERROR(__xludf.DUMMYFUNCTION("""COMPUTED_VALUE"""),"VF")</f>
        <v>VF</v>
      </c>
      <c r="F1104" s="2">
        <f>IFERROR(__xludf.DUMMYFUNCTION("""COMPUTED_VALUE"""),3.0)</f>
        <v>3</v>
      </c>
      <c r="G1104" s="2" t="str">
        <f>IFERROR(__xludf.DUMMYFUNCTION("""COMPUTED_VALUE"""),"PR025")</f>
        <v>PR025</v>
      </c>
      <c r="H1104" s="2" t="str">
        <f>IFERROR(__xludf.DUMMYFUNCTION("""COMPUTED_VALUE"""),"VD027")</f>
        <v>VD027</v>
      </c>
      <c r="I1104" s="2">
        <f>IFERROR(__xludf.DUMMYFUNCTION("""COMPUTED_VALUE"""),16.0)</f>
        <v>16</v>
      </c>
      <c r="J1104" s="2">
        <f>IFERROR(__xludf.DUMMYFUNCTION("""COMPUTED_VALUE"""),5278.24)</f>
        <v>5278.24</v>
      </c>
      <c r="K1104" s="2">
        <f>IFERROR(__xludf.DUMMYFUNCTION("""COMPUTED_VALUE"""),5278.24)</f>
        <v>5278.24</v>
      </c>
    </row>
    <row r="1105">
      <c r="A1105" s="2">
        <f>IFERROR(__xludf.DUMMYFUNCTION("""COMPUTED_VALUE"""),2000.0)</f>
        <v>2000</v>
      </c>
      <c r="B1105" s="2">
        <f>IFERROR(__xludf.DUMMYFUNCTION("""COMPUTED_VALUE"""),184263.0)</f>
        <v>184263</v>
      </c>
      <c r="C1105" s="2">
        <f>IFERROR(__xludf.DUMMYFUNCTION("""COMPUTED_VALUE"""),2026.0)</f>
        <v>2026</v>
      </c>
      <c r="D1105" s="2">
        <f>IFERROR(__xludf.DUMMYFUNCTION("""COMPUTED_VALUE"""),46160.0)</f>
        <v>46160</v>
      </c>
      <c r="E1105" s="2" t="str">
        <f>IFERROR(__xludf.DUMMYFUNCTION("""COMPUTED_VALUE"""),"VF")</f>
        <v>VF</v>
      </c>
      <c r="F1105" s="2">
        <f>IFERROR(__xludf.DUMMYFUNCTION("""COMPUTED_VALUE"""),1.0)</f>
        <v>1</v>
      </c>
      <c r="G1105" s="2" t="str">
        <f>IFERROR(__xludf.DUMMYFUNCTION("""COMPUTED_VALUE"""),"PR040")</f>
        <v>PR040</v>
      </c>
      <c r="H1105" s="2" t="str">
        <f>IFERROR(__xludf.DUMMYFUNCTION("""COMPUTED_VALUE"""),"VD020")</f>
        <v>VD020</v>
      </c>
      <c r="I1105" s="2">
        <f>IFERROR(__xludf.DUMMYFUNCTION("""COMPUTED_VALUE"""),5.0)</f>
        <v>5</v>
      </c>
      <c r="J1105" s="2">
        <f>IFERROR(__xludf.DUMMYFUNCTION("""COMPUTED_VALUE"""),385.0)</f>
        <v>385</v>
      </c>
      <c r="K1105" s="2">
        <f>IFERROR(__xludf.DUMMYFUNCTION("""COMPUTED_VALUE"""),385.0)</f>
        <v>385</v>
      </c>
    </row>
    <row r="1106">
      <c r="A1106" s="2">
        <f>IFERROR(__xludf.DUMMYFUNCTION("""COMPUTED_VALUE"""),1000.0)</f>
        <v>1000</v>
      </c>
      <c r="B1106" s="2">
        <f>IFERROR(__xludf.DUMMYFUNCTION("""COMPUTED_VALUE"""),184264.0)</f>
        <v>184264</v>
      </c>
      <c r="C1106" s="2">
        <f>IFERROR(__xludf.DUMMYFUNCTION("""COMPUTED_VALUE"""),2026.0)</f>
        <v>2026</v>
      </c>
      <c r="D1106" s="2">
        <f>IFERROR(__xludf.DUMMYFUNCTION("""COMPUTED_VALUE"""),46159.0)</f>
        <v>46159</v>
      </c>
      <c r="E1106" s="2" t="str">
        <f>IFERROR(__xludf.DUMMYFUNCTION("""COMPUTED_VALUE"""),"VF")</f>
        <v>VF</v>
      </c>
      <c r="F1106" s="2">
        <f>IFERROR(__xludf.DUMMYFUNCTION("""COMPUTED_VALUE"""),1.0)</f>
        <v>1</v>
      </c>
      <c r="G1106" s="2" t="str">
        <f>IFERROR(__xludf.DUMMYFUNCTION("""COMPUTED_VALUE"""),"PR012")</f>
        <v>PR012</v>
      </c>
      <c r="H1106" s="2" t="str">
        <f>IFERROR(__xludf.DUMMYFUNCTION("""COMPUTED_VALUE"""),"VD042")</f>
        <v>VD042</v>
      </c>
      <c r="I1106" s="2">
        <f>IFERROR(__xludf.DUMMYFUNCTION("""COMPUTED_VALUE"""),6.0)</f>
        <v>6</v>
      </c>
      <c r="J1106" s="2">
        <f>IFERROR(__xludf.DUMMYFUNCTION("""COMPUTED_VALUE"""),316.87)</f>
        <v>316.87</v>
      </c>
      <c r="K1106" s="2">
        <f>IFERROR(__xludf.DUMMYFUNCTION("""COMPUTED_VALUE"""),316.87)</f>
        <v>316.87</v>
      </c>
    </row>
    <row r="1107">
      <c r="A1107" s="2">
        <f>IFERROR(__xludf.DUMMYFUNCTION("""COMPUTED_VALUE"""),1000.0)</f>
        <v>1000</v>
      </c>
      <c r="B1107" s="2">
        <f>IFERROR(__xludf.DUMMYFUNCTION("""COMPUTED_VALUE"""),184265.0)</f>
        <v>184265</v>
      </c>
      <c r="C1107" s="2">
        <f>IFERROR(__xludf.DUMMYFUNCTION("""COMPUTED_VALUE"""),2026.0)</f>
        <v>2026</v>
      </c>
      <c r="D1107" s="2">
        <f>IFERROR(__xludf.DUMMYFUNCTION("""COMPUTED_VALUE"""),46159.0)</f>
        <v>46159</v>
      </c>
      <c r="E1107" s="2" t="str">
        <f>IFERROR(__xludf.DUMMYFUNCTION("""COMPUTED_VALUE"""),"VF")</f>
        <v>VF</v>
      </c>
      <c r="F1107" s="2">
        <f>IFERROR(__xludf.DUMMYFUNCTION("""COMPUTED_VALUE"""),1.0)</f>
        <v>1</v>
      </c>
      <c r="G1107" s="2" t="str">
        <f>IFERROR(__xludf.DUMMYFUNCTION("""COMPUTED_VALUE"""),"PR050")</f>
        <v>PR050</v>
      </c>
      <c r="H1107" s="2" t="str">
        <f>IFERROR(__xludf.DUMMYFUNCTION("""COMPUTED_VALUE"""),"VD039")</f>
        <v>VD039</v>
      </c>
      <c r="I1107" s="2">
        <f>IFERROR(__xludf.DUMMYFUNCTION("""COMPUTED_VALUE"""),2.0)</f>
        <v>2</v>
      </c>
      <c r="J1107" s="2">
        <f>IFERROR(__xludf.DUMMYFUNCTION("""COMPUTED_VALUE"""),65.8)</f>
        <v>65.8</v>
      </c>
      <c r="K1107" s="2">
        <f>IFERROR(__xludf.DUMMYFUNCTION("""COMPUTED_VALUE"""),65.8)</f>
        <v>65.8</v>
      </c>
    </row>
    <row r="1108">
      <c r="A1108" s="2">
        <f>IFERROR(__xludf.DUMMYFUNCTION("""COMPUTED_VALUE"""),1000.0)</f>
        <v>1000</v>
      </c>
      <c r="B1108" s="2">
        <f>IFERROR(__xludf.DUMMYFUNCTION("""COMPUTED_VALUE"""),184265.0)</f>
        <v>184265</v>
      </c>
      <c r="C1108" s="2">
        <f>IFERROR(__xludf.DUMMYFUNCTION("""COMPUTED_VALUE"""),2026.0)</f>
        <v>2026</v>
      </c>
      <c r="D1108" s="2">
        <f>IFERROR(__xludf.DUMMYFUNCTION("""COMPUTED_VALUE"""),46159.0)</f>
        <v>46159</v>
      </c>
      <c r="E1108" s="2" t="str">
        <f>IFERROR(__xludf.DUMMYFUNCTION("""COMPUTED_VALUE"""),"VF")</f>
        <v>VF</v>
      </c>
      <c r="F1108" s="2">
        <f>IFERROR(__xludf.DUMMYFUNCTION("""COMPUTED_VALUE"""),2.0)</f>
        <v>2</v>
      </c>
      <c r="G1108" s="2" t="str">
        <f>IFERROR(__xludf.DUMMYFUNCTION("""COMPUTED_VALUE"""),"PR036")</f>
        <v>PR036</v>
      </c>
      <c r="H1108" s="2" t="str">
        <f>IFERROR(__xludf.DUMMYFUNCTION("""COMPUTED_VALUE"""),"VD010")</f>
        <v>VD010</v>
      </c>
      <c r="I1108" s="2">
        <f>IFERROR(__xludf.DUMMYFUNCTION("""COMPUTED_VALUE"""),8.0)</f>
        <v>8</v>
      </c>
      <c r="J1108" s="2">
        <f>IFERROR(__xludf.DUMMYFUNCTION("""COMPUTED_VALUE"""),755.48)</f>
        <v>755.48</v>
      </c>
      <c r="K1108" s="2">
        <f>IFERROR(__xludf.DUMMYFUNCTION("""COMPUTED_VALUE"""),755.48)</f>
        <v>755.48</v>
      </c>
    </row>
    <row r="1109">
      <c r="A1109" s="2">
        <f>IFERROR(__xludf.DUMMYFUNCTION("""COMPUTED_VALUE"""),1000.0)</f>
        <v>1000</v>
      </c>
      <c r="B1109" s="2">
        <f>IFERROR(__xludf.DUMMYFUNCTION("""COMPUTED_VALUE"""),184266.0)</f>
        <v>184266</v>
      </c>
      <c r="C1109" s="2">
        <f>IFERROR(__xludf.DUMMYFUNCTION("""COMPUTED_VALUE"""),2026.0)</f>
        <v>2026</v>
      </c>
      <c r="D1109" s="2">
        <f>IFERROR(__xludf.DUMMYFUNCTION("""COMPUTED_VALUE"""),46159.0)</f>
        <v>46159</v>
      </c>
      <c r="E1109" s="2" t="str">
        <f>IFERROR(__xludf.DUMMYFUNCTION("""COMPUTED_VALUE"""),"VF")</f>
        <v>VF</v>
      </c>
      <c r="F1109" s="2">
        <f>IFERROR(__xludf.DUMMYFUNCTION("""COMPUTED_VALUE"""),1.0)</f>
        <v>1</v>
      </c>
      <c r="G1109" s="2" t="str">
        <f>IFERROR(__xludf.DUMMYFUNCTION("""COMPUTED_VALUE"""),"PR031")</f>
        <v>PR031</v>
      </c>
      <c r="H1109" s="2" t="str">
        <f>IFERROR(__xludf.DUMMYFUNCTION("""COMPUTED_VALUE"""),"VD030")</f>
        <v>VD030</v>
      </c>
      <c r="I1109" s="2">
        <f>IFERROR(__xludf.DUMMYFUNCTION("""COMPUTED_VALUE"""),9.0)</f>
        <v>9</v>
      </c>
      <c r="J1109" s="2">
        <f>IFERROR(__xludf.DUMMYFUNCTION("""COMPUTED_VALUE"""),2227.05)</f>
        <v>2227.05</v>
      </c>
      <c r="K1109" s="2">
        <f>IFERROR(__xludf.DUMMYFUNCTION("""COMPUTED_VALUE"""),2227.05)</f>
        <v>2227.05</v>
      </c>
    </row>
    <row r="1110">
      <c r="A1110" s="2">
        <f>IFERROR(__xludf.DUMMYFUNCTION("""COMPUTED_VALUE"""),1000.0)</f>
        <v>1000</v>
      </c>
      <c r="B1110" s="2">
        <f>IFERROR(__xludf.DUMMYFUNCTION("""COMPUTED_VALUE"""),184267.0)</f>
        <v>184267</v>
      </c>
      <c r="C1110" s="2">
        <f>IFERROR(__xludf.DUMMYFUNCTION("""COMPUTED_VALUE"""),2026.0)</f>
        <v>2026</v>
      </c>
      <c r="D1110" s="2">
        <f>IFERROR(__xludf.DUMMYFUNCTION("""COMPUTED_VALUE"""),46158.0)</f>
        <v>46158</v>
      </c>
      <c r="E1110" s="2" t="str">
        <f>IFERROR(__xludf.DUMMYFUNCTION("""COMPUTED_VALUE"""),"VF")</f>
        <v>VF</v>
      </c>
      <c r="F1110" s="2">
        <f>IFERROR(__xludf.DUMMYFUNCTION("""COMPUTED_VALUE"""),1.0)</f>
        <v>1</v>
      </c>
      <c r="G1110" s="2" t="str">
        <f>IFERROR(__xludf.DUMMYFUNCTION("""COMPUTED_VALUE"""),"PR060")</f>
        <v>PR060</v>
      </c>
      <c r="H1110" s="2" t="str">
        <f>IFERROR(__xludf.DUMMYFUNCTION("""COMPUTED_VALUE"""),"VD045")</f>
        <v>VD045</v>
      </c>
      <c r="I1110" s="2">
        <f>IFERROR(__xludf.DUMMYFUNCTION("""COMPUTED_VALUE"""),3.0)</f>
        <v>3</v>
      </c>
      <c r="J1110" s="2">
        <f>IFERROR(__xludf.DUMMYFUNCTION("""COMPUTED_VALUE"""),556.2)</f>
        <v>556.2</v>
      </c>
      <c r="K1110" s="2">
        <f>IFERROR(__xludf.DUMMYFUNCTION("""COMPUTED_VALUE"""),556.2)</f>
        <v>556.2</v>
      </c>
    </row>
    <row r="1111">
      <c r="A1111" s="2">
        <f>IFERROR(__xludf.DUMMYFUNCTION("""COMPUTED_VALUE"""),1000.0)</f>
        <v>1000</v>
      </c>
      <c r="B1111" s="2">
        <f>IFERROR(__xludf.DUMMYFUNCTION("""COMPUTED_VALUE"""),184267.0)</f>
        <v>184267</v>
      </c>
      <c r="C1111" s="2">
        <f>IFERROR(__xludf.DUMMYFUNCTION("""COMPUTED_VALUE"""),2026.0)</f>
        <v>2026</v>
      </c>
      <c r="D1111" s="2">
        <f>IFERROR(__xludf.DUMMYFUNCTION("""COMPUTED_VALUE"""),46158.0)</f>
        <v>46158</v>
      </c>
      <c r="E1111" s="2" t="str">
        <f>IFERROR(__xludf.DUMMYFUNCTION("""COMPUTED_VALUE"""),"VF")</f>
        <v>VF</v>
      </c>
      <c r="F1111" s="2">
        <f>IFERROR(__xludf.DUMMYFUNCTION("""COMPUTED_VALUE"""),2.0)</f>
        <v>2</v>
      </c>
      <c r="G1111" s="2" t="str">
        <f>IFERROR(__xludf.DUMMYFUNCTION("""COMPUTED_VALUE"""),"PR028")</f>
        <v>PR028</v>
      </c>
      <c r="H1111" s="2" t="str">
        <f>IFERROR(__xludf.DUMMYFUNCTION("""COMPUTED_VALUE"""),"VD038")</f>
        <v>VD038</v>
      </c>
      <c r="I1111" s="2">
        <f>IFERROR(__xludf.DUMMYFUNCTION("""COMPUTED_VALUE"""),1.0)</f>
        <v>1</v>
      </c>
      <c r="J1111" s="2">
        <f>IFERROR(__xludf.DUMMYFUNCTION("""COMPUTED_VALUE"""),249.9)</f>
        <v>249.9</v>
      </c>
      <c r="K1111" s="2">
        <f>IFERROR(__xludf.DUMMYFUNCTION("""COMPUTED_VALUE"""),249.9)</f>
        <v>249.9</v>
      </c>
    </row>
    <row r="1112">
      <c r="A1112" s="2">
        <f>IFERROR(__xludf.DUMMYFUNCTION("""COMPUTED_VALUE"""),1000.0)</f>
        <v>1000</v>
      </c>
      <c r="B1112" s="2">
        <f>IFERROR(__xludf.DUMMYFUNCTION("""COMPUTED_VALUE"""),184267.0)</f>
        <v>184267</v>
      </c>
      <c r="C1112" s="2">
        <f>IFERROR(__xludf.DUMMYFUNCTION("""COMPUTED_VALUE"""),2026.0)</f>
        <v>2026</v>
      </c>
      <c r="D1112" s="2">
        <f>IFERROR(__xludf.DUMMYFUNCTION("""COMPUTED_VALUE"""),46158.0)</f>
        <v>46158</v>
      </c>
      <c r="E1112" s="2" t="str">
        <f>IFERROR(__xludf.DUMMYFUNCTION("""COMPUTED_VALUE"""),"VF")</f>
        <v>VF</v>
      </c>
      <c r="F1112" s="2">
        <f>IFERROR(__xludf.DUMMYFUNCTION("""COMPUTED_VALUE"""),3.0)</f>
        <v>3</v>
      </c>
      <c r="G1112" s="2" t="str">
        <f>IFERROR(__xludf.DUMMYFUNCTION("""COMPUTED_VALUE"""),"PR056")</f>
        <v>PR056</v>
      </c>
      <c r="H1112" s="2" t="str">
        <f>IFERROR(__xludf.DUMMYFUNCTION("""COMPUTED_VALUE"""),"VD031")</f>
        <v>VD031</v>
      </c>
      <c r="I1112" s="2">
        <f>IFERROR(__xludf.DUMMYFUNCTION("""COMPUTED_VALUE"""),18.0)</f>
        <v>18</v>
      </c>
      <c r="J1112" s="2">
        <f>IFERROR(__xludf.DUMMYFUNCTION("""COMPUTED_VALUE"""),1747.66)</f>
        <v>1747.66</v>
      </c>
      <c r="K1112" s="2">
        <f>IFERROR(__xludf.DUMMYFUNCTION("""COMPUTED_VALUE"""),1747.66)</f>
        <v>1747.66</v>
      </c>
    </row>
    <row r="1113">
      <c r="A1113" s="2">
        <f>IFERROR(__xludf.DUMMYFUNCTION("""COMPUTED_VALUE"""),1000.0)</f>
        <v>1000</v>
      </c>
      <c r="B1113" s="2">
        <f>IFERROR(__xludf.DUMMYFUNCTION("""COMPUTED_VALUE"""),184268.0)</f>
        <v>184268</v>
      </c>
      <c r="C1113" s="2">
        <f>IFERROR(__xludf.DUMMYFUNCTION("""COMPUTED_VALUE"""),2026.0)</f>
        <v>2026</v>
      </c>
      <c r="D1113" s="2">
        <f>IFERROR(__xludf.DUMMYFUNCTION("""COMPUTED_VALUE"""),46158.0)</f>
        <v>46158</v>
      </c>
      <c r="E1113" s="2" t="str">
        <f>IFERROR(__xludf.DUMMYFUNCTION("""COMPUTED_VALUE"""),"VF")</f>
        <v>VF</v>
      </c>
      <c r="F1113" s="2">
        <f>IFERROR(__xludf.DUMMYFUNCTION("""COMPUTED_VALUE"""),1.0)</f>
        <v>1</v>
      </c>
      <c r="G1113" s="2" t="str">
        <f>IFERROR(__xludf.DUMMYFUNCTION("""COMPUTED_VALUE"""),"PR055")</f>
        <v>PR055</v>
      </c>
      <c r="H1113" s="2" t="str">
        <f>IFERROR(__xludf.DUMMYFUNCTION("""COMPUTED_VALUE"""),"VD041")</f>
        <v>VD041</v>
      </c>
      <c r="I1113" s="2">
        <f>IFERROR(__xludf.DUMMYFUNCTION("""COMPUTED_VALUE"""),6.0)</f>
        <v>6</v>
      </c>
      <c r="J1113" s="2">
        <f>IFERROR(__xludf.DUMMYFUNCTION("""COMPUTED_VALUE"""),550.19)</f>
        <v>550.19</v>
      </c>
      <c r="K1113" s="2">
        <f>IFERROR(__xludf.DUMMYFUNCTION("""COMPUTED_VALUE"""),550.19)</f>
        <v>550.19</v>
      </c>
    </row>
    <row r="1114">
      <c r="A1114" s="2">
        <f>IFERROR(__xludf.DUMMYFUNCTION("""COMPUTED_VALUE"""),1000.0)</f>
        <v>1000</v>
      </c>
      <c r="B1114" s="2">
        <f>IFERROR(__xludf.DUMMYFUNCTION("""COMPUTED_VALUE"""),184268.0)</f>
        <v>184268</v>
      </c>
      <c r="C1114" s="2">
        <f>IFERROR(__xludf.DUMMYFUNCTION("""COMPUTED_VALUE"""),2026.0)</f>
        <v>2026</v>
      </c>
      <c r="D1114" s="2">
        <f>IFERROR(__xludf.DUMMYFUNCTION("""COMPUTED_VALUE"""),46158.0)</f>
        <v>46158</v>
      </c>
      <c r="E1114" s="2" t="str">
        <f>IFERROR(__xludf.DUMMYFUNCTION("""COMPUTED_VALUE"""),"VF")</f>
        <v>VF</v>
      </c>
      <c r="F1114" s="2">
        <f>IFERROR(__xludf.DUMMYFUNCTION("""COMPUTED_VALUE"""),2.0)</f>
        <v>2</v>
      </c>
      <c r="G1114" s="2" t="str">
        <f>IFERROR(__xludf.DUMMYFUNCTION("""COMPUTED_VALUE"""),"PR058")</f>
        <v>PR058</v>
      </c>
      <c r="H1114" s="2" t="str">
        <f>IFERROR(__xludf.DUMMYFUNCTION("""COMPUTED_VALUE"""),"VD027")</f>
        <v>VD027</v>
      </c>
      <c r="I1114" s="2">
        <f>IFERROR(__xludf.DUMMYFUNCTION("""COMPUTED_VALUE"""),18.0)</f>
        <v>18</v>
      </c>
      <c r="J1114" s="2">
        <f>IFERROR(__xludf.DUMMYFUNCTION("""COMPUTED_VALUE"""),3531.6)</f>
        <v>3531.6</v>
      </c>
      <c r="K1114" s="2">
        <f>IFERROR(__xludf.DUMMYFUNCTION("""COMPUTED_VALUE"""),3531.6)</f>
        <v>3531.6</v>
      </c>
    </row>
    <row r="1115">
      <c r="A1115" s="2">
        <f>IFERROR(__xludf.DUMMYFUNCTION("""COMPUTED_VALUE"""),1000.0)</f>
        <v>1000</v>
      </c>
      <c r="B1115" s="2">
        <f>IFERROR(__xludf.DUMMYFUNCTION("""COMPUTED_VALUE"""),184269.0)</f>
        <v>184269</v>
      </c>
      <c r="C1115" s="2">
        <f>IFERROR(__xludf.DUMMYFUNCTION("""COMPUTED_VALUE"""),2026.0)</f>
        <v>2026</v>
      </c>
      <c r="D1115" s="2">
        <f>IFERROR(__xludf.DUMMYFUNCTION("""COMPUTED_VALUE"""),46158.0)</f>
        <v>46158</v>
      </c>
      <c r="E1115" s="2" t="str">
        <f>IFERROR(__xludf.DUMMYFUNCTION("""COMPUTED_VALUE"""),"VF")</f>
        <v>VF</v>
      </c>
      <c r="F1115" s="2">
        <f>IFERROR(__xludf.DUMMYFUNCTION("""COMPUTED_VALUE"""),1.0)</f>
        <v>1</v>
      </c>
      <c r="G1115" s="2" t="str">
        <f>IFERROR(__xludf.DUMMYFUNCTION("""COMPUTED_VALUE"""),"PR021")</f>
        <v>PR021</v>
      </c>
      <c r="H1115" s="2" t="str">
        <f>IFERROR(__xludf.DUMMYFUNCTION("""COMPUTED_VALUE"""),"VD025")</f>
        <v>VD025</v>
      </c>
      <c r="I1115" s="2">
        <f>IFERROR(__xludf.DUMMYFUNCTION("""COMPUTED_VALUE"""),10.0)</f>
        <v>10</v>
      </c>
      <c r="J1115" s="2">
        <f>IFERROR(__xludf.DUMMYFUNCTION("""COMPUTED_VALUE"""),3271.32)</f>
        <v>3271.32</v>
      </c>
      <c r="K1115" s="2">
        <f>IFERROR(__xludf.DUMMYFUNCTION("""COMPUTED_VALUE"""),3271.32)</f>
        <v>3271.32</v>
      </c>
    </row>
    <row r="1116">
      <c r="A1116" s="2">
        <f>IFERROR(__xludf.DUMMYFUNCTION("""COMPUTED_VALUE"""),1000.0)</f>
        <v>1000</v>
      </c>
      <c r="B1116" s="2">
        <f>IFERROR(__xludf.DUMMYFUNCTION("""COMPUTED_VALUE"""),184269.0)</f>
        <v>184269</v>
      </c>
      <c r="C1116" s="2">
        <f>IFERROR(__xludf.DUMMYFUNCTION("""COMPUTED_VALUE"""),2026.0)</f>
        <v>2026</v>
      </c>
      <c r="D1116" s="2">
        <f>IFERROR(__xludf.DUMMYFUNCTION("""COMPUTED_VALUE"""),46157.0)</f>
        <v>46157</v>
      </c>
      <c r="E1116" s="2" t="str">
        <f>IFERROR(__xludf.DUMMYFUNCTION("""COMPUTED_VALUE"""),"VF")</f>
        <v>VF</v>
      </c>
      <c r="F1116" s="2">
        <f>IFERROR(__xludf.DUMMYFUNCTION("""COMPUTED_VALUE"""),2.0)</f>
        <v>2</v>
      </c>
      <c r="G1116" s="2" t="str">
        <f>IFERROR(__xludf.DUMMYFUNCTION("""COMPUTED_VALUE"""),"PR019")</f>
        <v>PR019</v>
      </c>
      <c r="H1116" s="2" t="str">
        <f>IFERROR(__xludf.DUMMYFUNCTION("""COMPUTED_VALUE"""),"VD033")</f>
        <v>VD033</v>
      </c>
      <c r="I1116" s="2">
        <f>IFERROR(__xludf.DUMMYFUNCTION("""COMPUTED_VALUE"""),6.0)</f>
        <v>6</v>
      </c>
      <c r="J1116" s="2">
        <f>IFERROR(__xludf.DUMMYFUNCTION("""COMPUTED_VALUE"""),314.37)</f>
        <v>314.37</v>
      </c>
      <c r="K1116" s="2">
        <f>IFERROR(__xludf.DUMMYFUNCTION("""COMPUTED_VALUE"""),314.37)</f>
        <v>314.37</v>
      </c>
    </row>
    <row r="1117">
      <c r="A1117" s="2">
        <f>IFERROR(__xludf.DUMMYFUNCTION("""COMPUTED_VALUE"""),1000.0)</f>
        <v>1000</v>
      </c>
      <c r="B1117" s="2">
        <f>IFERROR(__xludf.DUMMYFUNCTION("""COMPUTED_VALUE"""),184270.0)</f>
        <v>184270</v>
      </c>
      <c r="C1117" s="2">
        <f>IFERROR(__xludf.DUMMYFUNCTION("""COMPUTED_VALUE"""),2026.0)</f>
        <v>2026</v>
      </c>
      <c r="D1117" s="2">
        <f>IFERROR(__xludf.DUMMYFUNCTION("""COMPUTED_VALUE"""),46157.0)</f>
        <v>46157</v>
      </c>
      <c r="E1117" s="2" t="str">
        <f>IFERROR(__xludf.DUMMYFUNCTION("""COMPUTED_VALUE"""),"VF")</f>
        <v>VF</v>
      </c>
      <c r="F1117" s="2">
        <f>IFERROR(__xludf.DUMMYFUNCTION("""COMPUTED_VALUE"""),1.0)</f>
        <v>1</v>
      </c>
      <c r="G1117" s="2" t="str">
        <f>IFERROR(__xludf.DUMMYFUNCTION("""COMPUTED_VALUE"""),"PR024")</f>
        <v>PR024</v>
      </c>
      <c r="H1117" s="2" t="str">
        <f>IFERROR(__xludf.DUMMYFUNCTION("""COMPUTED_VALUE"""),"VD014")</f>
        <v>VD014</v>
      </c>
      <c r="I1117" s="2">
        <f>IFERROR(__xludf.DUMMYFUNCTION("""COMPUTED_VALUE"""),20.0)</f>
        <v>20</v>
      </c>
      <c r="J1117" s="2">
        <f>IFERROR(__xludf.DUMMYFUNCTION("""COMPUTED_VALUE"""),5613.84)</f>
        <v>5613.84</v>
      </c>
      <c r="K1117" s="2">
        <f>IFERROR(__xludf.DUMMYFUNCTION("""COMPUTED_VALUE"""),5613.84)</f>
        <v>5613.84</v>
      </c>
    </row>
    <row r="1118">
      <c r="A1118" s="2">
        <f>IFERROR(__xludf.DUMMYFUNCTION("""COMPUTED_VALUE"""),1000.0)</f>
        <v>1000</v>
      </c>
      <c r="B1118" s="2">
        <f>IFERROR(__xludf.DUMMYFUNCTION("""COMPUTED_VALUE"""),184271.0)</f>
        <v>184271</v>
      </c>
      <c r="C1118" s="2">
        <f>IFERROR(__xludf.DUMMYFUNCTION("""COMPUTED_VALUE"""),2026.0)</f>
        <v>2026</v>
      </c>
      <c r="D1118" s="2">
        <f>IFERROR(__xludf.DUMMYFUNCTION("""COMPUTED_VALUE"""),46157.0)</f>
        <v>46157</v>
      </c>
      <c r="E1118" s="2" t="str">
        <f>IFERROR(__xludf.DUMMYFUNCTION("""COMPUTED_VALUE"""),"VF")</f>
        <v>VF</v>
      </c>
      <c r="F1118" s="2">
        <f>IFERROR(__xludf.DUMMYFUNCTION("""COMPUTED_VALUE"""),1.0)</f>
        <v>1</v>
      </c>
      <c r="G1118" s="2" t="str">
        <f>IFERROR(__xludf.DUMMYFUNCTION("""COMPUTED_VALUE"""),"PR042")</f>
        <v>PR042</v>
      </c>
      <c r="H1118" s="2" t="str">
        <f>IFERROR(__xludf.DUMMYFUNCTION("""COMPUTED_VALUE"""),"VD042")</f>
        <v>VD042</v>
      </c>
      <c r="I1118" s="2">
        <f>IFERROR(__xludf.DUMMYFUNCTION("""COMPUTED_VALUE"""),3.0)</f>
        <v>3</v>
      </c>
      <c r="J1118" s="2">
        <f>IFERROR(__xludf.DUMMYFUNCTION("""COMPUTED_VALUE"""),171.29)</f>
        <v>171.29</v>
      </c>
      <c r="K1118" s="2">
        <f>IFERROR(__xludf.DUMMYFUNCTION("""COMPUTED_VALUE"""),171.29)</f>
        <v>171.29</v>
      </c>
    </row>
    <row r="1119">
      <c r="A1119" s="2">
        <f>IFERROR(__xludf.DUMMYFUNCTION("""COMPUTED_VALUE"""),1000.0)</f>
        <v>1000</v>
      </c>
      <c r="B1119" s="2">
        <f>IFERROR(__xludf.DUMMYFUNCTION("""COMPUTED_VALUE"""),184272.0)</f>
        <v>184272</v>
      </c>
      <c r="C1119" s="2">
        <f>IFERROR(__xludf.DUMMYFUNCTION("""COMPUTED_VALUE"""),2026.0)</f>
        <v>2026</v>
      </c>
      <c r="D1119" s="2">
        <f>IFERROR(__xludf.DUMMYFUNCTION("""COMPUTED_VALUE"""),46157.0)</f>
        <v>46157</v>
      </c>
      <c r="E1119" s="2" t="str">
        <f>IFERROR(__xludf.DUMMYFUNCTION("""COMPUTED_VALUE"""),"VF")</f>
        <v>VF</v>
      </c>
      <c r="F1119" s="2">
        <f>IFERROR(__xludf.DUMMYFUNCTION("""COMPUTED_VALUE"""),1.0)</f>
        <v>1</v>
      </c>
      <c r="G1119" s="2" t="str">
        <f>IFERROR(__xludf.DUMMYFUNCTION("""COMPUTED_VALUE"""),"PR041")</f>
        <v>PR041</v>
      </c>
      <c r="H1119" s="2" t="str">
        <f>IFERROR(__xludf.DUMMYFUNCTION("""COMPUTED_VALUE"""),"VD012")</f>
        <v>VD012</v>
      </c>
      <c r="I1119" s="2">
        <f>IFERROR(__xludf.DUMMYFUNCTION("""COMPUTED_VALUE"""),1.0)</f>
        <v>1</v>
      </c>
      <c r="J1119" s="2">
        <f>IFERROR(__xludf.DUMMYFUNCTION("""COMPUTED_VALUE"""),55.45)</f>
        <v>55.45</v>
      </c>
      <c r="K1119" s="2">
        <f>IFERROR(__xludf.DUMMYFUNCTION("""COMPUTED_VALUE"""),55.45)</f>
        <v>55.45</v>
      </c>
    </row>
    <row r="1120">
      <c r="A1120" s="2">
        <f>IFERROR(__xludf.DUMMYFUNCTION("""COMPUTED_VALUE"""),1000.0)</f>
        <v>1000</v>
      </c>
      <c r="B1120" s="2">
        <f>IFERROR(__xludf.DUMMYFUNCTION("""COMPUTED_VALUE"""),184272.0)</f>
        <v>184272</v>
      </c>
      <c r="C1120" s="2">
        <f>IFERROR(__xludf.DUMMYFUNCTION("""COMPUTED_VALUE"""),2026.0)</f>
        <v>2026</v>
      </c>
      <c r="D1120" s="2">
        <f>IFERROR(__xludf.DUMMYFUNCTION("""COMPUTED_VALUE"""),46157.0)</f>
        <v>46157</v>
      </c>
      <c r="E1120" s="2" t="str">
        <f>IFERROR(__xludf.DUMMYFUNCTION("""COMPUTED_VALUE"""),"VF")</f>
        <v>VF</v>
      </c>
      <c r="F1120" s="2">
        <f>IFERROR(__xludf.DUMMYFUNCTION("""COMPUTED_VALUE"""),2.0)</f>
        <v>2</v>
      </c>
      <c r="G1120" s="2" t="str">
        <f>IFERROR(__xludf.DUMMYFUNCTION("""COMPUTED_VALUE"""),"PR055")</f>
        <v>PR055</v>
      </c>
      <c r="H1120" s="2" t="str">
        <f>IFERROR(__xludf.DUMMYFUNCTION("""COMPUTED_VALUE"""),"VD040")</f>
        <v>VD040</v>
      </c>
      <c r="I1120" s="2">
        <f>IFERROR(__xludf.DUMMYFUNCTION("""COMPUTED_VALUE"""),4.0)</f>
        <v>4</v>
      </c>
      <c r="J1120" s="2">
        <f>IFERROR(__xludf.DUMMYFUNCTION("""COMPUTED_VALUE"""),373.98)</f>
        <v>373.98</v>
      </c>
      <c r="K1120" s="2">
        <f>IFERROR(__xludf.DUMMYFUNCTION("""COMPUTED_VALUE"""),373.98)</f>
        <v>373.98</v>
      </c>
    </row>
    <row r="1121">
      <c r="A1121" s="2">
        <f>IFERROR(__xludf.DUMMYFUNCTION("""COMPUTED_VALUE"""),1000.0)</f>
        <v>1000</v>
      </c>
      <c r="B1121" s="2">
        <f>IFERROR(__xludf.DUMMYFUNCTION("""COMPUTED_VALUE"""),184273.0)</f>
        <v>184273</v>
      </c>
      <c r="C1121" s="2">
        <f>IFERROR(__xludf.DUMMYFUNCTION("""COMPUTED_VALUE"""),2026.0)</f>
        <v>2026</v>
      </c>
      <c r="D1121" s="2">
        <f>IFERROR(__xludf.DUMMYFUNCTION("""COMPUTED_VALUE"""),46157.0)</f>
        <v>46157</v>
      </c>
      <c r="E1121" s="2" t="str">
        <f>IFERROR(__xludf.DUMMYFUNCTION("""COMPUTED_VALUE"""),"VF")</f>
        <v>VF</v>
      </c>
      <c r="F1121" s="2">
        <f>IFERROR(__xludf.DUMMYFUNCTION("""COMPUTED_VALUE"""),1.0)</f>
        <v>1</v>
      </c>
      <c r="G1121" s="2" t="str">
        <f>IFERROR(__xludf.DUMMYFUNCTION("""COMPUTED_VALUE"""),"PR011")</f>
        <v>PR011</v>
      </c>
      <c r="H1121" s="2" t="str">
        <f>IFERROR(__xludf.DUMMYFUNCTION("""COMPUTED_VALUE"""),"VD018")</f>
        <v>VD018</v>
      </c>
      <c r="I1121" s="2">
        <f>IFERROR(__xludf.DUMMYFUNCTION("""COMPUTED_VALUE"""),8.0)</f>
        <v>8</v>
      </c>
      <c r="J1121" s="2">
        <f>IFERROR(__xludf.DUMMYFUNCTION("""COMPUTED_VALUE"""),378.95)</f>
        <v>378.95</v>
      </c>
      <c r="K1121" s="2">
        <f>IFERROR(__xludf.DUMMYFUNCTION("""COMPUTED_VALUE"""),378.95)</f>
        <v>378.95</v>
      </c>
    </row>
    <row r="1122">
      <c r="A1122" s="2">
        <f>IFERROR(__xludf.DUMMYFUNCTION("""COMPUTED_VALUE"""),2000.0)</f>
        <v>2000</v>
      </c>
      <c r="B1122" s="2">
        <f>IFERROR(__xludf.DUMMYFUNCTION("""COMPUTED_VALUE"""),184273.0)</f>
        <v>184273</v>
      </c>
      <c r="C1122" s="2">
        <f>IFERROR(__xludf.DUMMYFUNCTION("""COMPUTED_VALUE"""),2026.0)</f>
        <v>2026</v>
      </c>
      <c r="D1122" s="2">
        <f>IFERROR(__xludf.DUMMYFUNCTION("""COMPUTED_VALUE"""),46157.0)</f>
        <v>46157</v>
      </c>
      <c r="E1122" s="2" t="str">
        <f>IFERROR(__xludf.DUMMYFUNCTION("""COMPUTED_VALUE"""),"VF")</f>
        <v>VF</v>
      </c>
      <c r="F1122" s="2">
        <f>IFERROR(__xludf.DUMMYFUNCTION("""COMPUTED_VALUE"""),2.0)</f>
        <v>2</v>
      </c>
      <c r="G1122" s="2" t="str">
        <f>IFERROR(__xludf.DUMMYFUNCTION("""COMPUTED_VALUE"""),"PR053")</f>
        <v>PR053</v>
      </c>
      <c r="H1122" s="2" t="str">
        <f>IFERROR(__xludf.DUMMYFUNCTION("""COMPUTED_VALUE"""),"VD016")</f>
        <v>VD016</v>
      </c>
      <c r="I1122" s="2">
        <f>IFERROR(__xludf.DUMMYFUNCTION("""COMPUTED_VALUE"""),16.0)</f>
        <v>16</v>
      </c>
      <c r="J1122" s="2">
        <f>IFERROR(__xludf.DUMMYFUNCTION("""COMPUTED_VALUE"""),830.34)</f>
        <v>830.34</v>
      </c>
      <c r="K1122" s="2">
        <f>IFERROR(__xludf.DUMMYFUNCTION("""COMPUTED_VALUE"""),830.34)</f>
        <v>830.34</v>
      </c>
    </row>
    <row r="1123">
      <c r="A1123" s="2">
        <f>IFERROR(__xludf.DUMMYFUNCTION("""COMPUTED_VALUE"""),1000.0)</f>
        <v>1000</v>
      </c>
      <c r="B1123" s="2">
        <f>IFERROR(__xludf.DUMMYFUNCTION("""COMPUTED_VALUE"""),184274.0)</f>
        <v>184274</v>
      </c>
      <c r="C1123" s="2">
        <f>IFERROR(__xludf.DUMMYFUNCTION("""COMPUTED_VALUE"""),2026.0)</f>
        <v>2026</v>
      </c>
      <c r="D1123" s="2">
        <f>IFERROR(__xludf.DUMMYFUNCTION("""COMPUTED_VALUE"""),46156.0)</f>
        <v>46156</v>
      </c>
      <c r="E1123" s="2" t="str">
        <f>IFERROR(__xludf.DUMMYFUNCTION("""COMPUTED_VALUE"""),"VF")</f>
        <v>VF</v>
      </c>
      <c r="F1123" s="2">
        <f>IFERROR(__xludf.DUMMYFUNCTION("""COMPUTED_VALUE"""),1.0)</f>
        <v>1</v>
      </c>
      <c r="G1123" s="2" t="str">
        <f>IFERROR(__xludf.DUMMYFUNCTION("""COMPUTED_VALUE"""),"PR044")</f>
        <v>PR044</v>
      </c>
      <c r="H1123" s="2" t="str">
        <f>IFERROR(__xludf.DUMMYFUNCTION("""COMPUTED_VALUE"""),"VD012")</f>
        <v>VD012</v>
      </c>
      <c r="I1123" s="2">
        <f>IFERROR(__xludf.DUMMYFUNCTION("""COMPUTED_VALUE"""),8.0)</f>
        <v>8</v>
      </c>
      <c r="J1123" s="2">
        <f>IFERROR(__xludf.DUMMYFUNCTION("""COMPUTED_VALUE"""),614.8)</f>
        <v>614.8</v>
      </c>
      <c r="K1123" s="2">
        <f>IFERROR(__xludf.DUMMYFUNCTION("""COMPUTED_VALUE"""),614.8)</f>
        <v>614.8</v>
      </c>
    </row>
    <row r="1124">
      <c r="A1124" s="2">
        <f>IFERROR(__xludf.DUMMYFUNCTION("""COMPUTED_VALUE"""),1000.0)</f>
        <v>1000</v>
      </c>
      <c r="B1124" s="2">
        <f>IFERROR(__xludf.DUMMYFUNCTION("""COMPUTED_VALUE"""),184275.0)</f>
        <v>184275</v>
      </c>
      <c r="C1124" s="2">
        <f>IFERROR(__xludf.DUMMYFUNCTION("""COMPUTED_VALUE"""),2026.0)</f>
        <v>2026</v>
      </c>
      <c r="D1124" s="2">
        <f>IFERROR(__xludf.DUMMYFUNCTION("""COMPUTED_VALUE"""),46156.0)</f>
        <v>46156</v>
      </c>
      <c r="E1124" s="2" t="str">
        <f>IFERROR(__xludf.DUMMYFUNCTION("""COMPUTED_VALUE"""),"VF")</f>
        <v>VF</v>
      </c>
      <c r="F1124" s="2">
        <f>IFERROR(__xludf.DUMMYFUNCTION("""COMPUTED_VALUE"""),1.0)</f>
        <v>1</v>
      </c>
      <c r="G1124" s="2" t="str">
        <f>IFERROR(__xludf.DUMMYFUNCTION("""COMPUTED_VALUE"""),"PR024")</f>
        <v>PR024</v>
      </c>
      <c r="H1124" s="2" t="str">
        <f>IFERROR(__xludf.DUMMYFUNCTION("""COMPUTED_VALUE"""),"VD036")</f>
        <v>VD036</v>
      </c>
      <c r="I1124" s="2">
        <f>IFERROR(__xludf.DUMMYFUNCTION("""COMPUTED_VALUE"""),16.0)</f>
        <v>16</v>
      </c>
      <c r="J1124" s="2">
        <f>IFERROR(__xludf.DUMMYFUNCTION("""COMPUTED_VALUE"""),4283.15)</f>
        <v>4283.15</v>
      </c>
      <c r="K1124" s="2">
        <f>IFERROR(__xludf.DUMMYFUNCTION("""COMPUTED_VALUE"""),4283.15)</f>
        <v>4283.15</v>
      </c>
    </row>
    <row r="1125">
      <c r="A1125" s="2">
        <f>IFERROR(__xludf.DUMMYFUNCTION("""COMPUTED_VALUE"""),2000.0)</f>
        <v>2000</v>
      </c>
      <c r="B1125" s="2">
        <f>IFERROR(__xludf.DUMMYFUNCTION("""COMPUTED_VALUE"""),184276.0)</f>
        <v>184276</v>
      </c>
      <c r="C1125" s="2">
        <f>IFERROR(__xludf.DUMMYFUNCTION("""COMPUTED_VALUE"""),2026.0)</f>
        <v>2026</v>
      </c>
      <c r="D1125" s="2">
        <f>IFERROR(__xludf.DUMMYFUNCTION("""COMPUTED_VALUE"""),46156.0)</f>
        <v>46156</v>
      </c>
      <c r="E1125" s="2" t="str">
        <f>IFERROR(__xludf.DUMMYFUNCTION("""COMPUTED_VALUE"""),"VF")</f>
        <v>VF</v>
      </c>
      <c r="F1125" s="2">
        <f>IFERROR(__xludf.DUMMYFUNCTION("""COMPUTED_VALUE"""),1.0)</f>
        <v>1</v>
      </c>
      <c r="G1125" s="2" t="str">
        <f>IFERROR(__xludf.DUMMYFUNCTION("""COMPUTED_VALUE"""),"PR029")</f>
        <v>PR029</v>
      </c>
      <c r="H1125" s="2" t="str">
        <f>IFERROR(__xludf.DUMMYFUNCTION("""COMPUTED_VALUE"""),"VD017")</f>
        <v>VD017</v>
      </c>
      <c r="I1125" s="2">
        <f>IFERROR(__xludf.DUMMYFUNCTION("""COMPUTED_VALUE"""),8.0)</f>
        <v>8</v>
      </c>
      <c r="J1125" s="2">
        <f>IFERROR(__xludf.DUMMYFUNCTION("""COMPUTED_VALUE"""),2182.8)</f>
        <v>2182.8</v>
      </c>
      <c r="K1125" s="2">
        <f>IFERROR(__xludf.DUMMYFUNCTION("""COMPUTED_VALUE"""),2182.8)</f>
        <v>2182.8</v>
      </c>
    </row>
    <row r="1126">
      <c r="A1126" s="2">
        <f>IFERROR(__xludf.DUMMYFUNCTION("""COMPUTED_VALUE"""),1000.0)</f>
        <v>1000</v>
      </c>
      <c r="B1126" s="2">
        <f>IFERROR(__xludf.DUMMYFUNCTION("""COMPUTED_VALUE"""),184277.0)</f>
        <v>184277</v>
      </c>
      <c r="C1126" s="2">
        <f>IFERROR(__xludf.DUMMYFUNCTION("""COMPUTED_VALUE"""),2026.0)</f>
        <v>2026</v>
      </c>
      <c r="D1126" s="2">
        <f>IFERROR(__xludf.DUMMYFUNCTION("""COMPUTED_VALUE"""),46156.0)</f>
        <v>46156</v>
      </c>
      <c r="E1126" s="2" t="str">
        <f>IFERROR(__xludf.DUMMYFUNCTION("""COMPUTED_VALUE"""),"VF")</f>
        <v>VF</v>
      </c>
      <c r="F1126" s="2">
        <f>IFERROR(__xludf.DUMMYFUNCTION("""COMPUTED_VALUE"""),1.0)</f>
        <v>1</v>
      </c>
      <c r="G1126" s="2" t="str">
        <f>IFERROR(__xludf.DUMMYFUNCTION("""COMPUTED_VALUE"""),"PR039")</f>
        <v>PR039</v>
      </c>
      <c r="H1126" s="2" t="str">
        <f>IFERROR(__xludf.DUMMYFUNCTION("""COMPUTED_VALUE"""),"VD037")</f>
        <v>VD037</v>
      </c>
      <c r="I1126" s="2">
        <f>IFERROR(__xludf.DUMMYFUNCTION("""COMPUTED_VALUE"""),16.0)</f>
        <v>16</v>
      </c>
      <c r="J1126" s="2">
        <f>IFERROR(__xludf.DUMMYFUNCTION("""COMPUTED_VALUE"""),2429.44)</f>
        <v>2429.44</v>
      </c>
      <c r="K1126" s="2">
        <f>IFERROR(__xludf.DUMMYFUNCTION("""COMPUTED_VALUE"""),2429.44)</f>
        <v>2429.44</v>
      </c>
    </row>
    <row r="1127">
      <c r="A1127" s="2">
        <f>IFERROR(__xludf.DUMMYFUNCTION("""COMPUTED_VALUE"""),2000.0)</f>
        <v>2000</v>
      </c>
      <c r="B1127" s="2">
        <f>IFERROR(__xludf.DUMMYFUNCTION("""COMPUTED_VALUE"""),184278.0)</f>
        <v>184278</v>
      </c>
      <c r="C1127" s="2">
        <f>IFERROR(__xludf.DUMMYFUNCTION("""COMPUTED_VALUE"""),2026.0)</f>
        <v>2026</v>
      </c>
      <c r="D1127" s="2">
        <f>IFERROR(__xludf.DUMMYFUNCTION("""COMPUTED_VALUE"""),46156.0)</f>
        <v>46156</v>
      </c>
      <c r="E1127" s="2" t="str">
        <f>IFERROR(__xludf.DUMMYFUNCTION("""COMPUTED_VALUE"""),"VF")</f>
        <v>VF</v>
      </c>
      <c r="F1127" s="2">
        <f>IFERROR(__xludf.DUMMYFUNCTION("""COMPUTED_VALUE"""),1.0)</f>
        <v>1</v>
      </c>
      <c r="G1127" s="2" t="str">
        <f>IFERROR(__xludf.DUMMYFUNCTION("""COMPUTED_VALUE"""),"PR002")</f>
        <v>PR002</v>
      </c>
      <c r="H1127" s="2" t="str">
        <f>IFERROR(__xludf.DUMMYFUNCTION("""COMPUTED_VALUE"""),"VD015")</f>
        <v>VD015</v>
      </c>
      <c r="I1127" s="2">
        <f>IFERROR(__xludf.DUMMYFUNCTION("""COMPUTED_VALUE"""),1.0)</f>
        <v>1</v>
      </c>
      <c r="J1127" s="2">
        <f>IFERROR(__xludf.DUMMYFUNCTION("""COMPUTED_VALUE"""),72.0)</f>
        <v>72</v>
      </c>
      <c r="K1127" s="2">
        <f>IFERROR(__xludf.DUMMYFUNCTION("""COMPUTED_VALUE"""),72.0)</f>
        <v>72</v>
      </c>
    </row>
    <row r="1128">
      <c r="A1128" s="2">
        <f>IFERROR(__xludf.DUMMYFUNCTION("""COMPUTED_VALUE"""),2000.0)</f>
        <v>2000</v>
      </c>
      <c r="B1128" s="2">
        <f>IFERROR(__xludf.DUMMYFUNCTION("""COMPUTED_VALUE"""),184279.0)</f>
        <v>184279</v>
      </c>
      <c r="C1128" s="2">
        <f>IFERROR(__xludf.DUMMYFUNCTION("""COMPUTED_VALUE"""),2026.0)</f>
        <v>2026</v>
      </c>
      <c r="D1128" s="2">
        <f>IFERROR(__xludf.DUMMYFUNCTION("""COMPUTED_VALUE"""),46155.0)</f>
        <v>46155</v>
      </c>
      <c r="E1128" s="2" t="str">
        <f>IFERROR(__xludf.DUMMYFUNCTION("""COMPUTED_VALUE"""),"VF")</f>
        <v>VF</v>
      </c>
      <c r="F1128" s="2">
        <f>IFERROR(__xludf.DUMMYFUNCTION("""COMPUTED_VALUE"""),1.0)</f>
        <v>1</v>
      </c>
      <c r="G1128" s="2" t="str">
        <f>IFERROR(__xludf.DUMMYFUNCTION("""COMPUTED_VALUE"""),"PR007")</f>
        <v>PR007</v>
      </c>
      <c r="H1128" s="2" t="str">
        <f>IFERROR(__xludf.DUMMYFUNCTION("""COMPUTED_VALUE"""),"VD035")</f>
        <v>VD035</v>
      </c>
      <c r="I1128" s="2">
        <f>IFERROR(__xludf.DUMMYFUNCTION("""COMPUTED_VALUE"""),2.0)</f>
        <v>2</v>
      </c>
      <c r="J1128" s="2">
        <f>IFERROR(__xludf.DUMMYFUNCTION("""COMPUTED_VALUE"""),185.54)</f>
        <v>185.54</v>
      </c>
      <c r="K1128" s="2">
        <f>IFERROR(__xludf.DUMMYFUNCTION("""COMPUTED_VALUE"""),185.54)</f>
        <v>185.54</v>
      </c>
    </row>
    <row r="1129">
      <c r="A1129" s="2">
        <f>IFERROR(__xludf.DUMMYFUNCTION("""COMPUTED_VALUE"""),1000.0)</f>
        <v>1000</v>
      </c>
      <c r="B1129" s="2">
        <f>IFERROR(__xludf.DUMMYFUNCTION("""COMPUTED_VALUE"""),184279.0)</f>
        <v>184279</v>
      </c>
      <c r="C1129" s="2">
        <f>IFERROR(__xludf.DUMMYFUNCTION("""COMPUTED_VALUE"""),2026.0)</f>
        <v>2026</v>
      </c>
      <c r="D1129" s="2">
        <f>IFERROR(__xludf.DUMMYFUNCTION("""COMPUTED_VALUE"""),46155.0)</f>
        <v>46155</v>
      </c>
      <c r="E1129" s="2" t="str">
        <f>IFERROR(__xludf.DUMMYFUNCTION("""COMPUTED_VALUE"""),"VF")</f>
        <v>VF</v>
      </c>
      <c r="F1129" s="2">
        <f>IFERROR(__xludf.DUMMYFUNCTION("""COMPUTED_VALUE"""),2.0)</f>
        <v>2</v>
      </c>
      <c r="G1129" s="2" t="str">
        <f>IFERROR(__xludf.DUMMYFUNCTION("""COMPUTED_VALUE"""),"PR012")</f>
        <v>PR012</v>
      </c>
      <c r="H1129" s="2" t="str">
        <f>IFERROR(__xludf.DUMMYFUNCTION("""COMPUTED_VALUE"""),"VD027")</f>
        <v>VD027</v>
      </c>
      <c r="I1129" s="2">
        <f>IFERROR(__xludf.DUMMYFUNCTION("""COMPUTED_VALUE"""),6.0)</f>
        <v>6</v>
      </c>
      <c r="J1129" s="2">
        <f>IFERROR(__xludf.DUMMYFUNCTION("""COMPUTED_VALUE"""),296.33)</f>
        <v>296.33</v>
      </c>
      <c r="K1129" s="2">
        <f>IFERROR(__xludf.DUMMYFUNCTION("""COMPUTED_VALUE"""),296.33)</f>
        <v>296.33</v>
      </c>
    </row>
    <row r="1130">
      <c r="A1130" s="2">
        <f>IFERROR(__xludf.DUMMYFUNCTION("""COMPUTED_VALUE"""),1000.0)</f>
        <v>1000</v>
      </c>
      <c r="B1130" s="2">
        <f>IFERROR(__xludf.DUMMYFUNCTION("""COMPUTED_VALUE"""),184280.0)</f>
        <v>184280</v>
      </c>
      <c r="C1130" s="2">
        <f>IFERROR(__xludf.DUMMYFUNCTION("""COMPUTED_VALUE"""),2026.0)</f>
        <v>2026</v>
      </c>
      <c r="D1130" s="2">
        <f>IFERROR(__xludf.DUMMYFUNCTION("""COMPUTED_VALUE"""),46155.0)</f>
        <v>46155</v>
      </c>
      <c r="E1130" s="2" t="str">
        <f>IFERROR(__xludf.DUMMYFUNCTION("""COMPUTED_VALUE"""),"VF")</f>
        <v>VF</v>
      </c>
      <c r="F1130" s="2">
        <f>IFERROR(__xludf.DUMMYFUNCTION("""COMPUTED_VALUE"""),1.0)</f>
        <v>1</v>
      </c>
      <c r="G1130" s="2" t="str">
        <f>IFERROR(__xludf.DUMMYFUNCTION("""COMPUTED_VALUE"""),"PR034")</f>
        <v>PR034</v>
      </c>
      <c r="H1130" s="2" t="str">
        <f>IFERROR(__xludf.DUMMYFUNCTION("""COMPUTED_VALUE"""),"VD017")</f>
        <v>VD017</v>
      </c>
      <c r="I1130" s="2">
        <f>IFERROR(__xludf.DUMMYFUNCTION("""COMPUTED_VALUE"""),3.0)</f>
        <v>3</v>
      </c>
      <c r="J1130" s="2">
        <f>IFERROR(__xludf.DUMMYFUNCTION("""COMPUTED_VALUE"""),275.09)</f>
        <v>275.09</v>
      </c>
      <c r="K1130" s="2">
        <f>IFERROR(__xludf.DUMMYFUNCTION("""COMPUTED_VALUE"""),275.09)</f>
        <v>275.09</v>
      </c>
    </row>
    <row r="1131">
      <c r="A1131" s="2">
        <f>IFERROR(__xludf.DUMMYFUNCTION("""COMPUTED_VALUE"""),2000.0)</f>
        <v>2000</v>
      </c>
      <c r="B1131" s="2">
        <f>IFERROR(__xludf.DUMMYFUNCTION("""COMPUTED_VALUE"""),184280.0)</f>
        <v>184280</v>
      </c>
      <c r="C1131" s="2">
        <f>IFERROR(__xludf.DUMMYFUNCTION("""COMPUTED_VALUE"""),2026.0)</f>
        <v>2026</v>
      </c>
      <c r="D1131" s="2">
        <f>IFERROR(__xludf.DUMMYFUNCTION("""COMPUTED_VALUE"""),46155.0)</f>
        <v>46155</v>
      </c>
      <c r="E1131" s="2" t="str">
        <f>IFERROR(__xludf.DUMMYFUNCTION("""COMPUTED_VALUE"""),"VF")</f>
        <v>VF</v>
      </c>
      <c r="F1131" s="2">
        <f>IFERROR(__xludf.DUMMYFUNCTION("""COMPUTED_VALUE"""),2.0)</f>
        <v>2</v>
      </c>
      <c r="G1131" s="2" t="str">
        <f>IFERROR(__xludf.DUMMYFUNCTION("""COMPUTED_VALUE"""),"PR039")</f>
        <v>PR039</v>
      </c>
      <c r="H1131" s="2" t="str">
        <f>IFERROR(__xludf.DUMMYFUNCTION("""COMPUTED_VALUE"""),"VD020")</f>
        <v>VD020</v>
      </c>
      <c r="I1131" s="2">
        <f>IFERROR(__xludf.DUMMYFUNCTION("""COMPUTED_VALUE"""),14.0)</f>
        <v>14</v>
      </c>
      <c r="J1131" s="2">
        <f>IFERROR(__xludf.DUMMYFUNCTION("""COMPUTED_VALUE"""),2125.76)</f>
        <v>2125.76</v>
      </c>
      <c r="K1131" s="2">
        <f>IFERROR(__xludf.DUMMYFUNCTION("""COMPUTED_VALUE"""),2125.76)</f>
        <v>2125.76</v>
      </c>
    </row>
    <row r="1132">
      <c r="A1132" s="2">
        <f>IFERROR(__xludf.DUMMYFUNCTION("""COMPUTED_VALUE"""),1000.0)</f>
        <v>1000</v>
      </c>
      <c r="B1132" s="2">
        <f>IFERROR(__xludf.DUMMYFUNCTION("""COMPUTED_VALUE"""),184281.0)</f>
        <v>184281</v>
      </c>
      <c r="C1132" s="2">
        <f>IFERROR(__xludf.DUMMYFUNCTION("""COMPUTED_VALUE"""),2026.0)</f>
        <v>2026</v>
      </c>
      <c r="D1132" s="2">
        <f>IFERROR(__xludf.DUMMYFUNCTION("""COMPUTED_VALUE"""),46154.0)</f>
        <v>46154</v>
      </c>
      <c r="E1132" s="2" t="str">
        <f>IFERROR(__xludf.DUMMYFUNCTION("""COMPUTED_VALUE"""),"VF")</f>
        <v>VF</v>
      </c>
      <c r="F1132" s="2">
        <f>IFERROR(__xludf.DUMMYFUNCTION("""COMPUTED_VALUE"""),1.0)</f>
        <v>1</v>
      </c>
      <c r="G1132" s="2" t="str">
        <f>IFERROR(__xludf.DUMMYFUNCTION("""COMPUTED_VALUE"""),"PR015")</f>
        <v>PR015</v>
      </c>
      <c r="H1132" s="2" t="str">
        <f>IFERROR(__xludf.DUMMYFUNCTION("""COMPUTED_VALUE"""),"VD048")</f>
        <v>VD048</v>
      </c>
      <c r="I1132" s="2">
        <f>IFERROR(__xludf.DUMMYFUNCTION("""COMPUTED_VALUE"""),6.0)</f>
        <v>6</v>
      </c>
      <c r="J1132" s="2">
        <f>IFERROR(__xludf.DUMMYFUNCTION("""COMPUTED_VALUE"""),267.75)</f>
        <v>267.75</v>
      </c>
      <c r="K1132" s="2">
        <f>IFERROR(__xludf.DUMMYFUNCTION("""COMPUTED_VALUE"""),267.75)</f>
        <v>267.75</v>
      </c>
    </row>
    <row r="1133">
      <c r="A1133" s="2">
        <f>IFERROR(__xludf.DUMMYFUNCTION("""COMPUTED_VALUE"""),2000.0)</f>
        <v>2000</v>
      </c>
      <c r="B1133" s="2">
        <f>IFERROR(__xludf.DUMMYFUNCTION("""COMPUTED_VALUE"""),184281.0)</f>
        <v>184281</v>
      </c>
      <c r="C1133" s="2">
        <f>IFERROR(__xludf.DUMMYFUNCTION("""COMPUTED_VALUE"""),2026.0)</f>
        <v>2026</v>
      </c>
      <c r="D1133" s="2">
        <f>IFERROR(__xludf.DUMMYFUNCTION("""COMPUTED_VALUE"""),46154.0)</f>
        <v>46154</v>
      </c>
      <c r="E1133" s="2" t="str">
        <f>IFERROR(__xludf.DUMMYFUNCTION("""COMPUTED_VALUE"""),"VF")</f>
        <v>VF</v>
      </c>
      <c r="F1133" s="2">
        <f>IFERROR(__xludf.DUMMYFUNCTION("""COMPUTED_VALUE"""),2.0)</f>
        <v>2</v>
      </c>
      <c r="G1133" s="2" t="str">
        <f>IFERROR(__xludf.DUMMYFUNCTION("""COMPUTED_VALUE"""),"PR029")</f>
        <v>PR029</v>
      </c>
      <c r="H1133" s="2" t="str">
        <f>IFERROR(__xludf.DUMMYFUNCTION("""COMPUTED_VALUE"""),"VD043")</f>
        <v>VD043</v>
      </c>
      <c r="I1133" s="2">
        <f>IFERROR(__xludf.DUMMYFUNCTION("""COMPUTED_VALUE"""),5.0)</f>
        <v>5</v>
      </c>
      <c r="J1133" s="2">
        <f>IFERROR(__xludf.DUMMYFUNCTION("""COMPUTED_VALUE"""),1300.5)</f>
        <v>1300.5</v>
      </c>
      <c r="K1133" s="2">
        <f>IFERROR(__xludf.DUMMYFUNCTION("""COMPUTED_VALUE"""),1300.5)</f>
        <v>1300.5</v>
      </c>
    </row>
    <row r="1134">
      <c r="A1134" s="2">
        <f>IFERROR(__xludf.DUMMYFUNCTION("""COMPUTED_VALUE"""),1000.0)</f>
        <v>1000</v>
      </c>
      <c r="B1134" s="2">
        <f>IFERROR(__xludf.DUMMYFUNCTION("""COMPUTED_VALUE"""),184282.0)</f>
        <v>184282</v>
      </c>
      <c r="C1134" s="2">
        <f>IFERROR(__xludf.DUMMYFUNCTION("""COMPUTED_VALUE"""),2026.0)</f>
        <v>2026</v>
      </c>
      <c r="D1134" s="2">
        <f>IFERROR(__xludf.DUMMYFUNCTION("""COMPUTED_VALUE"""),46153.0)</f>
        <v>46153</v>
      </c>
      <c r="E1134" s="2" t="str">
        <f>IFERROR(__xludf.DUMMYFUNCTION("""COMPUTED_VALUE"""),"VF")</f>
        <v>VF</v>
      </c>
      <c r="F1134" s="2">
        <f>IFERROR(__xludf.DUMMYFUNCTION("""COMPUTED_VALUE"""),1.0)</f>
        <v>1</v>
      </c>
      <c r="G1134" s="2" t="str">
        <f>IFERROR(__xludf.DUMMYFUNCTION("""COMPUTED_VALUE"""),"PR016")</f>
        <v>PR016</v>
      </c>
      <c r="H1134" s="2" t="str">
        <f>IFERROR(__xludf.DUMMYFUNCTION("""COMPUTED_VALUE"""),"VD039")</f>
        <v>VD039</v>
      </c>
      <c r="I1134" s="2">
        <f>IFERROR(__xludf.DUMMYFUNCTION("""COMPUTED_VALUE"""),4.0)</f>
        <v>4</v>
      </c>
      <c r="J1134" s="2">
        <f>IFERROR(__xludf.DUMMYFUNCTION("""COMPUTED_VALUE"""),111.89)</f>
        <v>111.89</v>
      </c>
      <c r="K1134" s="2">
        <f>IFERROR(__xludf.DUMMYFUNCTION("""COMPUTED_VALUE"""),111.89)</f>
        <v>111.89</v>
      </c>
    </row>
    <row r="1135">
      <c r="A1135" s="2">
        <f>IFERROR(__xludf.DUMMYFUNCTION("""COMPUTED_VALUE"""),1000.0)</f>
        <v>1000</v>
      </c>
      <c r="B1135" s="2">
        <f>IFERROR(__xludf.DUMMYFUNCTION("""COMPUTED_VALUE"""),184283.0)</f>
        <v>184283</v>
      </c>
      <c r="C1135" s="2">
        <f>IFERROR(__xludf.DUMMYFUNCTION("""COMPUTED_VALUE"""),2026.0)</f>
        <v>2026</v>
      </c>
      <c r="D1135" s="2">
        <f>IFERROR(__xludf.DUMMYFUNCTION("""COMPUTED_VALUE"""),46153.0)</f>
        <v>46153</v>
      </c>
      <c r="E1135" s="2" t="str">
        <f>IFERROR(__xludf.DUMMYFUNCTION("""COMPUTED_VALUE"""),"VF")</f>
        <v>VF</v>
      </c>
      <c r="F1135" s="2">
        <f>IFERROR(__xludf.DUMMYFUNCTION("""COMPUTED_VALUE"""),1.0)</f>
        <v>1</v>
      </c>
      <c r="G1135" s="2" t="str">
        <f>IFERROR(__xludf.DUMMYFUNCTION("""COMPUTED_VALUE"""),"PR012")</f>
        <v>PR012</v>
      </c>
      <c r="H1135" s="2" t="str">
        <f>IFERROR(__xludf.DUMMYFUNCTION("""COMPUTED_VALUE"""),"VD037")</f>
        <v>VD037</v>
      </c>
      <c r="I1135" s="2">
        <f>IFERROR(__xludf.DUMMYFUNCTION("""COMPUTED_VALUE"""),2.0)</f>
        <v>2</v>
      </c>
      <c r="J1135" s="2">
        <f>IFERROR(__xludf.DUMMYFUNCTION("""COMPUTED_VALUE"""),99.76)</f>
        <v>99.76</v>
      </c>
      <c r="K1135" s="2">
        <f>IFERROR(__xludf.DUMMYFUNCTION("""COMPUTED_VALUE"""),99.76)</f>
        <v>99.76</v>
      </c>
    </row>
    <row r="1136">
      <c r="A1136" s="2">
        <f>IFERROR(__xludf.DUMMYFUNCTION("""COMPUTED_VALUE"""),1000.0)</f>
        <v>1000</v>
      </c>
      <c r="B1136" s="2">
        <f>IFERROR(__xludf.DUMMYFUNCTION("""COMPUTED_VALUE"""),184283.0)</f>
        <v>184283</v>
      </c>
      <c r="C1136" s="2">
        <f>IFERROR(__xludf.DUMMYFUNCTION("""COMPUTED_VALUE"""),2026.0)</f>
        <v>2026</v>
      </c>
      <c r="D1136" s="2">
        <f>IFERROR(__xludf.DUMMYFUNCTION("""COMPUTED_VALUE"""),46152.0)</f>
        <v>46152</v>
      </c>
      <c r="E1136" s="2" t="str">
        <f>IFERROR(__xludf.DUMMYFUNCTION("""COMPUTED_VALUE"""),"VF")</f>
        <v>VF</v>
      </c>
      <c r="F1136" s="2">
        <f>IFERROR(__xludf.DUMMYFUNCTION("""COMPUTED_VALUE"""),2.0)</f>
        <v>2</v>
      </c>
      <c r="G1136" s="2" t="str">
        <f>IFERROR(__xludf.DUMMYFUNCTION("""COMPUTED_VALUE"""),"PR020")</f>
        <v>PR020</v>
      </c>
      <c r="H1136" s="2" t="str">
        <f>IFERROR(__xludf.DUMMYFUNCTION("""COMPUTED_VALUE"""),"VD014")</f>
        <v>VD014</v>
      </c>
      <c r="I1136" s="2">
        <f>IFERROR(__xludf.DUMMYFUNCTION("""COMPUTED_VALUE"""),2.0)</f>
        <v>2</v>
      </c>
      <c r="J1136" s="2">
        <f>IFERROR(__xludf.DUMMYFUNCTION("""COMPUTED_VALUE"""),659.78)</f>
        <v>659.78</v>
      </c>
      <c r="K1136" s="2">
        <f>IFERROR(__xludf.DUMMYFUNCTION("""COMPUTED_VALUE"""),659.78)</f>
        <v>659.78</v>
      </c>
    </row>
    <row r="1137">
      <c r="A1137" s="2">
        <f>IFERROR(__xludf.DUMMYFUNCTION("""COMPUTED_VALUE"""),1000.0)</f>
        <v>1000</v>
      </c>
      <c r="B1137" s="2">
        <f>IFERROR(__xludf.DUMMYFUNCTION("""COMPUTED_VALUE"""),184284.0)</f>
        <v>184284</v>
      </c>
      <c r="C1137" s="2">
        <f>IFERROR(__xludf.DUMMYFUNCTION("""COMPUTED_VALUE"""),2026.0)</f>
        <v>2026</v>
      </c>
      <c r="D1137" s="2">
        <f>IFERROR(__xludf.DUMMYFUNCTION("""COMPUTED_VALUE"""),46152.0)</f>
        <v>46152</v>
      </c>
      <c r="E1137" s="2" t="str">
        <f>IFERROR(__xludf.DUMMYFUNCTION("""COMPUTED_VALUE"""),"VF")</f>
        <v>VF</v>
      </c>
      <c r="F1137" s="2">
        <f>IFERROR(__xludf.DUMMYFUNCTION("""COMPUTED_VALUE"""),1.0)</f>
        <v>1</v>
      </c>
      <c r="G1137" s="2" t="str">
        <f>IFERROR(__xludf.DUMMYFUNCTION("""COMPUTED_VALUE"""),"PR043")</f>
        <v>PR043</v>
      </c>
      <c r="H1137" s="2" t="str">
        <f>IFERROR(__xludf.DUMMYFUNCTION("""COMPUTED_VALUE"""),"VD039")</f>
        <v>VD039</v>
      </c>
      <c r="I1137" s="2">
        <f>IFERROR(__xludf.DUMMYFUNCTION("""COMPUTED_VALUE"""),8.0)</f>
        <v>8</v>
      </c>
      <c r="J1137" s="2">
        <f>IFERROR(__xludf.DUMMYFUNCTION("""COMPUTED_VALUE"""),585.8)</f>
        <v>585.8</v>
      </c>
      <c r="K1137" s="2">
        <f>IFERROR(__xludf.DUMMYFUNCTION("""COMPUTED_VALUE"""),585.8)</f>
        <v>585.8</v>
      </c>
    </row>
    <row r="1138">
      <c r="A1138" s="2">
        <f>IFERROR(__xludf.DUMMYFUNCTION("""COMPUTED_VALUE"""),1000.0)</f>
        <v>1000</v>
      </c>
      <c r="B1138" s="2">
        <f>IFERROR(__xludf.DUMMYFUNCTION("""COMPUTED_VALUE"""),184284.0)</f>
        <v>184284</v>
      </c>
      <c r="C1138" s="2">
        <f>IFERROR(__xludf.DUMMYFUNCTION("""COMPUTED_VALUE"""),2026.0)</f>
        <v>2026</v>
      </c>
      <c r="D1138" s="2">
        <f>IFERROR(__xludf.DUMMYFUNCTION("""COMPUTED_VALUE"""),46151.0)</f>
        <v>46151</v>
      </c>
      <c r="E1138" s="2" t="str">
        <f>IFERROR(__xludf.DUMMYFUNCTION("""COMPUTED_VALUE"""),"VF")</f>
        <v>VF</v>
      </c>
      <c r="F1138" s="2">
        <f>IFERROR(__xludf.DUMMYFUNCTION("""COMPUTED_VALUE"""),2.0)</f>
        <v>2</v>
      </c>
      <c r="G1138" s="2" t="str">
        <f>IFERROR(__xludf.DUMMYFUNCTION("""COMPUTED_VALUE"""),"PR059")</f>
        <v>PR059</v>
      </c>
      <c r="H1138" s="2" t="str">
        <f>IFERROR(__xludf.DUMMYFUNCTION("""COMPUTED_VALUE"""),"VD039")</f>
        <v>VD039</v>
      </c>
      <c r="I1138" s="2">
        <f>IFERROR(__xludf.DUMMYFUNCTION("""COMPUTED_VALUE"""),14.0)</f>
        <v>14</v>
      </c>
      <c r="J1138" s="2">
        <f>IFERROR(__xludf.DUMMYFUNCTION("""COMPUTED_VALUE"""),2620.8)</f>
        <v>2620.8</v>
      </c>
      <c r="K1138" s="2">
        <f>IFERROR(__xludf.DUMMYFUNCTION("""COMPUTED_VALUE"""),2620.8)</f>
        <v>2620.8</v>
      </c>
    </row>
    <row r="1139">
      <c r="A1139" s="2">
        <f>IFERROR(__xludf.DUMMYFUNCTION("""COMPUTED_VALUE"""),1000.0)</f>
        <v>1000</v>
      </c>
      <c r="B1139" s="2">
        <f>IFERROR(__xludf.DUMMYFUNCTION("""COMPUTED_VALUE"""),184285.0)</f>
        <v>184285</v>
      </c>
      <c r="C1139" s="2">
        <f>IFERROR(__xludf.DUMMYFUNCTION("""COMPUTED_VALUE"""),2026.0)</f>
        <v>2026</v>
      </c>
      <c r="D1139" s="2">
        <f>IFERROR(__xludf.DUMMYFUNCTION("""COMPUTED_VALUE"""),46151.0)</f>
        <v>46151</v>
      </c>
      <c r="E1139" s="2" t="str">
        <f>IFERROR(__xludf.DUMMYFUNCTION("""COMPUTED_VALUE"""),"VF")</f>
        <v>VF</v>
      </c>
      <c r="F1139" s="2">
        <f>IFERROR(__xludf.DUMMYFUNCTION("""COMPUTED_VALUE"""),1.0)</f>
        <v>1</v>
      </c>
      <c r="G1139" s="2" t="str">
        <f>IFERROR(__xludf.DUMMYFUNCTION("""COMPUTED_VALUE"""),"PR053")</f>
        <v>PR053</v>
      </c>
      <c r="H1139" s="2" t="str">
        <f>IFERROR(__xludf.DUMMYFUNCTION("""COMPUTED_VALUE"""),"VD035")</f>
        <v>VD035</v>
      </c>
      <c r="I1139" s="2">
        <f>IFERROR(__xludf.DUMMYFUNCTION("""COMPUTED_VALUE"""),1.0)</f>
        <v>1</v>
      </c>
      <c r="J1139" s="2">
        <f>IFERROR(__xludf.DUMMYFUNCTION("""COMPUTED_VALUE"""),51.4)</f>
        <v>51.4</v>
      </c>
      <c r="K1139" s="2">
        <f>IFERROR(__xludf.DUMMYFUNCTION("""COMPUTED_VALUE"""),51.4)</f>
        <v>51.4</v>
      </c>
    </row>
    <row r="1140">
      <c r="A1140" s="2">
        <f>IFERROR(__xludf.DUMMYFUNCTION("""COMPUTED_VALUE"""),1000.0)</f>
        <v>1000</v>
      </c>
      <c r="B1140" s="2">
        <f>IFERROR(__xludf.DUMMYFUNCTION("""COMPUTED_VALUE"""),184286.0)</f>
        <v>184286</v>
      </c>
      <c r="C1140" s="2">
        <f>IFERROR(__xludf.DUMMYFUNCTION("""COMPUTED_VALUE"""),2026.0)</f>
        <v>2026</v>
      </c>
      <c r="D1140" s="2">
        <f>IFERROR(__xludf.DUMMYFUNCTION("""COMPUTED_VALUE"""),46151.0)</f>
        <v>46151</v>
      </c>
      <c r="E1140" s="2" t="str">
        <f>IFERROR(__xludf.DUMMYFUNCTION("""COMPUTED_VALUE"""),"VF")</f>
        <v>VF</v>
      </c>
      <c r="F1140" s="2">
        <f>IFERROR(__xludf.DUMMYFUNCTION("""COMPUTED_VALUE"""),1.0)</f>
        <v>1</v>
      </c>
      <c r="G1140" s="2" t="str">
        <f>IFERROR(__xludf.DUMMYFUNCTION("""COMPUTED_VALUE"""),"PR016")</f>
        <v>PR016</v>
      </c>
      <c r="H1140" s="2" t="str">
        <f>IFERROR(__xludf.DUMMYFUNCTION("""COMPUTED_VALUE"""),"VD041")</f>
        <v>VD041</v>
      </c>
      <c r="I1140" s="2">
        <f>IFERROR(__xludf.DUMMYFUNCTION("""COMPUTED_VALUE"""),10.0)</f>
        <v>10</v>
      </c>
      <c r="J1140" s="2">
        <f>IFERROR(__xludf.DUMMYFUNCTION("""COMPUTED_VALUE"""),271.95)</f>
        <v>271.95</v>
      </c>
      <c r="K1140" s="2">
        <f>IFERROR(__xludf.DUMMYFUNCTION("""COMPUTED_VALUE"""),271.95)</f>
        <v>271.95</v>
      </c>
    </row>
    <row r="1141">
      <c r="A1141" s="2">
        <f>IFERROR(__xludf.DUMMYFUNCTION("""COMPUTED_VALUE"""),1000.0)</f>
        <v>1000</v>
      </c>
      <c r="B1141" s="2">
        <f>IFERROR(__xludf.DUMMYFUNCTION("""COMPUTED_VALUE"""),184286.0)</f>
        <v>184286</v>
      </c>
      <c r="C1141" s="2">
        <f>IFERROR(__xludf.DUMMYFUNCTION("""COMPUTED_VALUE"""),2026.0)</f>
        <v>2026</v>
      </c>
      <c r="D1141" s="2">
        <f>IFERROR(__xludf.DUMMYFUNCTION("""COMPUTED_VALUE"""),46151.0)</f>
        <v>46151</v>
      </c>
      <c r="E1141" s="2" t="str">
        <f>IFERROR(__xludf.DUMMYFUNCTION("""COMPUTED_VALUE"""),"VF")</f>
        <v>VF</v>
      </c>
      <c r="F1141" s="2">
        <f>IFERROR(__xludf.DUMMYFUNCTION("""COMPUTED_VALUE"""),2.0)</f>
        <v>2</v>
      </c>
      <c r="G1141" s="2" t="str">
        <f>IFERROR(__xludf.DUMMYFUNCTION("""COMPUTED_VALUE"""),"PR038")</f>
        <v>PR038</v>
      </c>
      <c r="H1141" s="2" t="str">
        <f>IFERROR(__xludf.DUMMYFUNCTION("""COMPUTED_VALUE"""),"VD031")</f>
        <v>VD031</v>
      </c>
      <c r="I1141" s="2">
        <f>IFERROR(__xludf.DUMMYFUNCTION("""COMPUTED_VALUE"""),8.0)</f>
        <v>8</v>
      </c>
      <c r="J1141" s="2">
        <f>IFERROR(__xludf.DUMMYFUNCTION("""COMPUTED_VALUE"""),1177.5)</f>
        <v>1177.5</v>
      </c>
      <c r="K1141" s="2">
        <f>IFERROR(__xludf.DUMMYFUNCTION("""COMPUTED_VALUE"""),1177.5)</f>
        <v>1177.5</v>
      </c>
    </row>
    <row r="1142">
      <c r="A1142" s="2">
        <f>IFERROR(__xludf.DUMMYFUNCTION("""COMPUTED_VALUE"""),1000.0)</f>
        <v>1000</v>
      </c>
      <c r="B1142" s="2">
        <f>IFERROR(__xludf.DUMMYFUNCTION("""COMPUTED_VALUE"""),184287.0)</f>
        <v>184287</v>
      </c>
      <c r="C1142" s="2">
        <f>IFERROR(__xludf.DUMMYFUNCTION("""COMPUTED_VALUE"""),2026.0)</f>
        <v>2026</v>
      </c>
      <c r="D1142" s="2">
        <f>IFERROR(__xludf.DUMMYFUNCTION("""COMPUTED_VALUE"""),46151.0)</f>
        <v>46151</v>
      </c>
      <c r="E1142" s="2" t="str">
        <f>IFERROR(__xludf.DUMMYFUNCTION("""COMPUTED_VALUE"""),"VF")</f>
        <v>VF</v>
      </c>
      <c r="F1142" s="2">
        <f>IFERROR(__xludf.DUMMYFUNCTION("""COMPUTED_VALUE"""),1.0)</f>
        <v>1</v>
      </c>
      <c r="G1142" s="2" t="str">
        <f>IFERROR(__xludf.DUMMYFUNCTION("""COMPUTED_VALUE"""),"PR059")</f>
        <v>PR059</v>
      </c>
      <c r="H1142" s="2" t="str">
        <f>IFERROR(__xludf.DUMMYFUNCTION("""COMPUTED_VALUE"""),"VD045")</f>
        <v>VD045</v>
      </c>
      <c r="I1142" s="2">
        <f>IFERROR(__xludf.DUMMYFUNCTION("""COMPUTED_VALUE"""),2.0)</f>
        <v>2</v>
      </c>
      <c r="J1142" s="2">
        <f>IFERROR(__xludf.DUMMYFUNCTION("""COMPUTED_VALUE"""),378.0)</f>
        <v>378</v>
      </c>
      <c r="K1142" s="2">
        <f>IFERROR(__xludf.DUMMYFUNCTION("""COMPUTED_VALUE"""),378.0)</f>
        <v>378</v>
      </c>
    </row>
    <row r="1143">
      <c r="A1143" s="2">
        <f>IFERROR(__xludf.DUMMYFUNCTION("""COMPUTED_VALUE"""),2000.0)</f>
        <v>2000</v>
      </c>
      <c r="B1143" s="2">
        <f>IFERROR(__xludf.DUMMYFUNCTION("""COMPUTED_VALUE"""),184288.0)</f>
        <v>184288</v>
      </c>
      <c r="C1143" s="2">
        <f>IFERROR(__xludf.DUMMYFUNCTION("""COMPUTED_VALUE"""),2026.0)</f>
        <v>2026</v>
      </c>
      <c r="D1143" s="2">
        <f>IFERROR(__xludf.DUMMYFUNCTION("""COMPUTED_VALUE"""),46151.0)</f>
        <v>46151</v>
      </c>
      <c r="E1143" s="2" t="str">
        <f>IFERROR(__xludf.DUMMYFUNCTION("""COMPUTED_VALUE"""),"VF")</f>
        <v>VF</v>
      </c>
      <c r="F1143" s="2">
        <f>IFERROR(__xludf.DUMMYFUNCTION("""COMPUTED_VALUE"""),1.0)</f>
        <v>1</v>
      </c>
      <c r="G1143" s="2" t="str">
        <f>IFERROR(__xludf.DUMMYFUNCTION("""COMPUTED_VALUE"""),"PR047")</f>
        <v>PR047</v>
      </c>
      <c r="H1143" s="2" t="str">
        <f>IFERROR(__xludf.DUMMYFUNCTION("""COMPUTED_VALUE"""),"VD018")</f>
        <v>VD018</v>
      </c>
      <c r="I1143" s="2">
        <f>IFERROR(__xludf.DUMMYFUNCTION("""COMPUTED_VALUE"""),16.0)</f>
        <v>16</v>
      </c>
      <c r="J1143" s="2">
        <f>IFERROR(__xludf.DUMMYFUNCTION("""COMPUTED_VALUE"""),4731.17)</f>
        <v>4731.17</v>
      </c>
      <c r="K1143" s="2">
        <f>IFERROR(__xludf.DUMMYFUNCTION("""COMPUTED_VALUE"""),4731.17)</f>
        <v>4731.17</v>
      </c>
    </row>
    <row r="1144">
      <c r="A1144" s="2">
        <f>IFERROR(__xludf.DUMMYFUNCTION("""COMPUTED_VALUE"""),1000.0)</f>
        <v>1000</v>
      </c>
      <c r="B1144" s="2">
        <f>IFERROR(__xludf.DUMMYFUNCTION("""COMPUTED_VALUE"""),184289.0)</f>
        <v>184289</v>
      </c>
      <c r="C1144" s="2">
        <f>IFERROR(__xludf.DUMMYFUNCTION("""COMPUTED_VALUE"""),2026.0)</f>
        <v>2026</v>
      </c>
      <c r="D1144" s="2">
        <f>IFERROR(__xludf.DUMMYFUNCTION("""COMPUTED_VALUE"""),46151.0)</f>
        <v>46151</v>
      </c>
      <c r="E1144" s="2" t="str">
        <f>IFERROR(__xludf.DUMMYFUNCTION("""COMPUTED_VALUE"""),"VF")</f>
        <v>VF</v>
      </c>
      <c r="F1144" s="2">
        <f>IFERROR(__xludf.DUMMYFUNCTION("""COMPUTED_VALUE"""),1.0)</f>
        <v>1</v>
      </c>
      <c r="G1144" s="2" t="str">
        <f>IFERROR(__xludf.DUMMYFUNCTION("""COMPUTED_VALUE"""),"PR011")</f>
        <v>PR011</v>
      </c>
      <c r="H1144" s="2" t="str">
        <f>IFERROR(__xludf.DUMMYFUNCTION("""COMPUTED_VALUE"""),"VD032")</f>
        <v>VD032</v>
      </c>
      <c r="I1144" s="2">
        <f>IFERROR(__xludf.DUMMYFUNCTION("""COMPUTED_VALUE"""),2.0)</f>
        <v>2</v>
      </c>
      <c r="J1144" s="2">
        <f>IFERROR(__xludf.DUMMYFUNCTION("""COMPUTED_VALUE"""),95.68)</f>
        <v>95.68</v>
      </c>
      <c r="K1144" s="2">
        <f>IFERROR(__xludf.DUMMYFUNCTION("""COMPUTED_VALUE"""),95.68)</f>
        <v>95.68</v>
      </c>
    </row>
    <row r="1145">
      <c r="A1145" s="2">
        <f>IFERROR(__xludf.DUMMYFUNCTION("""COMPUTED_VALUE"""),1000.0)</f>
        <v>1000</v>
      </c>
      <c r="B1145" s="2">
        <f>IFERROR(__xludf.DUMMYFUNCTION("""COMPUTED_VALUE"""),184290.0)</f>
        <v>184290</v>
      </c>
      <c r="C1145" s="2">
        <f>IFERROR(__xludf.DUMMYFUNCTION("""COMPUTED_VALUE"""),2026.0)</f>
        <v>2026</v>
      </c>
      <c r="D1145" s="2">
        <f>IFERROR(__xludf.DUMMYFUNCTION("""COMPUTED_VALUE"""),46150.0)</f>
        <v>46150</v>
      </c>
      <c r="E1145" s="2" t="str">
        <f>IFERROR(__xludf.DUMMYFUNCTION("""COMPUTED_VALUE"""),"VF")</f>
        <v>VF</v>
      </c>
      <c r="F1145" s="2">
        <f>IFERROR(__xludf.DUMMYFUNCTION("""COMPUTED_VALUE"""),1.0)</f>
        <v>1</v>
      </c>
      <c r="G1145" s="2" t="str">
        <f>IFERROR(__xludf.DUMMYFUNCTION("""COMPUTED_VALUE"""),"PR054")</f>
        <v>PR054</v>
      </c>
      <c r="H1145" s="2" t="str">
        <f>IFERROR(__xludf.DUMMYFUNCTION("""COMPUTED_VALUE"""),"VD046")</f>
        <v>VD046</v>
      </c>
      <c r="I1145" s="2">
        <f>IFERROR(__xludf.DUMMYFUNCTION("""COMPUTED_VALUE"""),8.0)</f>
        <v>8</v>
      </c>
      <c r="J1145" s="2">
        <f>IFERROR(__xludf.DUMMYFUNCTION("""COMPUTED_VALUE"""),431.14)</f>
        <v>431.14</v>
      </c>
      <c r="K1145" s="2">
        <f>IFERROR(__xludf.DUMMYFUNCTION("""COMPUTED_VALUE"""),431.14)</f>
        <v>431.14</v>
      </c>
    </row>
    <row r="1146">
      <c r="A1146" s="2">
        <f>IFERROR(__xludf.DUMMYFUNCTION("""COMPUTED_VALUE"""),1000.0)</f>
        <v>1000</v>
      </c>
      <c r="B1146" s="2">
        <f>IFERROR(__xludf.DUMMYFUNCTION("""COMPUTED_VALUE"""),184291.0)</f>
        <v>184291</v>
      </c>
      <c r="C1146" s="2">
        <f>IFERROR(__xludf.DUMMYFUNCTION("""COMPUTED_VALUE"""),2026.0)</f>
        <v>2026</v>
      </c>
      <c r="D1146" s="2">
        <f>IFERROR(__xludf.DUMMYFUNCTION("""COMPUTED_VALUE"""),46150.0)</f>
        <v>46150</v>
      </c>
      <c r="E1146" s="2" t="str">
        <f>IFERROR(__xludf.DUMMYFUNCTION("""COMPUTED_VALUE"""),"VF")</f>
        <v>VF</v>
      </c>
      <c r="F1146" s="2">
        <f>IFERROR(__xludf.DUMMYFUNCTION("""COMPUTED_VALUE"""),1.0)</f>
        <v>1</v>
      </c>
      <c r="G1146" s="2" t="str">
        <f>IFERROR(__xludf.DUMMYFUNCTION("""COMPUTED_VALUE"""),"PR058")</f>
        <v>PR058</v>
      </c>
      <c r="H1146" s="2" t="str">
        <f>IFERROR(__xludf.DUMMYFUNCTION("""COMPUTED_VALUE"""),"VD033")</f>
        <v>VD033</v>
      </c>
      <c r="I1146" s="2">
        <f>IFERROR(__xludf.DUMMYFUNCTION("""COMPUTED_VALUE"""),10.0)</f>
        <v>10</v>
      </c>
      <c r="J1146" s="2">
        <f>IFERROR(__xludf.DUMMYFUNCTION("""COMPUTED_VALUE"""),1980.0)</f>
        <v>1980</v>
      </c>
      <c r="K1146" s="2">
        <f>IFERROR(__xludf.DUMMYFUNCTION("""COMPUTED_VALUE"""),1980.0)</f>
        <v>1980</v>
      </c>
    </row>
    <row r="1147">
      <c r="A1147" s="2">
        <f>IFERROR(__xludf.DUMMYFUNCTION("""COMPUTED_VALUE"""),2000.0)</f>
        <v>2000</v>
      </c>
      <c r="B1147" s="2">
        <f>IFERROR(__xludf.DUMMYFUNCTION("""COMPUTED_VALUE"""),184292.0)</f>
        <v>184292</v>
      </c>
      <c r="C1147" s="2">
        <f>IFERROR(__xludf.DUMMYFUNCTION("""COMPUTED_VALUE"""),2026.0)</f>
        <v>2026</v>
      </c>
      <c r="D1147" s="2">
        <f>IFERROR(__xludf.DUMMYFUNCTION("""COMPUTED_VALUE"""),46149.0)</f>
        <v>46149</v>
      </c>
      <c r="E1147" s="2" t="str">
        <f>IFERROR(__xludf.DUMMYFUNCTION("""COMPUTED_VALUE"""),"VF")</f>
        <v>VF</v>
      </c>
      <c r="F1147" s="2">
        <f>IFERROR(__xludf.DUMMYFUNCTION("""COMPUTED_VALUE"""),1.0)</f>
        <v>1</v>
      </c>
      <c r="G1147" s="2" t="str">
        <f>IFERROR(__xludf.DUMMYFUNCTION("""COMPUTED_VALUE"""),"PR002")</f>
        <v>PR002</v>
      </c>
      <c r="H1147" s="2" t="str">
        <f>IFERROR(__xludf.DUMMYFUNCTION("""COMPUTED_VALUE"""),"VD043")</f>
        <v>VD043</v>
      </c>
      <c r="I1147" s="2">
        <f>IFERROR(__xludf.DUMMYFUNCTION("""COMPUTED_VALUE"""),16.0)</f>
        <v>16</v>
      </c>
      <c r="J1147" s="2">
        <f>IFERROR(__xludf.DUMMYFUNCTION("""COMPUTED_VALUE"""),1118.4)</f>
        <v>1118.4</v>
      </c>
      <c r="K1147" s="2">
        <f>IFERROR(__xludf.DUMMYFUNCTION("""COMPUTED_VALUE"""),1118.4)</f>
        <v>1118.4</v>
      </c>
    </row>
    <row r="1148">
      <c r="A1148" s="2">
        <f>IFERROR(__xludf.DUMMYFUNCTION("""COMPUTED_VALUE"""),1000.0)</f>
        <v>1000</v>
      </c>
      <c r="B1148" s="2">
        <f>IFERROR(__xludf.DUMMYFUNCTION("""COMPUTED_VALUE"""),184293.0)</f>
        <v>184293</v>
      </c>
      <c r="C1148" s="2">
        <f>IFERROR(__xludf.DUMMYFUNCTION("""COMPUTED_VALUE"""),2026.0)</f>
        <v>2026</v>
      </c>
      <c r="D1148" s="2">
        <f>IFERROR(__xludf.DUMMYFUNCTION("""COMPUTED_VALUE"""),46149.0)</f>
        <v>46149</v>
      </c>
      <c r="E1148" s="2" t="str">
        <f>IFERROR(__xludf.DUMMYFUNCTION("""COMPUTED_VALUE"""),"VF")</f>
        <v>VF</v>
      </c>
      <c r="F1148" s="2">
        <f>IFERROR(__xludf.DUMMYFUNCTION("""COMPUTED_VALUE"""),1.0)</f>
        <v>1</v>
      </c>
      <c r="G1148" s="2" t="str">
        <f>IFERROR(__xludf.DUMMYFUNCTION("""COMPUTED_VALUE"""),"PR052")</f>
        <v>PR052</v>
      </c>
      <c r="H1148" s="2" t="str">
        <f>IFERROR(__xludf.DUMMYFUNCTION("""COMPUTED_VALUE"""),"VD025")</f>
        <v>VD025</v>
      </c>
      <c r="I1148" s="2">
        <f>IFERROR(__xludf.DUMMYFUNCTION("""COMPUTED_VALUE"""),8.0)</f>
        <v>8</v>
      </c>
      <c r="J1148" s="2">
        <f>IFERROR(__xludf.DUMMYFUNCTION("""COMPUTED_VALUE"""),439.12)</f>
        <v>439.12</v>
      </c>
      <c r="K1148" s="2">
        <f>IFERROR(__xludf.DUMMYFUNCTION("""COMPUTED_VALUE"""),439.12)</f>
        <v>439.12</v>
      </c>
    </row>
    <row r="1149">
      <c r="A1149" s="2">
        <f>IFERROR(__xludf.DUMMYFUNCTION("""COMPUTED_VALUE"""),1000.0)</f>
        <v>1000</v>
      </c>
      <c r="B1149" s="2">
        <f>IFERROR(__xludf.DUMMYFUNCTION("""COMPUTED_VALUE"""),184294.0)</f>
        <v>184294</v>
      </c>
      <c r="C1149" s="2">
        <f>IFERROR(__xludf.DUMMYFUNCTION("""COMPUTED_VALUE"""),2026.0)</f>
        <v>2026</v>
      </c>
      <c r="D1149" s="2">
        <f>IFERROR(__xludf.DUMMYFUNCTION("""COMPUTED_VALUE"""),46149.0)</f>
        <v>46149</v>
      </c>
      <c r="E1149" s="2" t="str">
        <f>IFERROR(__xludf.DUMMYFUNCTION("""COMPUTED_VALUE"""),"VF")</f>
        <v>VF</v>
      </c>
      <c r="F1149" s="2">
        <f>IFERROR(__xludf.DUMMYFUNCTION("""COMPUTED_VALUE"""),1.0)</f>
        <v>1</v>
      </c>
      <c r="G1149" s="2" t="str">
        <f>IFERROR(__xludf.DUMMYFUNCTION("""COMPUTED_VALUE"""),"PR002")</f>
        <v>PR002</v>
      </c>
      <c r="H1149" s="2" t="str">
        <f>IFERROR(__xludf.DUMMYFUNCTION("""COMPUTED_VALUE"""),"VD029")</f>
        <v>VD029</v>
      </c>
      <c r="I1149" s="2">
        <f>IFERROR(__xludf.DUMMYFUNCTION("""COMPUTED_VALUE"""),8.0)</f>
        <v>8</v>
      </c>
      <c r="J1149" s="2">
        <f>IFERROR(__xludf.DUMMYFUNCTION("""COMPUTED_VALUE"""),559.2)</f>
        <v>559.2</v>
      </c>
      <c r="K1149" s="2">
        <f>IFERROR(__xludf.DUMMYFUNCTION("""COMPUTED_VALUE"""),559.2)</f>
        <v>559.2</v>
      </c>
    </row>
    <row r="1150">
      <c r="A1150" s="2">
        <f>IFERROR(__xludf.DUMMYFUNCTION("""COMPUTED_VALUE"""),1000.0)</f>
        <v>1000</v>
      </c>
      <c r="B1150" s="2">
        <f>IFERROR(__xludf.DUMMYFUNCTION("""COMPUTED_VALUE"""),184295.0)</f>
        <v>184295</v>
      </c>
      <c r="C1150" s="2">
        <f>IFERROR(__xludf.DUMMYFUNCTION("""COMPUTED_VALUE"""),2026.0)</f>
        <v>2026</v>
      </c>
      <c r="D1150" s="2">
        <f>IFERROR(__xludf.DUMMYFUNCTION("""COMPUTED_VALUE"""),46149.0)</f>
        <v>46149</v>
      </c>
      <c r="E1150" s="2" t="str">
        <f>IFERROR(__xludf.DUMMYFUNCTION("""COMPUTED_VALUE"""),"VF")</f>
        <v>VF</v>
      </c>
      <c r="F1150" s="2">
        <f>IFERROR(__xludf.DUMMYFUNCTION("""COMPUTED_VALUE"""),1.0)</f>
        <v>1</v>
      </c>
      <c r="G1150" s="2" t="str">
        <f>IFERROR(__xludf.DUMMYFUNCTION("""COMPUTED_VALUE"""),"PR050")</f>
        <v>PR050</v>
      </c>
      <c r="H1150" s="2" t="str">
        <f>IFERROR(__xludf.DUMMYFUNCTION("""COMPUTED_VALUE"""),"VD026")</f>
        <v>VD026</v>
      </c>
      <c r="I1150" s="2">
        <f>IFERROR(__xludf.DUMMYFUNCTION("""COMPUTED_VALUE"""),18.0)</f>
        <v>18</v>
      </c>
      <c r="J1150" s="2">
        <f>IFERROR(__xludf.DUMMYFUNCTION("""COMPUTED_VALUE"""),604.04)</f>
        <v>604.04</v>
      </c>
      <c r="K1150" s="2">
        <f>IFERROR(__xludf.DUMMYFUNCTION("""COMPUTED_VALUE"""),604.04)</f>
        <v>604.04</v>
      </c>
    </row>
    <row r="1151">
      <c r="A1151" s="2">
        <f>IFERROR(__xludf.DUMMYFUNCTION("""COMPUTED_VALUE"""),1000.0)</f>
        <v>1000</v>
      </c>
      <c r="B1151" s="2">
        <f>IFERROR(__xludf.DUMMYFUNCTION("""COMPUTED_VALUE"""),184296.0)</f>
        <v>184296</v>
      </c>
      <c r="C1151" s="2">
        <f>IFERROR(__xludf.DUMMYFUNCTION("""COMPUTED_VALUE"""),2026.0)</f>
        <v>2026</v>
      </c>
      <c r="D1151" s="2">
        <f>IFERROR(__xludf.DUMMYFUNCTION("""COMPUTED_VALUE"""),46149.0)</f>
        <v>46149</v>
      </c>
      <c r="E1151" s="2" t="str">
        <f>IFERROR(__xludf.DUMMYFUNCTION("""COMPUTED_VALUE"""),"VF")</f>
        <v>VF</v>
      </c>
      <c r="F1151" s="2">
        <f>IFERROR(__xludf.DUMMYFUNCTION("""COMPUTED_VALUE"""),1.0)</f>
        <v>1</v>
      </c>
      <c r="G1151" s="2" t="str">
        <f>IFERROR(__xludf.DUMMYFUNCTION("""COMPUTED_VALUE"""),"PR040")</f>
        <v>PR040</v>
      </c>
      <c r="H1151" s="2" t="str">
        <f>IFERROR(__xludf.DUMMYFUNCTION("""COMPUTED_VALUE"""),"VD031")</f>
        <v>VD031</v>
      </c>
      <c r="I1151" s="2">
        <f>IFERROR(__xludf.DUMMYFUNCTION("""COMPUTED_VALUE"""),4.0)</f>
        <v>4</v>
      </c>
      <c r="J1151" s="2">
        <f>IFERROR(__xludf.DUMMYFUNCTION("""COMPUTED_VALUE"""),282.8)</f>
        <v>282.8</v>
      </c>
      <c r="K1151" s="2">
        <f>IFERROR(__xludf.DUMMYFUNCTION("""COMPUTED_VALUE"""),282.8)</f>
        <v>282.8</v>
      </c>
    </row>
    <row r="1152">
      <c r="A1152" s="2">
        <f>IFERROR(__xludf.DUMMYFUNCTION("""COMPUTED_VALUE"""),1000.0)</f>
        <v>1000</v>
      </c>
      <c r="B1152" s="2">
        <f>IFERROR(__xludf.DUMMYFUNCTION("""COMPUTED_VALUE"""),184297.0)</f>
        <v>184297</v>
      </c>
      <c r="C1152" s="2">
        <f>IFERROR(__xludf.DUMMYFUNCTION("""COMPUTED_VALUE"""),2026.0)</f>
        <v>2026</v>
      </c>
      <c r="D1152" s="2">
        <f>IFERROR(__xludf.DUMMYFUNCTION("""COMPUTED_VALUE"""),46149.0)</f>
        <v>46149</v>
      </c>
      <c r="E1152" s="2" t="str">
        <f>IFERROR(__xludf.DUMMYFUNCTION("""COMPUTED_VALUE"""),"VF")</f>
        <v>VF</v>
      </c>
      <c r="F1152" s="2">
        <f>IFERROR(__xludf.DUMMYFUNCTION("""COMPUTED_VALUE"""),1.0)</f>
        <v>1</v>
      </c>
      <c r="G1152" s="2" t="str">
        <f>IFERROR(__xludf.DUMMYFUNCTION("""COMPUTED_VALUE"""),"PR021")</f>
        <v>PR021</v>
      </c>
      <c r="H1152" s="2" t="str">
        <f>IFERROR(__xludf.DUMMYFUNCTION("""COMPUTED_VALUE"""),"VD049")</f>
        <v>VD049</v>
      </c>
      <c r="I1152" s="2">
        <f>IFERROR(__xludf.DUMMYFUNCTION("""COMPUTED_VALUE"""),2.0)</f>
        <v>2</v>
      </c>
      <c r="J1152" s="2">
        <f>IFERROR(__xludf.DUMMYFUNCTION("""COMPUTED_VALUE"""),623.97)</f>
        <v>623.97</v>
      </c>
      <c r="K1152" s="2">
        <f>IFERROR(__xludf.DUMMYFUNCTION("""COMPUTED_VALUE"""),623.97)</f>
        <v>623.97</v>
      </c>
    </row>
    <row r="1153">
      <c r="A1153" s="2">
        <f>IFERROR(__xludf.DUMMYFUNCTION("""COMPUTED_VALUE"""),1000.0)</f>
        <v>1000</v>
      </c>
      <c r="B1153" s="2">
        <f>IFERROR(__xludf.DUMMYFUNCTION("""COMPUTED_VALUE"""),184298.0)</f>
        <v>184298</v>
      </c>
      <c r="C1153" s="2">
        <f>IFERROR(__xludf.DUMMYFUNCTION("""COMPUTED_VALUE"""),2026.0)</f>
        <v>2026</v>
      </c>
      <c r="D1153" s="2">
        <f>IFERROR(__xludf.DUMMYFUNCTION("""COMPUTED_VALUE"""),46149.0)</f>
        <v>46149</v>
      </c>
      <c r="E1153" s="2" t="str">
        <f>IFERROR(__xludf.DUMMYFUNCTION("""COMPUTED_VALUE"""),"VF")</f>
        <v>VF</v>
      </c>
      <c r="F1153" s="2">
        <f>IFERROR(__xludf.DUMMYFUNCTION("""COMPUTED_VALUE"""),1.0)</f>
        <v>1</v>
      </c>
      <c r="G1153" s="2" t="str">
        <f>IFERROR(__xludf.DUMMYFUNCTION("""COMPUTED_VALUE"""),"PR028")</f>
        <v>PR028</v>
      </c>
      <c r="H1153" s="2" t="str">
        <f>IFERROR(__xludf.DUMMYFUNCTION("""COMPUTED_VALUE"""),"VD011")</f>
        <v>VD011</v>
      </c>
      <c r="I1153" s="2">
        <f>IFERROR(__xludf.DUMMYFUNCTION("""COMPUTED_VALUE"""),2.0)</f>
        <v>2</v>
      </c>
      <c r="J1153" s="2">
        <f>IFERROR(__xludf.DUMMYFUNCTION("""COMPUTED_VALUE"""),504.8)</f>
        <v>504.8</v>
      </c>
      <c r="K1153" s="2">
        <f>IFERROR(__xludf.DUMMYFUNCTION("""COMPUTED_VALUE"""),504.8)</f>
        <v>504.8</v>
      </c>
    </row>
    <row r="1154">
      <c r="A1154" s="2">
        <f>IFERROR(__xludf.DUMMYFUNCTION("""COMPUTED_VALUE"""),1000.0)</f>
        <v>1000</v>
      </c>
      <c r="B1154" s="2">
        <f>IFERROR(__xludf.DUMMYFUNCTION("""COMPUTED_VALUE"""),184299.0)</f>
        <v>184299</v>
      </c>
      <c r="C1154" s="2">
        <f>IFERROR(__xludf.DUMMYFUNCTION("""COMPUTED_VALUE"""),2026.0)</f>
        <v>2026</v>
      </c>
      <c r="D1154" s="2">
        <f>IFERROR(__xludf.DUMMYFUNCTION("""COMPUTED_VALUE"""),46148.0)</f>
        <v>46148</v>
      </c>
      <c r="E1154" s="2" t="str">
        <f>IFERROR(__xludf.DUMMYFUNCTION("""COMPUTED_VALUE"""),"VF")</f>
        <v>VF</v>
      </c>
      <c r="F1154" s="2">
        <f>IFERROR(__xludf.DUMMYFUNCTION("""COMPUTED_VALUE"""),1.0)</f>
        <v>1</v>
      </c>
      <c r="G1154" s="2" t="str">
        <f>IFERROR(__xludf.DUMMYFUNCTION("""COMPUTED_VALUE"""),"PR020")</f>
        <v>PR020</v>
      </c>
      <c r="H1154" s="2" t="str">
        <f>IFERROR(__xludf.DUMMYFUNCTION("""COMPUTED_VALUE"""),"VD019")</f>
        <v>VD019</v>
      </c>
      <c r="I1154" s="2">
        <f>IFERROR(__xludf.DUMMYFUNCTION("""COMPUTED_VALUE"""),6.0)</f>
        <v>6</v>
      </c>
      <c r="J1154" s="2">
        <f>IFERROR(__xludf.DUMMYFUNCTION("""COMPUTED_VALUE"""),1907.36)</f>
        <v>1907.36</v>
      </c>
      <c r="K1154" s="2">
        <f>IFERROR(__xludf.DUMMYFUNCTION("""COMPUTED_VALUE"""),1907.36)</f>
        <v>1907.36</v>
      </c>
    </row>
    <row r="1155">
      <c r="A1155" s="2">
        <f>IFERROR(__xludf.DUMMYFUNCTION("""COMPUTED_VALUE"""),1000.0)</f>
        <v>1000</v>
      </c>
      <c r="B1155" s="2">
        <f>IFERROR(__xludf.DUMMYFUNCTION("""COMPUTED_VALUE"""),184300.0)</f>
        <v>184300</v>
      </c>
      <c r="C1155" s="2">
        <f>IFERROR(__xludf.DUMMYFUNCTION("""COMPUTED_VALUE"""),2026.0)</f>
        <v>2026</v>
      </c>
      <c r="D1155" s="2">
        <f>IFERROR(__xludf.DUMMYFUNCTION("""COMPUTED_VALUE"""),46148.0)</f>
        <v>46148</v>
      </c>
      <c r="E1155" s="2" t="str">
        <f>IFERROR(__xludf.DUMMYFUNCTION("""COMPUTED_VALUE"""),"VF")</f>
        <v>VF</v>
      </c>
      <c r="F1155" s="2">
        <f>IFERROR(__xludf.DUMMYFUNCTION("""COMPUTED_VALUE"""),1.0)</f>
        <v>1</v>
      </c>
      <c r="G1155" s="2" t="str">
        <f>IFERROR(__xludf.DUMMYFUNCTION("""COMPUTED_VALUE"""),"PR052")</f>
        <v>PR052</v>
      </c>
      <c r="H1155" s="2" t="str">
        <f>IFERROR(__xludf.DUMMYFUNCTION("""COMPUTED_VALUE"""),"VD030")</f>
        <v>VD030</v>
      </c>
      <c r="I1155" s="2">
        <f>IFERROR(__xludf.DUMMYFUNCTION("""COMPUTED_VALUE"""),20.0)</f>
        <v>20</v>
      </c>
      <c r="J1155" s="2">
        <f>IFERROR(__xludf.DUMMYFUNCTION("""COMPUTED_VALUE"""),1097.8)</f>
        <v>1097.8</v>
      </c>
      <c r="K1155" s="2">
        <f>IFERROR(__xludf.DUMMYFUNCTION("""COMPUTED_VALUE"""),1097.8)</f>
        <v>1097.8</v>
      </c>
    </row>
    <row r="1156">
      <c r="A1156" s="2">
        <f>IFERROR(__xludf.DUMMYFUNCTION("""COMPUTED_VALUE"""),2000.0)</f>
        <v>2000</v>
      </c>
      <c r="B1156" s="2">
        <f>IFERROR(__xludf.DUMMYFUNCTION("""COMPUTED_VALUE"""),184300.0)</f>
        <v>184300</v>
      </c>
      <c r="C1156" s="2">
        <f>IFERROR(__xludf.DUMMYFUNCTION("""COMPUTED_VALUE"""),2026.0)</f>
        <v>2026</v>
      </c>
      <c r="D1156" s="2">
        <f>IFERROR(__xludf.DUMMYFUNCTION("""COMPUTED_VALUE"""),46148.0)</f>
        <v>46148</v>
      </c>
      <c r="E1156" s="2" t="str">
        <f>IFERROR(__xludf.DUMMYFUNCTION("""COMPUTED_VALUE"""),"VF")</f>
        <v>VF</v>
      </c>
      <c r="F1156" s="2">
        <f>IFERROR(__xludf.DUMMYFUNCTION("""COMPUTED_VALUE"""),2.0)</f>
        <v>2</v>
      </c>
      <c r="G1156" s="2" t="str">
        <f>IFERROR(__xludf.DUMMYFUNCTION("""COMPUTED_VALUE"""),"PR033")</f>
        <v>PR033</v>
      </c>
      <c r="H1156" s="2" t="str">
        <f>IFERROR(__xludf.DUMMYFUNCTION("""COMPUTED_VALUE"""),"VD017")</f>
        <v>VD017</v>
      </c>
      <c r="I1156" s="2">
        <f>IFERROR(__xludf.DUMMYFUNCTION("""COMPUTED_VALUE"""),9.0)</f>
        <v>9</v>
      </c>
      <c r="J1156" s="2">
        <f>IFERROR(__xludf.DUMMYFUNCTION("""COMPUTED_VALUE"""),2479.45)</f>
        <v>2479.45</v>
      </c>
      <c r="K1156" s="2">
        <f>IFERROR(__xludf.DUMMYFUNCTION("""COMPUTED_VALUE"""),2479.45)</f>
        <v>2479.45</v>
      </c>
    </row>
    <row r="1157">
      <c r="A1157" s="2">
        <f>IFERROR(__xludf.DUMMYFUNCTION("""COMPUTED_VALUE"""),1000.0)</f>
        <v>1000</v>
      </c>
      <c r="B1157" s="2">
        <f>IFERROR(__xludf.DUMMYFUNCTION("""COMPUTED_VALUE"""),184301.0)</f>
        <v>184301</v>
      </c>
      <c r="C1157" s="2">
        <f>IFERROR(__xludf.DUMMYFUNCTION("""COMPUTED_VALUE"""),2026.0)</f>
        <v>2026</v>
      </c>
      <c r="D1157" s="2">
        <f>IFERROR(__xludf.DUMMYFUNCTION("""COMPUTED_VALUE"""),46148.0)</f>
        <v>46148</v>
      </c>
      <c r="E1157" s="2" t="str">
        <f>IFERROR(__xludf.DUMMYFUNCTION("""COMPUTED_VALUE"""),"VF")</f>
        <v>VF</v>
      </c>
      <c r="F1157" s="2">
        <f>IFERROR(__xludf.DUMMYFUNCTION("""COMPUTED_VALUE"""),1.0)</f>
        <v>1</v>
      </c>
      <c r="G1157" s="2" t="str">
        <f>IFERROR(__xludf.DUMMYFUNCTION("""COMPUTED_VALUE"""),"PR016")</f>
        <v>PR016</v>
      </c>
      <c r="H1157" s="2" t="str">
        <f>IFERROR(__xludf.DUMMYFUNCTION("""COMPUTED_VALUE"""),"VD039")</f>
        <v>VD039</v>
      </c>
      <c r="I1157" s="2">
        <f>IFERROR(__xludf.DUMMYFUNCTION("""COMPUTED_VALUE"""),4.0)</f>
        <v>4</v>
      </c>
      <c r="J1157" s="2">
        <f>IFERROR(__xludf.DUMMYFUNCTION("""COMPUTED_VALUE"""),103.6)</f>
        <v>103.6</v>
      </c>
      <c r="K1157" s="2">
        <f>IFERROR(__xludf.DUMMYFUNCTION("""COMPUTED_VALUE"""),103.6)</f>
        <v>103.6</v>
      </c>
    </row>
    <row r="1158">
      <c r="A1158" s="2">
        <f>IFERROR(__xludf.DUMMYFUNCTION("""COMPUTED_VALUE"""),1000.0)</f>
        <v>1000</v>
      </c>
      <c r="B1158" s="2">
        <f>IFERROR(__xludf.DUMMYFUNCTION("""COMPUTED_VALUE"""),184301.0)</f>
        <v>184301</v>
      </c>
      <c r="C1158" s="2">
        <f>IFERROR(__xludf.DUMMYFUNCTION("""COMPUTED_VALUE"""),2026.0)</f>
        <v>2026</v>
      </c>
      <c r="D1158" s="2">
        <f>IFERROR(__xludf.DUMMYFUNCTION("""COMPUTED_VALUE"""),46148.0)</f>
        <v>46148</v>
      </c>
      <c r="E1158" s="2" t="str">
        <f>IFERROR(__xludf.DUMMYFUNCTION("""COMPUTED_VALUE"""),"VF")</f>
        <v>VF</v>
      </c>
      <c r="F1158" s="2">
        <f>IFERROR(__xludf.DUMMYFUNCTION("""COMPUTED_VALUE"""),2.0)</f>
        <v>2</v>
      </c>
      <c r="G1158" s="2" t="str">
        <f>IFERROR(__xludf.DUMMYFUNCTION("""COMPUTED_VALUE"""),"PR034")</f>
        <v>PR034</v>
      </c>
      <c r="H1158" s="2" t="str">
        <f>IFERROR(__xludf.DUMMYFUNCTION("""COMPUTED_VALUE"""),"VD028")</f>
        <v>VD028</v>
      </c>
      <c r="I1158" s="2">
        <f>IFERROR(__xludf.DUMMYFUNCTION("""COMPUTED_VALUE"""),20.0)</f>
        <v>20</v>
      </c>
      <c r="J1158" s="2">
        <f>IFERROR(__xludf.DUMMYFUNCTION("""COMPUTED_VALUE"""),1905.88)</f>
        <v>1905.88</v>
      </c>
      <c r="K1158" s="2">
        <f>IFERROR(__xludf.DUMMYFUNCTION("""COMPUTED_VALUE"""),1905.88)</f>
        <v>1905.88</v>
      </c>
    </row>
    <row r="1159">
      <c r="A1159" s="2">
        <f>IFERROR(__xludf.DUMMYFUNCTION("""COMPUTED_VALUE"""),1000.0)</f>
        <v>1000</v>
      </c>
      <c r="B1159" s="2">
        <f>IFERROR(__xludf.DUMMYFUNCTION("""COMPUTED_VALUE"""),184302.0)</f>
        <v>184302</v>
      </c>
      <c r="C1159" s="2">
        <f>IFERROR(__xludf.DUMMYFUNCTION("""COMPUTED_VALUE"""),2026.0)</f>
        <v>2026</v>
      </c>
      <c r="D1159" s="2">
        <f>IFERROR(__xludf.DUMMYFUNCTION("""COMPUTED_VALUE"""),46148.0)</f>
        <v>46148</v>
      </c>
      <c r="E1159" s="2" t="str">
        <f>IFERROR(__xludf.DUMMYFUNCTION("""COMPUTED_VALUE"""),"VF")</f>
        <v>VF</v>
      </c>
      <c r="F1159" s="2">
        <f>IFERROR(__xludf.DUMMYFUNCTION("""COMPUTED_VALUE"""),1.0)</f>
        <v>1</v>
      </c>
      <c r="G1159" s="2" t="str">
        <f>IFERROR(__xludf.DUMMYFUNCTION("""COMPUTED_VALUE"""),"PR014")</f>
        <v>PR014</v>
      </c>
      <c r="H1159" s="2" t="str">
        <f>IFERROR(__xludf.DUMMYFUNCTION("""COMPUTED_VALUE"""),"VD047")</f>
        <v>VD047</v>
      </c>
      <c r="I1159" s="2">
        <f>IFERROR(__xludf.DUMMYFUNCTION("""COMPUTED_VALUE"""),4.0)</f>
        <v>4</v>
      </c>
      <c r="J1159" s="2">
        <f>IFERROR(__xludf.DUMMYFUNCTION("""COMPUTED_VALUE"""),165.98)</f>
        <v>165.98</v>
      </c>
      <c r="K1159" s="2">
        <f>IFERROR(__xludf.DUMMYFUNCTION("""COMPUTED_VALUE"""),165.98)</f>
        <v>165.98</v>
      </c>
    </row>
    <row r="1160">
      <c r="A1160" s="2">
        <f>IFERROR(__xludf.DUMMYFUNCTION("""COMPUTED_VALUE"""),1000.0)</f>
        <v>1000</v>
      </c>
      <c r="B1160" s="2">
        <f>IFERROR(__xludf.DUMMYFUNCTION("""COMPUTED_VALUE"""),184302.0)</f>
        <v>184302</v>
      </c>
      <c r="C1160" s="2">
        <f>IFERROR(__xludf.DUMMYFUNCTION("""COMPUTED_VALUE"""),2026.0)</f>
        <v>2026</v>
      </c>
      <c r="D1160" s="2">
        <f>IFERROR(__xludf.DUMMYFUNCTION("""COMPUTED_VALUE"""),46148.0)</f>
        <v>46148</v>
      </c>
      <c r="E1160" s="2" t="str">
        <f>IFERROR(__xludf.DUMMYFUNCTION("""COMPUTED_VALUE"""),"VF")</f>
        <v>VF</v>
      </c>
      <c r="F1160" s="2">
        <f>IFERROR(__xludf.DUMMYFUNCTION("""COMPUTED_VALUE"""),2.0)</f>
        <v>2</v>
      </c>
      <c r="G1160" s="2" t="str">
        <f>IFERROR(__xludf.DUMMYFUNCTION("""COMPUTED_VALUE"""),"PR048")</f>
        <v>PR048</v>
      </c>
      <c r="H1160" s="2" t="str">
        <f>IFERROR(__xludf.DUMMYFUNCTION("""COMPUTED_VALUE"""),"VD034")</f>
        <v>VD034</v>
      </c>
      <c r="I1160" s="2">
        <f>IFERROR(__xludf.DUMMYFUNCTION("""COMPUTED_VALUE"""),4.0)</f>
        <v>4</v>
      </c>
      <c r="J1160" s="2">
        <f>IFERROR(__xludf.DUMMYFUNCTION("""COMPUTED_VALUE"""),1171.2)</f>
        <v>1171.2</v>
      </c>
      <c r="K1160" s="2">
        <f>IFERROR(__xludf.DUMMYFUNCTION("""COMPUTED_VALUE"""),1171.2)</f>
        <v>1171.2</v>
      </c>
    </row>
    <row r="1161">
      <c r="A1161" s="2">
        <f>IFERROR(__xludf.DUMMYFUNCTION("""COMPUTED_VALUE"""),2000.0)</f>
        <v>2000</v>
      </c>
      <c r="B1161" s="2">
        <f>IFERROR(__xludf.DUMMYFUNCTION("""COMPUTED_VALUE"""),184303.0)</f>
        <v>184303</v>
      </c>
      <c r="C1161" s="2">
        <f>IFERROR(__xludf.DUMMYFUNCTION("""COMPUTED_VALUE"""),2026.0)</f>
        <v>2026</v>
      </c>
      <c r="D1161" s="2">
        <f>IFERROR(__xludf.DUMMYFUNCTION("""COMPUTED_VALUE"""),46148.0)</f>
        <v>46148</v>
      </c>
      <c r="E1161" s="2" t="str">
        <f>IFERROR(__xludf.DUMMYFUNCTION("""COMPUTED_VALUE"""),"VF")</f>
        <v>VF</v>
      </c>
      <c r="F1161" s="2">
        <f>IFERROR(__xludf.DUMMYFUNCTION("""COMPUTED_VALUE"""),1.0)</f>
        <v>1</v>
      </c>
      <c r="G1161" s="2" t="str">
        <f>IFERROR(__xludf.DUMMYFUNCTION("""COMPUTED_VALUE"""),"PR040")</f>
        <v>PR040</v>
      </c>
      <c r="H1161" s="2" t="str">
        <f>IFERROR(__xludf.DUMMYFUNCTION("""COMPUTED_VALUE"""),"VD021")</f>
        <v>VD021</v>
      </c>
      <c r="I1161" s="2">
        <f>IFERROR(__xludf.DUMMYFUNCTION("""COMPUTED_VALUE"""),4.0)</f>
        <v>4</v>
      </c>
      <c r="J1161" s="2">
        <f>IFERROR(__xludf.DUMMYFUNCTION("""COMPUTED_VALUE"""),282.8)</f>
        <v>282.8</v>
      </c>
      <c r="K1161" s="2">
        <f>IFERROR(__xludf.DUMMYFUNCTION("""COMPUTED_VALUE"""),282.8)</f>
        <v>282.8</v>
      </c>
    </row>
    <row r="1162">
      <c r="A1162" s="2">
        <f>IFERROR(__xludf.DUMMYFUNCTION("""COMPUTED_VALUE"""),1000.0)</f>
        <v>1000</v>
      </c>
      <c r="B1162" s="2">
        <f>IFERROR(__xludf.DUMMYFUNCTION("""COMPUTED_VALUE"""),184304.0)</f>
        <v>184304</v>
      </c>
      <c r="C1162" s="2">
        <f>IFERROR(__xludf.DUMMYFUNCTION("""COMPUTED_VALUE"""),2026.0)</f>
        <v>2026</v>
      </c>
      <c r="D1162" s="2">
        <f>IFERROR(__xludf.DUMMYFUNCTION("""COMPUTED_VALUE"""),46148.0)</f>
        <v>46148</v>
      </c>
      <c r="E1162" s="2" t="str">
        <f>IFERROR(__xludf.DUMMYFUNCTION("""COMPUTED_VALUE"""),"VF")</f>
        <v>VF</v>
      </c>
      <c r="F1162" s="2">
        <f>IFERROR(__xludf.DUMMYFUNCTION("""COMPUTED_VALUE"""),1.0)</f>
        <v>1</v>
      </c>
      <c r="G1162" s="2" t="str">
        <f>IFERROR(__xludf.DUMMYFUNCTION("""COMPUTED_VALUE"""),"PR055")</f>
        <v>PR055</v>
      </c>
      <c r="H1162" s="2" t="str">
        <f>IFERROR(__xludf.DUMMYFUNCTION("""COMPUTED_VALUE"""),"VD041")</f>
        <v>VD041</v>
      </c>
      <c r="I1162" s="2">
        <f>IFERROR(__xludf.DUMMYFUNCTION("""COMPUTED_VALUE"""),8.0)</f>
        <v>8</v>
      </c>
      <c r="J1162" s="2">
        <f>IFERROR(__xludf.DUMMYFUNCTION("""COMPUTED_VALUE"""),740.78)</f>
        <v>740.78</v>
      </c>
      <c r="K1162" s="2">
        <f>IFERROR(__xludf.DUMMYFUNCTION("""COMPUTED_VALUE"""),740.78)</f>
        <v>740.78</v>
      </c>
    </row>
    <row r="1163">
      <c r="A1163" s="2">
        <f>IFERROR(__xludf.DUMMYFUNCTION("""COMPUTED_VALUE"""),1000.0)</f>
        <v>1000</v>
      </c>
      <c r="B1163" s="2">
        <f>IFERROR(__xludf.DUMMYFUNCTION("""COMPUTED_VALUE"""),184305.0)</f>
        <v>184305</v>
      </c>
      <c r="C1163" s="2">
        <f>IFERROR(__xludf.DUMMYFUNCTION("""COMPUTED_VALUE"""),2026.0)</f>
        <v>2026</v>
      </c>
      <c r="D1163" s="2">
        <f>IFERROR(__xludf.DUMMYFUNCTION("""COMPUTED_VALUE"""),46148.0)</f>
        <v>46148</v>
      </c>
      <c r="E1163" s="2" t="str">
        <f>IFERROR(__xludf.DUMMYFUNCTION("""COMPUTED_VALUE"""),"VF")</f>
        <v>VF</v>
      </c>
      <c r="F1163" s="2">
        <f>IFERROR(__xludf.DUMMYFUNCTION("""COMPUTED_VALUE"""),1.0)</f>
        <v>1</v>
      </c>
      <c r="G1163" s="2" t="str">
        <f>IFERROR(__xludf.DUMMYFUNCTION("""COMPUTED_VALUE"""),"PR035")</f>
        <v>PR035</v>
      </c>
      <c r="H1163" s="2" t="str">
        <f>IFERROR(__xludf.DUMMYFUNCTION("""COMPUTED_VALUE"""),"VD039")</f>
        <v>VD039</v>
      </c>
      <c r="I1163" s="2">
        <f>IFERROR(__xludf.DUMMYFUNCTION("""COMPUTED_VALUE"""),6.0)</f>
        <v>6</v>
      </c>
      <c r="J1163" s="2">
        <f>IFERROR(__xludf.DUMMYFUNCTION("""COMPUTED_VALUE"""),581.3)</f>
        <v>581.3</v>
      </c>
      <c r="K1163" s="2">
        <f>IFERROR(__xludf.DUMMYFUNCTION("""COMPUTED_VALUE"""),581.3)</f>
        <v>581.3</v>
      </c>
    </row>
    <row r="1164">
      <c r="A1164" s="2">
        <f>IFERROR(__xludf.DUMMYFUNCTION("""COMPUTED_VALUE"""),1000.0)</f>
        <v>1000</v>
      </c>
      <c r="B1164" s="2">
        <f>IFERROR(__xludf.DUMMYFUNCTION("""COMPUTED_VALUE"""),184305.0)</f>
        <v>184305</v>
      </c>
      <c r="C1164" s="2">
        <f>IFERROR(__xludf.DUMMYFUNCTION("""COMPUTED_VALUE"""),2026.0)</f>
        <v>2026</v>
      </c>
      <c r="D1164" s="2">
        <f>IFERROR(__xludf.DUMMYFUNCTION("""COMPUTED_VALUE"""),46147.0)</f>
        <v>46147</v>
      </c>
      <c r="E1164" s="2" t="str">
        <f>IFERROR(__xludf.DUMMYFUNCTION("""COMPUTED_VALUE"""),"VF")</f>
        <v>VF</v>
      </c>
      <c r="F1164" s="2">
        <f>IFERROR(__xludf.DUMMYFUNCTION("""COMPUTED_VALUE"""),2.0)</f>
        <v>2</v>
      </c>
      <c r="G1164" s="2" t="str">
        <f>IFERROR(__xludf.DUMMYFUNCTION("""COMPUTED_VALUE"""),"PR007")</f>
        <v>PR007</v>
      </c>
      <c r="H1164" s="2" t="str">
        <f>IFERROR(__xludf.DUMMYFUNCTION("""COMPUTED_VALUE"""),"VD021")</f>
        <v>VD021</v>
      </c>
      <c r="I1164" s="2">
        <f>IFERROR(__xludf.DUMMYFUNCTION("""COMPUTED_VALUE"""),8.0)</f>
        <v>8</v>
      </c>
      <c r="J1164" s="2">
        <f>IFERROR(__xludf.DUMMYFUNCTION("""COMPUTED_VALUE"""),755.92)</f>
        <v>755.92</v>
      </c>
      <c r="K1164" s="2">
        <f>IFERROR(__xludf.DUMMYFUNCTION("""COMPUTED_VALUE"""),755.92)</f>
        <v>755.92</v>
      </c>
    </row>
    <row r="1165">
      <c r="A1165" s="2">
        <f>IFERROR(__xludf.DUMMYFUNCTION("""COMPUTED_VALUE"""),1000.0)</f>
        <v>1000</v>
      </c>
      <c r="B1165" s="2">
        <f>IFERROR(__xludf.DUMMYFUNCTION("""COMPUTED_VALUE"""),184306.0)</f>
        <v>184306</v>
      </c>
      <c r="C1165" s="2">
        <f>IFERROR(__xludf.DUMMYFUNCTION("""COMPUTED_VALUE"""),2026.0)</f>
        <v>2026</v>
      </c>
      <c r="D1165" s="2">
        <f>IFERROR(__xludf.DUMMYFUNCTION("""COMPUTED_VALUE"""),46147.0)</f>
        <v>46147</v>
      </c>
      <c r="E1165" s="2" t="str">
        <f>IFERROR(__xludf.DUMMYFUNCTION("""COMPUTED_VALUE"""),"VF")</f>
        <v>VF</v>
      </c>
      <c r="F1165" s="2">
        <f>IFERROR(__xludf.DUMMYFUNCTION("""COMPUTED_VALUE"""),1.0)</f>
        <v>1</v>
      </c>
      <c r="G1165" s="2" t="str">
        <f>IFERROR(__xludf.DUMMYFUNCTION("""COMPUTED_VALUE"""),"PR020")</f>
        <v>PR020</v>
      </c>
      <c r="H1165" s="2" t="str">
        <f>IFERROR(__xludf.DUMMYFUNCTION("""COMPUTED_VALUE"""),"VD024")</f>
        <v>VD024</v>
      </c>
      <c r="I1165" s="2">
        <f>IFERROR(__xludf.DUMMYFUNCTION("""COMPUTED_VALUE"""),2.0)</f>
        <v>2</v>
      </c>
      <c r="J1165" s="2">
        <f>IFERROR(__xludf.DUMMYFUNCTION("""COMPUTED_VALUE"""),599.8)</f>
        <v>599.8</v>
      </c>
      <c r="K1165" s="2">
        <f>IFERROR(__xludf.DUMMYFUNCTION("""COMPUTED_VALUE"""),599.8)</f>
        <v>599.8</v>
      </c>
    </row>
    <row r="1166">
      <c r="A1166" s="2">
        <f>IFERROR(__xludf.DUMMYFUNCTION("""COMPUTED_VALUE"""),1000.0)</f>
        <v>1000</v>
      </c>
      <c r="B1166" s="2">
        <f>IFERROR(__xludf.DUMMYFUNCTION("""COMPUTED_VALUE"""),184307.0)</f>
        <v>184307</v>
      </c>
      <c r="C1166" s="2">
        <f>IFERROR(__xludf.DUMMYFUNCTION("""COMPUTED_VALUE"""),2026.0)</f>
        <v>2026</v>
      </c>
      <c r="D1166" s="2">
        <f>IFERROR(__xludf.DUMMYFUNCTION("""COMPUTED_VALUE"""),46147.0)</f>
        <v>46147</v>
      </c>
      <c r="E1166" s="2" t="str">
        <f>IFERROR(__xludf.DUMMYFUNCTION("""COMPUTED_VALUE"""),"VF")</f>
        <v>VF</v>
      </c>
      <c r="F1166" s="2">
        <f>IFERROR(__xludf.DUMMYFUNCTION("""COMPUTED_VALUE"""),1.0)</f>
        <v>1</v>
      </c>
      <c r="G1166" s="2" t="str">
        <f>IFERROR(__xludf.DUMMYFUNCTION("""COMPUTED_VALUE"""),"PR052")</f>
        <v>PR052</v>
      </c>
      <c r="H1166" s="2" t="str">
        <f>IFERROR(__xludf.DUMMYFUNCTION("""COMPUTED_VALUE"""),"VD040")</f>
        <v>VD040</v>
      </c>
      <c r="I1166" s="2">
        <f>IFERROR(__xludf.DUMMYFUNCTION("""COMPUTED_VALUE"""),10.0)</f>
        <v>10</v>
      </c>
      <c r="J1166" s="2">
        <f>IFERROR(__xludf.DUMMYFUNCTION("""COMPUTED_VALUE"""),508.98)</f>
        <v>508.98</v>
      </c>
      <c r="K1166" s="2">
        <f>IFERROR(__xludf.DUMMYFUNCTION("""COMPUTED_VALUE"""),508.98)</f>
        <v>508.98</v>
      </c>
    </row>
    <row r="1167">
      <c r="A1167" s="2">
        <f>IFERROR(__xludf.DUMMYFUNCTION("""COMPUTED_VALUE"""),2000.0)</f>
        <v>2000</v>
      </c>
      <c r="B1167" s="2">
        <f>IFERROR(__xludf.DUMMYFUNCTION("""COMPUTED_VALUE"""),184307.0)</f>
        <v>184307</v>
      </c>
      <c r="C1167" s="2">
        <f>IFERROR(__xludf.DUMMYFUNCTION("""COMPUTED_VALUE"""),2026.0)</f>
        <v>2026</v>
      </c>
      <c r="D1167" s="2">
        <f>IFERROR(__xludf.DUMMYFUNCTION("""COMPUTED_VALUE"""),46147.0)</f>
        <v>46147</v>
      </c>
      <c r="E1167" s="2" t="str">
        <f>IFERROR(__xludf.DUMMYFUNCTION("""COMPUTED_VALUE"""),"VF")</f>
        <v>VF</v>
      </c>
      <c r="F1167" s="2">
        <f>IFERROR(__xludf.DUMMYFUNCTION("""COMPUTED_VALUE"""),2.0)</f>
        <v>2</v>
      </c>
      <c r="G1167" s="2" t="str">
        <f>IFERROR(__xludf.DUMMYFUNCTION("""COMPUTED_VALUE"""),"PR003")</f>
        <v>PR003</v>
      </c>
      <c r="H1167" s="2" t="str">
        <f>IFERROR(__xludf.DUMMYFUNCTION("""COMPUTED_VALUE"""),"VD017")</f>
        <v>VD017</v>
      </c>
      <c r="I1167" s="2">
        <f>IFERROR(__xludf.DUMMYFUNCTION("""COMPUTED_VALUE"""),20.0)</f>
        <v>20</v>
      </c>
      <c r="J1167" s="2">
        <f>IFERROR(__xludf.DUMMYFUNCTION("""COMPUTED_VALUE"""),1559.8)</f>
        <v>1559.8</v>
      </c>
      <c r="K1167" s="2">
        <f>IFERROR(__xludf.DUMMYFUNCTION("""COMPUTED_VALUE"""),1559.8)</f>
        <v>1559.8</v>
      </c>
    </row>
    <row r="1168">
      <c r="A1168" s="2">
        <f>IFERROR(__xludf.DUMMYFUNCTION("""COMPUTED_VALUE"""),2000.0)</f>
        <v>2000</v>
      </c>
      <c r="B1168" s="2">
        <f>IFERROR(__xludf.DUMMYFUNCTION("""COMPUTED_VALUE"""),184308.0)</f>
        <v>184308</v>
      </c>
      <c r="C1168" s="2">
        <f>IFERROR(__xludf.DUMMYFUNCTION("""COMPUTED_VALUE"""),2026.0)</f>
        <v>2026</v>
      </c>
      <c r="D1168" s="2">
        <f>IFERROR(__xludf.DUMMYFUNCTION("""COMPUTED_VALUE"""),46146.0)</f>
        <v>46146</v>
      </c>
      <c r="E1168" s="2" t="str">
        <f>IFERROR(__xludf.DUMMYFUNCTION("""COMPUTED_VALUE"""),"VF")</f>
        <v>VF</v>
      </c>
      <c r="F1168" s="2">
        <f>IFERROR(__xludf.DUMMYFUNCTION("""COMPUTED_VALUE"""),1.0)</f>
        <v>1</v>
      </c>
      <c r="G1168" s="2" t="str">
        <f>IFERROR(__xludf.DUMMYFUNCTION("""COMPUTED_VALUE"""),"PR018")</f>
        <v>PR018</v>
      </c>
      <c r="H1168" s="2" t="str">
        <f>IFERROR(__xludf.DUMMYFUNCTION("""COMPUTED_VALUE"""),"VD011")</f>
        <v>VD011</v>
      </c>
      <c r="I1168" s="2">
        <f>IFERROR(__xludf.DUMMYFUNCTION("""COMPUTED_VALUE"""),16.0)</f>
        <v>16</v>
      </c>
      <c r="J1168" s="2">
        <f>IFERROR(__xludf.DUMMYFUNCTION("""COMPUTED_VALUE"""),568.51)</f>
        <v>568.51</v>
      </c>
      <c r="K1168" s="2">
        <f>IFERROR(__xludf.DUMMYFUNCTION("""COMPUTED_VALUE"""),568.51)</f>
        <v>568.51</v>
      </c>
    </row>
    <row r="1169">
      <c r="A1169" s="2">
        <f>IFERROR(__xludf.DUMMYFUNCTION("""COMPUTED_VALUE"""),1000.0)</f>
        <v>1000</v>
      </c>
      <c r="B1169" s="2">
        <f>IFERROR(__xludf.DUMMYFUNCTION("""COMPUTED_VALUE"""),184309.0)</f>
        <v>184309</v>
      </c>
      <c r="C1169" s="2">
        <f>IFERROR(__xludf.DUMMYFUNCTION("""COMPUTED_VALUE"""),2026.0)</f>
        <v>2026</v>
      </c>
      <c r="D1169" s="2">
        <f>IFERROR(__xludf.DUMMYFUNCTION("""COMPUTED_VALUE"""),46146.0)</f>
        <v>46146</v>
      </c>
      <c r="E1169" s="2" t="str">
        <f>IFERROR(__xludf.DUMMYFUNCTION("""COMPUTED_VALUE"""),"VF")</f>
        <v>VF</v>
      </c>
      <c r="F1169" s="2">
        <f>IFERROR(__xludf.DUMMYFUNCTION("""COMPUTED_VALUE"""),1.0)</f>
        <v>1</v>
      </c>
      <c r="G1169" s="2" t="str">
        <f>IFERROR(__xludf.DUMMYFUNCTION("""COMPUTED_VALUE"""),"PR012")</f>
        <v>PR012</v>
      </c>
      <c r="H1169" s="2" t="str">
        <f>IFERROR(__xludf.DUMMYFUNCTION("""COMPUTED_VALUE"""),"VD035")</f>
        <v>VD035</v>
      </c>
      <c r="I1169" s="2">
        <f>IFERROR(__xludf.DUMMYFUNCTION("""COMPUTED_VALUE"""),14.0)</f>
        <v>14</v>
      </c>
      <c r="J1169" s="2">
        <f>IFERROR(__xludf.DUMMYFUNCTION("""COMPUTED_VALUE"""),684.6)</f>
        <v>684.6</v>
      </c>
      <c r="K1169" s="2">
        <f>IFERROR(__xludf.DUMMYFUNCTION("""COMPUTED_VALUE"""),684.6)</f>
        <v>684.6</v>
      </c>
    </row>
    <row r="1170">
      <c r="A1170" s="2">
        <f>IFERROR(__xludf.DUMMYFUNCTION("""COMPUTED_VALUE"""),2000.0)</f>
        <v>2000</v>
      </c>
      <c r="B1170" s="2">
        <f>IFERROR(__xludf.DUMMYFUNCTION("""COMPUTED_VALUE"""),184310.0)</f>
        <v>184310</v>
      </c>
      <c r="C1170" s="2">
        <f>IFERROR(__xludf.DUMMYFUNCTION("""COMPUTED_VALUE"""),2026.0)</f>
        <v>2026</v>
      </c>
      <c r="D1170" s="2">
        <f>IFERROR(__xludf.DUMMYFUNCTION("""COMPUTED_VALUE"""),46146.0)</f>
        <v>46146</v>
      </c>
      <c r="E1170" s="2" t="str">
        <f>IFERROR(__xludf.DUMMYFUNCTION("""COMPUTED_VALUE"""),"VF")</f>
        <v>VF</v>
      </c>
      <c r="F1170" s="2">
        <f>IFERROR(__xludf.DUMMYFUNCTION("""COMPUTED_VALUE"""),1.0)</f>
        <v>1</v>
      </c>
      <c r="G1170" s="2" t="str">
        <f>IFERROR(__xludf.DUMMYFUNCTION("""COMPUTED_VALUE"""),"PR019")</f>
        <v>PR019</v>
      </c>
      <c r="H1170" s="2" t="str">
        <f>IFERROR(__xludf.DUMMYFUNCTION("""COMPUTED_VALUE"""),"VD032")</f>
        <v>VD032</v>
      </c>
      <c r="I1170" s="2">
        <f>IFERROR(__xludf.DUMMYFUNCTION("""COMPUTED_VALUE"""),14.0)</f>
        <v>14</v>
      </c>
      <c r="J1170" s="2">
        <f>IFERROR(__xludf.DUMMYFUNCTION("""COMPUTED_VALUE"""),761.47)</f>
        <v>761.47</v>
      </c>
      <c r="K1170" s="2">
        <f>IFERROR(__xludf.DUMMYFUNCTION("""COMPUTED_VALUE"""),761.47)</f>
        <v>761.47</v>
      </c>
    </row>
    <row r="1171">
      <c r="A1171" s="2">
        <f>IFERROR(__xludf.DUMMYFUNCTION("""COMPUTED_VALUE"""),2000.0)</f>
        <v>2000</v>
      </c>
      <c r="B1171" s="2">
        <f>IFERROR(__xludf.DUMMYFUNCTION("""COMPUTED_VALUE"""),184310.0)</f>
        <v>184310</v>
      </c>
      <c r="C1171" s="2">
        <f>IFERROR(__xludf.DUMMYFUNCTION("""COMPUTED_VALUE"""),2026.0)</f>
        <v>2026</v>
      </c>
      <c r="D1171" s="2">
        <f>IFERROR(__xludf.DUMMYFUNCTION("""COMPUTED_VALUE"""),46145.0)</f>
        <v>46145</v>
      </c>
      <c r="E1171" s="2" t="str">
        <f>IFERROR(__xludf.DUMMYFUNCTION("""COMPUTED_VALUE"""),"VF")</f>
        <v>VF</v>
      </c>
      <c r="F1171" s="2">
        <f>IFERROR(__xludf.DUMMYFUNCTION("""COMPUTED_VALUE"""),2.0)</f>
        <v>2</v>
      </c>
      <c r="G1171" s="2" t="str">
        <f>IFERROR(__xludf.DUMMYFUNCTION("""COMPUTED_VALUE"""),"PR026")</f>
        <v>PR026</v>
      </c>
      <c r="H1171" s="2" t="str">
        <f>IFERROR(__xludf.DUMMYFUNCTION("""COMPUTED_VALUE"""),"VD021")</f>
        <v>VD021</v>
      </c>
      <c r="I1171" s="2">
        <f>IFERROR(__xludf.DUMMYFUNCTION("""COMPUTED_VALUE"""),14.0)</f>
        <v>14</v>
      </c>
      <c r="J1171" s="2">
        <f>IFERROR(__xludf.DUMMYFUNCTION("""COMPUTED_VALUE"""),5339.47)</f>
        <v>5339.47</v>
      </c>
      <c r="K1171" s="2">
        <f>IFERROR(__xludf.DUMMYFUNCTION("""COMPUTED_VALUE"""),5339.47)</f>
        <v>5339.47</v>
      </c>
    </row>
    <row r="1172">
      <c r="A1172" s="2">
        <f>IFERROR(__xludf.DUMMYFUNCTION("""COMPUTED_VALUE"""),1000.0)</f>
        <v>1000</v>
      </c>
      <c r="B1172" s="2">
        <f>IFERROR(__xludf.DUMMYFUNCTION("""COMPUTED_VALUE"""),184311.0)</f>
        <v>184311</v>
      </c>
      <c r="C1172" s="2">
        <f>IFERROR(__xludf.DUMMYFUNCTION("""COMPUTED_VALUE"""),2026.0)</f>
        <v>2026</v>
      </c>
      <c r="D1172" s="2">
        <f>IFERROR(__xludf.DUMMYFUNCTION("""COMPUTED_VALUE"""),46145.0)</f>
        <v>46145</v>
      </c>
      <c r="E1172" s="2" t="str">
        <f>IFERROR(__xludf.DUMMYFUNCTION("""COMPUTED_VALUE"""),"VF")</f>
        <v>VF</v>
      </c>
      <c r="F1172" s="2">
        <f>IFERROR(__xludf.DUMMYFUNCTION("""COMPUTED_VALUE"""),1.0)</f>
        <v>1</v>
      </c>
      <c r="G1172" s="2" t="str">
        <f>IFERROR(__xludf.DUMMYFUNCTION("""COMPUTED_VALUE"""),"PR049")</f>
        <v>PR049</v>
      </c>
      <c r="H1172" s="2" t="str">
        <f>IFERROR(__xludf.DUMMYFUNCTION("""COMPUTED_VALUE"""),"VD031")</f>
        <v>VD031</v>
      </c>
      <c r="I1172" s="2">
        <f>IFERROR(__xludf.DUMMYFUNCTION("""COMPUTED_VALUE"""),18.0)</f>
        <v>18</v>
      </c>
      <c r="J1172" s="2">
        <f>IFERROR(__xludf.DUMMYFUNCTION("""COMPUTED_VALUE"""),633.65)</f>
        <v>633.65</v>
      </c>
      <c r="K1172" s="2">
        <f>IFERROR(__xludf.DUMMYFUNCTION("""COMPUTED_VALUE"""),633.65)</f>
        <v>633.65</v>
      </c>
    </row>
    <row r="1173">
      <c r="A1173" s="2">
        <f>IFERROR(__xludf.DUMMYFUNCTION("""COMPUTED_VALUE"""),2000.0)</f>
        <v>2000</v>
      </c>
      <c r="B1173" s="2">
        <f>IFERROR(__xludf.DUMMYFUNCTION("""COMPUTED_VALUE"""),184311.0)</f>
        <v>184311</v>
      </c>
      <c r="C1173" s="2">
        <f>IFERROR(__xludf.DUMMYFUNCTION("""COMPUTED_VALUE"""),2026.0)</f>
        <v>2026</v>
      </c>
      <c r="D1173" s="2">
        <f>IFERROR(__xludf.DUMMYFUNCTION("""COMPUTED_VALUE"""),46145.0)</f>
        <v>46145</v>
      </c>
      <c r="E1173" s="2" t="str">
        <f>IFERROR(__xludf.DUMMYFUNCTION("""COMPUTED_VALUE"""),"VF")</f>
        <v>VF</v>
      </c>
      <c r="F1173" s="2">
        <f>IFERROR(__xludf.DUMMYFUNCTION("""COMPUTED_VALUE"""),2.0)</f>
        <v>2</v>
      </c>
      <c r="G1173" s="2" t="str">
        <f>IFERROR(__xludf.DUMMYFUNCTION("""COMPUTED_VALUE"""),"PR012")</f>
        <v>PR012</v>
      </c>
      <c r="H1173" s="2" t="str">
        <f>IFERROR(__xludf.DUMMYFUNCTION("""COMPUTED_VALUE"""),"VD026")</f>
        <v>VD026</v>
      </c>
      <c r="I1173" s="2">
        <f>IFERROR(__xludf.DUMMYFUNCTION("""COMPUTED_VALUE"""),5.0)</f>
        <v>5</v>
      </c>
      <c r="J1173" s="2">
        <f>IFERROR(__xludf.DUMMYFUNCTION("""COMPUTED_VALUE"""),244.5)</f>
        <v>244.5</v>
      </c>
      <c r="K1173" s="2">
        <f>IFERROR(__xludf.DUMMYFUNCTION("""COMPUTED_VALUE"""),244.5)</f>
        <v>244.5</v>
      </c>
    </row>
    <row r="1174">
      <c r="A1174" s="2">
        <f>IFERROR(__xludf.DUMMYFUNCTION("""COMPUTED_VALUE"""),1000.0)</f>
        <v>1000</v>
      </c>
      <c r="B1174" s="2">
        <f>IFERROR(__xludf.DUMMYFUNCTION("""COMPUTED_VALUE"""),184312.0)</f>
        <v>184312</v>
      </c>
      <c r="C1174" s="2">
        <f>IFERROR(__xludf.DUMMYFUNCTION("""COMPUTED_VALUE"""),2026.0)</f>
        <v>2026</v>
      </c>
      <c r="D1174" s="2">
        <f>IFERROR(__xludf.DUMMYFUNCTION("""COMPUTED_VALUE"""),46145.0)</f>
        <v>46145</v>
      </c>
      <c r="E1174" s="2" t="str">
        <f>IFERROR(__xludf.DUMMYFUNCTION("""COMPUTED_VALUE"""),"VF")</f>
        <v>VF</v>
      </c>
      <c r="F1174" s="2">
        <f>IFERROR(__xludf.DUMMYFUNCTION("""COMPUTED_VALUE"""),1.0)</f>
        <v>1</v>
      </c>
      <c r="G1174" s="2" t="str">
        <f>IFERROR(__xludf.DUMMYFUNCTION("""COMPUTED_VALUE"""),"PR015")</f>
        <v>PR015</v>
      </c>
      <c r="H1174" s="2" t="str">
        <f>IFERROR(__xludf.DUMMYFUNCTION("""COMPUTED_VALUE"""),"VD033")</f>
        <v>VD033</v>
      </c>
      <c r="I1174" s="2">
        <f>IFERROR(__xludf.DUMMYFUNCTION("""COMPUTED_VALUE"""),20.0)</f>
        <v>20</v>
      </c>
      <c r="J1174" s="2">
        <f>IFERROR(__xludf.DUMMYFUNCTION("""COMPUTED_VALUE"""),918.0)</f>
        <v>918</v>
      </c>
      <c r="K1174" s="2">
        <f>IFERROR(__xludf.DUMMYFUNCTION("""COMPUTED_VALUE"""),918.0)</f>
        <v>918</v>
      </c>
    </row>
    <row r="1175">
      <c r="A1175" s="2">
        <f>IFERROR(__xludf.DUMMYFUNCTION("""COMPUTED_VALUE"""),1000.0)</f>
        <v>1000</v>
      </c>
      <c r="B1175" s="2">
        <f>IFERROR(__xludf.DUMMYFUNCTION("""COMPUTED_VALUE"""),184313.0)</f>
        <v>184313</v>
      </c>
      <c r="C1175" s="2">
        <f>IFERROR(__xludf.DUMMYFUNCTION("""COMPUTED_VALUE"""),2026.0)</f>
        <v>2026</v>
      </c>
      <c r="D1175" s="2">
        <f>IFERROR(__xludf.DUMMYFUNCTION("""COMPUTED_VALUE"""),46145.0)</f>
        <v>46145</v>
      </c>
      <c r="E1175" s="2" t="str">
        <f>IFERROR(__xludf.DUMMYFUNCTION("""COMPUTED_VALUE"""),"VF")</f>
        <v>VF</v>
      </c>
      <c r="F1175" s="2">
        <f>IFERROR(__xludf.DUMMYFUNCTION("""COMPUTED_VALUE"""),1.0)</f>
        <v>1</v>
      </c>
      <c r="G1175" s="2" t="str">
        <f>IFERROR(__xludf.DUMMYFUNCTION("""COMPUTED_VALUE"""),"PR036")</f>
        <v>PR036</v>
      </c>
      <c r="H1175" s="2" t="str">
        <f>IFERROR(__xludf.DUMMYFUNCTION("""COMPUTED_VALUE"""),"VD017")</f>
        <v>VD017</v>
      </c>
      <c r="I1175" s="2">
        <f>IFERROR(__xludf.DUMMYFUNCTION("""COMPUTED_VALUE"""),5.0)</f>
        <v>5</v>
      </c>
      <c r="J1175" s="2">
        <f>IFERROR(__xludf.DUMMYFUNCTION("""COMPUTED_VALUE"""),467.5)</f>
        <v>467.5</v>
      </c>
      <c r="K1175" s="2">
        <f>IFERROR(__xludf.DUMMYFUNCTION("""COMPUTED_VALUE"""),467.5)</f>
        <v>467.5</v>
      </c>
    </row>
    <row r="1176">
      <c r="A1176" s="2">
        <f>IFERROR(__xludf.DUMMYFUNCTION("""COMPUTED_VALUE"""),1000.0)</f>
        <v>1000</v>
      </c>
      <c r="B1176" s="2">
        <f>IFERROR(__xludf.DUMMYFUNCTION("""COMPUTED_VALUE"""),184314.0)</f>
        <v>184314</v>
      </c>
      <c r="C1176" s="2">
        <f>IFERROR(__xludf.DUMMYFUNCTION("""COMPUTED_VALUE"""),2026.0)</f>
        <v>2026</v>
      </c>
      <c r="D1176" s="2">
        <f>IFERROR(__xludf.DUMMYFUNCTION("""COMPUTED_VALUE"""),46145.0)</f>
        <v>46145</v>
      </c>
      <c r="E1176" s="2" t="str">
        <f>IFERROR(__xludf.DUMMYFUNCTION("""COMPUTED_VALUE"""),"VF")</f>
        <v>VF</v>
      </c>
      <c r="F1176" s="2">
        <f>IFERROR(__xludf.DUMMYFUNCTION("""COMPUTED_VALUE"""),1.0)</f>
        <v>1</v>
      </c>
      <c r="G1176" s="2" t="str">
        <f>IFERROR(__xludf.DUMMYFUNCTION("""COMPUTED_VALUE"""),"PR013")</f>
        <v>PR013</v>
      </c>
      <c r="H1176" s="2" t="str">
        <f>IFERROR(__xludf.DUMMYFUNCTION("""COMPUTED_VALUE"""),"VD041")</f>
        <v>VD041</v>
      </c>
      <c r="I1176" s="2">
        <f>IFERROR(__xludf.DUMMYFUNCTION("""COMPUTED_VALUE"""),8.0)</f>
        <v>8</v>
      </c>
      <c r="J1176" s="2">
        <f>IFERROR(__xludf.DUMMYFUNCTION("""COMPUTED_VALUE"""),322.39)</f>
        <v>322.39</v>
      </c>
      <c r="K1176" s="2">
        <f>IFERROR(__xludf.DUMMYFUNCTION("""COMPUTED_VALUE"""),322.39)</f>
        <v>322.39</v>
      </c>
    </row>
    <row r="1177">
      <c r="A1177" s="2">
        <f>IFERROR(__xludf.DUMMYFUNCTION("""COMPUTED_VALUE"""),1000.0)</f>
        <v>1000</v>
      </c>
      <c r="B1177" s="2">
        <f>IFERROR(__xludf.DUMMYFUNCTION("""COMPUTED_VALUE"""),184315.0)</f>
        <v>184315</v>
      </c>
      <c r="C1177" s="2">
        <f>IFERROR(__xludf.DUMMYFUNCTION("""COMPUTED_VALUE"""),2026.0)</f>
        <v>2026</v>
      </c>
      <c r="D1177" s="2">
        <f>IFERROR(__xludf.DUMMYFUNCTION("""COMPUTED_VALUE"""),46144.0)</f>
        <v>46144</v>
      </c>
      <c r="E1177" s="2" t="str">
        <f>IFERROR(__xludf.DUMMYFUNCTION("""COMPUTED_VALUE"""),"VF")</f>
        <v>VF</v>
      </c>
      <c r="F1177" s="2">
        <f>IFERROR(__xludf.DUMMYFUNCTION("""COMPUTED_VALUE"""),1.0)</f>
        <v>1</v>
      </c>
      <c r="G1177" s="2" t="str">
        <f>IFERROR(__xludf.DUMMYFUNCTION("""COMPUTED_VALUE"""),"PR015")</f>
        <v>PR015</v>
      </c>
      <c r="H1177" s="2" t="str">
        <f>IFERROR(__xludf.DUMMYFUNCTION("""COMPUTED_VALUE"""),"VD027")</f>
        <v>VD027</v>
      </c>
      <c r="I1177" s="2">
        <f>IFERROR(__xludf.DUMMYFUNCTION("""COMPUTED_VALUE"""),2.0)</f>
        <v>2</v>
      </c>
      <c r="J1177" s="2">
        <f>IFERROR(__xludf.DUMMYFUNCTION("""COMPUTED_VALUE"""),89.25)</f>
        <v>89.25</v>
      </c>
      <c r="K1177" s="2">
        <f>IFERROR(__xludf.DUMMYFUNCTION("""COMPUTED_VALUE"""),89.25)</f>
        <v>89.25</v>
      </c>
    </row>
    <row r="1178">
      <c r="A1178" s="2">
        <f>IFERROR(__xludf.DUMMYFUNCTION("""COMPUTED_VALUE"""),1000.0)</f>
        <v>1000</v>
      </c>
      <c r="B1178" s="2">
        <f>IFERROR(__xludf.DUMMYFUNCTION("""COMPUTED_VALUE"""),184316.0)</f>
        <v>184316</v>
      </c>
      <c r="C1178" s="2">
        <f>IFERROR(__xludf.DUMMYFUNCTION("""COMPUTED_VALUE"""),2026.0)</f>
        <v>2026</v>
      </c>
      <c r="D1178" s="2">
        <f>IFERROR(__xludf.DUMMYFUNCTION("""COMPUTED_VALUE"""),46144.0)</f>
        <v>46144</v>
      </c>
      <c r="E1178" s="2" t="str">
        <f>IFERROR(__xludf.DUMMYFUNCTION("""COMPUTED_VALUE"""),"VF")</f>
        <v>VF</v>
      </c>
      <c r="F1178" s="2">
        <f>IFERROR(__xludf.DUMMYFUNCTION("""COMPUTED_VALUE"""),1.0)</f>
        <v>1</v>
      </c>
      <c r="G1178" s="2" t="str">
        <f>IFERROR(__xludf.DUMMYFUNCTION("""COMPUTED_VALUE"""),"PR024")</f>
        <v>PR024</v>
      </c>
      <c r="H1178" s="2" t="str">
        <f>IFERROR(__xludf.DUMMYFUNCTION("""COMPUTED_VALUE"""),"VD049")</f>
        <v>VD049</v>
      </c>
      <c r="I1178" s="2">
        <f>IFERROR(__xludf.DUMMYFUNCTION("""COMPUTED_VALUE"""),2.0)</f>
        <v>2</v>
      </c>
      <c r="J1178" s="2">
        <f>IFERROR(__xludf.DUMMYFUNCTION("""COMPUTED_VALUE"""),556.19)</f>
        <v>556.19</v>
      </c>
      <c r="K1178" s="2">
        <f>IFERROR(__xludf.DUMMYFUNCTION("""COMPUTED_VALUE"""),556.19)</f>
        <v>556.19</v>
      </c>
    </row>
    <row r="1179">
      <c r="A1179" s="2">
        <f>IFERROR(__xludf.DUMMYFUNCTION("""COMPUTED_VALUE"""),2000.0)</f>
        <v>2000</v>
      </c>
      <c r="B1179" s="2">
        <f>IFERROR(__xludf.DUMMYFUNCTION("""COMPUTED_VALUE"""),184317.0)</f>
        <v>184317</v>
      </c>
      <c r="C1179" s="2">
        <f>IFERROR(__xludf.DUMMYFUNCTION("""COMPUTED_VALUE"""),2026.0)</f>
        <v>2026</v>
      </c>
      <c r="D1179" s="2">
        <f>IFERROR(__xludf.DUMMYFUNCTION("""COMPUTED_VALUE"""),46143.0)</f>
        <v>46143</v>
      </c>
      <c r="E1179" s="2" t="str">
        <f>IFERROR(__xludf.DUMMYFUNCTION("""COMPUTED_VALUE"""),"VF")</f>
        <v>VF</v>
      </c>
      <c r="F1179" s="2">
        <f>IFERROR(__xludf.DUMMYFUNCTION("""COMPUTED_VALUE"""),1.0)</f>
        <v>1</v>
      </c>
      <c r="G1179" s="2" t="str">
        <f>IFERROR(__xludf.DUMMYFUNCTION("""COMPUTED_VALUE"""),"PR042")</f>
        <v>PR042</v>
      </c>
      <c r="H1179" s="2" t="str">
        <f>IFERROR(__xludf.DUMMYFUNCTION("""COMPUTED_VALUE"""),"VD025")</f>
        <v>VD025</v>
      </c>
      <c r="I1179" s="2">
        <f>IFERROR(__xludf.DUMMYFUNCTION("""COMPUTED_VALUE"""),2.0)</f>
        <v>2</v>
      </c>
      <c r="J1179" s="2">
        <f>IFERROR(__xludf.DUMMYFUNCTION("""COMPUTED_VALUE"""),116.39)</f>
        <v>116.39</v>
      </c>
      <c r="K1179" s="2">
        <f>IFERROR(__xludf.DUMMYFUNCTION("""COMPUTED_VALUE"""),116.39)</f>
        <v>116.39</v>
      </c>
    </row>
    <row r="1180">
      <c r="A1180" s="2">
        <f>IFERROR(__xludf.DUMMYFUNCTION("""COMPUTED_VALUE"""),1000.0)</f>
        <v>1000</v>
      </c>
      <c r="B1180" s="2">
        <f>IFERROR(__xludf.DUMMYFUNCTION("""COMPUTED_VALUE"""),184317.0)</f>
        <v>184317</v>
      </c>
      <c r="C1180" s="2">
        <f>IFERROR(__xludf.DUMMYFUNCTION("""COMPUTED_VALUE"""),2026.0)</f>
        <v>2026</v>
      </c>
      <c r="D1180" s="2">
        <f>IFERROR(__xludf.DUMMYFUNCTION("""COMPUTED_VALUE"""),46143.0)</f>
        <v>46143</v>
      </c>
      <c r="E1180" s="2" t="str">
        <f>IFERROR(__xludf.DUMMYFUNCTION("""COMPUTED_VALUE"""),"VF")</f>
        <v>VF</v>
      </c>
      <c r="F1180" s="2">
        <f>IFERROR(__xludf.DUMMYFUNCTION("""COMPUTED_VALUE"""),2.0)</f>
        <v>2</v>
      </c>
      <c r="G1180" s="2" t="str">
        <f>IFERROR(__xludf.DUMMYFUNCTION("""COMPUTED_VALUE"""),"PR047")</f>
        <v>PR047</v>
      </c>
      <c r="H1180" s="2" t="str">
        <f>IFERROR(__xludf.DUMMYFUNCTION("""COMPUTED_VALUE"""),"VD039")</f>
        <v>VD039</v>
      </c>
      <c r="I1180" s="2">
        <f>IFERROR(__xludf.DUMMYFUNCTION("""COMPUTED_VALUE"""),20.0)</f>
        <v>20</v>
      </c>
      <c r="J1180" s="2">
        <f>IFERROR(__xludf.DUMMYFUNCTION("""COMPUTED_VALUE"""),5913.96)</f>
        <v>5913.96</v>
      </c>
      <c r="K1180" s="2">
        <f>IFERROR(__xludf.DUMMYFUNCTION("""COMPUTED_VALUE"""),5913.96)</f>
        <v>5913.96</v>
      </c>
    </row>
    <row r="1181">
      <c r="A1181" s="2">
        <f>IFERROR(__xludf.DUMMYFUNCTION("""COMPUTED_VALUE"""),1000.0)</f>
        <v>1000</v>
      </c>
      <c r="B1181" s="2">
        <f>IFERROR(__xludf.DUMMYFUNCTION("""COMPUTED_VALUE"""),184317.0)</f>
        <v>184317</v>
      </c>
      <c r="C1181" s="2">
        <f>IFERROR(__xludf.DUMMYFUNCTION("""COMPUTED_VALUE"""),2026.0)</f>
        <v>2026</v>
      </c>
      <c r="D1181" s="2">
        <f>IFERROR(__xludf.DUMMYFUNCTION("""COMPUTED_VALUE"""),46143.0)</f>
        <v>46143</v>
      </c>
      <c r="E1181" s="2" t="str">
        <f>IFERROR(__xludf.DUMMYFUNCTION("""COMPUTED_VALUE"""),"VF")</f>
        <v>VF</v>
      </c>
      <c r="F1181" s="2">
        <f>IFERROR(__xludf.DUMMYFUNCTION("""COMPUTED_VALUE"""),3.0)</f>
        <v>3</v>
      </c>
      <c r="G1181" s="2" t="str">
        <f>IFERROR(__xludf.DUMMYFUNCTION("""COMPUTED_VALUE"""),"PR010")</f>
        <v>PR010</v>
      </c>
      <c r="H1181" s="2" t="str">
        <f>IFERROR(__xludf.DUMMYFUNCTION("""COMPUTED_VALUE"""),"VD045")</f>
        <v>VD045</v>
      </c>
      <c r="I1181" s="2">
        <f>IFERROR(__xludf.DUMMYFUNCTION("""COMPUTED_VALUE"""),8.0)</f>
        <v>8</v>
      </c>
      <c r="J1181" s="2">
        <f>IFERROR(__xludf.DUMMYFUNCTION("""COMPUTED_VALUE"""),373.57)</f>
        <v>373.57</v>
      </c>
      <c r="K1181" s="2">
        <f>IFERROR(__xludf.DUMMYFUNCTION("""COMPUTED_VALUE"""),373.57)</f>
        <v>373.57</v>
      </c>
    </row>
    <row r="1182">
      <c r="A1182" s="2">
        <f>IFERROR(__xludf.DUMMYFUNCTION("""COMPUTED_VALUE"""),1000.0)</f>
        <v>1000</v>
      </c>
      <c r="B1182" s="2">
        <f>IFERROR(__xludf.DUMMYFUNCTION("""COMPUTED_VALUE"""),184318.0)</f>
        <v>184318</v>
      </c>
      <c r="C1182" s="2">
        <f>IFERROR(__xludf.DUMMYFUNCTION("""COMPUTED_VALUE"""),2026.0)</f>
        <v>2026</v>
      </c>
      <c r="D1182" s="2">
        <f>IFERROR(__xludf.DUMMYFUNCTION("""COMPUTED_VALUE"""),46143.0)</f>
        <v>46143</v>
      </c>
      <c r="E1182" s="2" t="str">
        <f>IFERROR(__xludf.DUMMYFUNCTION("""COMPUTED_VALUE"""),"VF")</f>
        <v>VF</v>
      </c>
      <c r="F1182" s="2">
        <f>IFERROR(__xludf.DUMMYFUNCTION("""COMPUTED_VALUE"""),1.0)</f>
        <v>1</v>
      </c>
      <c r="G1182" s="2" t="str">
        <f>IFERROR(__xludf.DUMMYFUNCTION("""COMPUTED_VALUE"""),"PR004")</f>
        <v>PR004</v>
      </c>
      <c r="H1182" s="2" t="str">
        <f>IFERROR(__xludf.DUMMYFUNCTION("""COMPUTED_VALUE"""),"VD047")</f>
        <v>VD047</v>
      </c>
      <c r="I1182" s="2">
        <f>IFERROR(__xludf.DUMMYFUNCTION("""COMPUTED_VALUE"""),2.0)</f>
        <v>2</v>
      </c>
      <c r="J1182" s="2">
        <f>IFERROR(__xludf.DUMMYFUNCTION("""COMPUTED_VALUE"""),290.0)</f>
        <v>290</v>
      </c>
      <c r="K1182" s="2">
        <f>IFERROR(__xludf.DUMMYFUNCTION("""COMPUTED_VALUE"""),290.0)</f>
        <v>290</v>
      </c>
    </row>
    <row r="1183">
      <c r="A1183" s="2">
        <f>IFERROR(__xludf.DUMMYFUNCTION("""COMPUTED_VALUE"""),2000.0)</f>
        <v>2000</v>
      </c>
      <c r="B1183" s="2">
        <f>IFERROR(__xludf.DUMMYFUNCTION("""COMPUTED_VALUE"""),184319.0)</f>
        <v>184319</v>
      </c>
      <c r="C1183" s="2">
        <f>IFERROR(__xludf.DUMMYFUNCTION("""COMPUTED_VALUE"""),2026.0)</f>
        <v>2026</v>
      </c>
      <c r="D1183" s="2">
        <f>IFERROR(__xludf.DUMMYFUNCTION("""COMPUTED_VALUE"""),46143.0)</f>
        <v>46143</v>
      </c>
      <c r="E1183" s="2" t="str">
        <f>IFERROR(__xludf.DUMMYFUNCTION("""COMPUTED_VALUE"""),"VF")</f>
        <v>VF</v>
      </c>
      <c r="F1183" s="2">
        <f>IFERROR(__xludf.DUMMYFUNCTION("""COMPUTED_VALUE"""),1.0)</f>
        <v>1</v>
      </c>
      <c r="G1183" s="2" t="str">
        <f>IFERROR(__xludf.DUMMYFUNCTION("""COMPUTED_VALUE"""),"PR028")</f>
        <v>PR028</v>
      </c>
      <c r="H1183" s="2" t="str">
        <f>IFERROR(__xludf.DUMMYFUNCTION("""COMPUTED_VALUE"""),"VD027")</f>
        <v>VD027</v>
      </c>
      <c r="I1183" s="2">
        <f>IFERROR(__xludf.DUMMYFUNCTION("""COMPUTED_VALUE"""),8.0)</f>
        <v>8</v>
      </c>
      <c r="J1183" s="2">
        <f>IFERROR(__xludf.DUMMYFUNCTION("""COMPUTED_VALUE"""),2159.14)</f>
        <v>2159.14</v>
      </c>
      <c r="K1183" s="2">
        <f>IFERROR(__xludf.DUMMYFUNCTION("""COMPUTED_VALUE"""),2159.14)</f>
        <v>2159.14</v>
      </c>
    </row>
    <row r="1184">
      <c r="A1184" s="2">
        <f>IFERROR(__xludf.DUMMYFUNCTION("""COMPUTED_VALUE"""),1000.0)</f>
        <v>1000</v>
      </c>
      <c r="B1184" s="2">
        <f>IFERROR(__xludf.DUMMYFUNCTION("""COMPUTED_VALUE"""),184320.0)</f>
        <v>184320</v>
      </c>
      <c r="C1184" s="2">
        <f>IFERROR(__xludf.DUMMYFUNCTION("""COMPUTED_VALUE"""),2026.0)</f>
        <v>2026</v>
      </c>
      <c r="D1184" s="2">
        <f>IFERROR(__xludf.DUMMYFUNCTION("""COMPUTED_VALUE"""),46142.0)</f>
        <v>46142</v>
      </c>
      <c r="E1184" s="2" t="str">
        <f>IFERROR(__xludf.DUMMYFUNCTION("""COMPUTED_VALUE"""),"VF")</f>
        <v>VF</v>
      </c>
      <c r="F1184" s="2">
        <f>IFERROR(__xludf.DUMMYFUNCTION("""COMPUTED_VALUE"""),1.0)</f>
        <v>1</v>
      </c>
      <c r="G1184" s="2" t="str">
        <f>IFERROR(__xludf.DUMMYFUNCTION("""COMPUTED_VALUE"""),"PR029")</f>
        <v>PR029</v>
      </c>
      <c r="H1184" s="2" t="str">
        <f>IFERROR(__xludf.DUMMYFUNCTION("""COMPUTED_VALUE"""),"VD025")</f>
        <v>VD025</v>
      </c>
      <c r="I1184" s="2">
        <f>IFERROR(__xludf.DUMMYFUNCTION("""COMPUTED_VALUE"""),4.0)</f>
        <v>4</v>
      </c>
      <c r="J1184" s="2">
        <f>IFERROR(__xludf.DUMMYFUNCTION("""COMPUTED_VALUE"""),1050.6)</f>
        <v>1050.6</v>
      </c>
      <c r="K1184" s="2">
        <f>IFERROR(__xludf.DUMMYFUNCTION("""COMPUTED_VALUE"""),1050.6)</f>
        <v>1050.6</v>
      </c>
    </row>
    <row r="1185">
      <c r="A1185" s="2">
        <f>IFERROR(__xludf.DUMMYFUNCTION("""COMPUTED_VALUE"""),1000.0)</f>
        <v>1000</v>
      </c>
      <c r="B1185" s="2">
        <f>IFERROR(__xludf.DUMMYFUNCTION("""COMPUTED_VALUE"""),184321.0)</f>
        <v>184321</v>
      </c>
      <c r="C1185" s="2">
        <f>IFERROR(__xludf.DUMMYFUNCTION("""COMPUTED_VALUE"""),2026.0)</f>
        <v>2026</v>
      </c>
      <c r="D1185" s="2">
        <f>IFERROR(__xludf.DUMMYFUNCTION("""COMPUTED_VALUE"""),46142.0)</f>
        <v>46142</v>
      </c>
      <c r="E1185" s="2" t="str">
        <f>IFERROR(__xludf.DUMMYFUNCTION("""COMPUTED_VALUE"""),"VF")</f>
        <v>VF</v>
      </c>
      <c r="F1185" s="2">
        <f>IFERROR(__xludf.DUMMYFUNCTION("""COMPUTED_VALUE"""),1.0)</f>
        <v>1</v>
      </c>
      <c r="G1185" s="2" t="str">
        <f>IFERROR(__xludf.DUMMYFUNCTION("""COMPUTED_VALUE"""),"PR046")</f>
        <v>PR046</v>
      </c>
      <c r="H1185" s="2" t="str">
        <f>IFERROR(__xludf.DUMMYFUNCTION("""COMPUTED_VALUE"""),"VD042")</f>
        <v>VD042</v>
      </c>
      <c r="I1185" s="2">
        <f>IFERROR(__xludf.DUMMYFUNCTION("""COMPUTED_VALUE"""),10.0)</f>
        <v>10</v>
      </c>
      <c r="J1185" s="2">
        <f>IFERROR(__xludf.DUMMYFUNCTION("""COMPUTED_VALUE"""),3014.96)</f>
        <v>3014.96</v>
      </c>
      <c r="K1185" s="2">
        <f>IFERROR(__xludf.DUMMYFUNCTION("""COMPUTED_VALUE"""),3014.96)</f>
        <v>3014.96</v>
      </c>
    </row>
    <row r="1186">
      <c r="A1186" s="2">
        <f>IFERROR(__xludf.DUMMYFUNCTION("""COMPUTED_VALUE"""),1000.0)</f>
        <v>1000</v>
      </c>
      <c r="B1186" s="2">
        <f>IFERROR(__xludf.DUMMYFUNCTION("""COMPUTED_VALUE"""),184322.0)</f>
        <v>184322</v>
      </c>
      <c r="C1186" s="2">
        <f>IFERROR(__xludf.DUMMYFUNCTION("""COMPUTED_VALUE"""),2026.0)</f>
        <v>2026</v>
      </c>
      <c r="D1186" s="2">
        <f>IFERROR(__xludf.DUMMYFUNCTION("""COMPUTED_VALUE"""),46142.0)</f>
        <v>46142</v>
      </c>
      <c r="E1186" s="2" t="str">
        <f>IFERROR(__xludf.DUMMYFUNCTION("""COMPUTED_VALUE"""),"VF")</f>
        <v>VF</v>
      </c>
      <c r="F1186" s="2">
        <f>IFERROR(__xludf.DUMMYFUNCTION("""COMPUTED_VALUE"""),1.0)</f>
        <v>1</v>
      </c>
      <c r="G1186" s="2" t="str">
        <f>IFERROR(__xludf.DUMMYFUNCTION("""COMPUTED_VALUE"""),"PR043")</f>
        <v>PR043</v>
      </c>
      <c r="H1186" s="2" t="str">
        <f>IFERROR(__xludf.DUMMYFUNCTION("""COMPUTED_VALUE"""),"VD041")</f>
        <v>VD041</v>
      </c>
      <c r="I1186" s="2">
        <f>IFERROR(__xludf.DUMMYFUNCTION("""COMPUTED_VALUE"""),10.0)</f>
        <v>10</v>
      </c>
      <c r="J1186" s="2">
        <f>IFERROR(__xludf.DUMMYFUNCTION("""COMPUTED_VALUE"""),754.0)</f>
        <v>754</v>
      </c>
      <c r="K1186" s="2">
        <f>IFERROR(__xludf.DUMMYFUNCTION("""COMPUTED_VALUE"""),754.0)</f>
        <v>754</v>
      </c>
    </row>
    <row r="1187">
      <c r="A1187" s="2">
        <f>IFERROR(__xludf.DUMMYFUNCTION("""COMPUTED_VALUE"""),2000.0)</f>
        <v>2000</v>
      </c>
      <c r="B1187" s="2">
        <f>IFERROR(__xludf.DUMMYFUNCTION("""COMPUTED_VALUE"""),184323.0)</f>
        <v>184323</v>
      </c>
      <c r="C1187" s="2">
        <f>IFERROR(__xludf.DUMMYFUNCTION("""COMPUTED_VALUE"""),2026.0)</f>
        <v>2026</v>
      </c>
      <c r="D1187" s="2">
        <f>IFERROR(__xludf.DUMMYFUNCTION("""COMPUTED_VALUE"""),46142.0)</f>
        <v>46142</v>
      </c>
      <c r="E1187" s="2" t="str">
        <f>IFERROR(__xludf.DUMMYFUNCTION("""COMPUTED_VALUE"""),"VF")</f>
        <v>VF</v>
      </c>
      <c r="F1187" s="2">
        <f>IFERROR(__xludf.DUMMYFUNCTION("""COMPUTED_VALUE"""),1.0)</f>
        <v>1</v>
      </c>
      <c r="G1187" s="2" t="str">
        <f>IFERROR(__xludf.DUMMYFUNCTION("""COMPUTED_VALUE"""),"PR034")</f>
        <v>PR034</v>
      </c>
      <c r="H1187" s="2" t="str">
        <f>IFERROR(__xludf.DUMMYFUNCTION("""COMPUTED_VALUE"""),"VD032")</f>
        <v>VD032</v>
      </c>
      <c r="I1187" s="2">
        <f>IFERROR(__xludf.DUMMYFUNCTION("""COMPUTED_VALUE"""),8.0)</f>
        <v>8</v>
      </c>
      <c r="J1187" s="2">
        <f>IFERROR(__xludf.DUMMYFUNCTION("""COMPUTED_VALUE"""),726.39)</f>
        <v>726.39</v>
      </c>
      <c r="K1187" s="2">
        <f>IFERROR(__xludf.DUMMYFUNCTION("""COMPUTED_VALUE"""),726.39)</f>
        <v>726.39</v>
      </c>
    </row>
    <row r="1188">
      <c r="A1188" s="2">
        <f>IFERROR(__xludf.DUMMYFUNCTION("""COMPUTED_VALUE"""),1000.0)</f>
        <v>1000</v>
      </c>
      <c r="B1188" s="2">
        <f>IFERROR(__xludf.DUMMYFUNCTION("""COMPUTED_VALUE"""),184324.0)</f>
        <v>184324</v>
      </c>
      <c r="C1188" s="2">
        <f>IFERROR(__xludf.DUMMYFUNCTION("""COMPUTED_VALUE"""),2026.0)</f>
        <v>2026</v>
      </c>
      <c r="D1188" s="2">
        <f>IFERROR(__xludf.DUMMYFUNCTION("""COMPUTED_VALUE"""),46141.0)</f>
        <v>46141</v>
      </c>
      <c r="E1188" s="2" t="str">
        <f>IFERROR(__xludf.DUMMYFUNCTION("""COMPUTED_VALUE"""),"VF")</f>
        <v>VF</v>
      </c>
      <c r="F1188" s="2">
        <f>IFERROR(__xludf.DUMMYFUNCTION("""COMPUTED_VALUE"""),1.0)</f>
        <v>1</v>
      </c>
      <c r="G1188" s="2" t="str">
        <f>IFERROR(__xludf.DUMMYFUNCTION("""COMPUTED_VALUE"""),"PR041")</f>
        <v>PR041</v>
      </c>
      <c r="H1188" s="2" t="str">
        <f>IFERROR(__xludf.DUMMYFUNCTION("""COMPUTED_VALUE"""),"VD044")</f>
        <v>VD044</v>
      </c>
      <c r="I1188" s="2">
        <f>IFERROR(__xludf.DUMMYFUNCTION("""COMPUTED_VALUE"""),6.0)</f>
        <v>6</v>
      </c>
      <c r="J1188" s="2">
        <f>IFERROR(__xludf.DUMMYFUNCTION("""COMPUTED_VALUE"""),335.99)</f>
        <v>335.99</v>
      </c>
      <c r="K1188" s="2">
        <f>IFERROR(__xludf.DUMMYFUNCTION("""COMPUTED_VALUE"""),335.99)</f>
        <v>335.99</v>
      </c>
    </row>
    <row r="1189">
      <c r="A1189" s="2">
        <f>IFERROR(__xludf.DUMMYFUNCTION("""COMPUTED_VALUE"""),1000.0)</f>
        <v>1000</v>
      </c>
      <c r="B1189" s="2">
        <f>IFERROR(__xludf.DUMMYFUNCTION("""COMPUTED_VALUE"""),184324.0)</f>
        <v>184324</v>
      </c>
      <c r="C1189" s="2">
        <f>IFERROR(__xludf.DUMMYFUNCTION("""COMPUTED_VALUE"""),2026.0)</f>
        <v>2026</v>
      </c>
      <c r="D1189" s="2">
        <f>IFERROR(__xludf.DUMMYFUNCTION("""COMPUTED_VALUE"""),46141.0)</f>
        <v>46141</v>
      </c>
      <c r="E1189" s="2" t="str">
        <f>IFERROR(__xludf.DUMMYFUNCTION("""COMPUTED_VALUE"""),"VF")</f>
        <v>VF</v>
      </c>
      <c r="F1189" s="2">
        <f>IFERROR(__xludf.DUMMYFUNCTION("""COMPUTED_VALUE"""),2.0)</f>
        <v>2</v>
      </c>
      <c r="G1189" s="2" t="str">
        <f>IFERROR(__xludf.DUMMYFUNCTION("""COMPUTED_VALUE"""),"PR004")</f>
        <v>PR004</v>
      </c>
      <c r="H1189" s="2" t="str">
        <f>IFERROR(__xludf.DUMMYFUNCTION("""COMPUTED_VALUE"""),"VD041")</f>
        <v>VD041</v>
      </c>
      <c r="I1189" s="2">
        <f>IFERROR(__xludf.DUMMYFUNCTION("""COMPUTED_VALUE"""),12.0)</f>
        <v>12</v>
      </c>
      <c r="J1189" s="2">
        <f>IFERROR(__xludf.DUMMYFUNCTION("""COMPUTED_VALUE"""),1879.2)</f>
        <v>1879.2</v>
      </c>
      <c r="K1189" s="2">
        <f>IFERROR(__xludf.DUMMYFUNCTION("""COMPUTED_VALUE"""),1879.2)</f>
        <v>1879.2</v>
      </c>
    </row>
    <row r="1190">
      <c r="A1190" s="2">
        <f>IFERROR(__xludf.DUMMYFUNCTION("""COMPUTED_VALUE"""),1000.0)</f>
        <v>1000</v>
      </c>
      <c r="B1190" s="2">
        <f>IFERROR(__xludf.DUMMYFUNCTION("""COMPUTED_VALUE"""),184325.0)</f>
        <v>184325</v>
      </c>
      <c r="C1190" s="2">
        <f>IFERROR(__xludf.DUMMYFUNCTION("""COMPUTED_VALUE"""),2026.0)</f>
        <v>2026</v>
      </c>
      <c r="D1190" s="2">
        <f>IFERROR(__xludf.DUMMYFUNCTION("""COMPUTED_VALUE"""),46141.0)</f>
        <v>46141</v>
      </c>
      <c r="E1190" s="2" t="str">
        <f>IFERROR(__xludf.DUMMYFUNCTION("""COMPUTED_VALUE"""),"VF")</f>
        <v>VF</v>
      </c>
      <c r="F1190" s="2">
        <f>IFERROR(__xludf.DUMMYFUNCTION("""COMPUTED_VALUE"""),1.0)</f>
        <v>1</v>
      </c>
      <c r="G1190" s="2" t="str">
        <f>IFERROR(__xludf.DUMMYFUNCTION("""COMPUTED_VALUE"""),"PR041")</f>
        <v>PR041</v>
      </c>
      <c r="H1190" s="2" t="str">
        <f>IFERROR(__xludf.DUMMYFUNCTION("""COMPUTED_VALUE"""),"VD033")</f>
        <v>VD033</v>
      </c>
      <c r="I1190" s="2">
        <f>IFERROR(__xludf.DUMMYFUNCTION("""COMPUTED_VALUE"""),6.0)</f>
        <v>6</v>
      </c>
      <c r="J1190" s="2">
        <f>IFERROR(__xludf.DUMMYFUNCTION("""COMPUTED_VALUE"""),335.99)</f>
        <v>335.99</v>
      </c>
      <c r="K1190" s="2">
        <f>IFERROR(__xludf.DUMMYFUNCTION("""COMPUTED_VALUE"""),335.99)</f>
        <v>335.99</v>
      </c>
    </row>
    <row r="1191">
      <c r="A1191" s="2">
        <f>IFERROR(__xludf.DUMMYFUNCTION("""COMPUTED_VALUE"""),1000.0)</f>
        <v>1000</v>
      </c>
      <c r="B1191" s="2">
        <f>IFERROR(__xludf.DUMMYFUNCTION("""COMPUTED_VALUE"""),184326.0)</f>
        <v>184326</v>
      </c>
      <c r="C1191" s="2">
        <f>IFERROR(__xludf.DUMMYFUNCTION("""COMPUTED_VALUE"""),2026.0)</f>
        <v>2026</v>
      </c>
      <c r="D1191" s="2">
        <f>IFERROR(__xludf.DUMMYFUNCTION("""COMPUTED_VALUE"""),46141.0)</f>
        <v>46141</v>
      </c>
      <c r="E1191" s="2" t="str">
        <f>IFERROR(__xludf.DUMMYFUNCTION("""COMPUTED_VALUE"""),"VF")</f>
        <v>VF</v>
      </c>
      <c r="F1191" s="2">
        <f>IFERROR(__xludf.DUMMYFUNCTION("""COMPUTED_VALUE"""),1.0)</f>
        <v>1</v>
      </c>
      <c r="G1191" s="2" t="str">
        <f>IFERROR(__xludf.DUMMYFUNCTION("""COMPUTED_VALUE"""),"PR048")</f>
        <v>PR048</v>
      </c>
      <c r="H1191" s="2" t="str">
        <f>IFERROR(__xludf.DUMMYFUNCTION("""COMPUTED_VALUE"""),"VD028")</f>
        <v>VD028</v>
      </c>
      <c r="I1191" s="2">
        <f>IFERROR(__xludf.DUMMYFUNCTION("""COMPUTED_VALUE"""),10.0)</f>
        <v>10</v>
      </c>
      <c r="J1191" s="2">
        <f>IFERROR(__xludf.DUMMYFUNCTION("""COMPUTED_VALUE"""),3101.93)</f>
        <v>3101.93</v>
      </c>
      <c r="K1191" s="2">
        <f>IFERROR(__xludf.DUMMYFUNCTION("""COMPUTED_VALUE"""),3101.93)</f>
        <v>3101.93</v>
      </c>
    </row>
    <row r="1192">
      <c r="A1192" s="2">
        <f>IFERROR(__xludf.DUMMYFUNCTION("""COMPUTED_VALUE"""),1000.0)</f>
        <v>1000</v>
      </c>
      <c r="B1192" s="2">
        <f>IFERROR(__xludf.DUMMYFUNCTION("""COMPUTED_VALUE"""),184327.0)</f>
        <v>184327</v>
      </c>
      <c r="C1192" s="2">
        <f>IFERROR(__xludf.DUMMYFUNCTION("""COMPUTED_VALUE"""),2026.0)</f>
        <v>2026</v>
      </c>
      <c r="D1192" s="2">
        <f>IFERROR(__xludf.DUMMYFUNCTION("""COMPUTED_VALUE"""),46141.0)</f>
        <v>46141</v>
      </c>
      <c r="E1192" s="2" t="str">
        <f>IFERROR(__xludf.DUMMYFUNCTION("""COMPUTED_VALUE"""),"VF")</f>
        <v>VF</v>
      </c>
      <c r="F1192" s="2">
        <f>IFERROR(__xludf.DUMMYFUNCTION("""COMPUTED_VALUE"""),1.0)</f>
        <v>1</v>
      </c>
      <c r="G1192" s="2" t="str">
        <f>IFERROR(__xludf.DUMMYFUNCTION("""COMPUTED_VALUE"""),"PR051")</f>
        <v>PR051</v>
      </c>
      <c r="H1192" s="2" t="str">
        <f>IFERROR(__xludf.DUMMYFUNCTION("""COMPUTED_VALUE"""),"VD025")</f>
        <v>VD025</v>
      </c>
      <c r="I1192" s="2">
        <f>IFERROR(__xludf.DUMMYFUNCTION("""COMPUTED_VALUE"""),14.0)</f>
        <v>14</v>
      </c>
      <c r="J1192" s="2">
        <f>IFERROR(__xludf.DUMMYFUNCTION("""COMPUTED_VALUE"""),502.05)</f>
        <v>502.05</v>
      </c>
      <c r="K1192" s="2">
        <f>IFERROR(__xludf.DUMMYFUNCTION("""COMPUTED_VALUE"""),502.05)</f>
        <v>502.05</v>
      </c>
    </row>
    <row r="1193">
      <c r="A1193" s="2">
        <f>IFERROR(__xludf.DUMMYFUNCTION("""COMPUTED_VALUE"""),1000.0)</f>
        <v>1000</v>
      </c>
      <c r="B1193" s="2">
        <f>IFERROR(__xludf.DUMMYFUNCTION("""COMPUTED_VALUE"""),184328.0)</f>
        <v>184328</v>
      </c>
      <c r="C1193" s="2">
        <f>IFERROR(__xludf.DUMMYFUNCTION("""COMPUTED_VALUE"""),2026.0)</f>
        <v>2026</v>
      </c>
      <c r="D1193" s="2">
        <f>IFERROR(__xludf.DUMMYFUNCTION("""COMPUTED_VALUE"""),46141.0)</f>
        <v>46141</v>
      </c>
      <c r="E1193" s="2" t="str">
        <f>IFERROR(__xludf.DUMMYFUNCTION("""COMPUTED_VALUE"""),"VF")</f>
        <v>VF</v>
      </c>
      <c r="F1193" s="2">
        <f>IFERROR(__xludf.DUMMYFUNCTION("""COMPUTED_VALUE"""),1.0)</f>
        <v>1</v>
      </c>
      <c r="G1193" s="2" t="str">
        <f>IFERROR(__xludf.DUMMYFUNCTION("""COMPUTED_VALUE"""),"PR025")</f>
        <v>PR025</v>
      </c>
      <c r="H1193" s="2" t="str">
        <f>IFERROR(__xludf.DUMMYFUNCTION("""COMPUTED_VALUE"""),"VD016")</f>
        <v>VD016</v>
      </c>
      <c r="I1193" s="2">
        <f>IFERROR(__xludf.DUMMYFUNCTION("""COMPUTED_VALUE"""),10.0)</f>
        <v>10</v>
      </c>
      <c r="J1193" s="2">
        <f>IFERROR(__xludf.DUMMYFUNCTION("""COMPUTED_VALUE"""),3058.98)</f>
        <v>3058.98</v>
      </c>
      <c r="K1193" s="2">
        <f>IFERROR(__xludf.DUMMYFUNCTION("""COMPUTED_VALUE"""),3058.98)</f>
        <v>3058.98</v>
      </c>
    </row>
    <row r="1194">
      <c r="A1194" s="2">
        <f>IFERROR(__xludf.DUMMYFUNCTION("""COMPUTED_VALUE"""),1000.0)</f>
        <v>1000</v>
      </c>
      <c r="B1194" s="2">
        <f>IFERROR(__xludf.DUMMYFUNCTION("""COMPUTED_VALUE"""),184329.0)</f>
        <v>184329</v>
      </c>
      <c r="C1194" s="2">
        <f>IFERROR(__xludf.DUMMYFUNCTION("""COMPUTED_VALUE"""),2026.0)</f>
        <v>2026</v>
      </c>
      <c r="D1194" s="2">
        <f>IFERROR(__xludf.DUMMYFUNCTION("""COMPUTED_VALUE"""),46141.0)</f>
        <v>46141</v>
      </c>
      <c r="E1194" s="2" t="str">
        <f>IFERROR(__xludf.DUMMYFUNCTION("""COMPUTED_VALUE"""),"VF")</f>
        <v>VF</v>
      </c>
      <c r="F1194" s="2">
        <f>IFERROR(__xludf.DUMMYFUNCTION("""COMPUTED_VALUE"""),1.0)</f>
        <v>1</v>
      </c>
      <c r="G1194" s="2" t="str">
        <f>IFERROR(__xludf.DUMMYFUNCTION("""COMPUTED_VALUE"""),"PR055")</f>
        <v>PR055</v>
      </c>
      <c r="H1194" s="2" t="str">
        <f>IFERROR(__xludf.DUMMYFUNCTION("""COMPUTED_VALUE"""),"VD029")</f>
        <v>VD029</v>
      </c>
      <c r="I1194" s="2">
        <f>IFERROR(__xludf.DUMMYFUNCTION("""COMPUTED_VALUE"""),2.0)</f>
        <v>2</v>
      </c>
      <c r="J1194" s="2">
        <f>IFERROR(__xludf.DUMMYFUNCTION("""COMPUTED_VALUE"""),195.98)</f>
        <v>195.98</v>
      </c>
      <c r="K1194" s="2">
        <f>IFERROR(__xludf.DUMMYFUNCTION("""COMPUTED_VALUE"""),195.98)</f>
        <v>195.98</v>
      </c>
    </row>
    <row r="1195">
      <c r="A1195" s="2">
        <f>IFERROR(__xludf.DUMMYFUNCTION("""COMPUTED_VALUE"""),1000.0)</f>
        <v>1000</v>
      </c>
      <c r="B1195" s="2">
        <f>IFERROR(__xludf.DUMMYFUNCTION("""COMPUTED_VALUE"""),184329.0)</f>
        <v>184329</v>
      </c>
      <c r="C1195" s="2">
        <f>IFERROR(__xludf.DUMMYFUNCTION("""COMPUTED_VALUE"""),2026.0)</f>
        <v>2026</v>
      </c>
      <c r="D1195" s="2">
        <f>IFERROR(__xludf.DUMMYFUNCTION("""COMPUTED_VALUE"""),46141.0)</f>
        <v>46141</v>
      </c>
      <c r="E1195" s="2" t="str">
        <f>IFERROR(__xludf.DUMMYFUNCTION("""COMPUTED_VALUE"""),"VF")</f>
        <v>VF</v>
      </c>
      <c r="F1195" s="2">
        <f>IFERROR(__xludf.DUMMYFUNCTION("""COMPUTED_VALUE"""),2.0)</f>
        <v>2</v>
      </c>
      <c r="G1195" s="2" t="str">
        <f>IFERROR(__xludf.DUMMYFUNCTION("""COMPUTED_VALUE"""),"PR043")</f>
        <v>PR043</v>
      </c>
      <c r="H1195" s="2" t="str">
        <f>IFERROR(__xludf.DUMMYFUNCTION("""COMPUTED_VALUE"""),"VD042")</f>
        <v>VD042</v>
      </c>
      <c r="I1195" s="2">
        <f>IFERROR(__xludf.DUMMYFUNCTION("""COMPUTED_VALUE"""),18.0)</f>
        <v>18</v>
      </c>
      <c r="J1195" s="2">
        <f>IFERROR(__xludf.DUMMYFUNCTION("""COMPUTED_VALUE"""),1318.05)</f>
        <v>1318.05</v>
      </c>
      <c r="K1195" s="2">
        <f>IFERROR(__xludf.DUMMYFUNCTION("""COMPUTED_VALUE"""),1318.05)</f>
        <v>1318.05</v>
      </c>
    </row>
    <row r="1196">
      <c r="A1196" s="2">
        <f>IFERROR(__xludf.DUMMYFUNCTION("""COMPUTED_VALUE"""),1000.0)</f>
        <v>1000</v>
      </c>
      <c r="B1196" s="2">
        <f>IFERROR(__xludf.DUMMYFUNCTION("""COMPUTED_VALUE"""),184330.0)</f>
        <v>184330</v>
      </c>
      <c r="C1196" s="2">
        <f>IFERROR(__xludf.DUMMYFUNCTION("""COMPUTED_VALUE"""),2026.0)</f>
        <v>2026</v>
      </c>
      <c r="D1196" s="2">
        <f>IFERROR(__xludf.DUMMYFUNCTION("""COMPUTED_VALUE"""),46141.0)</f>
        <v>46141</v>
      </c>
      <c r="E1196" s="2" t="str">
        <f>IFERROR(__xludf.DUMMYFUNCTION("""COMPUTED_VALUE"""),"VF")</f>
        <v>VF</v>
      </c>
      <c r="F1196" s="2">
        <f>IFERROR(__xludf.DUMMYFUNCTION("""COMPUTED_VALUE"""),1.0)</f>
        <v>1</v>
      </c>
      <c r="G1196" s="2" t="str">
        <f>IFERROR(__xludf.DUMMYFUNCTION("""COMPUTED_VALUE"""),"PR010")</f>
        <v>PR010</v>
      </c>
      <c r="H1196" s="2" t="str">
        <f>IFERROR(__xludf.DUMMYFUNCTION("""COMPUTED_VALUE"""),"VD015")</f>
        <v>VD015</v>
      </c>
      <c r="I1196" s="2">
        <f>IFERROR(__xludf.DUMMYFUNCTION("""COMPUTED_VALUE"""),12.0)</f>
        <v>12</v>
      </c>
      <c r="J1196" s="2">
        <f>IFERROR(__xludf.DUMMYFUNCTION("""COMPUTED_VALUE"""),538.8)</f>
        <v>538.8</v>
      </c>
      <c r="K1196" s="2">
        <f>IFERROR(__xludf.DUMMYFUNCTION("""COMPUTED_VALUE"""),538.8)</f>
        <v>538.8</v>
      </c>
    </row>
    <row r="1197">
      <c r="A1197" s="2">
        <f>IFERROR(__xludf.DUMMYFUNCTION("""COMPUTED_VALUE"""),1000.0)</f>
        <v>1000</v>
      </c>
      <c r="B1197" s="2">
        <f>IFERROR(__xludf.DUMMYFUNCTION("""COMPUTED_VALUE"""),184331.0)</f>
        <v>184331</v>
      </c>
      <c r="C1197" s="2">
        <f>IFERROR(__xludf.DUMMYFUNCTION("""COMPUTED_VALUE"""),2026.0)</f>
        <v>2026</v>
      </c>
      <c r="D1197" s="2">
        <f>IFERROR(__xludf.DUMMYFUNCTION("""COMPUTED_VALUE"""),46141.0)</f>
        <v>46141</v>
      </c>
      <c r="E1197" s="2" t="str">
        <f>IFERROR(__xludf.DUMMYFUNCTION("""COMPUTED_VALUE"""),"VF")</f>
        <v>VF</v>
      </c>
      <c r="F1197" s="2">
        <f>IFERROR(__xludf.DUMMYFUNCTION("""COMPUTED_VALUE"""),1.0)</f>
        <v>1</v>
      </c>
      <c r="G1197" s="2" t="str">
        <f>IFERROR(__xludf.DUMMYFUNCTION("""COMPUTED_VALUE"""),"PR043")</f>
        <v>PR043</v>
      </c>
      <c r="H1197" s="2" t="str">
        <f>IFERROR(__xludf.DUMMYFUNCTION("""COMPUTED_VALUE"""),"VD025")</f>
        <v>VD025</v>
      </c>
      <c r="I1197" s="2">
        <f>IFERROR(__xludf.DUMMYFUNCTION("""COMPUTED_VALUE"""),8.0)</f>
        <v>8</v>
      </c>
      <c r="J1197" s="2">
        <f>IFERROR(__xludf.DUMMYFUNCTION("""COMPUTED_VALUE"""),591.6)</f>
        <v>591.6</v>
      </c>
      <c r="K1197" s="2">
        <f>IFERROR(__xludf.DUMMYFUNCTION("""COMPUTED_VALUE"""),591.6)</f>
        <v>591.6</v>
      </c>
    </row>
    <row r="1198">
      <c r="A1198" s="2">
        <f>IFERROR(__xludf.DUMMYFUNCTION("""COMPUTED_VALUE"""),1000.0)</f>
        <v>1000</v>
      </c>
      <c r="B1198" s="2">
        <f>IFERROR(__xludf.DUMMYFUNCTION("""COMPUTED_VALUE"""),184332.0)</f>
        <v>184332</v>
      </c>
      <c r="C1198" s="2">
        <f>IFERROR(__xludf.DUMMYFUNCTION("""COMPUTED_VALUE"""),2026.0)</f>
        <v>2026</v>
      </c>
      <c r="D1198" s="2">
        <f>IFERROR(__xludf.DUMMYFUNCTION("""COMPUTED_VALUE"""),46141.0)</f>
        <v>46141</v>
      </c>
      <c r="E1198" s="2" t="str">
        <f>IFERROR(__xludf.DUMMYFUNCTION("""COMPUTED_VALUE"""),"VF")</f>
        <v>VF</v>
      </c>
      <c r="F1198" s="2">
        <f>IFERROR(__xludf.DUMMYFUNCTION("""COMPUTED_VALUE"""),1.0)</f>
        <v>1</v>
      </c>
      <c r="G1198" s="2" t="str">
        <f>IFERROR(__xludf.DUMMYFUNCTION("""COMPUTED_VALUE"""),"PR041")</f>
        <v>PR041</v>
      </c>
      <c r="H1198" s="2" t="str">
        <f>IFERROR(__xludf.DUMMYFUNCTION("""COMPUTED_VALUE"""),"VD028")</f>
        <v>VD028</v>
      </c>
      <c r="I1198" s="2">
        <f>IFERROR(__xludf.DUMMYFUNCTION("""COMPUTED_VALUE"""),6.0)</f>
        <v>6</v>
      </c>
      <c r="J1198" s="2">
        <f>IFERROR(__xludf.DUMMYFUNCTION("""COMPUTED_VALUE"""),335.99)</f>
        <v>335.99</v>
      </c>
      <c r="K1198" s="2">
        <f>IFERROR(__xludf.DUMMYFUNCTION("""COMPUTED_VALUE"""),335.99)</f>
        <v>335.99</v>
      </c>
    </row>
    <row r="1199">
      <c r="A1199" s="2">
        <f>IFERROR(__xludf.DUMMYFUNCTION("""COMPUTED_VALUE"""),1000.0)</f>
        <v>1000</v>
      </c>
      <c r="B1199" s="2">
        <f>IFERROR(__xludf.DUMMYFUNCTION("""COMPUTED_VALUE"""),184333.0)</f>
        <v>184333</v>
      </c>
      <c r="C1199" s="2">
        <f>IFERROR(__xludf.DUMMYFUNCTION("""COMPUTED_VALUE"""),2026.0)</f>
        <v>2026</v>
      </c>
      <c r="D1199" s="2">
        <f>IFERROR(__xludf.DUMMYFUNCTION("""COMPUTED_VALUE"""),46141.0)</f>
        <v>46141</v>
      </c>
      <c r="E1199" s="2" t="str">
        <f>IFERROR(__xludf.DUMMYFUNCTION("""COMPUTED_VALUE"""),"VF")</f>
        <v>VF</v>
      </c>
      <c r="F1199" s="2">
        <f>IFERROR(__xludf.DUMMYFUNCTION("""COMPUTED_VALUE"""),1.0)</f>
        <v>1</v>
      </c>
      <c r="G1199" s="2" t="str">
        <f>IFERROR(__xludf.DUMMYFUNCTION("""COMPUTED_VALUE"""),"PR001")</f>
        <v>PR001</v>
      </c>
      <c r="H1199" s="2" t="str">
        <f>IFERROR(__xludf.DUMMYFUNCTION("""COMPUTED_VALUE"""),"VD031")</f>
        <v>VD031</v>
      </c>
      <c r="I1199" s="2">
        <f>IFERROR(__xludf.DUMMYFUNCTION("""COMPUTED_VALUE"""),8.0)</f>
        <v>8</v>
      </c>
      <c r="J1199" s="2">
        <f>IFERROR(__xludf.DUMMYFUNCTION("""COMPUTED_VALUE"""),574.65)</f>
        <v>574.65</v>
      </c>
      <c r="K1199" s="2">
        <f>IFERROR(__xludf.DUMMYFUNCTION("""COMPUTED_VALUE"""),574.65)</f>
        <v>574.65</v>
      </c>
    </row>
    <row r="1200">
      <c r="A1200" s="2">
        <f>IFERROR(__xludf.DUMMYFUNCTION("""COMPUTED_VALUE"""),1000.0)</f>
        <v>1000</v>
      </c>
      <c r="B1200" s="2">
        <f>IFERROR(__xludf.DUMMYFUNCTION("""COMPUTED_VALUE"""),184334.0)</f>
        <v>184334</v>
      </c>
      <c r="C1200" s="2">
        <f>IFERROR(__xludf.DUMMYFUNCTION("""COMPUTED_VALUE"""),2026.0)</f>
        <v>2026</v>
      </c>
      <c r="D1200" s="2">
        <f>IFERROR(__xludf.DUMMYFUNCTION("""COMPUTED_VALUE"""),46140.0)</f>
        <v>46140</v>
      </c>
      <c r="E1200" s="2" t="str">
        <f>IFERROR(__xludf.DUMMYFUNCTION("""COMPUTED_VALUE"""),"VF")</f>
        <v>VF</v>
      </c>
      <c r="F1200" s="2">
        <f>IFERROR(__xludf.DUMMYFUNCTION("""COMPUTED_VALUE"""),1.0)</f>
        <v>1</v>
      </c>
      <c r="G1200" s="2" t="str">
        <f>IFERROR(__xludf.DUMMYFUNCTION("""COMPUTED_VALUE"""),"PR007")</f>
        <v>PR007</v>
      </c>
      <c r="H1200" s="2" t="str">
        <f>IFERROR(__xludf.DUMMYFUNCTION("""COMPUTED_VALUE"""),"VD044")</f>
        <v>VD044</v>
      </c>
      <c r="I1200" s="2">
        <f>IFERROR(__xludf.DUMMYFUNCTION("""COMPUTED_VALUE"""),3.0)</f>
        <v>3</v>
      </c>
      <c r="J1200" s="2">
        <f>IFERROR(__xludf.DUMMYFUNCTION("""COMPUTED_VALUE"""),257.7)</f>
        <v>257.7</v>
      </c>
      <c r="K1200" s="2">
        <f>IFERROR(__xludf.DUMMYFUNCTION("""COMPUTED_VALUE"""),257.7)</f>
        <v>257.7</v>
      </c>
    </row>
    <row r="1201">
      <c r="A1201" s="2">
        <f>IFERROR(__xludf.DUMMYFUNCTION("""COMPUTED_VALUE"""),2000.0)</f>
        <v>2000</v>
      </c>
      <c r="B1201" s="2">
        <f>IFERROR(__xludf.DUMMYFUNCTION("""COMPUTED_VALUE"""),184335.0)</f>
        <v>184335</v>
      </c>
      <c r="C1201" s="2">
        <f>IFERROR(__xludf.DUMMYFUNCTION("""COMPUTED_VALUE"""),2026.0)</f>
        <v>2026</v>
      </c>
      <c r="D1201" s="2">
        <f>IFERROR(__xludf.DUMMYFUNCTION("""COMPUTED_VALUE"""),46140.0)</f>
        <v>46140</v>
      </c>
      <c r="E1201" s="2" t="str">
        <f>IFERROR(__xludf.DUMMYFUNCTION("""COMPUTED_VALUE"""),"VF")</f>
        <v>VF</v>
      </c>
      <c r="F1201" s="2">
        <f>IFERROR(__xludf.DUMMYFUNCTION("""COMPUTED_VALUE"""),1.0)</f>
        <v>1</v>
      </c>
      <c r="G1201" s="2" t="str">
        <f>IFERROR(__xludf.DUMMYFUNCTION("""COMPUTED_VALUE"""),"PR032")</f>
        <v>PR032</v>
      </c>
      <c r="H1201" s="2" t="str">
        <f>IFERROR(__xludf.DUMMYFUNCTION("""COMPUTED_VALUE"""),"VD019")</f>
        <v>VD019</v>
      </c>
      <c r="I1201" s="2">
        <f>IFERROR(__xludf.DUMMYFUNCTION("""COMPUTED_VALUE"""),6.0)</f>
        <v>6</v>
      </c>
      <c r="J1201" s="2">
        <f>IFERROR(__xludf.DUMMYFUNCTION("""COMPUTED_VALUE"""),1515.0)</f>
        <v>1515</v>
      </c>
      <c r="K1201" s="2">
        <f>IFERROR(__xludf.DUMMYFUNCTION("""COMPUTED_VALUE"""),1515.0)</f>
        <v>1515</v>
      </c>
    </row>
    <row r="1202">
      <c r="A1202" s="2">
        <f>IFERROR(__xludf.DUMMYFUNCTION("""COMPUTED_VALUE"""),1000.0)</f>
        <v>1000</v>
      </c>
      <c r="B1202" s="2">
        <f>IFERROR(__xludf.DUMMYFUNCTION("""COMPUTED_VALUE"""),184336.0)</f>
        <v>184336</v>
      </c>
      <c r="C1202" s="2">
        <f>IFERROR(__xludf.DUMMYFUNCTION("""COMPUTED_VALUE"""),2026.0)</f>
        <v>2026</v>
      </c>
      <c r="D1202" s="2">
        <f>IFERROR(__xludf.DUMMYFUNCTION("""COMPUTED_VALUE"""),46140.0)</f>
        <v>46140</v>
      </c>
      <c r="E1202" s="2" t="str">
        <f>IFERROR(__xludf.DUMMYFUNCTION("""COMPUTED_VALUE"""),"VF")</f>
        <v>VF</v>
      </c>
      <c r="F1202" s="2">
        <f>IFERROR(__xludf.DUMMYFUNCTION("""COMPUTED_VALUE"""),1.0)</f>
        <v>1</v>
      </c>
      <c r="G1202" s="2" t="str">
        <f>IFERROR(__xludf.DUMMYFUNCTION("""COMPUTED_VALUE"""),"PR040")</f>
        <v>PR040</v>
      </c>
      <c r="H1202" s="2" t="str">
        <f>IFERROR(__xludf.DUMMYFUNCTION("""COMPUTED_VALUE"""),"VD035")</f>
        <v>VD035</v>
      </c>
      <c r="I1202" s="2">
        <f>IFERROR(__xludf.DUMMYFUNCTION("""COMPUTED_VALUE"""),2.0)</f>
        <v>2</v>
      </c>
      <c r="J1202" s="2">
        <f>IFERROR(__xludf.DUMMYFUNCTION("""COMPUTED_VALUE"""),142.8)</f>
        <v>142.8</v>
      </c>
      <c r="K1202" s="2">
        <f>IFERROR(__xludf.DUMMYFUNCTION("""COMPUTED_VALUE"""),142.8)</f>
        <v>142.8</v>
      </c>
    </row>
    <row r="1203">
      <c r="A1203" s="2">
        <f>IFERROR(__xludf.DUMMYFUNCTION("""COMPUTED_VALUE"""),1000.0)</f>
        <v>1000</v>
      </c>
      <c r="B1203" s="2">
        <f>IFERROR(__xludf.DUMMYFUNCTION("""COMPUTED_VALUE"""),184336.0)</f>
        <v>184336</v>
      </c>
      <c r="C1203" s="2">
        <f>IFERROR(__xludf.DUMMYFUNCTION("""COMPUTED_VALUE"""),2026.0)</f>
        <v>2026</v>
      </c>
      <c r="D1203" s="2">
        <f>IFERROR(__xludf.DUMMYFUNCTION("""COMPUTED_VALUE"""),46140.0)</f>
        <v>46140</v>
      </c>
      <c r="E1203" s="2" t="str">
        <f>IFERROR(__xludf.DUMMYFUNCTION("""COMPUTED_VALUE"""),"VF")</f>
        <v>VF</v>
      </c>
      <c r="F1203" s="2">
        <f>IFERROR(__xludf.DUMMYFUNCTION("""COMPUTED_VALUE"""),2.0)</f>
        <v>2</v>
      </c>
      <c r="G1203" s="2" t="str">
        <f>IFERROR(__xludf.DUMMYFUNCTION("""COMPUTED_VALUE"""),"PR027")</f>
        <v>PR027</v>
      </c>
      <c r="H1203" s="2" t="str">
        <f>IFERROR(__xludf.DUMMYFUNCTION("""COMPUTED_VALUE"""),"VD020")</f>
        <v>VD020</v>
      </c>
      <c r="I1203" s="2">
        <f>IFERROR(__xludf.DUMMYFUNCTION("""COMPUTED_VALUE"""),12.0)</f>
        <v>12</v>
      </c>
      <c r="J1203" s="2">
        <f>IFERROR(__xludf.DUMMYFUNCTION("""COMPUTED_VALUE"""),1555.2)</f>
        <v>1555.2</v>
      </c>
      <c r="K1203" s="2">
        <f>IFERROR(__xludf.DUMMYFUNCTION("""COMPUTED_VALUE"""),1555.2)</f>
        <v>1555.2</v>
      </c>
    </row>
    <row r="1204">
      <c r="A1204" s="2">
        <f>IFERROR(__xludf.DUMMYFUNCTION("""COMPUTED_VALUE"""),1000.0)</f>
        <v>1000</v>
      </c>
      <c r="B1204" s="2">
        <f>IFERROR(__xludf.DUMMYFUNCTION("""COMPUTED_VALUE"""),184336.0)</f>
        <v>184336</v>
      </c>
      <c r="C1204" s="2">
        <f>IFERROR(__xludf.DUMMYFUNCTION("""COMPUTED_VALUE"""),2026.0)</f>
        <v>2026</v>
      </c>
      <c r="D1204" s="2">
        <f>IFERROR(__xludf.DUMMYFUNCTION("""COMPUTED_VALUE"""),46140.0)</f>
        <v>46140</v>
      </c>
      <c r="E1204" s="2" t="str">
        <f>IFERROR(__xludf.DUMMYFUNCTION("""COMPUTED_VALUE"""),"VF")</f>
        <v>VF</v>
      </c>
      <c r="F1204" s="2">
        <f>IFERROR(__xludf.DUMMYFUNCTION("""COMPUTED_VALUE"""),3.0)</f>
        <v>3</v>
      </c>
      <c r="G1204" s="2" t="str">
        <f>IFERROR(__xludf.DUMMYFUNCTION("""COMPUTED_VALUE"""),"PR021")</f>
        <v>PR021</v>
      </c>
      <c r="H1204" s="2" t="str">
        <f>IFERROR(__xludf.DUMMYFUNCTION("""COMPUTED_VALUE"""),"VD025")</f>
        <v>VD025</v>
      </c>
      <c r="I1204" s="2">
        <f>IFERROR(__xludf.DUMMYFUNCTION("""COMPUTED_VALUE"""),8.0)</f>
        <v>8</v>
      </c>
      <c r="J1204" s="2">
        <f>IFERROR(__xludf.DUMMYFUNCTION("""COMPUTED_VALUE"""),2447.43)</f>
        <v>2447.43</v>
      </c>
      <c r="K1204" s="2">
        <f>IFERROR(__xludf.DUMMYFUNCTION("""COMPUTED_VALUE"""),2447.43)</f>
        <v>2447.43</v>
      </c>
    </row>
    <row r="1205">
      <c r="A1205" s="2">
        <f>IFERROR(__xludf.DUMMYFUNCTION("""COMPUTED_VALUE"""),2000.0)</f>
        <v>2000</v>
      </c>
      <c r="B1205" s="2">
        <f>IFERROR(__xludf.DUMMYFUNCTION("""COMPUTED_VALUE"""),184336.0)</f>
        <v>184336</v>
      </c>
      <c r="C1205" s="2">
        <f>IFERROR(__xludf.DUMMYFUNCTION("""COMPUTED_VALUE"""),2026.0)</f>
        <v>2026</v>
      </c>
      <c r="D1205" s="2">
        <f>IFERROR(__xludf.DUMMYFUNCTION("""COMPUTED_VALUE"""),46140.0)</f>
        <v>46140</v>
      </c>
      <c r="E1205" s="2" t="str">
        <f>IFERROR(__xludf.DUMMYFUNCTION("""COMPUTED_VALUE"""),"VF")</f>
        <v>VF</v>
      </c>
      <c r="F1205" s="2">
        <f>IFERROR(__xludf.DUMMYFUNCTION("""COMPUTED_VALUE"""),4.0)</f>
        <v>4</v>
      </c>
      <c r="G1205" s="2" t="str">
        <f>IFERROR(__xludf.DUMMYFUNCTION("""COMPUTED_VALUE"""),"PR007")</f>
        <v>PR007</v>
      </c>
      <c r="H1205" s="2" t="str">
        <f>IFERROR(__xludf.DUMMYFUNCTION("""COMPUTED_VALUE"""),"VD010")</f>
        <v>VD010</v>
      </c>
      <c r="I1205" s="2">
        <f>IFERROR(__xludf.DUMMYFUNCTION("""COMPUTED_VALUE"""),14.0)</f>
        <v>14</v>
      </c>
      <c r="J1205" s="2">
        <f>IFERROR(__xludf.DUMMYFUNCTION("""COMPUTED_VALUE"""),1310.83)</f>
        <v>1310.83</v>
      </c>
      <c r="K1205" s="2">
        <f>IFERROR(__xludf.DUMMYFUNCTION("""COMPUTED_VALUE"""),1310.83)</f>
        <v>1310.83</v>
      </c>
    </row>
    <row r="1206">
      <c r="A1206" s="2">
        <f>IFERROR(__xludf.DUMMYFUNCTION("""COMPUTED_VALUE"""),1000.0)</f>
        <v>1000</v>
      </c>
      <c r="B1206" s="2">
        <f>IFERROR(__xludf.DUMMYFUNCTION("""COMPUTED_VALUE"""),184337.0)</f>
        <v>184337</v>
      </c>
      <c r="C1206" s="2">
        <f>IFERROR(__xludf.DUMMYFUNCTION("""COMPUTED_VALUE"""),2026.0)</f>
        <v>2026</v>
      </c>
      <c r="D1206" s="2">
        <f>IFERROR(__xludf.DUMMYFUNCTION("""COMPUTED_VALUE"""),46139.0)</f>
        <v>46139</v>
      </c>
      <c r="E1206" s="2" t="str">
        <f>IFERROR(__xludf.DUMMYFUNCTION("""COMPUTED_VALUE"""),"VF")</f>
        <v>VF</v>
      </c>
      <c r="F1206" s="2">
        <f>IFERROR(__xludf.DUMMYFUNCTION("""COMPUTED_VALUE"""),1.0)</f>
        <v>1</v>
      </c>
      <c r="G1206" s="2" t="str">
        <f>IFERROR(__xludf.DUMMYFUNCTION("""COMPUTED_VALUE"""),"PR049")</f>
        <v>PR049</v>
      </c>
      <c r="H1206" s="2" t="str">
        <f>IFERROR(__xludf.DUMMYFUNCTION("""COMPUTED_VALUE"""),"VD023")</f>
        <v>VD023</v>
      </c>
      <c r="I1206" s="2">
        <f>IFERROR(__xludf.DUMMYFUNCTION("""COMPUTED_VALUE"""),4.0)</f>
        <v>4</v>
      </c>
      <c r="J1206" s="2">
        <f>IFERROR(__xludf.DUMMYFUNCTION("""COMPUTED_VALUE"""),138.18)</f>
        <v>138.18</v>
      </c>
      <c r="K1206" s="2">
        <f>IFERROR(__xludf.DUMMYFUNCTION("""COMPUTED_VALUE"""),138.18)</f>
        <v>138.18</v>
      </c>
    </row>
    <row r="1207">
      <c r="A1207" s="2">
        <f>IFERROR(__xludf.DUMMYFUNCTION("""COMPUTED_VALUE"""),1000.0)</f>
        <v>1000</v>
      </c>
      <c r="B1207" s="2">
        <f>IFERROR(__xludf.DUMMYFUNCTION("""COMPUTED_VALUE"""),184338.0)</f>
        <v>184338</v>
      </c>
      <c r="C1207" s="2">
        <f>IFERROR(__xludf.DUMMYFUNCTION("""COMPUTED_VALUE"""),2026.0)</f>
        <v>2026</v>
      </c>
      <c r="D1207" s="2">
        <f>IFERROR(__xludf.DUMMYFUNCTION("""COMPUTED_VALUE"""),46139.0)</f>
        <v>46139</v>
      </c>
      <c r="E1207" s="2" t="str">
        <f>IFERROR(__xludf.DUMMYFUNCTION("""COMPUTED_VALUE"""),"VF")</f>
        <v>VF</v>
      </c>
      <c r="F1207" s="2">
        <f>IFERROR(__xludf.DUMMYFUNCTION("""COMPUTED_VALUE"""),1.0)</f>
        <v>1</v>
      </c>
      <c r="G1207" s="2" t="str">
        <f>IFERROR(__xludf.DUMMYFUNCTION("""COMPUTED_VALUE"""),"PR011")</f>
        <v>PR011</v>
      </c>
      <c r="H1207" s="2" t="str">
        <f>IFERROR(__xludf.DUMMYFUNCTION("""COMPUTED_VALUE"""),"VD045")</f>
        <v>VD045</v>
      </c>
      <c r="I1207" s="2">
        <f>IFERROR(__xludf.DUMMYFUNCTION("""COMPUTED_VALUE"""),7.0)</f>
        <v>7</v>
      </c>
      <c r="J1207" s="2">
        <f>IFERROR(__xludf.DUMMYFUNCTION("""COMPUTED_VALUE"""),341.43)</f>
        <v>341.43</v>
      </c>
      <c r="K1207" s="2">
        <f>IFERROR(__xludf.DUMMYFUNCTION("""COMPUTED_VALUE"""),341.43)</f>
        <v>341.43</v>
      </c>
    </row>
    <row r="1208">
      <c r="A1208" s="2">
        <f>IFERROR(__xludf.DUMMYFUNCTION("""COMPUTED_VALUE"""),1000.0)</f>
        <v>1000</v>
      </c>
      <c r="B1208" s="2">
        <f>IFERROR(__xludf.DUMMYFUNCTION("""COMPUTED_VALUE"""),184339.0)</f>
        <v>184339</v>
      </c>
      <c r="C1208" s="2">
        <f>IFERROR(__xludf.DUMMYFUNCTION("""COMPUTED_VALUE"""),2026.0)</f>
        <v>2026</v>
      </c>
      <c r="D1208" s="2">
        <f>IFERROR(__xludf.DUMMYFUNCTION("""COMPUTED_VALUE"""),46139.0)</f>
        <v>46139</v>
      </c>
      <c r="E1208" s="2" t="str">
        <f>IFERROR(__xludf.DUMMYFUNCTION("""COMPUTED_VALUE"""),"VF")</f>
        <v>VF</v>
      </c>
      <c r="F1208" s="2">
        <f>IFERROR(__xludf.DUMMYFUNCTION("""COMPUTED_VALUE"""),1.0)</f>
        <v>1</v>
      </c>
      <c r="G1208" s="2" t="str">
        <f>IFERROR(__xludf.DUMMYFUNCTION("""COMPUTED_VALUE"""),"PR014")</f>
        <v>PR014</v>
      </c>
      <c r="H1208" s="2" t="str">
        <f>IFERROR(__xludf.DUMMYFUNCTION("""COMPUTED_VALUE"""),"VD015")</f>
        <v>VD015</v>
      </c>
      <c r="I1208" s="2">
        <f>IFERROR(__xludf.DUMMYFUNCTION("""COMPUTED_VALUE"""),16.0)</f>
        <v>16</v>
      </c>
      <c r="J1208" s="2">
        <f>IFERROR(__xludf.DUMMYFUNCTION("""COMPUTED_VALUE"""),644.78)</f>
        <v>644.78</v>
      </c>
      <c r="K1208" s="2">
        <f>IFERROR(__xludf.DUMMYFUNCTION("""COMPUTED_VALUE"""),644.78)</f>
        <v>644.78</v>
      </c>
    </row>
    <row r="1209">
      <c r="A1209" s="2">
        <f>IFERROR(__xludf.DUMMYFUNCTION("""COMPUTED_VALUE"""),1000.0)</f>
        <v>1000</v>
      </c>
      <c r="B1209" s="2">
        <f>IFERROR(__xludf.DUMMYFUNCTION("""COMPUTED_VALUE"""),184339.0)</f>
        <v>184339</v>
      </c>
      <c r="C1209" s="2">
        <f>IFERROR(__xludf.DUMMYFUNCTION("""COMPUTED_VALUE"""),2026.0)</f>
        <v>2026</v>
      </c>
      <c r="D1209" s="2">
        <f>IFERROR(__xludf.DUMMYFUNCTION("""COMPUTED_VALUE"""),46139.0)</f>
        <v>46139</v>
      </c>
      <c r="E1209" s="2" t="str">
        <f>IFERROR(__xludf.DUMMYFUNCTION("""COMPUTED_VALUE"""),"VF")</f>
        <v>VF</v>
      </c>
      <c r="F1209" s="2">
        <f>IFERROR(__xludf.DUMMYFUNCTION("""COMPUTED_VALUE"""),2.0)</f>
        <v>2</v>
      </c>
      <c r="G1209" s="2" t="str">
        <f>IFERROR(__xludf.DUMMYFUNCTION("""COMPUTED_VALUE"""),"PR021")</f>
        <v>PR021</v>
      </c>
      <c r="H1209" s="2" t="str">
        <f>IFERROR(__xludf.DUMMYFUNCTION("""COMPUTED_VALUE"""),"VD040")</f>
        <v>VD040</v>
      </c>
      <c r="I1209" s="2">
        <f>IFERROR(__xludf.DUMMYFUNCTION("""COMPUTED_VALUE"""),18.0)</f>
        <v>18</v>
      </c>
      <c r="J1209" s="2">
        <f>IFERROR(__xludf.DUMMYFUNCTION("""COMPUTED_VALUE"""),5942.9)</f>
        <v>5942.9</v>
      </c>
      <c r="K1209" s="2">
        <f>IFERROR(__xludf.DUMMYFUNCTION("""COMPUTED_VALUE"""),5942.9)</f>
        <v>5942.9</v>
      </c>
    </row>
    <row r="1210">
      <c r="A1210" s="2">
        <f>IFERROR(__xludf.DUMMYFUNCTION("""COMPUTED_VALUE"""),1000.0)</f>
        <v>1000</v>
      </c>
      <c r="B1210" s="2">
        <f>IFERROR(__xludf.DUMMYFUNCTION("""COMPUTED_VALUE"""),184339.0)</f>
        <v>184339</v>
      </c>
      <c r="C1210" s="2">
        <f>IFERROR(__xludf.DUMMYFUNCTION("""COMPUTED_VALUE"""),2026.0)</f>
        <v>2026</v>
      </c>
      <c r="D1210" s="2">
        <f>IFERROR(__xludf.DUMMYFUNCTION("""COMPUTED_VALUE"""),46139.0)</f>
        <v>46139</v>
      </c>
      <c r="E1210" s="2" t="str">
        <f>IFERROR(__xludf.DUMMYFUNCTION("""COMPUTED_VALUE"""),"VF")</f>
        <v>VF</v>
      </c>
      <c r="F1210" s="2">
        <f>IFERROR(__xludf.DUMMYFUNCTION("""COMPUTED_VALUE"""),3.0)</f>
        <v>3</v>
      </c>
      <c r="G1210" s="2" t="str">
        <f>IFERROR(__xludf.DUMMYFUNCTION("""COMPUTED_VALUE"""),"PR011")</f>
        <v>PR011</v>
      </c>
      <c r="H1210" s="2" t="str">
        <f>IFERROR(__xludf.DUMMYFUNCTION("""COMPUTED_VALUE"""),"VD027")</f>
        <v>VD027</v>
      </c>
      <c r="I1210" s="2">
        <f>IFERROR(__xludf.DUMMYFUNCTION("""COMPUTED_VALUE"""),8.0)</f>
        <v>8</v>
      </c>
      <c r="J1210" s="2">
        <f>IFERROR(__xludf.DUMMYFUNCTION("""COMPUTED_VALUE"""),408.97)</f>
        <v>408.97</v>
      </c>
      <c r="K1210" s="2">
        <f>IFERROR(__xludf.DUMMYFUNCTION("""COMPUTED_VALUE"""),408.97)</f>
        <v>408.97</v>
      </c>
    </row>
    <row r="1211">
      <c r="A1211" s="2">
        <f>IFERROR(__xludf.DUMMYFUNCTION("""COMPUTED_VALUE"""),1000.0)</f>
        <v>1000</v>
      </c>
      <c r="B1211" s="2">
        <f>IFERROR(__xludf.DUMMYFUNCTION("""COMPUTED_VALUE"""),184340.0)</f>
        <v>184340</v>
      </c>
      <c r="C1211" s="2">
        <f>IFERROR(__xludf.DUMMYFUNCTION("""COMPUTED_VALUE"""),2026.0)</f>
        <v>2026</v>
      </c>
      <c r="D1211" s="2">
        <f>IFERROR(__xludf.DUMMYFUNCTION("""COMPUTED_VALUE"""),46138.0)</f>
        <v>46138</v>
      </c>
      <c r="E1211" s="2" t="str">
        <f>IFERROR(__xludf.DUMMYFUNCTION("""COMPUTED_VALUE"""),"VF")</f>
        <v>VF</v>
      </c>
      <c r="F1211" s="2">
        <f>IFERROR(__xludf.DUMMYFUNCTION("""COMPUTED_VALUE"""),1.0)</f>
        <v>1</v>
      </c>
      <c r="G1211" s="2" t="str">
        <f>IFERROR(__xludf.DUMMYFUNCTION("""COMPUTED_VALUE"""),"PR003")</f>
        <v>PR003</v>
      </c>
      <c r="H1211" s="2" t="str">
        <f>IFERROR(__xludf.DUMMYFUNCTION("""COMPUTED_VALUE"""),"VD019")</f>
        <v>VD019</v>
      </c>
      <c r="I1211" s="2">
        <f>IFERROR(__xludf.DUMMYFUNCTION("""COMPUTED_VALUE"""),3.0)</f>
        <v>3</v>
      </c>
      <c r="J1211" s="2">
        <f>IFERROR(__xludf.DUMMYFUNCTION("""COMPUTED_VALUE"""),212.7)</f>
        <v>212.7</v>
      </c>
      <c r="K1211" s="2">
        <f>IFERROR(__xludf.DUMMYFUNCTION("""COMPUTED_VALUE"""),212.7)</f>
        <v>212.7</v>
      </c>
    </row>
    <row r="1212">
      <c r="A1212" s="2">
        <f>IFERROR(__xludf.DUMMYFUNCTION("""COMPUTED_VALUE"""),1000.0)</f>
        <v>1000</v>
      </c>
      <c r="B1212" s="2">
        <f>IFERROR(__xludf.DUMMYFUNCTION("""COMPUTED_VALUE"""),184340.0)</f>
        <v>184340</v>
      </c>
      <c r="C1212" s="2">
        <f>IFERROR(__xludf.DUMMYFUNCTION("""COMPUTED_VALUE"""),2026.0)</f>
        <v>2026</v>
      </c>
      <c r="D1212" s="2">
        <f>IFERROR(__xludf.DUMMYFUNCTION("""COMPUTED_VALUE"""),46138.0)</f>
        <v>46138</v>
      </c>
      <c r="E1212" s="2" t="str">
        <f>IFERROR(__xludf.DUMMYFUNCTION("""COMPUTED_VALUE"""),"VF")</f>
        <v>VF</v>
      </c>
      <c r="F1212" s="2">
        <f>IFERROR(__xludf.DUMMYFUNCTION("""COMPUTED_VALUE"""),2.0)</f>
        <v>2</v>
      </c>
      <c r="G1212" s="2" t="str">
        <f>IFERROR(__xludf.DUMMYFUNCTION("""COMPUTED_VALUE"""),"PR045")</f>
        <v>PR045</v>
      </c>
      <c r="H1212" s="2" t="str">
        <f>IFERROR(__xludf.DUMMYFUNCTION("""COMPUTED_VALUE"""),"VD016")</f>
        <v>VD016</v>
      </c>
      <c r="I1212" s="2">
        <f>IFERROR(__xludf.DUMMYFUNCTION("""COMPUTED_VALUE"""),5.0)</f>
        <v>5</v>
      </c>
      <c r="J1212" s="2">
        <f>IFERROR(__xludf.DUMMYFUNCTION("""COMPUTED_VALUE"""),380.63)</f>
        <v>380.63</v>
      </c>
      <c r="K1212" s="2">
        <f>IFERROR(__xludf.DUMMYFUNCTION("""COMPUTED_VALUE"""),380.63)</f>
        <v>380.63</v>
      </c>
    </row>
    <row r="1213">
      <c r="A1213" s="2">
        <f>IFERROR(__xludf.DUMMYFUNCTION("""COMPUTED_VALUE"""),1000.0)</f>
        <v>1000</v>
      </c>
      <c r="B1213" s="2">
        <f>IFERROR(__xludf.DUMMYFUNCTION("""COMPUTED_VALUE"""),184341.0)</f>
        <v>184341</v>
      </c>
      <c r="C1213" s="2">
        <f>IFERROR(__xludf.DUMMYFUNCTION("""COMPUTED_VALUE"""),2026.0)</f>
        <v>2026</v>
      </c>
      <c r="D1213" s="2">
        <f>IFERROR(__xludf.DUMMYFUNCTION("""COMPUTED_VALUE"""),46138.0)</f>
        <v>46138</v>
      </c>
      <c r="E1213" s="2" t="str">
        <f>IFERROR(__xludf.DUMMYFUNCTION("""COMPUTED_VALUE"""),"VF")</f>
        <v>VF</v>
      </c>
      <c r="F1213" s="2">
        <f>IFERROR(__xludf.DUMMYFUNCTION("""COMPUTED_VALUE"""),1.0)</f>
        <v>1</v>
      </c>
      <c r="G1213" s="2" t="str">
        <f>IFERROR(__xludf.DUMMYFUNCTION("""COMPUTED_VALUE"""),"PR056")</f>
        <v>PR056</v>
      </c>
      <c r="H1213" s="2" t="str">
        <f>IFERROR(__xludf.DUMMYFUNCTION("""COMPUTED_VALUE"""),"VD013")</f>
        <v>VD013</v>
      </c>
      <c r="I1213" s="2">
        <f>IFERROR(__xludf.DUMMYFUNCTION("""COMPUTED_VALUE"""),3.0)</f>
        <v>3</v>
      </c>
      <c r="J1213" s="2">
        <f>IFERROR(__xludf.DUMMYFUNCTION("""COMPUTED_VALUE"""),293.97)</f>
        <v>293.97</v>
      </c>
      <c r="K1213" s="2">
        <f>IFERROR(__xludf.DUMMYFUNCTION("""COMPUTED_VALUE"""),293.97)</f>
        <v>293.97</v>
      </c>
    </row>
    <row r="1214">
      <c r="A1214" s="2">
        <f>IFERROR(__xludf.DUMMYFUNCTION("""COMPUTED_VALUE"""),1000.0)</f>
        <v>1000</v>
      </c>
      <c r="B1214" s="2">
        <f>IFERROR(__xludf.DUMMYFUNCTION("""COMPUTED_VALUE"""),184342.0)</f>
        <v>184342</v>
      </c>
      <c r="C1214" s="2">
        <f>IFERROR(__xludf.DUMMYFUNCTION("""COMPUTED_VALUE"""),2026.0)</f>
        <v>2026</v>
      </c>
      <c r="D1214" s="2">
        <f>IFERROR(__xludf.DUMMYFUNCTION("""COMPUTED_VALUE"""),46138.0)</f>
        <v>46138</v>
      </c>
      <c r="E1214" s="2" t="str">
        <f>IFERROR(__xludf.DUMMYFUNCTION("""COMPUTED_VALUE"""),"VF")</f>
        <v>VF</v>
      </c>
      <c r="F1214" s="2">
        <f>IFERROR(__xludf.DUMMYFUNCTION("""COMPUTED_VALUE"""),1.0)</f>
        <v>1</v>
      </c>
      <c r="G1214" s="2" t="str">
        <f>IFERROR(__xludf.DUMMYFUNCTION("""COMPUTED_VALUE"""),"PR039")</f>
        <v>PR039</v>
      </c>
      <c r="H1214" s="2" t="str">
        <f>IFERROR(__xludf.DUMMYFUNCTION("""COMPUTED_VALUE"""),"VD025")</f>
        <v>VD025</v>
      </c>
      <c r="I1214" s="2">
        <f>IFERROR(__xludf.DUMMYFUNCTION("""COMPUTED_VALUE"""),18.0)</f>
        <v>18</v>
      </c>
      <c r="J1214" s="2">
        <f>IFERROR(__xludf.DUMMYFUNCTION("""COMPUTED_VALUE"""),2733.12)</f>
        <v>2733.12</v>
      </c>
      <c r="K1214" s="2">
        <f>IFERROR(__xludf.DUMMYFUNCTION("""COMPUTED_VALUE"""),2733.12)</f>
        <v>2733.12</v>
      </c>
    </row>
    <row r="1215">
      <c r="A1215" s="2">
        <f>IFERROR(__xludf.DUMMYFUNCTION("""COMPUTED_VALUE"""),1000.0)</f>
        <v>1000</v>
      </c>
      <c r="B1215" s="2">
        <f>IFERROR(__xludf.DUMMYFUNCTION("""COMPUTED_VALUE"""),184343.0)</f>
        <v>184343</v>
      </c>
      <c r="C1215" s="2">
        <f>IFERROR(__xludf.DUMMYFUNCTION("""COMPUTED_VALUE"""),2026.0)</f>
        <v>2026</v>
      </c>
      <c r="D1215" s="2">
        <f>IFERROR(__xludf.DUMMYFUNCTION("""COMPUTED_VALUE"""),46137.0)</f>
        <v>46137</v>
      </c>
      <c r="E1215" s="2" t="str">
        <f>IFERROR(__xludf.DUMMYFUNCTION("""COMPUTED_VALUE"""),"VF")</f>
        <v>VF</v>
      </c>
      <c r="F1215" s="2">
        <f>IFERROR(__xludf.DUMMYFUNCTION("""COMPUTED_VALUE"""),1.0)</f>
        <v>1</v>
      </c>
      <c r="G1215" s="2" t="str">
        <f>IFERROR(__xludf.DUMMYFUNCTION("""COMPUTED_VALUE"""),"PR001")</f>
        <v>PR001</v>
      </c>
      <c r="H1215" s="2" t="str">
        <f>IFERROR(__xludf.DUMMYFUNCTION("""COMPUTED_VALUE"""),"VD025")</f>
        <v>VD025</v>
      </c>
      <c r="I1215" s="2">
        <f>IFERROR(__xludf.DUMMYFUNCTION("""COMPUTED_VALUE"""),9.0)</f>
        <v>9</v>
      </c>
      <c r="J1215" s="2">
        <f>IFERROR(__xludf.DUMMYFUNCTION("""COMPUTED_VALUE"""),610.89)</f>
        <v>610.89</v>
      </c>
      <c r="K1215" s="2">
        <f>IFERROR(__xludf.DUMMYFUNCTION("""COMPUTED_VALUE"""),610.89)</f>
        <v>610.89</v>
      </c>
    </row>
    <row r="1216">
      <c r="A1216" s="2">
        <f>IFERROR(__xludf.DUMMYFUNCTION("""COMPUTED_VALUE"""),1000.0)</f>
        <v>1000</v>
      </c>
      <c r="B1216" s="2">
        <f>IFERROR(__xludf.DUMMYFUNCTION("""COMPUTED_VALUE"""),184344.0)</f>
        <v>184344</v>
      </c>
      <c r="C1216" s="2">
        <f>IFERROR(__xludf.DUMMYFUNCTION("""COMPUTED_VALUE"""),2026.0)</f>
        <v>2026</v>
      </c>
      <c r="D1216" s="2">
        <f>IFERROR(__xludf.DUMMYFUNCTION("""COMPUTED_VALUE"""),46137.0)</f>
        <v>46137</v>
      </c>
      <c r="E1216" s="2" t="str">
        <f>IFERROR(__xludf.DUMMYFUNCTION("""COMPUTED_VALUE"""),"VF")</f>
        <v>VF</v>
      </c>
      <c r="F1216" s="2">
        <f>IFERROR(__xludf.DUMMYFUNCTION("""COMPUTED_VALUE"""),1.0)</f>
        <v>1</v>
      </c>
      <c r="G1216" s="2" t="str">
        <f>IFERROR(__xludf.DUMMYFUNCTION("""COMPUTED_VALUE"""),"PR004")</f>
        <v>PR004</v>
      </c>
      <c r="H1216" s="2" t="str">
        <f>IFERROR(__xludf.DUMMYFUNCTION("""COMPUTED_VALUE"""),"VD021")</f>
        <v>VD021</v>
      </c>
      <c r="I1216" s="2">
        <f>IFERROR(__xludf.DUMMYFUNCTION("""COMPUTED_VALUE"""),10.0)</f>
        <v>10</v>
      </c>
      <c r="J1216" s="2">
        <f>IFERROR(__xludf.DUMMYFUNCTION("""COMPUTED_VALUE"""),1537.0)</f>
        <v>1537</v>
      </c>
      <c r="K1216" s="2">
        <f>IFERROR(__xludf.DUMMYFUNCTION("""COMPUTED_VALUE"""),1537.0)</f>
        <v>1537</v>
      </c>
    </row>
    <row r="1217">
      <c r="A1217" s="2">
        <f>IFERROR(__xludf.DUMMYFUNCTION("""COMPUTED_VALUE"""),1000.0)</f>
        <v>1000</v>
      </c>
      <c r="B1217" s="2">
        <f>IFERROR(__xludf.DUMMYFUNCTION("""COMPUTED_VALUE"""),184344.0)</f>
        <v>184344</v>
      </c>
      <c r="C1217" s="2">
        <f>IFERROR(__xludf.DUMMYFUNCTION("""COMPUTED_VALUE"""),2026.0)</f>
        <v>2026</v>
      </c>
      <c r="D1217" s="2">
        <f>IFERROR(__xludf.DUMMYFUNCTION("""COMPUTED_VALUE"""),46137.0)</f>
        <v>46137</v>
      </c>
      <c r="E1217" s="2" t="str">
        <f>IFERROR(__xludf.DUMMYFUNCTION("""COMPUTED_VALUE"""),"VF")</f>
        <v>VF</v>
      </c>
      <c r="F1217" s="2">
        <f>IFERROR(__xludf.DUMMYFUNCTION("""COMPUTED_VALUE"""),2.0)</f>
        <v>2</v>
      </c>
      <c r="G1217" s="2" t="str">
        <f>IFERROR(__xludf.DUMMYFUNCTION("""COMPUTED_VALUE"""),"PR026")</f>
        <v>PR026</v>
      </c>
      <c r="H1217" s="2" t="str">
        <f>IFERROR(__xludf.DUMMYFUNCTION("""COMPUTED_VALUE"""),"VD011")</f>
        <v>VD011</v>
      </c>
      <c r="I1217" s="2">
        <f>IFERROR(__xludf.DUMMYFUNCTION("""COMPUTED_VALUE"""),3.0)</f>
        <v>3</v>
      </c>
      <c r="J1217" s="2">
        <f>IFERROR(__xludf.DUMMYFUNCTION("""COMPUTED_VALUE"""),1060.2)</f>
        <v>1060.2</v>
      </c>
      <c r="K1217" s="2">
        <f>IFERROR(__xludf.DUMMYFUNCTION("""COMPUTED_VALUE"""),1060.2)</f>
        <v>1060.2</v>
      </c>
    </row>
    <row r="1218">
      <c r="A1218" s="2">
        <f>IFERROR(__xludf.DUMMYFUNCTION("""COMPUTED_VALUE"""),1000.0)</f>
        <v>1000</v>
      </c>
      <c r="B1218" s="2">
        <f>IFERROR(__xludf.DUMMYFUNCTION("""COMPUTED_VALUE"""),184345.0)</f>
        <v>184345</v>
      </c>
      <c r="C1218" s="2">
        <f>IFERROR(__xludf.DUMMYFUNCTION("""COMPUTED_VALUE"""),2026.0)</f>
        <v>2026</v>
      </c>
      <c r="D1218" s="2">
        <f>IFERROR(__xludf.DUMMYFUNCTION("""COMPUTED_VALUE"""),46137.0)</f>
        <v>46137</v>
      </c>
      <c r="E1218" s="2" t="str">
        <f>IFERROR(__xludf.DUMMYFUNCTION("""COMPUTED_VALUE"""),"VF")</f>
        <v>VF</v>
      </c>
      <c r="F1218" s="2">
        <f>IFERROR(__xludf.DUMMYFUNCTION("""COMPUTED_VALUE"""),1.0)</f>
        <v>1</v>
      </c>
      <c r="G1218" s="2" t="str">
        <f>IFERROR(__xludf.DUMMYFUNCTION("""COMPUTED_VALUE"""),"PR013")</f>
        <v>PR013</v>
      </c>
      <c r="H1218" s="2" t="str">
        <f>IFERROR(__xludf.DUMMYFUNCTION("""COMPUTED_VALUE"""),"VD025")</f>
        <v>VD025</v>
      </c>
      <c r="I1218" s="2">
        <f>IFERROR(__xludf.DUMMYFUNCTION("""COMPUTED_VALUE"""),18.0)</f>
        <v>18</v>
      </c>
      <c r="J1218" s="2">
        <f>IFERROR(__xludf.DUMMYFUNCTION("""COMPUTED_VALUE"""),732.56)</f>
        <v>732.56</v>
      </c>
      <c r="K1218" s="2">
        <f>IFERROR(__xludf.DUMMYFUNCTION("""COMPUTED_VALUE"""),732.56)</f>
        <v>732.56</v>
      </c>
    </row>
    <row r="1219">
      <c r="A1219" s="2">
        <f>IFERROR(__xludf.DUMMYFUNCTION("""COMPUTED_VALUE"""),1000.0)</f>
        <v>1000</v>
      </c>
      <c r="B1219" s="2">
        <f>IFERROR(__xludf.DUMMYFUNCTION("""COMPUTED_VALUE"""),184346.0)</f>
        <v>184346</v>
      </c>
      <c r="C1219" s="2">
        <f>IFERROR(__xludf.DUMMYFUNCTION("""COMPUTED_VALUE"""),2026.0)</f>
        <v>2026</v>
      </c>
      <c r="D1219" s="2">
        <f>IFERROR(__xludf.DUMMYFUNCTION("""COMPUTED_VALUE"""),46137.0)</f>
        <v>46137</v>
      </c>
      <c r="E1219" s="2" t="str">
        <f>IFERROR(__xludf.DUMMYFUNCTION("""COMPUTED_VALUE"""),"VF")</f>
        <v>VF</v>
      </c>
      <c r="F1219" s="2">
        <f>IFERROR(__xludf.DUMMYFUNCTION("""COMPUTED_VALUE"""),1.0)</f>
        <v>1</v>
      </c>
      <c r="G1219" s="2" t="str">
        <f>IFERROR(__xludf.DUMMYFUNCTION("""COMPUTED_VALUE"""),"PR033")</f>
        <v>PR033</v>
      </c>
      <c r="H1219" s="2" t="str">
        <f>IFERROR(__xludf.DUMMYFUNCTION("""COMPUTED_VALUE"""),"VD023")</f>
        <v>VD023</v>
      </c>
      <c r="I1219" s="2">
        <f>IFERROR(__xludf.DUMMYFUNCTION("""COMPUTED_VALUE"""),7.0)</f>
        <v>7</v>
      </c>
      <c r="J1219" s="2">
        <f>IFERROR(__xludf.DUMMYFUNCTION("""COMPUTED_VALUE"""),2001.23)</f>
        <v>2001.23</v>
      </c>
      <c r="K1219" s="2">
        <f>IFERROR(__xludf.DUMMYFUNCTION("""COMPUTED_VALUE"""),2001.23)</f>
        <v>2001.23</v>
      </c>
    </row>
    <row r="1220">
      <c r="A1220" s="2">
        <f>IFERROR(__xludf.DUMMYFUNCTION("""COMPUTED_VALUE"""),1000.0)</f>
        <v>1000</v>
      </c>
      <c r="B1220" s="2">
        <f>IFERROR(__xludf.DUMMYFUNCTION("""COMPUTED_VALUE"""),184347.0)</f>
        <v>184347</v>
      </c>
      <c r="C1220" s="2">
        <f>IFERROR(__xludf.DUMMYFUNCTION("""COMPUTED_VALUE"""),2026.0)</f>
        <v>2026</v>
      </c>
      <c r="D1220" s="2">
        <f>IFERROR(__xludf.DUMMYFUNCTION("""COMPUTED_VALUE"""),46136.0)</f>
        <v>46136</v>
      </c>
      <c r="E1220" s="2" t="str">
        <f>IFERROR(__xludf.DUMMYFUNCTION("""COMPUTED_VALUE"""),"VF")</f>
        <v>VF</v>
      </c>
      <c r="F1220" s="2">
        <f>IFERROR(__xludf.DUMMYFUNCTION("""COMPUTED_VALUE"""),1.0)</f>
        <v>1</v>
      </c>
      <c r="G1220" s="2" t="str">
        <f>IFERROR(__xludf.DUMMYFUNCTION("""COMPUTED_VALUE"""),"PR052")</f>
        <v>PR052</v>
      </c>
      <c r="H1220" s="2" t="str">
        <f>IFERROR(__xludf.DUMMYFUNCTION("""COMPUTED_VALUE"""),"VD022")</f>
        <v>VD022</v>
      </c>
      <c r="I1220" s="2">
        <f>IFERROR(__xludf.DUMMYFUNCTION("""COMPUTED_VALUE"""),5.0)</f>
        <v>5</v>
      </c>
      <c r="J1220" s="2">
        <f>IFERROR(__xludf.DUMMYFUNCTION("""COMPUTED_VALUE"""),254.49)</f>
        <v>254.49</v>
      </c>
      <c r="K1220" s="2">
        <f>IFERROR(__xludf.DUMMYFUNCTION("""COMPUTED_VALUE"""),254.49)</f>
        <v>254.49</v>
      </c>
    </row>
    <row r="1221">
      <c r="A1221" s="2">
        <f>IFERROR(__xludf.DUMMYFUNCTION("""COMPUTED_VALUE"""),2000.0)</f>
        <v>2000</v>
      </c>
      <c r="B1221" s="2">
        <f>IFERROR(__xludf.DUMMYFUNCTION("""COMPUTED_VALUE"""),184348.0)</f>
        <v>184348</v>
      </c>
      <c r="C1221" s="2">
        <f>IFERROR(__xludf.DUMMYFUNCTION("""COMPUTED_VALUE"""),2026.0)</f>
        <v>2026</v>
      </c>
      <c r="D1221" s="2">
        <f>IFERROR(__xludf.DUMMYFUNCTION("""COMPUTED_VALUE"""),46136.0)</f>
        <v>46136</v>
      </c>
      <c r="E1221" s="2" t="str">
        <f>IFERROR(__xludf.DUMMYFUNCTION("""COMPUTED_VALUE"""),"VF")</f>
        <v>VF</v>
      </c>
      <c r="F1221" s="2">
        <f>IFERROR(__xludf.DUMMYFUNCTION("""COMPUTED_VALUE"""),1.0)</f>
        <v>1</v>
      </c>
      <c r="G1221" s="2" t="str">
        <f>IFERROR(__xludf.DUMMYFUNCTION("""COMPUTED_VALUE"""),"PR028")</f>
        <v>PR028</v>
      </c>
      <c r="H1221" s="2" t="str">
        <f>IFERROR(__xludf.DUMMYFUNCTION("""COMPUTED_VALUE"""),"VD024")</f>
        <v>VD024</v>
      </c>
      <c r="I1221" s="2">
        <f>IFERROR(__xludf.DUMMYFUNCTION("""COMPUTED_VALUE"""),18.0)</f>
        <v>18</v>
      </c>
      <c r="J1221" s="2">
        <f>IFERROR(__xludf.DUMMYFUNCTION("""COMPUTED_VALUE"""),4498.2)</f>
        <v>4498.2</v>
      </c>
      <c r="K1221" s="2">
        <f>IFERROR(__xludf.DUMMYFUNCTION("""COMPUTED_VALUE"""),4498.2)</f>
        <v>4498.2</v>
      </c>
    </row>
    <row r="1222">
      <c r="A1222" s="2">
        <f>IFERROR(__xludf.DUMMYFUNCTION("""COMPUTED_VALUE"""),1000.0)</f>
        <v>1000</v>
      </c>
      <c r="B1222" s="2">
        <f>IFERROR(__xludf.DUMMYFUNCTION("""COMPUTED_VALUE"""),184349.0)</f>
        <v>184349</v>
      </c>
      <c r="C1222" s="2">
        <f>IFERROR(__xludf.DUMMYFUNCTION("""COMPUTED_VALUE"""),2026.0)</f>
        <v>2026</v>
      </c>
      <c r="D1222" s="2">
        <f>IFERROR(__xludf.DUMMYFUNCTION("""COMPUTED_VALUE"""),46136.0)</f>
        <v>46136</v>
      </c>
      <c r="E1222" s="2" t="str">
        <f>IFERROR(__xludf.DUMMYFUNCTION("""COMPUTED_VALUE"""),"VF")</f>
        <v>VF</v>
      </c>
      <c r="F1222" s="2">
        <f>IFERROR(__xludf.DUMMYFUNCTION("""COMPUTED_VALUE"""),1.0)</f>
        <v>1</v>
      </c>
      <c r="G1222" s="2" t="str">
        <f>IFERROR(__xludf.DUMMYFUNCTION("""COMPUTED_VALUE"""),"PR032")</f>
        <v>PR032</v>
      </c>
      <c r="H1222" s="2" t="str">
        <f>IFERROR(__xludf.DUMMYFUNCTION("""COMPUTED_VALUE"""),"VD026")</f>
        <v>VD026</v>
      </c>
      <c r="I1222" s="2">
        <f>IFERROR(__xludf.DUMMYFUNCTION("""COMPUTED_VALUE"""),7.0)</f>
        <v>7</v>
      </c>
      <c r="J1222" s="2">
        <f>IFERROR(__xludf.DUMMYFUNCTION("""COMPUTED_VALUE"""),1785.0)</f>
        <v>1785</v>
      </c>
      <c r="K1222" s="2">
        <f>IFERROR(__xludf.DUMMYFUNCTION("""COMPUTED_VALUE"""),1785.0)</f>
        <v>1785</v>
      </c>
    </row>
    <row r="1223">
      <c r="A1223" s="2">
        <f>IFERROR(__xludf.DUMMYFUNCTION("""COMPUTED_VALUE"""),1000.0)</f>
        <v>1000</v>
      </c>
      <c r="B1223" s="2">
        <f>IFERROR(__xludf.DUMMYFUNCTION("""COMPUTED_VALUE"""),184349.0)</f>
        <v>184349</v>
      </c>
      <c r="C1223" s="2">
        <f>IFERROR(__xludf.DUMMYFUNCTION("""COMPUTED_VALUE"""),2026.0)</f>
        <v>2026</v>
      </c>
      <c r="D1223" s="2">
        <f>IFERROR(__xludf.DUMMYFUNCTION("""COMPUTED_VALUE"""),46136.0)</f>
        <v>46136</v>
      </c>
      <c r="E1223" s="2" t="str">
        <f>IFERROR(__xludf.DUMMYFUNCTION("""COMPUTED_VALUE"""),"VF")</f>
        <v>VF</v>
      </c>
      <c r="F1223" s="2">
        <f>IFERROR(__xludf.DUMMYFUNCTION("""COMPUTED_VALUE"""),2.0)</f>
        <v>2</v>
      </c>
      <c r="G1223" s="2" t="str">
        <f>IFERROR(__xludf.DUMMYFUNCTION("""COMPUTED_VALUE"""),"PR014")</f>
        <v>PR014</v>
      </c>
      <c r="H1223" s="2" t="str">
        <f>IFERROR(__xludf.DUMMYFUNCTION("""COMPUTED_VALUE"""),"VD019")</f>
        <v>VD019</v>
      </c>
      <c r="I1223" s="2">
        <f>IFERROR(__xludf.DUMMYFUNCTION("""COMPUTED_VALUE"""),2.0)</f>
        <v>2</v>
      </c>
      <c r="J1223" s="2">
        <f>IFERROR(__xludf.DUMMYFUNCTION("""COMPUTED_VALUE"""),85.39)</f>
        <v>85.39</v>
      </c>
      <c r="K1223" s="2">
        <f>IFERROR(__xludf.DUMMYFUNCTION("""COMPUTED_VALUE"""),85.39)</f>
        <v>85.39</v>
      </c>
    </row>
    <row r="1224">
      <c r="A1224" s="2">
        <f>IFERROR(__xludf.DUMMYFUNCTION("""COMPUTED_VALUE"""),1000.0)</f>
        <v>1000</v>
      </c>
      <c r="B1224" s="2">
        <f>IFERROR(__xludf.DUMMYFUNCTION("""COMPUTED_VALUE"""),184350.0)</f>
        <v>184350</v>
      </c>
      <c r="C1224" s="2">
        <f>IFERROR(__xludf.DUMMYFUNCTION("""COMPUTED_VALUE"""),2026.0)</f>
        <v>2026</v>
      </c>
      <c r="D1224" s="2">
        <f>IFERROR(__xludf.DUMMYFUNCTION("""COMPUTED_VALUE"""),46135.0)</f>
        <v>46135</v>
      </c>
      <c r="E1224" s="2" t="str">
        <f>IFERROR(__xludf.DUMMYFUNCTION("""COMPUTED_VALUE"""),"VF")</f>
        <v>VF</v>
      </c>
      <c r="F1224" s="2">
        <f>IFERROR(__xludf.DUMMYFUNCTION("""COMPUTED_VALUE"""),1.0)</f>
        <v>1</v>
      </c>
      <c r="G1224" s="2" t="str">
        <f>IFERROR(__xludf.DUMMYFUNCTION("""COMPUTED_VALUE"""),"PR027")</f>
        <v>PR027</v>
      </c>
      <c r="H1224" s="2" t="str">
        <f>IFERROR(__xludf.DUMMYFUNCTION("""COMPUTED_VALUE"""),"VD011")</f>
        <v>VD011</v>
      </c>
      <c r="I1224" s="2">
        <f>IFERROR(__xludf.DUMMYFUNCTION("""COMPUTED_VALUE"""),4.0)</f>
        <v>4</v>
      </c>
      <c r="J1224" s="2">
        <f>IFERROR(__xludf.DUMMYFUNCTION("""COMPUTED_VALUE"""),513.6)</f>
        <v>513.6</v>
      </c>
      <c r="K1224" s="2">
        <f>IFERROR(__xludf.DUMMYFUNCTION("""COMPUTED_VALUE"""),513.6)</f>
        <v>513.6</v>
      </c>
    </row>
    <row r="1225">
      <c r="A1225" s="2">
        <f>IFERROR(__xludf.DUMMYFUNCTION("""COMPUTED_VALUE"""),1000.0)</f>
        <v>1000</v>
      </c>
      <c r="B1225" s="2">
        <f>IFERROR(__xludf.DUMMYFUNCTION("""COMPUTED_VALUE"""),184351.0)</f>
        <v>184351</v>
      </c>
      <c r="C1225" s="2">
        <f>IFERROR(__xludf.DUMMYFUNCTION("""COMPUTED_VALUE"""),2026.0)</f>
        <v>2026</v>
      </c>
      <c r="D1225" s="2">
        <f>IFERROR(__xludf.DUMMYFUNCTION("""COMPUTED_VALUE"""),46135.0)</f>
        <v>46135</v>
      </c>
      <c r="E1225" s="2" t="str">
        <f>IFERROR(__xludf.DUMMYFUNCTION("""COMPUTED_VALUE"""),"VF")</f>
        <v>VF</v>
      </c>
      <c r="F1225" s="2">
        <f>IFERROR(__xludf.DUMMYFUNCTION("""COMPUTED_VALUE"""),1.0)</f>
        <v>1</v>
      </c>
      <c r="G1225" s="2" t="str">
        <f>IFERROR(__xludf.DUMMYFUNCTION("""COMPUTED_VALUE"""),"PR054")</f>
        <v>PR054</v>
      </c>
      <c r="H1225" s="2" t="str">
        <f>IFERROR(__xludf.DUMMYFUNCTION("""COMPUTED_VALUE"""),"VD039")</f>
        <v>VD039</v>
      </c>
      <c r="I1225" s="2">
        <f>IFERROR(__xludf.DUMMYFUNCTION("""COMPUTED_VALUE"""),10.0)</f>
        <v>10</v>
      </c>
      <c r="J1225" s="2">
        <f>IFERROR(__xludf.DUMMYFUNCTION("""COMPUTED_VALUE"""),528.94)</f>
        <v>528.94</v>
      </c>
      <c r="K1225" s="2">
        <f>IFERROR(__xludf.DUMMYFUNCTION("""COMPUTED_VALUE"""),528.94)</f>
        <v>528.94</v>
      </c>
    </row>
    <row r="1226">
      <c r="A1226" s="2">
        <f>IFERROR(__xludf.DUMMYFUNCTION("""COMPUTED_VALUE"""),1000.0)</f>
        <v>1000</v>
      </c>
      <c r="B1226" s="2">
        <f>IFERROR(__xludf.DUMMYFUNCTION("""COMPUTED_VALUE"""),184352.0)</f>
        <v>184352</v>
      </c>
      <c r="C1226" s="2">
        <f>IFERROR(__xludf.DUMMYFUNCTION("""COMPUTED_VALUE"""),2026.0)</f>
        <v>2026</v>
      </c>
      <c r="D1226" s="2">
        <f>IFERROR(__xludf.DUMMYFUNCTION("""COMPUTED_VALUE"""),46134.0)</f>
        <v>46134</v>
      </c>
      <c r="E1226" s="2" t="str">
        <f>IFERROR(__xludf.DUMMYFUNCTION("""COMPUTED_VALUE"""),"VF")</f>
        <v>VF</v>
      </c>
      <c r="F1226" s="2">
        <f>IFERROR(__xludf.DUMMYFUNCTION("""COMPUTED_VALUE"""),1.0)</f>
        <v>1</v>
      </c>
      <c r="G1226" s="2" t="str">
        <f>IFERROR(__xludf.DUMMYFUNCTION("""COMPUTED_VALUE"""),"PR050")</f>
        <v>PR050</v>
      </c>
      <c r="H1226" s="2" t="str">
        <f>IFERROR(__xludf.DUMMYFUNCTION("""COMPUTED_VALUE"""),"VD016")</f>
        <v>VD016</v>
      </c>
      <c r="I1226" s="2">
        <f>IFERROR(__xludf.DUMMYFUNCTION("""COMPUTED_VALUE"""),4.0)</f>
        <v>4</v>
      </c>
      <c r="J1226" s="2">
        <f>IFERROR(__xludf.DUMMYFUNCTION("""COMPUTED_VALUE"""),139.5)</f>
        <v>139.5</v>
      </c>
      <c r="K1226" s="2">
        <f>IFERROR(__xludf.DUMMYFUNCTION("""COMPUTED_VALUE"""),139.5)</f>
        <v>139.5</v>
      </c>
    </row>
    <row r="1227">
      <c r="A1227" s="2">
        <f>IFERROR(__xludf.DUMMYFUNCTION("""COMPUTED_VALUE"""),1000.0)</f>
        <v>1000</v>
      </c>
      <c r="B1227" s="2">
        <f>IFERROR(__xludf.DUMMYFUNCTION("""COMPUTED_VALUE"""),184353.0)</f>
        <v>184353</v>
      </c>
      <c r="C1227" s="2">
        <f>IFERROR(__xludf.DUMMYFUNCTION("""COMPUTED_VALUE"""),2026.0)</f>
        <v>2026</v>
      </c>
      <c r="D1227" s="2">
        <f>IFERROR(__xludf.DUMMYFUNCTION("""COMPUTED_VALUE"""),46134.0)</f>
        <v>46134</v>
      </c>
      <c r="E1227" s="2" t="str">
        <f>IFERROR(__xludf.DUMMYFUNCTION("""COMPUTED_VALUE"""),"VF")</f>
        <v>VF</v>
      </c>
      <c r="F1227" s="2">
        <f>IFERROR(__xludf.DUMMYFUNCTION("""COMPUTED_VALUE"""),1.0)</f>
        <v>1</v>
      </c>
      <c r="G1227" s="2" t="str">
        <f>IFERROR(__xludf.DUMMYFUNCTION("""COMPUTED_VALUE"""),"PR041")</f>
        <v>PR041</v>
      </c>
      <c r="H1227" s="2" t="str">
        <f>IFERROR(__xludf.DUMMYFUNCTION("""COMPUTED_VALUE"""),"VD027")</f>
        <v>VD027</v>
      </c>
      <c r="I1227" s="2">
        <f>IFERROR(__xludf.DUMMYFUNCTION("""COMPUTED_VALUE"""),10.0)</f>
        <v>10</v>
      </c>
      <c r="J1227" s="2">
        <f>IFERROR(__xludf.DUMMYFUNCTION("""COMPUTED_VALUE"""),592.92)</f>
        <v>592.92</v>
      </c>
      <c r="K1227" s="2">
        <f>IFERROR(__xludf.DUMMYFUNCTION("""COMPUTED_VALUE"""),592.92)</f>
        <v>592.92</v>
      </c>
    </row>
    <row r="1228">
      <c r="A1228" s="2">
        <f>IFERROR(__xludf.DUMMYFUNCTION("""COMPUTED_VALUE"""),1000.0)</f>
        <v>1000</v>
      </c>
      <c r="B1228" s="2">
        <f>IFERROR(__xludf.DUMMYFUNCTION("""COMPUTED_VALUE"""),184354.0)</f>
        <v>184354</v>
      </c>
      <c r="C1228" s="2">
        <f>IFERROR(__xludf.DUMMYFUNCTION("""COMPUTED_VALUE"""),2026.0)</f>
        <v>2026</v>
      </c>
      <c r="D1228" s="2">
        <f>IFERROR(__xludf.DUMMYFUNCTION("""COMPUTED_VALUE"""),46134.0)</f>
        <v>46134</v>
      </c>
      <c r="E1228" s="2" t="str">
        <f>IFERROR(__xludf.DUMMYFUNCTION("""COMPUTED_VALUE"""),"VF")</f>
        <v>VF</v>
      </c>
      <c r="F1228" s="2">
        <f>IFERROR(__xludf.DUMMYFUNCTION("""COMPUTED_VALUE"""),1.0)</f>
        <v>1</v>
      </c>
      <c r="G1228" s="2" t="str">
        <f>IFERROR(__xludf.DUMMYFUNCTION("""COMPUTED_VALUE"""),"PR046")</f>
        <v>PR046</v>
      </c>
      <c r="H1228" s="2" t="str">
        <f>IFERROR(__xludf.DUMMYFUNCTION("""COMPUTED_VALUE"""),"VD020")</f>
        <v>VD020</v>
      </c>
      <c r="I1228" s="2">
        <f>IFERROR(__xludf.DUMMYFUNCTION("""COMPUTED_VALUE"""),12.0)</f>
        <v>12</v>
      </c>
      <c r="J1228" s="2">
        <f>IFERROR(__xludf.DUMMYFUNCTION("""COMPUTED_VALUE"""),3513.59)</f>
        <v>3513.59</v>
      </c>
      <c r="K1228" s="2">
        <f>IFERROR(__xludf.DUMMYFUNCTION("""COMPUTED_VALUE"""),3513.59)</f>
        <v>3513.59</v>
      </c>
    </row>
    <row r="1229">
      <c r="A1229" s="2">
        <f>IFERROR(__xludf.DUMMYFUNCTION("""COMPUTED_VALUE"""),1000.0)</f>
        <v>1000</v>
      </c>
      <c r="B1229" s="2">
        <f>IFERROR(__xludf.DUMMYFUNCTION("""COMPUTED_VALUE"""),184355.0)</f>
        <v>184355</v>
      </c>
      <c r="C1229" s="2">
        <f>IFERROR(__xludf.DUMMYFUNCTION("""COMPUTED_VALUE"""),2026.0)</f>
        <v>2026</v>
      </c>
      <c r="D1229" s="2">
        <f>IFERROR(__xludf.DUMMYFUNCTION("""COMPUTED_VALUE"""),46134.0)</f>
        <v>46134</v>
      </c>
      <c r="E1229" s="2" t="str">
        <f>IFERROR(__xludf.DUMMYFUNCTION("""COMPUTED_VALUE"""),"VF")</f>
        <v>VF</v>
      </c>
      <c r="F1229" s="2">
        <f>IFERROR(__xludf.DUMMYFUNCTION("""COMPUTED_VALUE"""),1.0)</f>
        <v>1</v>
      </c>
      <c r="G1229" s="2" t="str">
        <f>IFERROR(__xludf.DUMMYFUNCTION("""COMPUTED_VALUE"""),"PR039")</f>
        <v>PR039</v>
      </c>
      <c r="H1229" s="2" t="str">
        <f>IFERROR(__xludf.DUMMYFUNCTION("""COMPUTED_VALUE"""),"VD048")</f>
        <v>VD048</v>
      </c>
      <c r="I1229" s="2">
        <f>IFERROR(__xludf.DUMMYFUNCTION("""COMPUTED_VALUE"""),12.0)</f>
        <v>12</v>
      </c>
      <c r="J1229" s="2">
        <f>IFERROR(__xludf.DUMMYFUNCTION("""COMPUTED_VALUE"""),1752.0)</f>
        <v>1752</v>
      </c>
      <c r="K1229" s="2">
        <f>IFERROR(__xludf.DUMMYFUNCTION("""COMPUTED_VALUE"""),1752.0)</f>
        <v>1752</v>
      </c>
    </row>
    <row r="1230">
      <c r="A1230" s="2">
        <f>IFERROR(__xludf.DUMMYFUNCTION("""COMPUTED_VALUE"""),2000.0)</f>
        <v>2000</v>
      </c>
      <c r="B1230" s="2">
        <f>IFERROR(__xludf.DUMMYFUNCTION("""COMPUTED_VALUE"""),184356.0)</f>
        <v>184356</v>
      </c>
      <c r="C1230" s="2">
        <f>IFERROR(__xludf.DUMMYFUNCTION("""COMPUTED_VALUE"""),2026.0)</f>
        <v>2026</v>
      </c>
      <c r="D1230" s="2">
        <f>IFERROR(__xludf.DUMMYFUNCTION("""COMPUTED_VALUE"""),46134.0)</f>
        <v>46134</v>
      </c>
      <c r="E1230" s="2" t="str">
        <f>IFERROR(__xludf.DUMMYFUNCTION("""COMPUTED_VALUE"""),"VF")</f>
        <v>VF</v>
      </c>
      <c r="F1230" s="2">
        <f>IFERROR(__xludf.DUMMYFUNCTION("""COMPUTED_VALUE"""),1.0)</f>
        <v>1</v>
      </c>
      <c r="G1230" s="2" t="str">
        <f>IFERROR(__xludf.DUMMYFUNCTION("""COMPUTED_VALUE"""),"PR008")</f>
        <v>PR008</v>
      </c>
      <c r="H1230" s="2" t="str">
        <f>IFERROR(__xludf.DUMMYFUNCTION("""COMPUTED_VALUE"""),"VD033")</f>
        <v>VD033</v>
      </c>
      <c r="I1230" s="2">
        <f>IFERROR(__xludf.DUMMYFUNCTION("""COMPUTED_VALUE"""),8.0)</f>
        <v>8</v>
      </c>
      <c r="J1230" s="2">
        <f>IFERROR(__xludf.DUMMYFUNCTION("""COMPUTED_VALUE"""),776.74)</f>
        <v>776.74</v>
      </c>
      <c r="K1230" s="2">
        <f>IFERROR(__xludf.DUMMYFUNCTION("""COMPUTED_VALUE"""),776.74)</f>
        <v>776.74</v>
      </c>
    </row>
    <row r="1231">
      <c r="A1231" s="2">
        <f>IFERROR(__xludf.DUMMYFUNCTION("""COMPUTED_VALUE"""),1000.0)</f>
        <v>1000</v>
      </c>
      <c r="B1231" s="2">
        <f>IFERROR(__xludf.DUMMYFUNCTION("""COMPUTED_VALUE"""),184356.0)</f>
        <v>184356</v>
      </c>
      <c r="C1231" s="2">
        <f>IFERROR(__xludf.DUMMYFUNCTION("""COMPUTED_VALUE"""),2026.0)</f>
        <v>2026</v>
      </c>
      <c r="D1231" s="2">
        <f>IFERROR(__xludf.DUMMYFUNCTION("""COMPUTED_VALUE"""),46133.0)</f>
        <v>46133</v>
      </c>
      <c r="E1231" s="2" t="str">
        <f>IFERROR(__xludf.DUMMYFUNCTION("""COMPUTED_VALUE"""),"VF")</f>
        <v>VF</v>
      </c>
      <c r="F1231" s="2">
        <f>IFERROR(__xludf.DUMMYFUNCTION("""COMPUTED_VALUE"""),2.0)</f>
        <v>2</v>
      </c>
      <c r="G1231" s="2" t="str">
        <f>IFERROR(__xludf.DUMMYFUNCTION("""COMPUTED_VALUE"""),"PR035")</f>
        <v>PR035</v>
      </c>
      <c r="H1231" s="2" t="str">
        <f>IFERROR(__xludf.DUMMYFUNCTION("""COMPUTED_VALUE"""),"VD011")</f>
        <v>VD011</v>
      </c>
      <c r="I1231" s="2">
        <f>IFERROR(__xludf.DUMMYFUNCTION("""COMPUTED_VALUE"""),2.0)</f>
        <v>2</v>
      </c>
      <c r="J1231" s="2">
        <f>IFERROR(__xludf.DUMMYFUNCTION("""COMPUTED_VALUE"""),186.46)</f>
        <v>186.46</v>
      </c>
      <c r="K1231" s="2">
        <f>IFERROR(__xludf.DUMMYFUNCTION("""COMPUTED_VALUE"""),186.46)</f>
        <v>186.46</v>
      </c>
    </row>
    <row r="1232">
      <c r="A1232" s="2">
        <f>IFERROR(__xludf.DUMMYFUNCTION("""COMPUTED_VALUE"""),2000.0)</f>
        <v>2000</v>
      </c>
      <c r="B1232" s="2">
        <f>IFERROR(__xludf.DUMMYFUNCTION("""COMPUTED_VALUE"""),184356.0)</f>
        <v>184356</v>
      </c>
      <c r="C1232" s="2">
        <f>IFERROR(__xludf.DUMMYFUNCTION("""COMPUTED_VALUE"""),2026.0)</f>
        <v>2026</v>
      </c>
      <c r="D1232" s="2">
        <f>IFERROR(__xludf.DUMMYFUNCTION("""COMPUTED_VALUE"""),46133.0)</f>
        <v>46133</v>
      </c>
      <c r="E1232" s="2" t="str">
        <f>IFERROR(__xludf.DUMMYFUNCTION("""COMPUTED_VALUE"""),"VF")</f>
        <v>VF</v>
      </c>
      <c r="F1232" s="2">
        <f>IFERROR(__xludf.DUMMYFUNCTION("""COMPUTED_VALUE"""),3.0)</f>
        <v>3</v>
      </c>
      <c r="G1232" s="2" t="str">
        <f>IFERROR(__xludf.DUMMYFUNCTION("""COMPUTED_VALUE"""),"PR026")</f>
        <v>PR026</v>
      </c>
      <c r="H1232" s="2" t="str">
        <f>IFERROR(__xludf.DUMMYFUNCTION("""COMPUTED_VALUE"""),"VD025")</f>
        <v>VD025</v>
      </c>
      <c r="I1232" s="2">
        <f>IFERROR(__xludf.DUMMYFUNCTION("""COMPUTED_VALUE"""),16.0)</f>
        <v>16</v>
      </c>
      <c r="J1232" s="2">
        <f>IFERROR(__xludf.DUMMYFUNCTION("""COMPUTED_VALUE"""),5710.37)</f>
        <v>5710.37</v>
      </c>
      <c r="K1232" s="2">
        <f>IFERROR(__xludf.DUMMYFUNCTION("""COMPUTED_VALUE"""),5710.37)</f>
        <v>5710.37</v>
      </c>
    </row>
    <row r="1233">
      <c r="A1233" s="2">
        <f>IFERROR(__xludf.DUMMYFUNCTION("""COMPUTED_VALUE"""),2000.0)</f>
        <v>2000</v>
      </c>
      <c r="B1233" s="2">
        <f>IFERROR(__xludf.DUMMYFUNCTION("""COMPUTED_VALUE"""),184357.0)</f>
        <v>184357</v>
      </c>
      <c r="C1233" s="2">
        <f>IFERROR(__xludf.DUMMYFUNCTION("""COMPUTED_VALUE"""),2026.0)</f>
        <v>2026</v>
      </c>
      <c r="D1233" s="2">
        <f>IFERROR(__xludf.DUMMYFUNCTION("""COMPUTED_VALUE"""),46132.0)</f>
        <v>46132</v>
      </c>
      <c r="E1233" s="2" t="str">
        <f>IFERROR(__xludf.DUMMYFUNCTION("""COMPUTED_VALUE"""),"VF")</f>
        <v>VF</v>
      </c>
      <c r="F1233" s="2">
        <f>IFERROR(__xludf.DUMMYFUNCTION("""COMPUTED_VALUE"""),1.0)</f>
        <v>1</v>
      </c>
      <c r="G1233" s="2" t="str">
        <f>IFERROR(__xludf.DUMMYFUNCTION("""COMPUTED_VALUE"""),"PR059")</f>
        <v>PR059</v>
      </c>
      <c r="H1233" s="2" t="str">
        <f>IFERROR(__xludf.DUMMYFUNCTION("""COMPUTED_VALUE"""),"VD033")</f>
        <v>VD033</v>
      </c>
      <c r="I1233" s="2">
        <f>IFERROR(__xludf.DUMMYFUNCTION("""COMPUTED_VALUE"""),20.0)</f>
        <v>20</v>
      </c>
      <c r="J1233" s="2">
        <f>IFERROR(__xludf.DUMMYFUNCTION("""COMPUTED_VALUE"""),3924.0)</f>
        <v>3924</v>
      </c>
      <c r="K1233" s="2">
        <f>IFERROR(__xludf.DUMMYFUNCTION("""COMPUTED_VALUE"""),3924.0)</f>
        <v>3924</v>
      </c>
    </row>
    <row r="1234">
      <c r="A1234" s="2">
        <f>IFERROR(__xludf.DUMMYFUNCTION("""COMPUTED_VALUE"""),1000.0)</f>
        <v>1000</v>
      </c>
      <c r="B1234" s="2">
        <f>IFERROR(__xludf.DUMMYFUNCTION("""COMPUTED_VALUE"""),184358.0)</f>
        <v>184358</v>
      </c>
      <c r="C1234" s="2">
        <f>IFERROR(__xludf.DUMMYFUNCTION("""COMPUTED_VALUE"""),2026.0)</f>
        <v>2026</v>
      </c>
      <c r="D1234" s="2">
        <f>IFERROR(__xludf.DUMMYFUNCTION("""COMPUTED_VALUE"""),46132.0)</f>
        <v>46132</v>
      </c>
      <c r="E1234" s="2" t="str">
        <f>IFERROR(__xludf.DUMMYFUNCTION("""COMPUTED_VALUE"""),"VF")</f>
        <v>VF</v>
      </c>
      <c r="F1234" s="2">
        <f>IFERROR(__xludf.DUMMYFUNCTION("""COMPUTED_VALUE"""),1.0)</f>
        <v>1</v>
      </c>
      <c r="G1234" s="2" t="str">
        <f>IFERROR(__xludf.DUMMYFUNCTION("""COMPUTED_VALUE"""),"PR033")</f>
        <v>PR033</v>
      </c>
      <c r="H1234" s="2" t="str">
        <f>IFERROR(__xludf.DUMMYFUNCTION("""COMPUTED_VALUE"""),"VD035")</f>
        <v>VD035</v>
      </c>
      <c r="I1234" s="2">
        <f>IFERROR(__xludf.DUMMYFUNCTION("""COMPUTED_VALUE"""),6.0)</f>
        <v>6</v>
      </c>
      <c r="J1234" s="2">
        <f>IFERROR(__xludf.DUMMYFUNCTION("""COMPUTED_VALUE"""),1652.96)</f>
        <v>1652.96</v>
      </c>
      <c r="K1234" s="2">
        <f>IFERROR(__xludf.DUMMYFUNCTION("""COMPUTED_VALUE"""),1652.96)</f>
        <v>1652.96</v>
      </c>
    </row>
    <row r="1235">
      <c r="A1235" s="2">
        <f>IFERROR(__xludf.DUMMYFUNCTION("""COMPUTED_VALUE"""),1000.0)</f>
        <v>1000</v>
      </c>
      <c r="B1235" s="2">
        <f>IFERROR(__xludf.DUMMYFUNCTION("""COMPUTED_VALUE"""),184359.0)</f>
        <v>184359</v>
      </c>
      <c r="C1235" s="2">
        <f>IFERROR(__xludf.DUMMYFUNCTION("""COMPUTED_VALUE"""),2026.0)</f>
        <v>2026</v>
      </c>
      <c r="D1235" s="2">
        <f>IFERROR(__xludf.DUMMYFUNCTION("""COMPUTED_VALUE"""),46132.0)</f>
        <v>46132</v>
      </c>
      <c r="E1235" s="2" t="str">
        <f>IFERROR(__xludf.DUMMYFUNCTION("""COMPUTED_VALUE"""),"VF")</f>
        <v>VF</v>
      </c>
      <c r="F1235" s="2">
        <f>IFERROR(__xludf.DUMMYFUNCTION("""COMPUTED_VALUE"""),1.0)</f>
        <v>1</v>
      </c>
      <c r="G1235" s="2" t="str">
        <f>IFERROR(__xludf.DUMMYFUNCTION("""COMPUTED_VALUE"""),"PR044")</f>
        <v>PR044</v>
      </c>
      <c r="H1235" s="2" t="str">
        <f>IFERROR(__xludf.DUMMYFUNCTION("""COMPUTED_VALUE"""),"VD034")</f>
        <v>VD034</v>
      </c>
      <c r="I1235" s="2">
        <f>IFERROR(__xludf.DUMMYFUNCTION("""COMPUTED_VALUE"""),6.0)</f>
        <v>6</v>
      </c>
      <c r="J1235" s="2">
        <f>IFERROR(__xludf.DUMMYFUNCTION("""COMPUTED_VALUE"""),439.35)</f>
        <v>439.35</v>
      </c>
      <c r="K1235" s="2">
        <f>IFERROR(__xludf.DUMMYFUNCTION("""COMPUTED_VALUE"""),439.35)</f>
        <v>439.35</v>
      </c>
    </row>
    <row r="1236">
      <c r="A1236" s="2">
        <f>IFERROR(__xludf.DUMMYFUNCTION("""COMPUTED_VALUE"""),2000.0)</f>
        <v>2000</v>
      </c>
      <c r="B1236" s="2">
        <f>IFERROR(__xludf.DUMMYFUNCTION("""COMPUTED_VALUE"""),184360.0)</f>
        <v>184360</v>
      </c>
      <c r="C1236" s="2">
        <f>IFERROR(__xludf.DUMMYFUNCTION("""COMPUTED_VALUE"""),2026.0)</f>
        <v>2026</v>
      </c>
      <c r="D1236" s="2">
        <f>IFERROR(__xludf.DUMMYFUNCTION("""COMPUTED_VALUE"""),46132.0)</f>
        <v>46132</v>
      </c>
      <c r="E1236" s="2" t="str">
        <f>IFERROR(__xludf.DUMMYFUNCTION("""COMPUTED_VALUE"""),"VF")</f>
        <v>VF</v>
      </c>
      <c r="F1236" s="2">
        <f>IFERROR(__xludf.DUMMYFUNCTION("""COMPUTED_VALUE"""),1.0)</f>
        <v>1</v>
      </c>
      <c r="G1236" s="2" t="str">
        <f>IFERROR(__xludf.DUMMYFUNCTION("""COMPUTED_VALUE"""),"PR050")</f>
        <v>PR050</v>
      </c>
      <c r="H1236" s="2" t="str">
        <f>IFERROR(__xludf.DUMMYFUNCTION("""COMPUTED_VALUE"""),"VD026")</f>
        <v>VD026</v>
      </c>
      <c r="I1236" s="2">
        <f>IFERROR(__xludf.DUMMYFUNCTION("""COMPUTED_VALUE"""),1.0)</f>
        <v>1</v>
      </c>
      <c r="J1236" s="2">
        <f>IFERROR(__xludf.DUMMYFUNCTION("""COMPUTED_VALUE"""),33.56)</f>
        <v>33.56</v>
      </c>
      <c r="K1236" s="2">
        <f>IFERROR(__xludf.DUMMYFUNCTION("""COMPUTED_VALUE"""),33.56)</f>
        <v>33.56</v>
      </c>
    </row>
    <row r="1237">
      <c r="A1237" s="2">
        <f>IFERROR(__xludf.DUMMYFUNCTION("""COMPUTED_VALUE"""),1000.0)</f>
        <v>1000</v>
      </c>
      <c r="B1237" s="2">
        <f>IFERROR(__xludf.DUMMYFUNCTION("""COMPUTED_VALUE"""),184361.0)</f>
        <v>184361</v>
      </c>
      <c r="C1237" s="2">
        <f>IFERROR(__xludf.DUMMYFUNCTION("""COMPUTED_VALUE"""),2026.0)</f>
        <v>2026</v>
      </c>
      <c r="D1237" s="2">
        <f>IFERROR(__xludf.DUMMYFUNCTION("""COMPUTED_VALUE"""),46132.0)</f>
        <v>46132</v>
      </c>
      <c r="E1237" s="2" t="str">
        <f>IFERROR(__xludf.DUMMYFUNCTION("""COMPUTED_VALUE"""),"VF")</f>
        <v>VF</v>
      </c>
      <c r="F1237" s="2">
        <f>IFERROR(__xludf.DUMMYFUNCTION("""COMPUTED_VALUE"""),1.0)</f>
        <v>1</v>
      </c>
      <c r="G1237" s="2" t="str">
        <f>IFERROR(__xludf.DUMMYFUNCTION("""COMPUTED_VALUE"""),"PR019")</f>
        <v>PR019</v>
      </c>
      <c r="H1237" s="2" t="str">
        <f>IFERROR(__xludf.DUMMYFUNCTION("""COMPUTED_VALUE"""),"VD010")</f>
        <v>VD010</v>
      </c>
      <c r="I1237" s="2">
        <f>IFERROR(__xludf.DUMMYFUNCTION("""COMPUTED_VALUE"""),6.0)</f>
        <v>6</v>
      </c>
      <c r="J1237" s="2">
        <f>IFERROR(__xludf.DUMMYFUNCTION("""COMPUTED_VALUE"""),323.35)</f>
        <v>323.35</v>
      </c>
      <c r="K1237" s="2">
        <f>IFERROR(__xludf.DUMMYFUNCTION("""COMPUTED_VALUE"""),323.35)</f>
        <v>323.35</v>
      </c>
    </row>
    <row r="1238">
      <c r="A1238" s="2">
        <f>IFERROR(__xludf.DUMMYFUNCTION("""COMPUTED_VALUE"""),1000.0)</f>
        <v>1000</v>
      </c>
      <c r="B1238" s="2">
        <f>IFERROR(__xludf.DUMMYFUNCTION("""COMPUTED_VALUE"""),184362.0)</f>
        <v>184362</v>
      </c>
      <c r="C1238" s="2">
        <f>IFERROR(__xludf.DUMMYFUNCTION("""COMPUTED_VALUE"""),2026.0)</f>
        <v>2026</v>
      </c>
      <c r="D1238" s="2">
        <f>IFERROR(__xludf.DUMMYFUNCTION("""COMPUTED_VALUE"""),46132.0)</f>
        <v>46132</v>
      </c>
      <c r="E1238" s="2" t="str">
        <f>IFERROR(__xludf.DUMMYFUNCTION("""COMPUTED_VALUE"""),"VF")</f>
        <v>VF</v>
      </c>
      <c r="F1238" s="2">
        <f>IFERROR(__xludf.DUMMYFUNCTION("""COMPUTED_VALUE"""),1.0)</f>
        <v>1</v>
      </c>
      <c r="G1238" s="2" t="str">
        <f>IFERROR(__xludf.DUMMYFUNCTION("""COMPUTED_VALUE"""),"PR058")</f>
        <v>PR058</v>
      </c>
      <c r="H1238" s="2" t="str">
        <f>IFERROR(__xludf.DUMMYFUNCTION("""COMPUTED_VALUE"""),"VD019")</f>
        <v>VD019</v>
      </c>
      <c r="I1238" s="2">
        <f>IFERROR(__xludf.DUMMYFUNCTION("""COMPUTED_VALUE"""),16.0)</f>
        <v>16</v>
      </c>
      <c r="J1238" s="2">
        <f>IFERROR(__xludf.DUMMYFUNCTION("""COMPUTED_VALUE"""),2908.8)</f>
        <v>2908.8</v>
      </c>
      <c r="K1238" s="2">
        <f>IFERROR(__xludf.DUMMYFUNCTION("""COMPUTED_VALUE"""),2908.8)</f>
        <v>2908.8</v>
      </c>
    </row>
    <row r="1239">
      <c r="A1239" s="2">
        <f>IFERROR(__xludf.DUMMYFUNCTION("""COMPUTED_VALUE"""),1000.0)</f>
        <v>1000</v>
      </c>
      <c r="B1239" s="2">
        <f>IFERROR(__xludf.DUMMYFUNCTION("""COMPUTED_VALUE"""),184363.0)</f>
        <v>184363</v>
      </c>
      <c r="C1239" s="2">
        <f>IFERROR(__xludf.DUMMYFUNCTION("""COMPUTED_VALUE"""),2026.0)</f>
        <v>2026</v>
      </c>
      <c r="D1239" s="2">
        <f>IFERROR(__xludf.DUMMYFUNCTION("""COMPUTED_VALUE"""),46132.0)</f>
        <v>46132</v>
      </c>
      <c r="E1239" s="2" t="str">
        <f>IFERROR(__xludf.DUMMYFUNCTION("""COMPUTED_VALUE"""),"VF")</f>
        <v>VF</v>
      </c>
      <c r="F1239" s="2">
        <f>IFERROR(__xludf.DUMMYFUNCTION("""COMPUTED_VALUE"""),1.0)</f>
        <v>1</v>
      </c>
      <c r="G1239" s="2" t="str">
        <f>IFERROR(__xludf.DUMMYFUNCTION("""COMPUTED_VALUE"""),"PR024")</f>
        <v>PR024</v>
      </c>
      <c r="H1239" s="2" t="str">
        <f>IFERROR(__xludf.DUMMYFUNCTION("""COMPUTED_VALUE"""),"VD015")</f>
        <v>VD015</v>
      </c>
      <c r="I1239" s="2">
        <f>IFERROR(__xludf.DUMMYFUNCTION("""COMPUTED_VALUE"""),5.0)</f>
        <v>5</v>
      </c>
      <c r="J1239" s="2">
        <f>IFERROR(__xludf.DUMMYFUNCTION("""COMPUTED_VALUE"""),1390.47)</f>
        <v>1390.47</v>
      </c>
      <c r="K1239" s="2">
        <f>IFERROR(__xludf.DUMMYFUNCTION("""COMPUTED_VALUE"""),1390.47)</f>
        <v>1390.47</v>
      </c>
    </row>
    <row r="1240">
      <c r="A1240" s="2">
        <f>IFERROR(__xludf.DUMMYFUNCTION("""COMPUTED_VALUE"""),2000.0)</f>
        <v>2000</v>
      </c>
      <c r="B1240" s="2">
        <f>IFERROR(__xludf.DUMMYFUNCTION("""COMPUTED_VALUE"""),184363.0)</f>
        <v>184363</v>
      </c>
      <c r="C1240" s="2">
        <f>IFERROR(__xludf.DUMMYFUNCTION("""COMPUTED_VALUE"""),2026.0)</f>
        <v>2026</v>
      </c>
      <c r="D1240" s="2">
        <f>IFERROR(__xludf.DUMMYFUNCTION("""COMPUTED_VALUE"""),46132.0)</f>
        <v>46132</v>
      </c>
      <c r="E1240" s="2" t="str">
        <f>IFERROR(__xludf.DUMMYFUNCTION("""COMPUTED_VALUE"""),"VF")</f>
        <v>VF</v>
      </c>
      <c r="F1240" s="2">
        <f>IFERROR(__xludf.DUMMYFUNCTION("""COMPUTED_VALUE"""),2.0)</f>
        <v>2</v>
      </c>
      <c r="G1240" s="2" t="str">
        <f>IFERROR(__xludf.DUMMYFUNCTION("""COMPUTED_VALUE"""),"PR022")</f>
        <v>PR022</v>
      </c>
      <c r="H1240" s="2" t="str">
        <f>IFERROR(__xludf.DUMMYFUNCTION("""COMPUTED_VALUE"""),"VD049")</f>
        <v>VD049</v>
      </c>
      <c r="I1240" s="2">
        <f>IFERROR(__xludf.DUMMYFUNCTION("""COMPUTED_VALUE"""),20.0)</f>
        <v>20</v>
      </c>
      <c r="J1240" s="2">
        <f>IFERROR(__xludf.DUMMYFUNCTION("""COMPUTED_VALUE"""),6540.0)</f>
        <v>6540</v>
      </c>
      <c r="K1240" s="2">
        <f>IFERROR(__xludf.DUMMYFUNCTION("""COMPUTED_VALUE"""),6540.0)</f>
        <v>6540</v>
      </c>
    </row>
    <row r="1241">
      <c r="A1241" s="2">
        <f>IFERROR(__xludf.DUMMYFUNCTION("""COMPUTED_VALUE"""),1000.0)</f>
        <v>1000</v>
      </c>
      <c r="B1241" s="2">
        <f>IFERROR(__xludf.DUMMYFUNCTION("""COMPUTED_VALUE"""),184364.0)</f>
        <v>184364</v>
      </c>
      <c r="C1241" s="2">
        <f>IFERROR(__xludf.DUMMYFUNCTION("""COMPUTED_VALUE"""),2026.0)</f>
        <v>2026</v>
      </c>
      <c r="D1241" s="2">
        <f>IFERROR(__xludf.DUMMYFUNCTION("""COMPUTED_VALUE"""),46131.0)</f>
        <v>46131</v>
      </c>
      <c r="E1241" s="2" t="str">
        <f>IFERROR(__xludf.DUMMYFUNCTION("""COMPUTED_VALUE"""),"VF")</f>
        <v>VF</v>
      </c>
      <c r="F1241" s="2">
        <f>IFERROR(__xludf.DUMMYFUNCTION("""COMPUTED_VALUE"""),1.0)</f>
        <v>1</v>
      </c>
      <c r="G1241" s="2" t="str">
        <f>IFERROR(__xludf.DUMMYFUNCTION("""COMPUTED_VALUE"""),"PR015")</f>
        <v>PR015</v>
      </c>
      <c r="H1241" s="2" t="str">
        <f>IFERROR(__xludf.DUMMYFUNCTION("""COMPUTED_VALUE"""),"VD010")</f>
        <v>VD010</v>
      </c>
      <c r="I1241" s="2">
        <f>IFERROR(__xludf.DUMMYFUNCTION("""COMPUTED_VALUE"""),4.0)</f>
        <v>4</v>
      </c>
      <c r="J1241" s="2">
        <f>IFERROR(__xludf.DUMMYFUNCTION("""COMPUTED_VALUE"""),185.3)</f>
        <v>185.3</v>
      </c>
      <c r="K1241" s="2">
        <f>IFERROR(__xludf.DUMMYFUNCTION("""COMPUTED_VALUE"""),185.3)</f>
        <v>185.3</v>
      </c>
    </row>
    <row r="1242">
      <c r="A1242" s="2">
        <f>IFERROR(__xludf.DUMMYFUNCTION("""COMPUTED_VALUE"""),1000.0)</f>
        <v>1000</v>
      </c>
      <c r="B1242" s="2">
        <f>IFERROR(__xludf.DUMMYFUNCTION("""COMPUTED_VALUE"""),184365.0)</f>
        <v>184365</v>
      </c>
      <c r="C1242" s="2">
        <f>IFERROR(__xludf.DUMMYFUNCTION("""COMPUTED_VALUE"""),2026.0)</f>
        <v>2026</v>
      </c>
      <c r="D1242" s="2">
        <f>IFERROR(__xludf.DUMMYFUNCTION("""COMPUTED_VALUE"""),46131.0)</f>
        <v>46131</v>
      </c>
      <c r="E1242" s="2" t="str">
        <f>IFERROR(__xludf.DUMMYFUNCTION("""COMPUTED_VALUE"""),"VF")</f>
        <v>VF</v>
      </c>
      <c r="F1242" s="2">
        <f>IFERROR(__xludf.DUMMYFUNCTION("""COMPUTED_VALUE"""),1.0)</f>
        <v>1</v>
      </c>
      <c r="G1242" s="2" t="str">
        <f>IFERROR(__xludf.DUMMYFUNCTION("""COMPUTED_VALUE"""),"PR005")</f>
        <v>PR005</v>
      </c>
      <c r="H1242" s="2" t="str">
        <f>IFERROR(__xludf.DUMMYFUNCTION("""COMPUTED_VALUE"""),"VD043")</f>
        <v>VD043</v>
      </c>
      <c r="I1242" s="2">
        <f>IFERROR(__xludf.DUMMYFUNCTION("""COMPUTED_VALUE"""),7.0)</f>
        <v>7</v>
      </c>
      <c r="J1242" s="2">
        <f>IFERROR(__xludf.DUMMYFUNCTION("""COMPUTED_VALUE"""),1910.27)</f>
        <v>1910.27</v>
      </c>
      <c r="K1242" s="2">
        <f>IFERROR(__xludf.DUMMYFUNCTION("""COMPUTED_VALUE"""),1910.27)</f>
        <v>1910.27</v>
      </c>
    </row>
    <row r="1243">
      <c r="A1243" s="2">
        <f>IFERROR(__xludf.DUMMYFUNCTION("""COMPUTED_VALUE"""),1000.0)</f>
        <v>1000</v>
      </c>
      <c r="B1243" s="2">
        <f>IFERROR(__xludf.DUMMYFUNCTION("""COMPUTED_VALUE"""),184365.0)</f>
        <v>184365</v>
      </c>
      <c r="C1243" s="2">
        <f>IFERROR(__xludf.DUMMYFUNCTION("""COMPUTED_VALUE"""),2026.0)</f>
        <v>2026</v>
      </c>
      <c r="D1243" s="2">
        <f>IFERROR(__xludf.DUMMYFUNCTION("""COMPUTED_VALUE"""),46131.0)</f>
        <v>46131</v>
      </c>
      <c r="E1243" s="2" t="str">
        <f>IFERROR(__xludf.DUMMYFUNCTION("""COMPUTED_VALUE"""),"VF")</f>
        <v>VF</v>
      </c>
      <c r="F1243" s="2">
        <f>IFERROR(__xludf.DUMMYFUNCTION("""COMPUTED_VALUE"""),2.0)</f>
        <v>2</v>
      </c>
      <c r="G1243" s="2" t="str">
        <f>IFERROR(__xludf.DUMMYFUNCTION("""COMPUTED_VALUE"""),"PR048")</f>
        <v>PR048</v>
      </c>
      <c r="H1243" s="2" t="str">
        <f>IFERROR(__xludf.DUMMYFUNCTION("""COMPUTED_VALUE"""),"VD012")</f>
        <v>VD012</v>
      </c>
      <c r="I1243" s="2">
        <f>IFERROR(__xludf.DUMMYFUNCTION("""COMPUTED_VALUE"""),2.0)</f>
        <v>2</v>
      </c>
      <c r="J1243" s="2">
        <f>IFERROR(__xludf.DUMMYFUNCTION("""COMPUTED_VALUE"""),626.18)</f>
        <v>626.18</v>
      </c>
      <c r="K1243" s="2">
        <f>IFERROR(__xludf.DUMMYFUNCTION("""COMPUTED_VALUE"""),626.18)</f>
        <v>626.18</v>
      </c>
    </row>
    <row r="1244">
      <c r="A1244" s="2">
        <f>IFERROR(__xludf.DUMMYFUNCTION("""COMPUTED_VALUE"""),1000.0)</f>
        <v>1000</v>
      </c>
      <c r="B1244" s="2">
        <f>IFERROR(__xludf.DUMMYFUNCTION("""COMPUTED_VALUE"""),184365.0)</f>
        <v>184365</v>
      </c>
      <c r="C1244" s="2">
        <f>IFERROR(__xludf.DUMMYFUNCTION("""COMPUTED_VALUE"""),2026.0)</f>
        <v>2026</v>
      </c>
      <c r="D1244" s="2">
        <f>IFERROR(__xludf.DUMMYFUNCTION("""COMPUTED_VALUE"""),46131.0)</f>
        <v>46131</v>
      </c>
      <c r="E1244" s="2" t="str">
        <f>IFERROR(__xludf.DUMMYFUNCTION("""COMPUTED_VALUE"""),"VF")</f>
        <v>VF</v>
      </c>
      <c r="F1244" s="2">
        <f>IFERROR(__xludf.DUMMYFUNCTION("""COMPUTED_VALUE"""),3.0)</f>
        <v>3</v>
      </c>
      <c r="G1244" s="2" t="str">
        <f>IFERROR(__xludf.DUMMYFUNCTION("""COMPUTED_VALUE"""),"PR024")</f>
        <v>PR024</v>
      </c>
      <c r="H1244" s="2" t="str">
        <f>IFERROR(__xludf.DUMMYFUNCTION("""COMPUTED_VALUE"""),"VD025")</f>
        <v>VD025</v>
      </c>
      <c r="I1244" s="2">
        <f>IFERROR(__xludf.DUMMYFUNCTION("""COMPUTED_VALUE"""),10.0)</f>
        <v>10</v>
      </c>
      <c r="J1244" s="2">
        <f>IFERROR(__xludf.DUMMYFUNCTION("""COMPUTED_VALUE"""),2858.9)</f>
        <v>2858.9</v>
      </c>
      <c r="K1244" s="2">
        <f>IFERROR(__xludf.DUMMYFUNCTION("""COMPUTED_VALUE"""),2858.9)</f>
        <v>2858.9</v>
      </c>
    </row>
    <row r="1245">
      <c r="A1245" s="2">
        <f>IFERROR(__xludf.DUMMYFUNCTION("""COMPUTED_VALUE"""),1000.0)</f>
        <v>1000</v>
      </c>
      <c r="B1245" s="2">
        <f>IFERROR(__xludf.DUMMYFUNCTION("""COMPUTED_VALUE"""),184366.0)</f>
        <v>184366</v>
      </c>
      <c r="C1245" s="2">
        <f>IFERROR(__xludf.DUMMYFUNCTION("""COMPUTED_VALUE"""),2026.0)</f>
        <v>2026</v>
      </c>
      <c r="D1245" s="2">
        <f>IFERROR(__xludf.DUMMYFUNCTION("""COMPUTED_VALUE"""),46131.0)</f>
        <v>46131</v>
      </c>
      <c r="E1245" s="2" t="str">
        <f>IFERROR(__xludf.DUMMYFUNCTION("""COMPUTED_VALUE"""),"VF")</f>
        <v>VF</v>
      </c>
      <c r="F1245" s="2">
        <f>IFERROR(__xludf.DUMMYFUNCTION("""COMPUTED_VALUE"""),1.0)</f>
        <v>1</v>
      </c>
      <c r="G1245" s="2" t="str">
        <f>IFERROR(__xludf.DUMMYFUNCTION("""COMPUTED_VALUE"""),"PR019")</f>
        <v>PR019</v>
      </c>
      <c r="H1245" s="2" t="str">
        <f>IFERROR(__xludf.DUMMYFUNCTION("""COMPUTED_VALUE"""),"VD035")</f>
        <v>VD035</v>
      </c>
      <c r="I1245" s="2">
        <f>IFERROR(__xludf.DUMMYFUNCTION("""COMPUTED_VALUE"""),8.0)</f>
        <v>8</v>
      </c>
      <c r="J1245" s="2">
        <f>IFERROR(__xludf.DUMMYFUNCTION("""COMPUTED_VALUE"""),419.16)</f>
        <v>419.16</v>
      </c>
      <c r="K1245" s="2">
        <f>IFERROR(__xludf.DUMMYFUNCTION("""COMPUTED_VALUE"""),419.16)</f>
        <v>419.16</v>
      </c>
    </row>
    <row r="1246">
      <c r="A1246" s="2">
        <f>IFERROR(__xludf.DUMMYFUNCTION("""COMPUTED_VALUE"""),1000.0)</f>
        <v>1000</v>
      </c>
      <c r="B1246" s="2">
        <f>IFERROR(__xludf.DUMMYFUNCTION("""COMPUTED_VALUE"""),184366.0)</f>
        <v>184366</v>
      </c>
      <c r="C1246" s="2">
        <f>IFERROR(__xludf.DUMMYFUNCTION("""COMPUTED_VALUE"""),2026.0)</f>
        <v>2026</v>
      </c>
      <c r="D1246" s="2">
        <f>IFERROR(__xludf.DUMMYFUNCTION("""COMPUTED_VALUE"""),46131.0)</f>
        <v>46131</v>
      </c>
      <c r="E1246" s="2" t="str">
        <f>IFERROR(__xludf.DUMMYFUNCTION("""COMPUTED_VALUE"""),"VF")</f>
        <v>VF</v>
      </c>
      <c r="F1246" s="2">
        <f>IFERROR(__xludf.DUMMYFUNCTION("""COMPUTED_VALUE"""),2.0)</f>
        <v>2</v>
      </c>
      <c r="G1246" s="2" t="str">
        <f>IFERROR(__xludf.DUMMYFUNCTION("""COMPUTED_VALUE"""),"PR029")</f>
        <v>PR029</v>
      </c>
      <c r="H1246" s="2" t="str">
        <f>IFERROR(__xludf.DUMMYFUNCTION("""COMPUTED_VALUE"""),"VD038")</f>
        <v>VD038</v>
      </c>
      <c r="I1246" s="2">
        <f>IFERROR(__xludf.DUMMYFUNCTION("""COMPUTED_VALUE"""),9.0)</f>
        <v>9</v>
      </c>
      <c r="J1246" s="2">
        <f>IFERROR(__xludf.DUMMYFUNCTION("""COMPUTED_VALUE"""),2478.6)</f>
        <v>2478.6</v>
      </c>
      <c r="K1246" s="2">
        <f>IFERROR(__xludf.DUMMYFUNCTION("""COMPUTED_VALUE"""),2478.6)</f>
        <v>2478.6</v>
      </c>
    </row>
    <row r="1247">
      <c r="A1247" s="2">
        <f>IFERROR(__xludf.DUMMYFUNCTION("""COMPUTED_VALUE"""),1000.0)</f>
        <v>1000</v>
      </c>
      <c r="B1247" s="2">
        <f>IFERROR(__xludf.DUMMYFUNCTION("""COMPUTED_VALUE"""),184367.0)</f>
        <v>184367</v>
      </c>
      <c r="C1247" s="2">
        <f>IFERROR(__xludf.DUMMYFUNCTION("""COMPUTED_VALUE"""),2026.0)</f>
        <v>2026</v>
      </c>
      <c r="D1247" s="2">
        <f>IFERROR(__xludf.DUMMYFUNCTION("""COMPUTED_VALUE"""),46130.0)</f>
        <v>46130</v>
      </c>
      <c r="E1247" s="2" t="str">
        <f>IFERROR(__xludf.DUMMYFUNCTION("""COMPUTED_VALUE"""),"VF")</f>
        <v>VF</v>
      </c>
      <c r="F1247" s="2">
        <f>IFERROR(__xludf.DUMMYFUNCTION("""COMPUTED_VALUE"""),1.0)</f>
        <v>1</v>
      </c>
      <c r="G1247" s="2" t="str">
        <f>IFERROR(__xludf.DUMMYFUNCTION("""COMPUTED_VALUE"""),"PR043")</f>
        <v>PR043</v>
      </c>
      <c r="H1247" s="2" t="str">
        <f>IFERROR(__xludf.DUMMYFUNCTION("""COMPUTED_VALUE"""),"VD045")</f>
        <v>VD045</v>
      </c>
      <c r="I1247" s="2">
        <f>IFERROR(__xludf.DUMMYFUNCTION("""COMPUTED_VALUE"""),18.0)</f>
        <v>18</v>
      </c>
      <c r="J1247" s="2">
        <f>IFERROR(__xludf.DUMMYFUNCTION("""COMPUTED_VALUE"""),1396.35)</f>
        <v>1396.35</v>
      </c>
      <c r="K1247" s="2">
        <f>IFERROR(__xludf.DUMMYFUNCTION("""COMPUTED_VALUE"""),1396.35)</f>
        <v>1396.35</v>
      </c>
    </row>
    <row r="1248">
      <c r="A1248" s="2">
        <f>IFERROR(__xludf.DUMMYFUNCTION("""COMPUTED_VALUE"""),1000.0)</f>
        <v>1000</v>
      </c>
      <c r="B1248" s="2">
        <f>IFERROR(__xludf.DUMMYFUNCTION("""COMPUTED_VALUE"""),184368.0)</f>
        <v>184368</v>
      </c>
      <c r="C1248" s="2">
        <f>IFERROR(__xludf.DUMMYFUNCTION("""COMPUTED_VALUE"""),2026.0)</f>
        <v>2026</v>
      </c>
      <c r="D1248" s="2">
        <f>IFERROR(__xludf.DUMMYFUNCTION("""COMPUTED_VALUE"""),46130.0)</f>
        <v>46130</v>
      </c>
      <c r="E1248" s="2" t="str">
        <f>IFERROR(__xludf.DUMMYFUNCTION("""COMPUTED_VALUE"""),"VF")</f>
        <v>VF</v>
      </c>
      <c r="F1248" s="2">
        <f>IFERROR(__xludf.DUMMYFUNCTION("""COMPUTED_VALUE"""),1.0)</f>
        <v>1</v>
      </c>
      <c r="G1248" s="2" t="str">
        <f>IFERROR(__xludf.DUMMYFUNCTION("""COMPUTED_VALUE"""),"PR039")</f>
        <v>PR039</v>
      </c>
      <c r="H1248" s="2" t="str">
        <f>IFERROR(__xludf.DUMMYFUNCTION("""COMPUTED_VALUE"""),"VD042")</f>
        <v>VD042</v>
      </c>
      <c r="I1248" s="2">
        <f>IFERROR(__xludf.DUMMYFUNCTION("""COMPUTED_VALUE"""),2.0)</f>
        <v>2</v>
      </c>
      <c r="J1248" s="2">
        <f>IFERROR(__xludf.DUMMYFUNCTION("""COMPUTED_VALUE"""),315.36)</f>
        <v>315.36</v>
      </c>
      <c r="K1248" s="2">
        <f>IFERROR(__xludf.DUMMYFUNCTION("""COMPUTED_VALUE"""),315.36)</f>
        <v>315.36</v>
      </c>
    </row>
    <row r="1249">
      <c r="A1249" s="2">
        <f>IFERROR(__xludf.DUMMYFUNCTION("""COMPUTED_VALUE"""),1000.0)</f>
        <v>1000</v>
      </c>
      <c r="B1249" s="2">
        <f>IFERROR(__xludf.DUMMYFUNCTION("""COMPUTED_VALUE"""),184368.0)</f>
        <v>184368</v>
      </c>
      <c r="C1249" s="2">
        <f>IFERROR(__xludf.DUMMYFUNCTION("""COMPUTED_VALUE"""),2026.0)</f>
        <v>2026</v>
      </c>
      <c r="D1249" s="2">
        <f>IFERROR(__xludf.DUMMYFUNCTION("""COMPUTED_VALUE"""),46130.0)</f>
        <v>46130</v>
      </c>
      <c r="E1249" s="2" t="str">
        <f>IFERROR(__xludf.DUMMYFUNCTION("""COMPUTED_VALUE"""),"VF")</f>
        <v>VF</v>
      </c>
      <c r="F1249" s="2">
        <f>IFERROR(__xludf.DUMMYFUNCTION("""COMPUTED_VALUE"""),2.0)</f>
        <v>2</v>
      </c>
      <c r="G1249" s="2" t="str">
        <f>IFERROR(__xludf.DUMMYFUNCTION("""COMPUTED_VALUE"""),"PR003")</f>
        <v>PR003</v>
      </c>
      <c r="H1249" s="2" t="str">
        <f>IFERROR(__xludf.DUMMYFUNCTION("""COMPUTED_VALUE"""),"VD010")</f>
        <v>VD010</v>
      </c>
      <c r="I1249" s="2">
        <f>IFERROR(__xludf.DUMMYFUNCTION("""COMPUTED_VALUE"""),9.0)</f>
        <v>9</v>
      </c>
      <c r="J1249" s="2">
        <f>IFERROR(__xludf.DUMMYFUNCTION("""COMPUTED_VALUE"""),689.15)</f>
        <v>689.15</v>
      </c>
      <c r="K1249" s="2">
        <f>IFERROR(__xludf.DUMMYFUNCTION("""COMPUTED_VALUE"""),689.15)</f>
        <v>689.15</v>
      </c>
    </row>
    <row r="1250">
      <c r="A1250" s="2">
        <f>IFERROR(__xludf.DUMMYFUNCTION("""COMPUTED_VALUE"""),2000.0)</f>
        <v>2000</v>
      </c>
      <c r="B1250" s="2">
        <f>IFERROR(__xludf.DUMMYFUNCTION("""COMPUTED_VALUE"""),184369.0)</f>
        <v>184369</v>
      </c>
      <c r="C1250" s="2">
        <f>IFERROR(__xludf.DUMMYFUNCTION("""COMPUTED_VALUE"""),2026.0)</f>
        <v>2026</v>
      </c>
      <c r="D1250" s="2">
        <f>IFERROR(__xludf.DUMMYFUNCTION("""COMPUTED_VALUE"""),46130.0)</f>
        <v>46130</v>
      </c>
      <c r="E1250" s="2" t="str">
        <f>IFERROR(__xludf.DUMMYFUNCTION("""COMPUTED_VALUE"""),"VF")</f>
        <v>VF</v>
      </c>
      <c r="F1250" s="2">
        <f>IFERROR(__xludf.DUMMYFUNCTION("""COMPUTED_VALUE"""),1.0)</f>
        <v>1</v>
      </c>
      <c r="G1250" s="2" t="str">
        <f>IFERROR(__xludf.DUMMYFUNCTION("""COMPUTED_VALUE"""),"PR002")</f>
        <v>PR002</v>
      </c>
      <c r="H1250" s="2" t="str">
        <f>IFERROR(__xludf.DUMMYFUNCTION("""COMPUTED_VALUE"""),"VD042")</f>
        <v>VD042</v>
      </c>
      <c r="I1250" s="2">
        <f>IFERROR(__xludf.DUMMYFUNCTION("""COMPUTED_VALUE"""),10.0)</f>
        <v>10</v>
      </c>
      <c r="J1250" s="2">
        <f>IFERROR(__xludf.DUMMYFUNCTION("""COMPUTED_VALUE"""),726.96)</f>
        <v>726.96</v>
      </c>
      <c r="K1250" s="2">
        <f>IFERROR(__xludf.DUMMYFUNCTION("""COMPUTED_VALUE"""),726.96)</f>
        <v>726.96</v>
      </c>
    </row>
    <row r="1251">
      <c r="A1251" s="2">
        <f>IFERROR(__xludf.DUMMYFUNCTION("""COMPUTED_VALUE"""),1000.0)</f>
        <v>1000</v>
      </c>
      <c r="B1251" s="2">
        <f>IFERROR(__xludf.DUMMYFUNCTION("""COMPUTED_VALUE"""),184370.0)</f>
        <v>184370</v>
      </c>
      <c r="C1251" s="2">
        <f>IFERROR(__xludf.DUMMYFUNCTION("""COMPUTED_VALUE"""),2026.0)</f>
        <v>2026</v>
      </c>
      <c r="D1251" s="2">
        <f>IFERROR(__xludf.DUMMYFUNCTION("""COMPUTED_VALUE"""),46130.0)</f>
        <v>46130</v>
      </c>
      <c r="E1251" s="2" t="str">
        <f>IFERROR(__xludf.DUMMYFUNCTION("""COMPUTED_VALUE"""),"VF")</f>
        <v>VF</v>
      </c>
      <c r="F1251" s="2">
        <f>IFERROR(__xludf.DUMMYFUNCTION("""COMPUTED_VALUE"""),1.0)</f>
        <v>1</v>
      </c>
      <c r="G1251" s="2" t="str">
        <f>IFERROR(__xludf.DUMMYFUNCTION("""COMPUTED_VALUE"""),"PR015")</f>
        <v>PR015</v>
      </c>
      <c r="H1251" s="2" t="str">
        <f>IFERROR(__xludf.DUMMYFUNCTION("""COMPUTED_VALUE"""),"VD037")</f>
        <v>VD037</v>
      </c>
      <c r="I1251" s="2">
        <f>IFERROR(__xludf.DUMMYFUNCTION("""COMPUTED_VALUE"""),9.0)</f>
        <v>9</v>
      </c>
      <c r="J1251" s="2">
        <f>IFERROR(__xludf.DUMMYFUNCTION("""COMPUTED_VALUE"""),416.93)</f>
        <v>416.93</v>
      </c>
      <c r="K1251" s="2">
        <f>IFERROR(__xludf.DUMMYFUNCTION("""COMPUTED_VALUE"""),416.93)</f>
        <v>416.93</v>
      </c>
    </row>
    <row r="1252">
      <c r="A1252" s="2">
        <f>IFERROR(__xludf.DUMMYFUNCTION("""COMPUTED_VALUE"""),1000.0)</f>
        <v>1000</v>
      </c>
      <c r="B1252" s="2">
        <f>IFERROR(__xludf.DUMMYFUNCTION("""COMPUTED_VALUE"""),184371.0)</f>
        <v>184371</v>
      </c>
      <c r="C1252" s="2">
        <f>IFERROR(__xludf.DUMMYFUNCTION("""COMPUTED_VALUE"""),2026.0)</f>
        <v>2026</v>
      </c>
      <c r="D1252" s="2">
        <f>IFERROR(__xludf.DUMMYFUNCTION("""COMPUTED_VALUE"""),46130.0)</f>
        <v>46130</v>
      </c>
      <c r="E1252" s="2" t="str">
        <f>IFERROR(__xludf.DUMMYFUNCTION("""COMPUTED_VALUE"""),"VF")</f>
        <v>VF</v>
      </c>
      <c r="F1252" s="2">
        <f>IFERROR(__xludf.DUMMYFUNCTION("""COMPUTED_VALUE"""),1.0)</f>
        <v>1</v>
      </c>
      <c r="G1252" s="2" t="str">
        <f>IFERROR(__xludf.DUMMYFUNCTION("""COMPUTED_VALUE"""),"PR017")</f>
        <v>PR017</v>
      </c>
      <c r="H1252" s="2" t="str">
        <f>IFERROR(__xludf.DUMMYFUNCTION("""COMPUTED_VALUE"""),"VD049")</f>
        <v>VD049</v>
      </c>
      <c r="I1252" s="2">
        <f>IFERROR(__xludf.DUMMYFUNCTION("""COMPUTED_VALUE"""),6.0)</f>
        <v>6</v>
      </c>
      <c r="J1252" s="2">
        <f>IFERROR(__xludf.DUMMYFUNCTION("""COMPUTED_VALUE"""),182.99)</f>
        <v>182.99</v>
      </c>
      <c r="K1252" s="2">
        <f>IFERROR(__xludf.DUMMYFUNCTION("""COMPUTED_VALUE"""),182.99)</f>
        <v>182.99</v>
      </c>
    </row>
    <row r="1253">
      <c r="A1253" s="2">
        <f>IFERROR(__xludf.DUMMYFUNCTION("""COMPUTED_VALUE"""),1000.0)</f>
        <v>1000</v>
      </c>
      <c r="B1253" s="2">
        <f>IFERROR(__xludf.DUMMYFUNCTION("""COMPUTED_VALUE"""),184372.0)</f>
        <v>184372</v>
      </c>
      <c r="C1253" s="2">
        <f>IFERROR(__xludf.DUMMYFUNCTION("""COMPUTED_VALUE"""),2026.0)</f>
        <v>2026</v>
      </c>
      <c r="D1253" s="2">
        <f>IFERROR(__xludf.DUMMYFUNCTION("""COMPUTED_VALUE"""),46130.0)</f>
        <v>46130</v>
      </c>
      <c r="E1253" s="2" t="str">
        <f>IFERROR(__xludf.DUMMYFUNCTION("""COMPUTED_VALUE"""),"VF")</f>
        <v>VF</v>
      </c>
      <c r="F1253" s="2">
        <f>IFERROR(__xludf.DUMMYFUNCTION("""COMPUTED_VALUE"""),1.0)</f>
        <v>1</v>
      </c>
      <c r="G1253" s="2" t="str">
        <f>IFERROR(__xludf.DUMMYFUNCTION("""COMPUTED_VALUE"""),"PR031")</f>
        <v>PR031</v>
      </c>
      <c r="H1253" s="2" t="str">
        <f>IFERROR(__xludf.DUMMYFUNCTION("""COMPUTED_VALUE"""),"VD021")</f>
        <v>VD021</v>
      </c>
      <c r="I1253" s="2">
        <f>IFERROR(__xludf.DUMMYFUNCTION("""COMPUTED_VALUE"""),8.0)</f>
        <v>8</v>
      </c>
      <c r="J1253" s="2">
        <f>IFERROR(__xludf.DUMMYFUNCTION("""COMPUTED_VALUE"""),1999.2)</f>
        <v>1999.2</v>
      </c>
      <c r="K1253" s="2">
        <f>IFERROR(__xludf.DUMMYFUNCTION("""COMPUTED_VALUE"""),1999.2)</f>
        <v>1999.2</v>
      </c>
    </row>
    <row r="1254">
      <c r="A1254" s="2">
        <f>IFERROR(__xludf.DUMMYFUNCTION("""COMPUTED_VALUE"""),2000.0)</f>
        <v>2000</v>
      </c>
      <c r="B1254" s="2">
        <f>IFERROR(__xludf.DUMMYFUNCTION("""COMPUTED_VALUE"""),184373.0)</f>
        <v>184373</v>
      </c>
      <c r="C1254" s="2">
        <f>IFERROR(__xludf.DUMMYFUNCTION("""COMPUTED_VALUE"""),2026.0)</f>
        <v>2026</v>
      </c>
      <c r="D1254" s="2">
        <f>IFERROR(__xludf.DUMMYFUNCTION("""COMPUTED_VALUE"""),46130.0)</f>
        <v>46130</v>
      </c>
      <c r="E1254" s="2" t="str">
        <f>IFERROR(__xludf.DUMMYFUNCTION("""COMPUTED_VALUE"""),"VF")</f>
        <v>VF</v>
      </c>
      <c r="F1254" s="2">
        <f>IFERROR(__xludf.DUMMYFUNCTION("""COMPUTED_VALUE"""),1.0)</f>
        <v>1</v>
      </c>
      <c r="G1254" s="2" t="str">
        <f>IFERROR(__xludf.DUMMYFUNCTION("""COMPUTED_VALUE"""),"PR053")</f>
        <v>PR053</v>
      </c>
      <c r="H1254" s="2" t="str">
        <f>IFERROR(__xludf.DUMMYFUNCTION("""COMPUTED_VALUE"""),"VD041")</f>
        <v>VD041</v>
      </c>
      <c r="I1254" s="2">
        <f>IFERROR(__xludf.DUMMYFUNCTION("""COMPUTED_VALUE"""),1.0)</f>
        <v>1</v>
      </c>
      <c r="J1254" s="2">
        <f>IFERROR(__xludf.DUMMYFUNCTION("""COMPUTED_VALUE"""),54.39)</f>
        <v>54.39</v>
      </c>
      <c r="K1254" s="2">
        <f>IFERROR(__xludf.DUMMYFUNCTION("""COMPUTED_VALUE"""),54.39)</f>
        <v>54.39</v>
      </c>
    </row>
    <row r="1255">
      <c r="A1255" s="2">
        <f>IFERROR(__xludf.DUMMYFUNCTION("""COMPUTED_VALUE"""),1000.0)</f>
        <v>1000</v>
      </c>
      <c r="B1255" s="2">
        <f>IFERROR(__xludf.DUMMYFUNCTION("""COMPUTED_VALUE"""),184374.0)</f>
        <v>184374</v>
      </c>
      <c r="C1255" s="2">
        <f>IFERROR(__xludf.DUMMYFUNCTION("""COMPUTED_VALUE"""),2026.0)</f>
        <v>2026</v>
      </c>
      <c r="D1255" s="2">
        <f>IFERROR(__xludf.DUMMYFUNCTION("""COMPUTED_VALUE"""),46129.0)</f>
        <v>46129</v>
      </c>
      <c r="E1255" s="2" t="str">
        <f>IFERROR(__xludf.DUMMYFUNCTION("""COMPUTED_VALUE"""),"VF")</f>
        <v>VF</v>
      </c>
      <c r="F1255" s="2">
        <f>IFERROR(__xludf.DUMMYFUNCTION("""COMPUTED_VALUE"""),1.0)</f>
        <v>1</v>
      </c>
      <c r="G1255" s="2" t="str">
        <f>IFERROR(__xludf.DUMMYFUNCTION("""COMPUTED_VALUE"""),"PR016")</f>
        <v>PR016</v>
      </c>
      <c r="H1255" s="2" t="str">
        <f>IFERROR(__xludf.DUMMYFUNCTION("""COMPUTED_VALUE"""),"VD042")</f>
        <v>VD042</v>
      </c>
      <c r="I1255" s="2">
        <f>IFERROR(__xludf.DUMMYFUNCTION("""COMPUTED_VALUE"""),6.0)</f>
        <v>6</v>
      </c>
      <c r="J1255" s="2">
        <f>IFERROR(__xludf.DUMMYFUNCTION("""COMPUTED_VALUE"""),166.28)</f>
        <v>166.28</v>
      </c>
      <c r="K1255" s="2">
        <f>IFERROR(__xludf.DUMMYFUNCTION("""COMPUTED_VALUE"""),166.28)</f>
        <v>166.28</v>
      </c>
    </row>
    <row r="1256">
      <c r="A1256" s="2">
        <f>IFERROR(__xludf.DUMMYFUNCTION("""COMPUTED_VALUE"""),1000.0)</f>
        <v>1000</v>
      </c>
      <c r="B1256" s="2">
        <f>IFERROR(__xludf.DUMMYFUNCTION("""COMPUTED_VALUE"""),184374.0)</f>
        <v>184374</v>
      </c>
      <c r="C1256" s="2">
        <f>IFERROR(__xludf.DUMMYFUNCTION("""COMPUTED_VALUE"""),2026.0)</f>
        <v>2026</v>
      </c>
      <c r="D1256" s="2">
        <f>IFERROR(__xludf.DUMMYFUNCTION("""COMPUTED_VALUE"""),46129.0)</f>
        <v>46129</v>
      </c>
      <c r="E1256" s="2" t="str">
        <f>IFERROR(__xludf.DUMMYFUNCTION("""COMPUTED_VALUE"""),"VF")</f>
        <v>VF</v>
      </c>
      <c r="F1256" s="2">
        <f>IFERROR(__xludf.DUMMYFUNCTION("""COMPUTED_VALUE"""),2.0)</f>
        <v>2</v>
      </c>
      <c r="G1256" s="2" t="str">
        <f>IFERROR(__xludf.DUMMYFUNCTION("""COMPUTED_VALUE"""),"PR016")</f>
        <v>PR016</v>
      </c>
      <c r="H1256" s="2" t="str">
        <f>IFERROR(__xludf.DUMMYFUNCTION("""COMPUTED_VALUE"""),"VD048")</f>
        <v>VD048</v>
      </c>
      <c r="I1256" s="2">
        <f>IFERROR(__xludf.DUMMYFUNCTION("""COMPUTED_VALUE"""),5.0)</f>
        <v>5</v>
      </c>
      <c r="J1256" s="2">
        <f>IFERROR(__xludf.DUMMYFUNCTION("""COMPUTED_VALUE"""),132.09)</f>
        <v>132.09</v>
      </c>
      <c r="K1256" s="2">
        <f>IFERROR(__xludf.DUMMYFUNCTION("""COMPUTED_VALUE"""),132.09)</f>
        <v>132.09</v>
      </c>
    </row>
    <row r="1257">
      <c r="A1257" s="2">
        <f>IFERROR(__xludf.DUMMYFUNCTION("""COMPUTED_VALUE"""),1000.0)</f>
        <v>1000</v>
      </c>
      <c r="B1257" s="2">
        <f>IFERROR(__xludf.DUMMYFUNCTION("""COMPUTED_VALUE"""),184374.0)</f>
        <v>184374</v>
      </c>
      <c r="C1257" s="2">
        <f>IFERROR(__xludf.DUMMYFUNCTION("""COMPUTED_VALUE"""),2026.0)</f>
        <v>2026</v>
      </c>
      <c r="D1257" s="2">
        <f>IFERROR(__xludf.DUMMYFUNCTION("""COMPUTED_VALUE"""),46128.0)</f>
        <v>46128</v>
      </c>
      <c r="E1257" s="2" t="str">
        <f>IFERROR(__xludf.DUMMYFUNCTION("""COMPUTED_VALUE"""),"VF")</f>
        <v>VF</v>
      </c>
      <c r="F1257" s="2">
        <f>IFERROR(__xludf.DUMMYFUNCTION("""COMPUTED_VALUE"""),3.0)</f>
        <v>3</v>
      </c>
      <c r="G1257" s="2" t="str">
        <f>IFERROR(__xludf.DUMMYFUNCTION("""COMPUTED_VALUE"""),"PR002")</f>
        <v>PR002</v>
      </c>
      <c r="H1257" s="2" t="str">
        <f>IFERROR(__xludf.DUMMYFUNCTION("""COMPUTED_VALUE"""),"VD025")</f>
        <v>VD025</v>
      </c>
      <c r="I1257" s="2">
        <f>IFERROR(__xludf.DUMMYFUNCTION("""COMPUTED_VALUE"""),18.0)</f>
        <v>18</v>
      </c>
      <c r="J1257" s="2">
        <f>IFERROR(__xludf.DUMMYFUNCTION("""COMPUTED_VALUE"""),1295.95)</f>
        <v>1295.95</v>
      </c>
      <c r="K1257" s="2">
        <f>IFERROR(__xludf.DUMMYFUNCTION("""COMPUTED_VALUE"""),1295.95)</f>
        <v>1295.95</v>
      </c>
    </row>
    <row r="1258">
      <c r="A1258" s="2">
        <f>IFERROR(__xludf.DUMMYFUNCTION("""COMPUTED_VALUE"""),2000.0)</f>
        <v>2000</v>
      </c>
      <c r="B1258" s="2">
        <f>IFERROR(__xludf.DUMMYFUNCTION("""COMPUTED_VALUE"""),184375.0)</f>
        <v>184375</v>
      </c>
      <c r="C1258" s="2">
        <f>IFERROR(__xludf.DUMMYFUNCTION("""COMPUTED_VALUE"""),2026.0)</f>
        <v>2026</v>
      </c>
      <c r="D1258" s="2">
        <f>IFERROR(__xludf.DUMMYFUNCTION("""COMPUTED_VALUE"""),46128.0)</f>
        <v>46128</v>
      </c>
      <c r="E1258" s="2" t="str">
        <f>IFERROR(__xludf.DUMMYFUNCTION("""COMPUTED_VALUE"""),"VF")</f>
        <v>VF</v>
      </c>
      <c r="F1258" s="2">
        <f>IFERROR(__xludf.DUMMYFUNCTION("""COMPUTED_VALUE"""),1.0)</f>
        <v>1</v>
      </c>
      <c r="G1258" s="2" t="str">
        <f>IFERROR(__xludf.DUMMYFUNCTION("""COMPUTED_VALUE"""),"PR039")</f>
        <v>PR039</v>
      </c>
      <c r="H1258" s="2" t="str">
        <f>IFERROR(__xludf.DUMMYFUNCTION("""COMPUTED_VALUE"""),"VD046")</f>
        <v>VD046</v>
      </c>
      <c r="I1258" s="2">
        <f>IFERROR(__xludf.DUMMYFUNCTION("""COMPUTED_VALUE"""),8.0)</f>
        <v>8</v>
      </c>
      <c r="J1258" s="2">
        <f>IFERROR(__xludf.DUMMYFUNCTION("""COMPUTED_VALUE"""),1214.72)</f>
        <v>1214.72</v>
      </c>
      <c r="K1258" s="2">
        <f>IFERROR(__xludf.DUMMYFUNCTION("""COMPUTED_VALUE"""),1214.72)</f>
        <v>1214.72</v>
      </c>
    </row>
    <row r="1259">
      <c r="A1259" s="2">
        <f>IFERROR(__xludf.DUMMYFUNCTION("""COMPUTED_VALUE"""),1000.0)</f>
        <v>1000</v>
      </c>
      <c r="B1259" s="2">
        <f>IFERROR(__xludf.DUMMYFUNCTION("""COMPUTED_VALUE"""),184375.0)</f>
        <v>184375</v>
      </c>
      <c r="C1259" s="2">
        <f>IFERROR(__xludf.DUMMYFUNCTION("""COMPUTED_VALUE"""),2026.0)</f>
        <v>2026</v>
      </c>
      <c r="D1259" s="2">
        <f>IFERROR(__xludf.DUMMYFUNCTION("""COMPUTED_VALUE"""),46128.0)</f>
        <v>46128</v>
      </c>
      <c r="E1259" s="2" t="str">
        <f>IFERROR(__xludf.DUMMYFUNCTION("""COMPUTED_VALUE"""),"VF")</f>
        <v>VF</v>
      </c>
      <c r="F1259" s="2">
        <f>IFERROR(__xludf.DUMMYFUNCTION("""COMPUTED_VALUE"""),2.0)</f>
        <v>2</v>
      </c>
      <c r="G1259" s="2" t="str">
        <f>IFERROR(__xludf.DUMMYFUNCTION("""COMPUTED_VALUE"""),"PR020")</f>
        <v>PR020</v>
      </c>
      <c r="H1259" s="2" t="str">
        <f>IFERROR(__xludf.DUMMYFUNCTION("""COMPUTED_VALUE"""),"VD017")</f>
        <v>VD017</v>
      </c>
      <c r="I1259" s="2">
        <f>IFERROR(__xludf.DUMMYFUNCTION("""COMPUTED_VALUE"""),8.0)</f>
        <v>8</v>
      </c>
      <c r="J1259" s="2">
        <f>IFERROR(__xludf.DUMMYFUNCTION("""COMPUTED_VALUE"""),2423.19)</f>
        <v>2423.19</v>
      </c>
      <c r="K1259" s="2">
        <f>IFERROR(__xludf.DUMMYFUNCTION("""COMPUTED_VALUE"""),2423.19)</f>
        <v>2423.19</v>
      </c>
    </row>
    <row r="1260">
      <c r="A1260" s="2">
        <f>IFERROR(__xludf.DUMMYFUNCTION("""COMPUTED_VALUE"""),1000.0)</f>
        <v>1000</v>
      </c>
      <c r="B1260" s="2">
        <f>IFERROR(__xludf.DUMMYFUNCTION("""COMPUTED_VALUE"""),184376.0)</f>
        <v>184376</v>
      </c>
      <c r="C1260" s="2">
        <f>IFERROR(__xludf.DUMMYFUNCTION("""COMPUTED_VALUE"""),2026.0)</f>
        <v>2026</v>
      </c>
      <c r="D1260" s="2">
        <f>IFERROR(__xludf.DUMMYFUNCTION("""COMPUTED_VALUE"""),46128.0)</f>
        <v>46128</v>
      </c>
      <c r="E1260" s="2" t="str">
        <f>IFERROR(__xludf.DUMMYFUNCTION("""COMPUTED_VALUE"""),"VF")</f>
        <v>VF</v>
      </c>
      <c r="F1260" s="2">
        <f>IFERROR(__xludf.DUMMYFUNCTION("""COMPUTED_VALUE"""),1.0)</f>
        <v>1</v>
      </c>
      <c r="G1260" s="2" t="str">
        <f>IFERROR(__xludf.DUMMYFUNCTION("""COMPUTED_VALUE"""),"PR050")</f>
        <v>PR050</v>
      </c>
      <c r="H1260" s="2" t="str">
        <f>IFERROR(__xludf.DUMMYFUNCTION("""COMPUTED_VALUE"""),"VD028")</f>
        <v>VD028</v>
      </c>
      <c r="I1260" s="2">
        <f>IFERROR(__xludf.DUMMYFUNCTION("""COMPUTED_VALUE"""),10.0)</f>
        <v>10</v>
      </c>
      <c r="J1260" s="2">
        <f>IFERROR(__xludf.DUMMYFUNCTION("""COMPUTED_VALUE"""),345.45)</f>
        <v>345.45</v>
      </c>
      <c r="K1260" s="2">
        <f>IFERROR(__xludf.DUMMYFUNCTION("""COMPUTED_VALUE"""),345.45)</f>
        <v>345.45</v>
      </c>
    </row>
    <row r="1261">
      <c r="A1261" s="2">
        <f>IFERROR(__xludf.DUMMYFUNCTION("""COMPUTED_VALUE"""),1000.0)</f>
        <v>1000</v>
      </c>
      <c r="B1261" s="2">
        <f>IFERROR(__xludf.DUMMYFUNCTION("""COMPUTED_VALUE"""),184377.0)</f>
        <v>184377</v>
      </c>
      <c r="C1261" s="2">
        <f>IFERROR(__xludf.DUMMYFUNCTION("""COMPUTED_VALUE"""),2026.0)</f>
        <v>2026</v>
      </c>
      <c r="D1261" s="2">
        <f>IFERROR(__xludf.DUMMYFUNCTION("""COMPUTED_VALUE"""),46128.0)</f>
        <v>46128</v>
      </c>
      <c r="E1261" s="2" t="str">
        <f>IFERROR(__xludf.DUMMYFUNCTION("""COMPUTED_VALUE"""),"VF")</f>
        <v>VF</v>
      </c>
      <c r="F1261" s="2">
        <f>IFERROR(__xludf.DUMMYFUNCTION("""COMPUTED_VALUE"""),1.0)</f>
        <v>1</v>
      </c>
      <c r="G1261" s="2" t="str">
        <f>IFERROR(__xludf.DUMMYFUNCTION("""COMPUTED_VALUE"""),"PR018")</f>
        <v>PR018</v>
      </c>
      <c r="H1261" s="2" t="str">
        <f>IFERROR(__xludf.DUMMYFUNCTION("""COMPUTED_VALUE"""),"VD044")</f>
        <v>VD044</v>
      </c>
      <c r="I1261" s="2">
        <f>IFERROR(__xludf.DUMMYFUNCTION("""COMPUTED_VALUE"""),2.0)</f>
        <v>2</v>
      </c>
      <c r="J1261" s="2">
        <f>IFERROR(__xludf.DUMMYFUNCTION("""COMPUTED_VALUE"""),67.12)</f>
        <v>67.12</v>
      </c>
      <c r="K1261" s="2">
        <f>IFERROR(__xludf.DUMMYFUNCTION("""COMPUTED_VALUE"""),67.12)</f>
        <v>67.12</v>
      </c>
    </row>
    <row r="1262">
      <c r="A1262" s="2">
        <f>IFERROR(__xludf.DUMMYFUNCTION("""COMPUTED_VALUE"""),1000.0)</f>
        <v>1000</v>
      </c>
      <c r="B1262" s="2">
        <f>IFERROR(__xludf.DUMMYFUNCTION("""COMPUTED_VALUE"""),184378.0)</f>
        <v>184378</v>
      </c>
      <c r="C1262" s="2">
        <f>IFERROR(__xludf.DUMMYFUNCTION("""COMPUTED_VALUE"""),2026.0)</f>
        <v>2026</v>
      </c>
      <c r="D1262" s="2">
        <f>IFERROR(__xludf.DUMMYFUNCTION("""COMPUTED_VALUE"""),46128.0)</f>
        <v>46128</v>
      </c>
      <c r="E1262" s="2" t="str">
        <f>IFERROR(__xludf.DUMMYFUNCTION("""COMPUTED_VALUE"""),"VF")</f>
        <v>VF</v>
      </c>
      <c r="F1262" s="2">
        <f>IFERROR(__xludf.DUMMYFUNCTION("""COMPUTED_VALUE"""),1.0)</f>
        <v>1</v>
      </c>
      <c r="G1262" s="2" t="str">
        <f>IFERROR(__xludf.DUMMYFUNCTION("""COMPUTED_VALUE"""),"PR013")</f>
        <v>PR013</v>
      </c>
      <c r="H1262" s="2" t="str">
        <f>IFERROR(__xludf.DUMMYFUNCTION("""COMPUTED_VALUE"""),"VD035")</f>
        <v>VD035</v>
      </c>
      <c r="I1262" s="2">
        <f>IFERROR(__xludf.DUMMYFUNCTION("""COMPUTED_VALUE"""),9.0)</f>
        <v>9</v>
      </c>
      <c r="J1262" s="2">
        <f>IFERROR(__xludf.DUMMYFUNCTION("""COMPUTED_VALUE"""),395.01)</f>
        <v>395.01</v>
      </c>
      <c r="K1262" s="2">
        <f>IFERROR(__xludf.DUMMYFUNCTION("""COMPUTED_VALUE"""),395.01)</f>
        <v>395.01</v>
      </c>
    </row>
    <row r="1263">
      <c r="A1263" s="2">
        <f>IFERROR(__xludf.DUMMYFUNCTION("""COMPUTED_VALUE"""),1000.0)</f>
        <v>1000</v>
      </c>
      <c r="B1263" s="2">
        <f>IFERROR(__xludf.DUMMYFUNCTION("""COMPUTED_VALUE"""),184379.0)</f>
        <v>184379</v>
      </c>
      <c r="C1263" s="2">
        <f>IFERROR(__xludf.DUMMYFUNCTION("""COMPUTED_VALUE"""),2026.0)</f>
        <v>2026</v>
      </c>
      <c r="D1263" s="2">
        <f>IFERROR(__xludf.DUMMYFUNCTION("""COMPUTED_VALUE"""),46128.0)</f>
        <v>46128</v>
      </c>
      <c r="E1263" s="2" t="str">
        <f>IFERROR(__xludf.DUMMYFUNCTION("""COMPUTED_VALUE"""),"VF")</f>
        <v>VF</v>
      </c>
      <c r="F1263" s="2">
        <f>IFERROR(__xludf.DUMMYFUNCTION("""COMPUTED_VALUE"""),1.0)</f>
        <v>1</v>
      </c>
      <c r="G1263" s="2" t="str">
        <f>IFERROR(__xludf.DUMMYFUNCTION("""COMPUTED_VALUE"""),"PR059")</f>
        <v>PR059</v>
      </c>
      <c r="H1263" s="2" t="str">
        <f>IFERROR(__xludf.DUMMYFUNCTION("""COMPUTED_VALUE"""),"VD047")</f>
        <v>VD047</v>
      </c>
      <c r="I1263" s="2">
        <f>IFERROR(__xludf.DUMMYFUNCTION("""COMPUTED_VALUE"""),12.0)</f>
        <v>12</v>
      </c>
      <c r="J1263" s="2">
        <f>IFERROR(__xludf.DUMMYFUNCTION("""COMPUTED_VALUE"""),2311.2)</f>
        <v>2311.2</v>
      </c>
      <c r="K1263" s="2">
        <f>IFERROR(__xludf.DUMMYFUNCTION("""COMPUTED_VALUE"""),2311.2)</f>
        <v>2311.2</v>
      </c>
    </row>
    <row r="1264">
      <c r="A1264" s="2">
        <f>IFERROR(__xludf.DUMMYFUNCTION("""COMPUTED_VALUE"""),1000.0)</f>
        <v>1000</v>
      </c>
      <c r="B1264" s="2">
        <f>IFERROR(__xludf.DUMMYFUNCTION("""COMPUTED_VALUE"""),184379.0)</f>
        <v>184379</v>
      </c>
      <c r="C1264" s="2">
        <f>IFERROR(__xludf.DUMMYFUNCTION("""COMPUTED_VALUE"""),2026.0)</f>
        <v>2026</v>
      </c>
      <c r="D1264" s="2">
        <f>IFERROR(__xludf.DUMMYFUNCTION("""COMPUTED_VALUE"""),46128.0)</f>
        <v>46128</v>
      </c>
      <c r="E1264" s="2" t="str">
        <f>IFERROR(__xludf.DUMMYFUNCTION("""COMPUTED_VALUE"""),"VF")</f>
        <v>VF</v>
      </c>
      <c r="F1264" s="2">
        <f>IFERROR(__xludf.DUMMYFUNCTION("""COMPUTED_VALUE"""),2.0)</f>
        <v>2</v>
      </c>
      <c r="G1264" s="2" t="str">
        <f>IFERROR(__xludf.DUMMYFUNCTION("""COMPUTED_VALUE"""),"PR027")</f>
        <v>PR027</v>
      </c>
      <c r="H1264" s="2" t="str">
        <f>IFERROR(__xludf.DUMMYFUNCTION("""COMPUTED_VALUE"""),"VD026")</f>
        <v>VD026</v>
      </c>
      <c r="I1264" s="2">
        <f>IFERROR(__xludf.DUMMYFUNCTION("""COMPUTED_VALUE"""),1.0)</f>
        <v>1</v>
      </c>
      <c r="J1264" s="2">
        <f>IFERROR(__xludf.DUMMYFUNCTION("""COMPUTED_VALUE"""),127.2)</f>
        <v>127.2</v>
      </c>
      <c r="K1264" s="2">
        <f>IFERROR(__xludf.DUMMYFUNCTION("""COMPUTED_VALUE"""),127.2)</f>
        <v>127.2</v>
      </c>
    </row>
    <row r="1265">
      <c r="A1265" s="2">
        <f>IFERROR(__xludf.DUMMYFUNCTION("""COMPUTED_VALUE"""),1000.0)</f>
        <v>1000</v>
      </c>
      <c r="B1265" s="2">
        <f>IFERROR(__xludf.DUMMYFUNCTION("""COMPUTED_VALUE"""),184379.0)</f>
        <v>184379</v>
      </c>
      <c r="C1265" s="2">
        <f>IFERROR(__xludf.DUMMYFUNCTION("""COMPUTED_VALUE"""),2026.0)</f>
        <v>2026</v>
      </c>
      <c r="D1265" s="2">
        <f>IFERROR(__xludf.DUMMYFUNCTION("""COMPUTED_VALUE"""),46128.0)</f>
        <v>46128</v>
      </c>
      <c r="E1265" s="2" t="str">
        <f>IFERROR(__xludf.DUMMYFUNCTION("""COMPUTED_VALUE"""),"VF")</f>
        <v>VF</v>
      </c>
      <c r="F1265" s="2">
        <f>IFERROR(__xludf.DUMMYFUNCTION("""COMPUTED_VALUE"""),3.0)</f>
        <v>3</v>
      </c>
      <c r="G1265" s="2" t="str">
        <f>IFERROR(__xludf.DUMMYFUNCTION("""COMPUTED_VALUE"""),"PR011")</f>
        <v>PR011</v>
      </c>
      <c r="H1265" s="2" t="str">
        <f>IFERROR(__xludf.DUMMYFUNCTION("""COMPUTED_VALUE"""),"VD026")</f>
        <v>VD026</v>
      </c>
      <c r="I1265" s="2">
        <f>IFERROR(__xludf.DUMMYFUNCTION("""COMPUTED_VALUE"""),6.0)</f>
        <v>6</v>
      </c>
      <c r="J1265" s="2">
        <f>IFERROR(__xludf.DUMMYFUNCTION("""COMPUTED_VALUE"""),284.21)</f>
        <v>284.21</v>
      </c>
      <c r="K1265" s="2">
        <f>IFERROR(__xludf.DUMMYFUNCTION("""COMPUTED_VALUE"""),284.21)</f>
        <v>284.21</v>
      </c>
    </row>
    <row r="1266">
      <c r="A1266" s="2">
        <f>IFERROR(__xludf.DUMMYFUNCTION("""COMPUTED_VALUE"""),1000.0)</f>
        <v>1000</v>
      </c>
      <c r="B1266" s="2">
        <f>IFERROR(__xludf.DUMMYFUNCTION("""COMPUTED_VALUE"""),184380.0)</f>
        <v>184380</v>
      </c>
      <c r="C1266" s="2">
        <f>IFERROR(__xludf.DUMMYFUNCTION("""COMPUTED_VALUE"""),2026.0)</f>
        <v>2026</v>
      </c>
      <c r="D1266" s="2">
        <f>IFERROR(__xludf.DUMMYFUNCTION("""COMPUTED_VALUE"""),46128.0)</f>
        <v>46128</v>
      </c>
      <c r="E1266" s="2" t="str">
        <f>IFERROR(__xludf.DUMMYFUNCTION("""COMPUTED_VALUE"""),"VF")</f>
        <v>VF</v>
      </c>
      <c r="F1266" s="2">
        <f>IFERROR(__xludf.DUMMYFUNCTION("""COMPUTED_VALUE"""),1.0)</f>
        <v>1</v>
      </c>
      <c r="G1266" s="2" t="str">
        <f>IFERROR(__xludf.DUMMYFUNCTION("""COMPUTED_VALUE"""),"PR017")</f>
        <v>PR017</v>
      </c>
      <c r="H1266" s="2" t="str">
        <f>IFERROR(__xludf.DUMMYFUNCTION("""COMPUTED_VALUE"""),"VD033")</f>
        <v>VD033</v>
      </c>
      <c r="I1266" s="2">
        <f>IFERROR(__xludf.DUMMYFUNCTION("""COMPUTED_VALUE"""),6.0)</f>
        <v>6</v>
      </c>
      <c r="J1266" s="2">
        <f>IFERROR(__xludf.DUMMYFUNCTION("""COMPUTED_VALUE"""),188.37)</f>
        <v>188.37</v>
      </c>
      <c r="K1266" s="2">
        <f>IFERROR(__xludf.DUMMYFUNCTION("""COMPUTED_VALUE"""),188.37)</f>
        <v>188.37</v>
      </c>
    </row>
    <row r="1267">
      <c r="A1267" s="2">
        <f>IFERROR(__xludf.DUMMYFUNCTION("""COMPUTED_VALUE"""),1000.0)</f>
        <v>1000</v>
      </c>
      <c r="B1267" s="2">
        <f>IFERROR(__xludf.DUMMYFUNCTION("""COMPUTED_VALUE"""),184381.0)</f>
        <v>184381</v>
      </c>
      <c r="C1267" s="2">
        <f>IFERROR(__xludf.DUMMYFUNCTION("""COMPUTED_VALUE"""),2026.0)</f>
        <v>2026</v>
      </c>
      <c r="D1267" s="2">
        <f>IFERROR(__xludf.DUMMYFUNCTION("""COMPUTED_VALUE"""),46128.0)</f>
        <v>46128</v>
      </c>
      <c r="E1267" s="2" t="str">
        <f>IFERROR(__xludf.DUMMYFUNCTION("""COMPUTED_VALUE"""),"VF")</f>
        <v>VF</v>
      </c>
      <c r="F1267" s="2">
        <f>IFERROR(__xludf.DUMMYFUNCTION("""COMPUTED_VALUE"""),1.0)</f>
        <v>1</v>
      </c>
      <c r="G1267" s="2" t="str">
        <f>IFERROR(__xludf.DUMMYFUNCTION("""COMPUTED_VALUE"""),"PR003")</f>
        <v>PR003</v>
      </c>
      <c r="H1267" s="2" t="str">
        <f>IFERROR(__xludf.DUMMYFUNCTION("""COMPUTED_VALUE"""),"VD015")</f>
        <v>VD015</v>
      </c>
      <c r="I1267" s="2">
        <f>IFERROR(__xludf.DUMMYFUNCTION("""COMPUTED_VALUE"""),3.0)</f>
        <v>3</v>
      </c>
      <c r="J1267" s="2">
        <f>IFERROR(__xludf.DUMMYFUNCTION("""COMPUTED_VALUE"""),212.7)</f>
        <v>212.7</v>
      </c>
      <c r="K1267" s="2">
        <f>IFERROR(__xludf.DUMMYFUNCTION("""COMPUTED_VALUE"""),212.7)</f>
        <v>212.7</v>
      </c>
    </row>
    <row r="1268">
      <c r="A1268" s="2">
        <f>IFERROR(__xludf.DUMMYFUNCTION("""COMPUTED_VALUE"""),1000.0)</f>
        <v>1000</v>
      </c>
      <c r="B1268" s="2">
        <f>IFERROR(__xludf.DUMMYFUNCTION("""COMPUTED_VALUE"""),184381.0)</f>
        <v>184381</v>
      </c>
      <c r="C1268" s="2">
        <f>IFERROR(__xludf.DUMMYFUNCTION("""COMPUTED_VALUE"""),2026.0)</f>
        <v>2026</v>
      </c>
      <c r="D1268" s="2">
        <f>IFERROR(__xludf.DUMMYFUNCTION("""COMPUTED_VALUE"""),46127.0)</f>
        <v>46127</v>
      </c>
      <c r="E1268" s="2" t="str">
        <f>IFERROR(__xludf.DUMMYFUNCTION("""COMPUTED_VALUE"""),"VF")</f>
        <v>VF</v>
      </c>
      <c r="F1268" s="2">
        <f>IFERROR(__xludf.DUMMYFUNCTION("""COMPUTED_VALUE"""),2.0)</f>
        <v>2</v>
      </c>
      <c r="G1268" s="2" t="str">
        <f>IFERROR(__xludf.DUMMYFUNCTION("""COMPUTED_VALUE"""),"PR017")</f>
        <v>PR017</v>
      </c>
      <c r="H1268" s="2" t="str">
        <f>IFERROR(__xludf.DUMMYFUNCTION("""COMPUTED_VALUE"""),"VD017")</f>
        <v>VD017</v>
      </c>
      <c r="I1268" s="2">
        <f>IFERROR(__xludf.DUMMYFUNCTION("""COMPUTED_VALUE"""),10.0)</f>
        <v>10</v>
      </c>
      <c r="J1268" s="2">
        <f>IFERROR(__xludf.DUMMYFUNCTION("""COMPUTED_VALUE"""),307.97)</f>
        <v>307.97</v>
      </c>
      <c r="K1268" s="2">
        <f>IFERROR(__xludf.DUMMYFUNCTION("""COMPUTED_VALUE"""),307.97)</f>
        <v>307.97</v>
      </c>
    </row>
    <row r="1269">
      <c r="A1269" s="2">
        <f>IFERROR(__xludf.DUMMYFUNCTION("""COMPUTED_VALUE"""),2000.0)</f>
        <v>2000</v>
      </c>
      <c r="B1269" s="2">
        <f>IFERROR(__xludf.DUMMYFUNCTION("""COMPUTED_VALUE"""),184381.0)</f>
        <v>184381</v>
      </c>
      <c r="C1269" s="2">
        <f>IFERROR(__xludf.DUMMYFUNCTION("""COMPUTED_VALUE"""),2026.0)</f>
        <v>2026</v>
      </c>
      <c r="D1269" s="2">
        <f>IFERROR(__xludf.DUMMYFUNCTION("""COMPUTED_VALUE"""),46127.0)</f>
        <v>46127</v>
      </c>
      <c r="E1269" s="2" t="str">
        <f>IFERROR(__xludf.DUMMYFUNCTION("""COMPUTED_VALUE"""),"VF")</f>
        <v>VF</v>
      </c>
      <c r="F1269" s="2">
        <f>IFERROR(__xludf.DUMMYFUNCTION("""COMPUTED_VALUE"""),3.0)</f>
        <v>3</v>
      </c>
      <c r="G1269" s="2" t="str">
        <f>IFERROR(__xludf.DUMMYFUNCTION("""COMPUTED_VALUE"""),"PR011")</f>
        <v>PR011</v>
      </c>
      <c r="H1269" s="2" t="str">
        <f>IFERROR(__xludf.DUMMYFUNCTION("""COMPUTED_VALUE"""),"VD037")</f>
        <v>VD037</v>
      </c>
      <c r="I1269" s="2">
        <f>IFERROR(__xludf.DUMMYFUNCTION("""COMPUTED_VALUE"""),10.0)</f>
        <v>10</v>
      </c>
      <c r="J1269" s="2">
        <f>IFERROR(__xludf.DUMMYFUNCTION("""COMPUTED_VALUE"""),492.45)</f>
        <v>492.45</v>
      </c>
      <c r="K1269" s="2">
        <f>IFERROR(__xludf.DUMMYFUNCTION("""COMPUTED_VALUE"""),492.45)</f>
        <v>492.45</v>
      </c>
    </row>
    <row r="1270">
      <c r="A1270" s="2">
        <f>IFERROR(__xludf.DUMMYFUNCTION("""COMPUTED_VALUE"""),1000.0)</f>
        <v>1000</v>
      </c>
      <c r="B1270" s="2">
        <f>IFERROR(__xludf.DUMMYFUNCTION("""COMPUTED_VALUE"""),184382.0)</f>
        <v>184382</v>
      </c>
      <c r="C1270" s="2">
        <f>IFERROR(__xludf.DUMMYFUNCTION("""COMPUTED_VALUE"""),2026.0)</f>
        <v>2026</v>
      </c>
      <c r="D1270" s="2">
        <f>IFERROR(__xludf.DUMMYFUNCTION("""COMPUTED_VALUE"""),46127.0)</f>
        <v>46127</v>
      </c>
      <c r="E1270" s="2" t="str">
        <f>IFERROR(__xludf.DUMMYFUNCTION("""COMPUTED_VALUE"""),"VF")</f>
        <v>VF</v>
      </c>
      <c r="F1270" s="2">
        <f>IFERROR(__xludf.DUMMYFUNCTION("""COMPUTED_VALUE"""),1.0)</f>
        <v>1</v>
      </c>
      <c r="G1270" s="2" t="str">
        <f>IFERROR(__xludf.DUMMYFUNCTION("""COMPUTED_VALUE"""),"PR031")</f>
        <v>PR031</v>
      </c>
      <c r="H1270" s="2" t="str">
        <f>IFERROR(__xludf.DUMMYFUNCTION("""COMPUTED_VALUE"""),"VD024")</f>
        <v>VD024</v>
      </c>
      <c r="I1270" s="2">
        <f>IFERROR(__xludf.DUMMYFUNCTION("""COMPUTED_VALUE"""),4.0)</f>
        <v>4</v>
      </c>
      <c r="J1270" s="2">
        <f>IFERROR(__xludf.DUMMYFUNCTION("""COMPUTED_VALUE"""),1019.2)</f>
        <v>1019.2</v>
      </c>
      <c r="K1270" s="2">
        <f>IFERROR(__xludf.DUMMYFUNCTION("""COMPUTED_VALUE"""),1019.2)</f>
        <v>1019.2</v>
      </c>
    </row>
    <row r="1271">
      <c r="A1271" s="2">
        <f>IFERROR(__xludf.DUMMYFUNCTION("""COMPUTED_VALUE"""),1000.0)</f>
        <v>1000</v>
      </c>
      <c r="B1271" s="2">
        <f>IFERROR(__xludf.DUMMYFUNCTION("""COMPUTED_VALUE"""),184382.0)</f>
        <v>184382</v>
      </c>
      <c r="C1271" s="2">
        <f>IFERROR(__xludf.DUMMYFUNCTION("""COMPUTED_VALUE"""),2026.0)</f>
        <v>2026</v>
      </c>
      <c r="D1271" s="2">
        <f>IFERROR(__xludf.DUMMYFUNCTION("""COMPUTED_VALUE"""),46126.0)</f>
        <v>46126</v>
      </c>
      <c r="E1271" s="2" t="str">
        <f>IFERROR(__xludf.DUMMYFUNCTION("""COMPUTED_VALUE"""),"VF")</f>
        <v>VF</v>
      </c>
      <c r="F1271" s="2">
        <f>IFERROR(__xludf.DUMMYFUNCTION("""COMPUTED_VALUE"""),2.0)</f>
        <v>2</v>
      </c>
      <c r="G1271" s="2" t="str">
        <f>IFERROR(__xludf.DUMMYFUNCTION("""COMPUTED_VALUE"""),"PR011")</f>
        <v>PR011</v>
      </c>
      <c r="H1271" s="2" t="str">
        <f>IFERROR(__xludf.DUMMYFUNCTION("""COMPUTED_VALUE"""),"VD030")</f>
        <v>VD030</v>
      </c>
      <c r="I1271" s="2">
        <f>IFERROR(__xludf.DUMMYFUNCTION("""COMPUTED_VALUE"""),16.0)</f>
        <v>16</v>
      </c>
      <c r="J1271" s="2">
        <f>IFERROR(__xludf.DUMMYFUNCTION("""COMPUTED_VALUE"""),825.44)</f>
        <v>825.44</v>
      </c>
      <c r="K1271" s="2">
        <f>IFERROR(__xludf.DUMMYFUNCTION("""COMPUTED_VALUE"""),825.44)</f>
        <v>825.44</v>
      </c>
    </row>
    <row r="1272">
      <c r="A1272" s="2">
        <f>IFERROR(__xludf.DUMMYFUNCTION("""COMPUTED_VALUE"""),2000.0)</f>
        <v>2000</v>
      </c>
      <c r="B1272" s="2">
        <f>IFERROR(__xludf.DUMMYFUNCTION("""COMPUTED_VALUE"""),184382.0)</f>
        <v>184382</v>
      </c>
      <c r="C1272" s="2">
        <f>IFERROR(__xludf.DUMMYFUNCTION("""COMPUTED_VALUE"""),2026.0)</f>
        <v>2026</v>
      </c>
      <c r="D1272" s="2">
        <f>IFERROR(__xludf.DUMMYFUNCTION("""COMPUTED_VALUE"""),46126.0)</f>
        <v>46126</v>
      </c>
      <c r="E1272" s="2" t="str">
        <f>IFERROR(__xludf.DUMMYFUNCTION("""COMPUTED_VALUE"""),"VF")</f>
        <v>VF</v>
      </c>
      <c r="F1272" s="2">
        <f>IFERROR(__xludf.DUMMYFUNCTION("""COMPUTED_VALUE"""),3.0)</f>
        <v>3</v>
      </c>
      <c r="G1272" s="2" t="str">
        <f>IFERROR(__xludf.DUMMYFUNCTION("""COMPUTED_VALUE"""),"PR035")</f>
        <v>PR035</v>
      </c>
      <c r="H1272" s="2" t="str">
        <f>IFERROR(__xludf.DUMMYFUNCTION("""COMPUTED_VALUE"""),"VD025")</f>
        <v>VD025</v>
      </c>
      <c r="I1272" s="2">
        <f>IFERROR(__xludf.DUMMYFUNCTION("""COMPUTED_VALUE"""),9.0)</f>
        <v>9</v>
      </c>
      <c r="J1272" s="2">
        <f>IFERROR(__xludf.DUMMYFUNCTION("""COMPUTED_VALUE"""),888.41)</f>
        <v>888.41</v>
      </c>
      <c r="K1272" s="2">
        <f>IFERROR(__xludf.DUMMYFUNCTION("""COMPUTED_VALUE"""),888.41)</f>
        <v>888.41</v>
      </c>
    </row>
    <row r="1273">
      <c r="A1273" s="2">
        <f>IFERROR(__xludf.DUMMYFUNCTION("""COMPUTED_VALUE"""),1000.0)</f>
        <v>1000</v>
      </c>
      <c r="B1273" s="2">
        <f>IFERROR(__xludf.DUMMYFUNCTION("""COMPUTED_VALUE"""),184383.0)</f>
        <v>184383</v>
      </c>
      <c r="C1273" s="2">
        <f>IFERROR(__xludf.DUMMYFUNCTION("""COMPUTED_VALUE"""),2026.0)</f>
        <v>2026</v>
      </c>
      <c r="D1273" s="2">
        <f>IFERROR(__xludf.DUMMYFUNCTION("""COMPUTED_VALUE"""),46126.0)</f>
        <v>46126</v>
      </c>
      <c r="E1273" s="2" t="str">
        <f>IFERROR(__xludf.DUMMYFUNCTION("""COMPUTED_VALUE"""),"VF")</f>
        <v>VF</v>
      </c>
      <c r="F1273" s="2">
        <f>IFERROR(__xludf.DUMMYFUNCTION("""COMPUTED_VALUE"""),1.0)</f>
        <v>1</v>
      </c>
      <c r="G1273" s="2" t="str">
        <f>IFERROR(__xludf.DUMMYFUNCTION("""COMPUTED_VALUE"""),"PR043")</f>
        <v>PR043</v>
      </c>
      <c r="H1273" s="2" t="str">
        <f>IFERROR(__xludf.DUMMYFUNCTION("""COMPUTED_VALUE"""),"VD030")</f>
        <v>VD030</v>
      </c>
      <c r="I1273" s="2">
        <f>IFERROR(__xludf.DUMMYFUNCTION("""COMPUTED_VALUE"""),20.0)</f>
        <v>20</v>
      </c>
      <c r="J1273" s="2">
        <f>IFERROR(__xludf.DUMMYFUNCTION("""COMPUTED_VALUE"""),1464.5)</f>
        <v>1464.5</v>
      </c>
      <c r="K1273" s="2">
        <f>IFERROR(__xludf.DUMMYFUNCTION("""COMPUTED_VALUE"""),1464.5)</f>
        <v>1464.5</v>
      </c>
    </row>
    <row r="1274">
      <c r="A1274" s="2">
        <f>IFERROR(__xludf.DUMMYFUNCTION("""COMPUTED_VALUE"""),1000.0)</f>
        <v>1000</v>
      </c>
      <c r="B1274" s="2">
        <f>IFERROR(__xludf.DUMMYFUNCTION("""COMPUTED_VALUE"""),184384.0)</f>
        <v>184384</v>
      </c>
      <c r="C1274" s="2">
        <f>IFERROR(__xludf.DUMMYFUNCTION("""COMPUTED_VALUE"""),2026.0)</f>
        <v>2026</v>
      </c>
      <c r="D1274" s="2">
        <f>IFERROR(__xludf.DUMMYFUNCTION("""COMPUTED_VALUE"""),46126.0)</f>
        <v>46126</v>
      </c>
      <c r="E1274" s="2" t="str">
        <f>IFERROR(__xludf.DUMMYFUNCTION("""COMPUTED_VALUE"""),"VF")</f>
        <v>VF</v>
      </c>
      <c r="F1274" s="2">
        <f>IFERROR(__xludf.DUMMYFUNCTION("""COMPUTED_VALUE"""),1.0)</f>
        <v>1</v>
      </c>
      <c r="G1274" s="2" t="str">
        <f>IFERROR(__xludf.DUMMYFUNCTION("""COMPUTED_VALUE"""),"PR060")</f>
        <v>PR060</v>
      </c>
      <c r="H1274" s="2" t="str">
        <f>IFERROR(__xludf.DUMMYFUNCTION("""COMPUTED_VALUE"""),"VD017")</f>
        <v>VD017</v>
      </c>
      <c r="I1274" s="2">
        <f>IFERROR(__xludf.DUMMYFUNCTION("""COMPUTED_VALUE"""),7.0)</f>
        <v>7</v>
      </c>
      <c r="J1274" s="2">
        <f>IFERROR(__xludf.DUMMYFUNCTION("""COMPUTED_VALUE"""),1373.4)</f>
        <v>1373.4</v>
      </c>
      <c r="K1274" s="2">
        <f>IFERROR(__xludf.DUMMYFUNCTION("""COMPUTED_VALUE"""),1373.4)</f>
        <v>1373.4</v>
      </c>
    </row>
    <row r="1275">
      <c r="A1275" s="2">
        <f>IFERROR(__xludf.DUMMYFUNCTION("""COMPUTED_VALUE"""),1000.0)</f>
        <v>1000</v>
      </c>
      <c r="B1275" s="2">
        <f>IFERROR(__xludf.DUMMYFUNCTION("""COMPUTED_VALUE"""),184385.0)</f>
        <v>184385</v>
      </c>
      <c r="C1275" s="2">
        <f>IFERROR(__xludf.DUMMYFUNCTION("""COMPUTED_VALUE"""),2026.0)</f>
        <v>2026</v>
      </c>
      <c r="D1275" s="2">
        <f>IFERROR(__xludf.DUMMYFUNCTION("""COMPUTED_VALUE"""),46126.0)</f>
        <v>46126</v>
      </c>
      <c r="E1275" s="2" t="str">
        <f>IFERROR(__xludf.DUMMYFUNCTION("""COMPUTED_VALUE"""),"VF")</f>
        <v>VF</v>
      </c>
      <c r="F1275" s="2">
        <f>IFERROR(__xludf.DUMMYFUNCTION("""COMPUTED_VALUE"""),1.0)</f>
        <v>1</v>
      </c>
      <c r="G1275" s="2" t="str">
        <f>IFERROR(__xludf.DUMMYFUNCTION("""COMPUTED_VALUE"""),"PR026")</f>
        <v>PR026</v>
      </c>
      <c r="H1275" s="2" t="str">
        <f>IFERROR(__xludf.DUMMYFUNCTION("""COMPUTED_VALUE"""),"VD049")</f>
        <v>VD049</v>
      </c>
      <c r="I1275" s="2">
        <f>IFERROR(__xludf.DUMMYFUNCTION("""COMPUTED_VALUE"""),14.0)</f>
        <v>14</v>
      </c>
      <c r="J1275" s="2">
        <f>IFERROR(__xludf.DUMMYFUNCTION("""COMPUTED_VALUE"""),5094.54)</f>
        <v>5094.54</v>
      </c>
      <c r="K1275" s="2">
        <f>IFERROR(__xludf.DUMMYFUNCTION("""COMPUTED_VALUE"""),5094.54)</f>
        <v>5094.54</v>
      </c>
    </row>
    <row r="1276">
      <c r="A1276" s="2">
        <f>IFERROR(__xludf.DUMMYFUNCTION("""COMPUTED_VALUE"""),2000.0)</f>
        <v>2000</v>
      </c>
      <c r="B1276" s="2">
        <f>IFERROR(__xludf.DUMMYFUNCTION("""COMPUTED_VALUE"""),184385.0)</f>
        <v>184385</v>
      </c>
      <c r="C1276" s="2">
        <f>IFERROR(__xludf.DUMMYFUNCTION("""COMPUTED_VALUE"""),2026.0)</f>
        <v>2026</v>
      </c>
      <c r="D1276" s="2">
        <f>IFERROR(__xludf.DUMMYFUNCTION("""COMPUTED_VALUE"""),46125.0)</f>
        <v>46125</v>
      </c>
      <c r="E1276" s="2" t="str">
        <f>IFERROR(__xludf.DUMMYFUNCTION("""COMPUTED_VALUE"""),"VF")</f>
        <v>VF</v>
      </c>
      <c r="F1276" s="2">
        <f>IFERROR(__xludf.DUMMYFUNCTION("""COMPUTED_VALUE"""),2.0)</f>
        <v>2</v>
      </c>
      <c r="G1276" s="2" t="str">
        <f>IFERROR(__xludf.DUMMYFUNCTION("""COMPUTED_VALUE"""),"PR040")</f>
        <v>PR040</v>
      </c>
      <c r="H1276" s="2" t="str">
        <f>IFERROR(__xludf.DUMMYFUNCTION("""COMPUTED_VALUE"""),"VD026")</f>
        <v>VD026</v>
      </c>
      <c r="I1276" s="2">
        <f>IFERROR(__xludf.DUMMYFUNCTION("""COMPUTED_VALUE"""),1.0)</f>
        <v>1</v>
      </c>
      <c r="J1276" s="2">
        <f>IFERROR(__xludf.DUMMYFUNCTION("""COMPUTED_VALUE"""),74.2)</f>
        <v>74.2</v>
      </c>
      <c r="K1276" s="2">
        <f>IFERROR(__xludf.DUMMYFUNCTION("""COMPUTED_VALUE"""),74.2)</f>
        <v>74.2</v>
      </c>
    </row>
    <row r="1277">
      <c r="A1277" s="2">
        <f>IFERROR(__xludf.DUMMYFUNCTION("""COMPUTED_VALUE"""),1000.0)</f>
        <v>1000</v>
      </c>
      <c r="B1277" s="2">
        <f>IFERROR(__xludf.DUMMYFUNCTION("""COMPUTED_VALUE"""),184386.0)</f>
        <v>184386</v>
      </c>
      <c r="C1277" s="2">
        <f>IFERROR(__xludf.DUMMYFUNCTION("""COMPUTED_VALUE"""),2026.0)</f>
        <v>2026</v>
      </c>
      <c r="D1277" s="2">
        <f>IFERROR(__xludf.DUMMYFUNCTION("""COMPUTED_VALUE"""),46125.0)</f>
        <v>46125</v>
      </c>
      <c r="E1277" s="2" t="str">
        <f>IFERROR(__xludf.DUMMYFUNCTION("""COMPUTED_VALUE"""),"VF")</f>
        <v>VF</v>
      </c>
      <c r="F1277" s="2">
        <f>IFERROR(__xludf.DUMMYFUNCTION("""COMPUTED_VALUE"""),1.0)</f>
        <v>1</v>
      </c>
      <c r="G1277" s="2" t="str">
        <f>IFERROR(__xludf.DUMMYFUNCTION("""COMPUTED_VALUE"""),"PR029")</f>
        <v>PR029</v>
      </c>
      <c r="H1277" s="2" t="str">
        <f>IFERROR(__xludf.DUMMYFUNCTION("""COMPUTED_VALUE"""),"VD024")</f>
        <v>VD024</v>
      </c>
      <c r="I1277" s="2">
        <f>IFERROR(__xludf.DUMMYFUNCTION("""COMPUTED_VALUE"""),9.0)</f>
        <v>9</v>
      </c>
      <c r="J1277" s="2">
        <f>IFERROR(__xludf.DUMMYFUNCTION("""COMPUTED_VALUE"""),2363.85)</f>
        <v>2363.85</v>
      </c>
      <c r="K1277" s="2">
        <f>IFERROR(__xludf.DUMMYFUNCTION("""COMPUTED_VALUE"""),2363.85)</f>
        <v>2363.85</v>
      </c>
    </row>
    <row r="1278">
      <c r="A1278" s="2">
        <f>IFERROR(__xludf.DUMMYFUNCTION("""COMPUTED_VALUE"""),1000.0)</f>
        <v>1000</v>
      </c>
      <c r="B1278" s="2">
        <f>IFERROR(__xludf.DUMMYFUNCTION("""COMPUTED_VALUE"""),184386.0)</f>
        <v>184386</v>
      </c>
      <c r="C1278" s="2">
        <f>IFERROR(__xludf.DUMMYFUNCTION("""COMPUTED_VALUE"""),2026.0)</f>
        <v>2026</v>
      </c>
      <c r="D1278" s="2">
        <f>IFERROR(__xludf.DUMMYFUNCTION("""COMPUTED_VALUE"""),46125.0)</f>
        <v>46125</v>
      </c>
      <c r="E1278" s="2" t="str">
        <f>IFERROR(__xludf.DUMMYFUNCTION("""COMPUTED_VALUE"""),"VF")</f>
        <v>VF</v>
      </c>
      <c r="F1278" s="2">
        <f>IFERROR(__xludf.DUMMYFUNCTION("""COMPUTED_VALUE"""),2.0)</f>
        <v>2</v>
      </c>
      <c r="G1278" s="2" t="str">
        <f>IFERROR(__xludf.DUMMYFUNCTION("""COMPUTED_VALUE"""),"PR002")</f>
        <v>PR002</v>
      </c>
      <c r="H1278" s="2" t="str">
        <f>IFERROR(__xludf.DUMMYFUNCTION("""COMPUTED_VALUE"""),"VD040")</f>
        <v>VD040</v>
      </c>
      <c r="I1278" s="2">
        <f>IFERROR(__xludf.DUMMYFUNCTION("""COMPUTED_VALUE"""),8.0)</f>
        <v>8</v>
      </c>
      <c r="J1278" s="2">
        <f>IFERROR(__xludf.DUMMYFUNCTION("""COMPUTED_VALUE"""),570.38)</f>
        <v>570.38</v>
      </c>
      <c r="K1278" s="2">
        <f>IFERROR(__xludf.DUMMYFUNCTION("""COMPUTED_VALUE"""),570.38)</f>
        <v>570.38</v>
      </c>
    </row>
    <row r="1279">
      <c r="A1279" s="2">
        <f>IFERROR(__xludf.DUMMYFUNCTION("""COMPUTED_VALUE"""),2000.0)</f>
        <v>2000</v>
      </c>
      <c r="B1279" s="2">
        <f>IFERROR(__xludf.DUMMYFUNCTION("""COMPUTED_VALUE"""),184386.0)</f>
        <v>184386</v>
      </c>
      <c r="C1279" s="2">
        <f>IFERROR(__xludf.DUMMYFUNCTION("""COMPUTED_VALUE"""),2026.0)</f>
        <v>2026</v>
      </c>
      <c r="D1279" s="2">
        <f>IFERROR(__xludf.DUMMYFUNCTION("""COMPUTED_VALUE"""),46125.0)</f>
        <v>46125</v>
      </c>
      <c r="E1279" s="2" t="str">
        <f>IFERROR(__xludf.DUMMYFUNCTION("""COMPUTED_VALUE"""),"VF")</f>
        <v>VF</v>
      </c>
      <c r="F1279" s="2">
        <f>IFERROR(__xludf.DUMMYFUNCTION("""COMPUTED_VALUE"""),3.0)</f>
        <v>3</v>
      </c>
      <c r="G1279" s="2" t="str">
        <f>IFERROR(__xludf.DUMMYFUNCTION("""COMPUTED_VALUE"""),"PR016")</f>
        <v>PR016</v>
      </c>
      <c r="H1279" s="2" t="str">
        <f>IFERROR(__xludf.DUMMYFUNCTION("""COMPUTED_VALUE"""),"VD026")</f>
        <v>VD026</v>
      </c>
      <c r="I1279" s="2">
        <f>IFERROR(__xludf.DUMMYFUNCTION("""COMPUTED_VALUE"""),10.0)</f>
        <v>10</v>
      </c>
      <c r="J1279" s="2">
        <f>IFERROR(__xludf.DUMMYFUNCTION("""COMPUTED_VALUE"""),259.0)</f>
        <v>259</v>
      </c>
      <c r="K1279" s="2">
        <f>IFERROR(__xludf.DUMMYFUNCTION("""COMPUTED_VALUE"""),259.0)</f>
        <v>259</v>
      </c>
    </row>
    <row r="1280">
      <c r="A1280" s="2">
        <f>IFERROR(__xludf.DUMMYFUNCTION("""COMPUTED_VALUE"""),1000.0)</f>
        <v>1000</v>
      </c>
      <c r="B1280" s="2">
        <f>IFERROR(__xludf.DUMMYFUNCTION("""COMPUTED_VALUE"""),184386.0)</f>
        <v>184386</v>
      </c>
      <c r="C1280" s="2">
        <f>IFERROR(__xludf.DUMMYFUNCTION("""COMPUTED_VALUE"""),2026.0)</f>
        <v>2026</v>
      </c>
      <c r="D1280" s="2">
        <f>IFERROR(__xludf.DUMMYFUNCTION("""COMPUTED_VALUE"""),46125.0)</f>
        <v>46125</v>
      </c>
      <c r="E1280" s="2" t="str">
        <f>IFERROR(__xludf.DUMMYFUNCTION("""COMPUTED_VALUE"""),"VF")</f>
        <v>VF</v>
      </c>
      <c r="F1280" s="2">
        <f>IFERROR(__xludf.DUMMYFUNCTION("""COMPUTED_VALUE"""),4.0)</f>
        <v>4</v>
      </c>
      <c r="G1280" s="2" t="str">
        <f>IFERROR(__xludf.DUMMYFUNCTION("""COMPUTED_VALUE"""),"PR018")</f>
        <v>PR018</v>
      </c>
      <c r="H1280" s="2" t="str">
        <f>IFERROR(__xludf.DUMMYFUNCTION("""COMPUTED_VALUE"""),"VD029")</f>
        <v>VD029</v>
      </c>
      <c r="I1280" s="2">
        <f>IFERROR(__xludf.DUMMYFUNCTION("""COMPUTED_VALUE"""),9.0)</f>
        <v>9</v>
      </c>
      <c r="J1280" s="2">
        <f>IFERROR(__xludf.DUMMYFUNCTION("""COMPUTED_VALUE"""),307.94)</f>
        <v>307.94</v>
      </c>
      <c r="K1280" s="2">
        <f>IFERROR(__xludf.DUMMYFUNCTION("""COMPUTED_VALUE"""),307.94)</f>
        <v>307.94</v>
      </c>
    </row>
    <row r="1281">
      <c r="A1281" s="2">
        <f>IFERROR(__xludf.DUMMYFUNCTION("""COMPUTED_VALUE"""),1000.0)</f>
        <v>1000</v>
      </c>
      <c r="B1281" s="2">
        <f>IFERROR(__xludf.DUMMYFUNCTION("""COMPUTED_VALUE"""),184387.0)</f>
        <v>184387</v>
      </c>
      <c r="C1281" s="2">
        <f>IFERROR(__xludf.DUMMYFUNCTION("""COMPUTED_VALUE"""),2026.0)</f>
        <v>2026</v>
      </c>
      <c r="D1281" s="2">
        <f>IFERROR(__xludf.DUMMYFUNCTION("""COMPUTED_VALUE"""),46124.0)</f>
        <v>46124</v>
      </c>
      <c r="E1281" s="2" t="str">
        <f>IFERROR(__xludf.DUMMYFUNCTION("""COMPUTED_VALUE"""),"VF")</f>
        <v>VF</v>
      </c>
      <c r="F1281" s="2">
        <f>IFERROR(__xludf.DUMMYFUNCTION("""COMPUTED_VALUE"""),1.0)</f>
        <v>1</v>
      </c>
      <c r="G1281" s="2" t="str">
        <f>IFERROR(__xludf.DUMMYFUNCTION("""COMPUTED_VALUE"""),"PR021")</f>
        <v>PR021</v>
      </c>
      <c r="H1281" s="2" t="str">
        <f>IFERROR(__xludf.DUMMYFUNCTION("""COMPUTED_VALUE"""),"VD010")</f>
        <v>VD010</v>
      </c>
      <c r="I1281" s="2">
        <f>IFERROR(__xludf.DUMMYFUNCTION("""COMPUTED_VALUE"""),3.0)</f>
        <v>3</v>
      </c>
      <c r="J1281" s="2">
        <f>IFERROR(__xludf.DUMMYFUNCTION("""COMPUTED_VALUE"""),935.96)</f>
        <v>935.96</v>
      </c>
      <c r="K1281" s="2">
        <f>IFERROR(__xludf.DUMMYFUNCTION("""COMPUTED_VALUE"""),935.96)</f>
        <v>935.96</v>
      </c>
    </row>
    <row r="1282">
      <c r="A1282" s="2">
        <f>IFERROR(__xludf.DUMMYFUNCTION("""COMPUTED_VALUE"""),2000.0)</f>
        <v>2000</v>
      </c>
      <c r="B1282" s="2">
        <f>IFERROR(__xludf.DUMMYFUNCTION("""COMPUTED_VALUE"""),184388.0)</f>
        <v>184388</v>
      </c>
      <c r="C1282" s="2">
        <f>IFERROR(__xludf.DUMMYFUNCTION("""COMPUTED_VALUE"""),2026.0)</f>
        <v>2026</v>
      </c>
      <c r="D1282" s="2">
        <f>IFERROR(__xludf.DUMMYFUNCTION("""COMPUTED_VALUE"""),46124.0)</f>
        <v>46124</v>
      </c>
      <c r="E1282" s="2" t="str">
        <f>IFERROR(__xludf.DUMMYFUNCTION("""COMPUTED_VALUE"""),"VF")</f>
        <v>VF</v>
      </c>
      <c r="F1282" s="2">
        <f>IFERROR(__xludf.DUMMYFUNCTION("""COMPUTED_VALUE"""),1.0)</f>
        <v>1</v>
      </c>
      <c r="G1282" s="2" t="str">
        <f>IFERROR(__xludf.DUMMYFUNCTION("""COMPUTED_VALUE"""),"PR004")</f>
        <v>PR004</v>
      </c>
      <c r="H1282" s="2" t="str">
        <f>IFERROR(__xludf.DUMMYFUNCTION("""COMPUTED_VALUE"""),"VD041")</f>
        <v>VD041</v>
      </c>
      <c r="I1282" s="2">
        <f>IFERROR(__xludf.DUMMYFUNCTION("""COMPUTED_VALUE"""),12.0)</f>
        <v>12</v>
      </c>
      <c r="J1282" s="2">
        <f>IFERROR(__xludf.DUMMYFUNCTION("""COMPUTED_VALUE"""),1809.6)</f>
        <v>1809.6</v>
      </c>
      <c r="K1282" s="2">
        <f>IFERROR(__xludf.DUMMYFUNCTION("""COMPUTED_VALUE"""),1809.6)</f>
        <v>1809.6</v>
      </c>
    </row>
    <row r="1283">
      <c r="A1283" s="2">
        <f>IFERROR(__xludf.DUMMYFUNCTION("""COMPUTED_VALUE"""),2000.0)</f>
        <v>2000</v>
      </c>
      <c r="B1283" s="2">
        <f>IFERROR(__xludf.DUMMYFUNCTION("""COMPUTED_VALUE"""),184389.0)</f>
        <v>184389</v>
      </c>
      <c r="C1283" s="2">
        <f>IFERROR(__xludf.DUMMYFUNCTION("""COMPUTED_VALUE"""),2026.0)</f>
        <v>2026</v>
      </c>
      <c r="D1283" s="2">
        <f>IFERROR(__xludf.DUMMYFUNCTION("""COMPUTED_VALUE"""),46124.0)</f>
        <v>46124</v>
      </c>
      <c r="E1283" s="2" t="str">
        <f>IFERROR(__xludf.DUMMYFUNCTION("""COMPUTED_VALUE"""),"VF")</f>
        <v>VF</v>
      </c>
      <c r="F1283" s="2">
        <f>IFERROR(__xludf.DUMMYFUNCTION("""COMPUTED_VALUE"""),1.0)</f>
        <v>1</v>
      </c>
      <c r="G1283" s="2" t="str">
        <f>IFERROR(__xludf.DUMMYFUNCTION("""COMPUTED_VALUE"""),"PR044")</f>
        <v>PR044</v>
      </c>
      <c r="H1283" s="2" t="str">
        <f>IFERROR(__xludf.DUMMYFUNCTION("""COMPUTED_VALUE"""),"VD039")</f>
        <v>VD039</v>
      </c>
      <c r="I1283" s="2">
        <f>IFERROR(__xludf.DUMMYFUNCTION("""COMPUTED_VALUE"""),5.0)</f>
        <v>5</v>
      </c>
      <c r="J1283" s="2">
        <f>IFERROR(__xludf.DUMMYFUNCTION("""COMPUTED_VALUE"""),387.88)</f>
        <v>387.88</v>
      </c>
      <c r="K1283" s="2">
        <f>IFERROR(__xludf.DUMMYFUNCTION("""COMPUTED_VALUE"""),387.88)</f>
        <v>387.88</v>
      </c>
    </row>
    <row r="1284">
      <c r="A1284" s="2">
        <f>IFERROR(__xludf.DUMMYFUNCTION("""COMPUTED_VALUE"""),1000.0)</f>
        <v>1000</v>
      </c>
      <c r="B1284" s="2">
        <f>IFERROR(__xludf.DUMMYFUNCTION("""COMPUTED_VALUE"""),184390.0)</f>
        <v>184390</v>
      </c>
      <c r="C1284" s="2">
        <f>IFERROR(__xludf.DUMMYFUNCTION("""COMPUTED_VALUE"""),2026.0)</f>
        <v>2026</v>
      </c>
      <c r="D1284" s="2">
        <f>IFERROR(__xludf.DUMMYFUNCTION("""COMPUTED_VALUE"""),46124.0)</f>
        <v>46124</v>
      </c>
      <c r="E1284" s="2" t="str">
        <f>IFERROR(__xludf.DUMMYFUNCTION("""COMPUTED_VALUE"""),"VF")</f>
        <v>VF</v>
      </c>
      <c r="F1284" s="2">
        <f>IFERROR(__xludf.DUMMYFUNCTION("""COMPUTED_VALUE"""),1.0)</f>
        <v>1</v>
      </c>
      <c r="G1284" s="2" t="str">
        <f>IFERROR(__xludf.DUMMYFUNCTION("""COMPUTED_VALUE"""),"PR028")</f>
        <v>PR028</v>
      </c>
      <c r="H1284" s="2" t="str">
        <f>IFERROR(__xludf.DUMMYFUNCTION("""COMPUTED_VALUE"""),"VD026")</f>
        <v>VD026</v>
      </c>
      <c r="I1284" s="2">
        <f>IFERROR(__xludf.DUMMYFUNCTION("""COMPUTED_VALUE"""),1.0)</f>
        <v>1</v>
      </c>
      <c r="J1284" s="2">
        <f>IFERROR(__xludf.DUMMYFUNCTION("""COMPUTED_VALUE"""),259.9)</f>
        <v>259.9</v>
      </c>
      <c r="K1284" s="2">
        <f>IFERROR(__xludf.DUMMYFUNCTION("""COMPUTED_VALUE"""),259.9)</f>
        <v>259.9</v>
      </c>
    </row>
    <row r="1285">
      <c r="A1285" s="2">
        <f>IFERROR(__xludf.DUMMYFUNCTION("""COMPUTED_VALUE"""),1000.0)</f>
        <v>1000</v>
      </c>
      <c r="B1285" s="2">
        <f>IFERROR(__xludf.DUMMYFUNCTION("""COMPUTED_VALUE"""),184391.0)</f>
        <v>184391</v>
      </c>
      <c r="C1285" s="2">
        <f>IFERROR(__xludf.DUMMYFUNCTION("""COMPUTED_VALUE"""),2026.0)</f>
        <v>2026</v>
      </c>
      <c r="D1285" s="2">
        <f>IFERROR(__xludf.DUMMYFUNCTION("""COMPUTED_VALUE"""),46124.0)</f>
        <v>46124</v>
      </c>
      <c r="E1285" s="2" t="str">
        <f>IFERROR(__xludf.DUMMYFUNCTION("""COMPUTED_VALUE"""),"VF")</f>
        <v>VF</v>
      </c>
      <c r="F1285" s="2">
        <f>IFERROR(__xludf.DUMMYFUNCTION("""COMPUTED_VALUE"""),1.0)</f>
        <v>1</v>
      </c>
      <c r="G1285" s="2" t="str">
        <f>IFERROR(__xludf.DUMMYFUNCTION("""COMPUTED_VALUE"""),"PR024")</f>
        <v>PR024</v>
      </c>
      <c r="H1285" s="2" t="str">
        <f>IFERROR(__xludf.DUMMYFUNCTION("""COMPUTED_VALUE"""),"VD036")</f>
        <v>VD036</v>
      </c>
      <c r="I1285" s="2">
        <f>IFERROR(__xludf.DUMMYFUNCTION("""COMPUTED_VALUE"""),2.0)</f>
        <v>2</v>
      </c>
      <c r="J1285" s="2">
        <f>IFERROR(__xludf.DUMMYFUNCTION("""COMPUTED_VALUE"""),540.59)</f>
        <v>540.59</v>
      </c>
      <c r="K1285" s="2">
        <f>IFERROR(__xludf.DUMMYFUNCTION("""COMPUTED_VALUE"""),540.59)</f>
        <v>540.59</v>
      </c>
    </row>
    <row r="1286">
      <c r="A1286" s="2">
        <f>IFERROR(__xludf.DUMMYFUNCTION("""COMPUTED_VALUE"""),1000.0)</f>
        <v>1000</v>
      </c>
      <c r="B1286" s="2">
        <f>IFERROR(__xludf.DUMMYFUNCTION("""COMPUTED_VALUE"""),184392.0)</f>
        <v>184392</v>
      </c>
      <c r="C1286" s="2">
        <f>IFERROR(__xludf.DUMMYFUNCTION("""COMPUTED_VALUE"""),2026.0)</f>
        <v>2026</v>
      </c>
      <c r="D1286" s="2">
        <f>IFERROR(__xludf.DUMMYFUNCTION("""COMPUTED_VALUE"""),46124.0)</f>
        <v>46124</v>
      </c>
      <c r="E1286" s="2" t="str">
        <f>IFERROR(__xludf.DUMMYFUNCTION("""COMPUTED_VALUE"""),"VF")</f>
        <v>VF</v>
      </c>
      <c r="F1286" s="2">
        <f>IFERROR(__xludf.DUMMYFUNCTION("""COMPUTED_VALUE"""),1.0)</f>
        <v>1</v>
      </c>
      <c r="G1286" s="2" t="str">
        <f>IFERROR(__xludf.DUMMYFUNCTION("""COMPUTED_VALUE"""),"PR004")</f>
        <v>PR004</v>
      </c>
      <c r="H1286" s="2" t="str">
        <f>IFERROR(__xludf.DUMMYFUNCTION("""COMPUTED_VALUE"""),"VD020")</f>
        <v>VD020</v>
      </c>
      <c r="I1286" s="2">
        <f>IFERROR(__xludf.DUMMYFUNCTION("""COMPUTED_VALUE"""),10.0)</f>
        <v>10</v>
      </c>
      <c r="J1286" s="2">
        <f>IFERROR(__xludf.DUMMYFUNCTION("""COMPUTED_VALUE"""),1464.5)</f>
        <v>1464.5</v>
      </c>
      <c r="K1286" s="2">
        <f>IFERROR(__xludf.DUMMYFUNCTION("""COMPUTED_VALUE"""),1464.5)</f>
        <v>1464.5</v>
      </c>
    </row>
    <row r="1287">
      <c r="A1287" s="2">
        <f>IFERROR(__xludf.DUMMYFUNCTION("""COMPUTED_VALUE"""),1000.0)</f>
        <v>1000</v>
      </c>
      <c r="B1287" s="2">
        <f>IFERROR(__xludf.DUMMYFUNCTION("""COMPUTED_VALUE"""),184393.0)</f>
        <v>184393</v>
      </c>
      <c r="C1287" s="2">
        <f>IFERROR(__xludf.DUMMYFUNCTION("""COMPUTED_VALUE"""),2026.0)</f>
        <v>2026</v>
      </c>
      <c r="D1287" s="2">
        <f>IFERROR(__xludf.DUMMYFUNCTION("""COMPUTED_VALUE"""),46123.0)</f>
        <v>46123</v>
      </c>
      <c r="E1287" s="2" t="str">
        <f>IFERROR(__xludf.DUMMYFUNCTION("""COMPUTED_VALUE"""),"VF")</f>
        <v>VF</v>
      </c>
      <c r="F1287" s="2">
        <f>IFERROR(__xludf.DUMMYFUNCTION("""COMPUTED_VALUE"""),1.0)</f>
        <v>1</v>
      </c>
      <c r="G1287" s="2" t="str">
        <f>IFERROR(__xludf.DUMMYFUNCTION("""COMPUTED_VALUE"""),"PR004")</f>
        <v>PR004</v>
      </c>
      <c r="H1287" s="2" t="str">
        <f>IFERROR(__xludf.DUMMYFUNCTION("""COMPUTED_VALUE"""),"VD011")</f>
        <v>VD011</v>
      </c>
      <c r="I1287" s="2">
        <f>IFERROR(__xludf.DUMMYFUNCTION("""COMPUTED_VALUE"""),16.0)</f>
        <v>16</v>
      </c>
      <c r="J1287" s="2">
        <f>IFERROR(__xludf.DUMMYFUNCTION("""COMPUTED_VALUE"""),2528.8)</f>
        <v>2528.8</v>
      </c>
      <c r="K1287" s="2">
        <f>IFERROR(__xludf.DUMMYFUNCTION("""COMPUTED_VALUE"""),2528.8)</f>
        <v>2528.8</v>
      </c>
    </row>
    <row r="1288">
      <c r="A1288" s="2">
        <f>IFERROR(__xludf.DUMMYFUNCTION("""COMPUTED_VALUE"""),1000.0)</f>
        <v>1000</v>
      </c>
      <c r="B1288" s="2">
        <f>IFERROR(__xludf.DUMMYFUNCTION("""COMPUTED_VALUE"""),184393.0)</f>
        <v>184393</v>
      </c>
      <c r="C1288" s="2">
        <f>IFERROR(__xludf.DUMMYFUNCTION("""COMPUTED_VALUE"""),2026.0)</f>
        <v>2026</v>
      </c>
      <c r="D1288" s="2">
        <f>IFERROR(__xludf.DUMMYFUNCTION("""COMPUTED_VALUE"""),46123.0)</f>
        <v>46123</v>
      </c>
      <c r="E1288" s="2" t="str">
        <f>IFERROR(__xludf.DUMMYFUNCTION("""COMPUTED_VALUE"""),"VF")</f>
        <v>VF</v>
      </c>
      <c r="F1288" s="2">
        <f>IFERROR(__xludf.DUMMYFUNCTION("""COMPUTED_VALUE"""),2.0)</f>
        <v>2</v>
      </c>
      <c r="G1288" s="2" t="str">
        <f>IFERROR(__xludf.DUMMYFUNCTION("""COMPUTED_VALUE"""),"PR007")</f>
        <v>PR007</v>
      </c>
      <c r="H1288" s="2" t="str">
        <f>IFERROR(__xludf.DUMMYFUNCTION("""COMPUTED_VALUE"""),"VD023")</f>
        <v>VD023</v>
      </c>
      <c r="I1288" s="2">
        <f>IFERROR(__xludf.DUMMYFUNCTION("""COMPUTED_VALUE"""),4.0)</f>
        <v>4</v>
      </c>
      <c r="J1288" s="2">
        <f>IFERROR(__xludf.DUMMYFUNCTION("""COMPUTED_VALUE"""),343.6)</f>
        <v>343.6</v>
      </c>
      <c r="K1288" s="2">
        <f>IFERROR(__xludf.DUMMYFUNCTION("""COMPUTED_VALUE"""),343.6)</f>
        <v>343.6</v>
      </c>
    </row>
    <row r="1289">
      <c r="A1289" s="2">
        <f>IFERROR(__xludf.DUMMYFUNCTION("""COMPUTED_VALUE"""),2000.0)</f>
        <v>2000</v>
      </c>
      <c r="B1289" s="2">
        <f>IFERROR(__xludf.DUMMYFUNCTION("""COMPUTED_VALUE"""),184393.0)</f>
        <v>184393</v>
      </c>
      <c r="C1289" s="2">
        <f>IFERROR(__xludf.DUMMYFUNCTION("""COMPUTED_VALUE"""),2026.0)</f>
        <v>2026</v>
      </c>
      <c r="D1289" s="2">
        <f>IFERROR(__xludf.DUMMYFUNCTION("""COMPUTED_VALUE"""),46123.0)</f>
        <v>46123</v>
      </c>
      <c r="E1289" s="2" t="str">
        <f>IFERROR(__xludf.DUMMYFUNCTION("""COMPUTED_VALUE"""),"VF")</f>
        <v>VF</v>
      </c>
      <c r="F1289" s="2">
        <f>IFERROR(__xludf.DUMMYFUNCTION("""COMPUTED_VALUE"""),3.0)</f>
        <v>3</v>
      </c>
      <c r="G1289" s="2" t="str">
        <f>IFERROR(__xludf.DUMMYFUNCTION("""COMPUTED_VALUE"""),"PR020")</f>
        <v>PR020</v>
      </c>
      <c r="H1289" s="2" t="str">
        <f>IFERROR(__xludf.DUMMYFUNCTION("""COMPUTED_VALUE"""),"VD015")</f>
        <v>VD015</v>
      </c>
      <c r="I1289" s="2">
        <f>IFERROR(__xludf.DUMMYFUNCTION("""COMPUTED_VALUE"""),18.0)</f>
        <v>18</v>
      </c>
      <c r="J1289" s="2">
        <f>IFERROR(__xludf.DUMMYFUNCTION("""COMPUTED_VALUE"""),5830.06)</f>
        <v>5830.06</v>
      </c>
      <c r="K1289" s="2">
        <f>IFERROR(__xludf.DUMMYFUNCTION("""COMPUTED_VALUE"""),5830.06)</f>
        <v>5830.06</v>
      </c>
    </row>
    <row r="1290">
      <c r="A1290" s="2">
        <f>IFERROR(__xludf.DUMMYFUNCTION("""COMPUTED_VALUE"""),1000.0)</f>
        <v>1000</v>
      </c>
      <c r="B1290" s="2">
        <f>IFERROR(__xludf.DUMMYFUNCTION("""COMPUTED_VALUE"""),184394.0)</f>
        <v>184394</v>
      </c>
      <c r="C1290" s="2">
        <f>IFERROR(__xludf.DUMMYFUNCTION("""COMPUTED_VALUE"""),2026.0)</f>
        <v>2026</v>
      </c>
      <c r="D1290" s="2">
        <f>IFERROR(__xludf.DUMMYFUNCTION("""COMPUTED_VALUE"""),46123.0)</f>
        <v>46123</v>
      </c>
      <c r="E1290" s="2" t="str">
        <f>IFERROR(__xludf.DUMMYFUNCTION("""COMPUTED_VALUE"""),"VF")</f>
        <v>VF</v>
      </c>
      <c r="F1290" s="2">
        <f>IFERROR(__xludf.DUMMYFUNCTION("""COMPUTED_VALUE"""),1.0)</f>
        <v>1</v>
      </c>
      <c r="G1290" s="2" t="str">
        <f>IFERROR(__xludf.DUMMYFUNCTION("""COMPUTED_VALUE"""),"PR051")</f>
        <v>PR051</v>
      </c>
      <c r="H1290" s="2" t="str">
        <f>IFERROR(__xludf.DUMMYFUNCTION("""COMPUTED_VALUE"""),"VD046")</f>
        <v>VD046</v>
      </c>
      <c r="I1290" s="2">
        <f>IFERROR(__xludf.DUMMYFUNCTION("""COMPUTED_VALUE"""),6.0)</f>
        <v>6</v>
      </c>
      <c r="J1290" s="2">
        <f>IFERROR(__xludf.DUMMYFUNCTION("""COMPUTED_VALUE"""),213.19)</f>
        <v>213.19</v>
      </c>
      <c r="K1290" s="2">
        <f>IFERROR(__xludf.DUMMYFUNCTION("""COMPUTED_VALUE"""),213.19)</f>
        <v>213.19</v>
      </c>
    </row>
    <row r="1291">
      <c r="A1291" s="2">
        <f>IFERROR(__xludf.DUMMYFUNCTION("""COMPUTED_VALUE"""),1000.0)</f>
        <v>1000</v>
      </c>
      <c r="B1291" s="2">
        <f>IFERROR(__xludf.DUMMYFUNCTION("""COMPUTED_VALUE"""),184395.0)</f>
        <v>184395</v>
      </c>
      <c r="C1291" s="2">
        <f>IFERROR(__xludf.DUMMYFUNCTION("""COMPUTED_VALUE"""),2026.0)</f>
        <v>2026</v>
      </c>
      <c r="D1291" s="2">
        <f>IFERROR(__xludf.DUMMYFUNCTION("""COMPUTED_VALUE"""),46122.0)</f>
        <v>46122</v>
      </c>
      <c r="E1291" s="2" t="str">
        <f>IFERROR(__xludf.DUMMYFUNCTION("""COMPUTED_VALUE"""),"VF")</f>
        <v>VF</v>
      </c>
      <c r="F1291" s="2">
        <f>IFERROR(__xludf.DUMMYFUNCTION("""COMPUTED_VALUE"""),1.0)</f>
        <v>1</v>
      </c>
      <c r="G1291" s="2" t="str">
        <f>IFERROR(__xludf.DUMMYFUNCTION("""COMPUTED_VALUE"""),"PR057")</f>
        <v>PR057</v>
      </c>
      <c r="H1291" s="2" t="str">
        <f>IFERROR(__xludf.DUMMYFUNCTION("""COMPUTED_VALUE"""),"VD017")</f>
        <v>VD017</v>
      </c>
      <c r="I1291" s="2">
        <f>IFERROR(__xludf.DUMMYFUNCTION("""COMPUTED_VALUE"""),5.0)</f>
        <v>5</v>
      </c>
      <c r="J1291" s="2">
        <f>IFERROR(__xludf.DUMMYFUNCTION("""COMPUTED_VALUE"""),454.0)</f>
        <v>454</v>
      </c>
      <c r="K1291" s="2">
        <f>IFERROR(__xludf.DUMMYFUNCTION("""COMPUTED_VALUE"""),454.0)</f>
        <v>454</v>
      </c>
    </row>
    <row r="1292">
      <c r="A1292" s="2">
        <f>IFERROR(__xludf.DUMMYFUNCTION("""COMPUTED_VALUE"""),1000.0)</f>
        <v>1000</v>
      </c>
      <c r="B1292" s="2">
        <f>IFERROR(__xludf.DUMMYFUNCTION("""COMPUTED_VALUE"""),184396.0)</f>
        <v>184396</v>
      </c>
      <c r="C1292" s="2">
        <f>IFERROR(__xludf.DUMMYFUNCTION("""COMPUTED_VALUE"""),2026.0)</f>
        <v>2026</v>
      </c>
      <c r="D1292" s="2">
        <f>IFERROR(__xludf.DUMMYFUNCTION("""COMPUTED_VALUE"""),46122.0)</f>
        <v>46122</v>
      </c>
      <c r="E1292" s="2" t="str">
        <f>IFERROR(__xludf.DUMMYFUNCTION("""COMPUTED_VALUE"""),"VF")</f>
        <v>VF</v>
      </c>
      <c r="F1292" s="2">
        <f>IFERROR(__xludf.DUMMYFUNCTION("""COMPUTED_VALUE"""),1.0)</f>
        <v>1</v>
      </c>
      <c r="G1292" s="2" t="str">
        <f>IFERROR(__xludf.DUMMYFUNCTION("""COMPUTED_VALUE"""),"PR035")</f>
        <v>PR035</v>
      </c>
      <c r="H1292" s="2" t="str">
        <f>IFERROR(__xludf.DUMMYFUNCTION("""COMPUTED_VALUE"""),"VD017")</f>
        <v>VD017</v>
      </c>
      <c r="I1292" s="2">
        <f>IFERROR(__xludf.DUMMYFUNCTION("""COMPUTED_VALUE"""),12.0)</f>
        <v>12</v>
      </c>
      <c r="J1292" s="2">
        <f>IFERROR(__xludf.DUMMYFUNCTION("""COMPUTED_VALUE"""),1173.58)</f>
        <v>1173.58</v>
      </c>
      <c r="K1292" s="2">
        <f>IFERROR(__xludf.DUMMYFUNCTION("""COMPUTED_VALUE"""),1173.58)</f>
        <v>1173.58</v>
      </c>
    </row>
    <row r="1293">
      <c r="A1293" s="2">
        <f>IFERROR(__xludf.DUMMYFUNCTION("""COMPUTED_VALUE"""),1000.0)</f>
        <v>1000</v>
      </c>
      <c r="B1293" s="2">
        <f>IFERROR(__xludf.DUMMYFUNCTION("""COMPUTED_VALUE"""),184397.0)</f>
        <v>184397</v>
      </c>
      <c r="C1293" s="2">
        <f>IFERROR(__xludf.DUMMYFUNCTION("""COMPUTED_VALUE"""),2026.0)</f>
        <v>2026</v>
      </c>
      <c r="D1293" s="2">
        <f>IFERROR(__xludf.DUMMYFUNCTION("""COMPUTED_VALUE"""),46122.0)</f>
        <v>46122</v>
      </c>
      <c r="E1293" s="2" t="str">
        <f>IFERROR(__xludf.DUMMYFUNCTION("""COMPUTED_VALUE"""),"VF")</f>
        <v>VF</v>
      </c>
      <c r="F1293" s="2">
        <f>IFERROR(__xludf.DUMMYFUNCTION("""COMPUTED_VALUE"""),1.0)</f>
        <v>1</v>
      </c>
      <c r="G1293" s="2" t="str">
        <f>IFERROR(__xludf.DUMMYFUNCTION("""COMPUTED_VALUE"""),"PR049")</f>
        <v>PR049</v>
      </c>
      <c r="H1293" s="2" t="str">
        <f>IFERROR(__xludf.DUMMYFUNCTION("""COMPUTED_VALUE"""),"VD023")</f>
        <v>VD023</v>
      </c>
      <c r="I1293" s="2">
        <f>IFERROR(__xludf.DUMMYFUNCTION("""COMPUTED_VALUE"""),9.0)</f>
        <v>9</v>
      </c>
      <c r="J1293" s="2">
        <f>IFERROR(__xludf.DUMMYFUNCTION("""COMPUTED_VALUE"""),302.02)</f>
        <v>302.02</v>
      </c>
      <c r="K1293" s="2">
        <f>IFERROR(__xludf.DUMMYFUNCTION("""COMPUTED_VALUE"""),302.02)</f>
        <v>302.02</v>
      </c>
    </row>
    <row r="1294">
      <c r="A1294" s="2">
        <f>IFERROR(__xludf.DUMMYFUNCTION("""COMPUTED_VALUE"""),1000.0)</f>
        <v>1000</v>
      </c>
      <c r="B1294" s="2">
        <f>IFERROR(__xludf.DUMMYFUNCTION("""COMPUTED_VALUE"""),184398.0)</f>
        <v>184398</v>
      </c>
      <c r="C1294" s="2">
        <f>IFERROR(__xludf.DUMMYFUNCTION("""COMPUTED_VALUE"""),2026.0)</f>
        <v>2026</v>
      </c>
      <c r="D1294" s="2">
        <f>IFERROR(__xludf.DUMMYFUNCTION("""COMPUTED_VALUE"""),46121.0)</f>
        <v>46121</v>
      </c>
      <c r="E1294" s="2" t="str">
        <f>IFERROR(__xludf.DUMMYFUNCTION("""COMPUTED_VALUE"""),"VF")</f>
        <v>VF</v>
      </c>
      <c r="F1294" s="2">
        <f>IFERROR(__xludf.DUMMYFUNCTION("""COMPUTED_VALUE"""),1.0)</f>
        <v>1</v>
      </c>
      <c r="G1294" s="2" t="str">
        <f>IFERROR(__xludf.DUMMYFUNCTION("""COMPUTED_VALUE"""),"PR054")</f>
        <v>PR054</v>
      </c>
      <c r="H1294" s="2" t="str">
        <f>IFERROR(__xludf.DUMMYFUNCTION("""COMPUTED_VALUE"""),"VD036")</f>
        <v>VD036</v>
      </c>
      <c r="I1294" s="2">
        <f>IFERROR(__xludf.DUMMYFUNCTION("""COMPUTED_VALUE"""),18.0)</f>
        <v>18</v>
      </c>
      <c r="J1294" s="2">
        <f>IFERROR(__xludf.DUMMYFUNCTION("""COMPUTED_VALUE"""),952.09)</f>
        <v>952.09</v>
      </c>
      <c r="K1294" s="2">
        <f>IFERROR(__xludf.DUMMYFUNCTION("""COMPUTED_VALUE"""),952.09)</f>
        <v>952.09</v>
      </c>
    </row>
    <row r="1295">
      <c r="A1295" s="2">
        <f>IFERROR(__xludf.DUMMYFUNCTION("""COMPUTED_VALUE"""),1000.0)</f>
        <v>1000</v>
      </c>
      <c r="B1295" s="2">
        <f>IFERROR(__xludf.DUMMYFUNCTION("""COMPUTED_VALUE"""),184399.0)</f>
        <v>184399</v>
      </c>
      <c r="C1295" s="2">
        <f>IFERROR(__xludf.DUMMYFUNCTION("""COMPUTED_VALUE"""),2026.0)</f>
        <v>2026</v>
      </c>
      <c r="D1295" s="2">
        <f>IFERROR(__xludf.DUMMYFUNCTION("""COMPUTED_VALUE"""),46121.0)</f>
        <v>46121</v>
      </c>
      <c r="E1295" s="2" t="str">
        <f>IFERROR(__xludf.DUMMYFUNCTION("""COMPUTED_VALUE"""),"VF")</f>
        <v>VF</v>
      </c>
      <c r="F1295" s="2">
        <f>IFERROR(__xludf.DUMMYFUNCTION("""COMPUTED_VALUE"""),1.0)</f>
        <v>1</v>
      </c>
      <c r="G1295" s="2" t="str">
        <f>IFERROR(__xludf.DUMMYFUNCTION("""COMPUTED_VALUE"""),"PR056")</f>
        <v>PR056</v>
      </c>
      <c r="H1295" s="2" t="str">
        <f>IFERROR(__xludf.DUMMYFUNCTION("""COMPUTED_VALUE"""),"VD032")</f>
        <v>VD032</v>
      </c>
      <c r="I1295" s="2">
        <f>IFERROR(__xludf.DUMMYFUNCTION("""COMPUTED_VALUE"""),2.0)</f>
        <v>2</v>
      </c>
      <c r="J1295" s="2">
        <f>IFERROR(__xludf.DUMMYFUNCTION("""COMPUTED_VALUE"""),188.79)</f>
        <v>188.79</v>
      </c>
      <c r="K1295" s="2">
        <f>IFERROR(__xludf.DUMMYFUNCTION("""COMPUTED_VALUE"""),188.79)</f>
        <v>188.79</v>
      </c>
    </row>
    <row r="1296">
      <c r="A1296" s="2">
        <f>IFERROR(__xludf.DUMMYFUNCTION("""COMPUTED_VALUE"""),2000.0)</f>
        <v>2000</v>
      </c>
      <c r="B1296" s="2">
        <f>IFERROR(__xludf.DUMMYFUNCTION("""COMPUTED_VALUE"""),184400.0)</f>
        <v>184400</v>
      </c>
      <c r="C1296" s="2">
        <f>IFERROR(__xludf.DUMMYFUNCTION("""COMPUTED_VALUE"""),2026.0)</f>
        <v>2026</v>
      </c>
      <c r="D1296" s="2">
        <f>IFERROR(__xludf.DUMMYFUNCTION("""COMPUTED_VALUE"""),46121.0)</f>
        <v>46121</v>
      </c>
      <c r="E1296" s="2" t="str">
        <f>IFERROR(__xludf.DUMMYFUNCTION("""COMPUTED_VALUE"""),"VF")</f>
        <v>VF</v>
      </c>
      <c r="F1296" s="2">
        <f>IFERROR(__xludf.DUMMYFUNCTION("""COMPUTED_VALUE"""),1.0)</f>
        <v>1</v>
      </c>
      <c r="G1296" s="2" t="str">
        <f>IFERROR(__xludf.DUMMYFUNCTION("""COMPUTED_VALUE"""),"PR055")</f>
        <v>PR055</v>
      </c>
      <c r="H1296" s="2" t="str">
        <f>IFERROR(__xludf.DUMMYFUNCTION("""COMPUTED_VALUE"""),"VD025")</f>
        <v>VD025</v>
      </c>
      <c r="I1296" s="2">
        <f>IFERROR(__xludf.DUMMYFUNCTION("""COMPUTED_VALUE"""),1.0)</f>
        <v>1</v>
      </c>
      <c r="J1296" s="2">
        <f>IFERROR(__xludf.DUMMYFUNCTION("""COMPUTED_VALUE"""),89.9)</f>
        <v>89.9</v>
      </c>
      <c r="K1296" s="2">
        <f>IFERROR(__xludf.DUMMYFUNCTION("""COMPUTED_VALUE"""),89.9)</f>
        <v>89.9</v>
      </c>
    </row>
    <row r="1297">
      <c r="A1297" s="2">
        <f>IFERROR(__xludf.DUMMYFUNCTION("""COMPUTED_VALUE"""),1000.0)</f>
        <v>1000</v>
      </c>
      <c r="B1297" s="2">
        <f>IFERROR(__xludf.DUMMYFUNCTION("""COMPUTED_VALUE"""),184401.0)</f>
        <v>184401</v>
      </c>
      <c r="C1297" s="2">
        <f>IFERROR(__xludf.DUMMYFUNCTION("""COMPUTED_VALUE"""),2026.0)</f>
        <v>2026</v>
      </c>
      <c r="D1297" s="2">
        <f>IFERROR(__xludf.DUMMYFUNCTION("""COMPUTED_VALUE"""),46121.0)</f>
        <v>46121</v>
      </c>
      <c r="E1297" s="2" t="str">
        <f>IFERROR(__xludf.DUMMYFUNCTION("""COMPUTED_VALUE"""),"VF")</f>
        <v>VF</v>
      </c>
      <c r="F1297" s="2">
        <f>IFERROR(__xludf.DUMMYFUNCTION("""COMPUTED_VALUE"""),1.0)</f>
        <v>1</v>
      </c>
      <c r="G1297" s="2" t="str">
        <f>IFERROR(__xludf.DUMMYFUNCTION("""COMPUTED_VALUE"""),"PR027")</f>
        <v>PR027</v>
      </c>
      <c r="H1297" s="2" t="str">
        <f>IFERROR(__xludf.DUMMYFUNCTION("""COMPUTED_VALUE"""),"VD021")</f>
        <v>VD021</v>
      </c>
      <c r="I1297" s="2">
        <f>IFERROR(__xludf.DUMMYFUNCTION("""COMPUTED_VALUE"""),12.0)</f>
        <v>12</v>
      </c>
      <c r="J1297" s="2">
        <f>IFERROR(__xludf.DUMMYFUNCTION("""COMPUTED_VALUE"""),1555.2)</f>
        <v>1555.2</v>
      </c>
      <c r="K1297" s="2">
        <f>IFERROR(__xludf.DUMMYFUNCTION("""COMPUTED_VALUE"""),1555.2)</f>
        <v>1555.2</v>
      </c>
    </row>
    <row r="1298">
      <c r="A1298" s="2">
        <f>IFERROR(__xludf.DUMMYFUNCTION("""COMPUTED_VALUE"""),2000.0)</f>
        <v>2000</v>
      </c>
      <c r="B1298" s="2">
        <f>IFERROR(__xludf.DUMMYFUNCTION("""COMPUTED_VALUE"""),184402.0)</f>
        <v>184402</v>
      </c>
      <c r="C1298" s="2">
        <f>IFERROR(__xludf.DUMMYFUNCTION("""COMPUTED_VALUE"""),2026.0)</f>
        <v>2026</v>
      </c>
      <c r="D1298" s="2">
        <f>IFERROR(__xludf.DUMMYFUNCTION("""COMPUTED_VALUE"""),46121.0)</f>
        <v>46121</v>
      </c>
      <c r="E1298" s="2" t="str">
        <f>IFERROR(__xludf.DUMMYFUNCTION("""COMPUTED_VALUE"""),"VF")</f>
        <v>VF</v>
      </c>
      <c r="F1298" s="2">
        <f>IFERROR(__xludf.DUMMYFUNCTION("""COMPUTED_VALUE"""),1.0)</f>
        <v>1</v>
      </c>
      <c r="G1298" s="2" t="str">
        <f>IFERROR(__xludf.DUMMYFUNCTION("""COMPUTED_VALUE"""),"PR013")</f>
        <v>PR013</v>
      </c>
      <c r="H1298" s="2" t="str">
        <f>IFERROR(__xludf.DUMMYFUNCTION("""COMPUTED_VALUE"""),"VD044")</f>
        <v>VD044</v>
      </c>
      <c r="I1298" s="2">
        <f>IFERROR(__xludf.DUMMYFUNCTION("""COMPUTED_VALUE"""),4.0)</f>
        <v>4</v>
      </c>
      <c r="J1298" s="2">
        <f>IFERROR(__xludf.DUMMYFUNCTION("""COMPUTED_VALUE"""),173.96)</f>
        <v>173.96</v>
      </c>
      <c r="K1298" s="2">
        <f>IFERROR(__xludf.DUMMYFUNCTION("""COMPUTED_VALUE"""),173.96)</f>
        <v>173.96</v>
      </c>
    </row>
    <row r="1299">
      <c r="A1299" s="2">
        <f>IFERROR(__xludf.DUMMYFUNCTION("""COMPUTED_VALUE"""),1000.0)</f>
        <v>1000</v>
      </c>
      <c r="B1299" s="2">
        <f>IFERROR(__xludf.DUMMYFUNCTION("""COMPUTED_VALUE"""),184403.0)</f>
        <v>184403</v>
      </c>
      <c r="C1299" s="2">
        <f>IFERROR(__xludf.DUMMYFUNCTION("""COMPUTED_VALUE"""),2026.0)</f>
        <v>2026</v>
      </c>
      <c r="D1299" s="2">
        <f>IFERROR(__xludf.DUMMYFUNCTION("""COMPUTED_VALUE"""),46120.0)</f>
        <v>46120</v>
      </c>
      <c r="E1299" s="2" t="str">
        <f>IFERROR(__xludf.DUMMYFUNCTION("""COMPUTED_VALUE"""),"VF")</f>
        <v>VF</v>
      </c>
      <c r="F1299" s="2">
        <f>IFERROR(__xludf.DUMMYFUNCTION("""COMPUTED_VALUE"""),1.0)</f>
        <v>1</v>
      </c>
      <c r="G1299" s="2" t="str">
        <f>IFERROR(__xludf.DUMMYFUNCTION("""COMPUTED_VALUE"""),"PR050")</f>
        <v>PR050</v>
      </c>
      <c r="H1299" s="2" t="str">
        <f>IFERROR(__xludf.DUMMYFUNCTION("""COMPUTED_VALUE"""),"VD024")</f>
        <v>VD024</v>
      </c>
      <c r="I1299" s="2">
        <f>IFERROR(__xludf.DUMMYFUNCTION("""COMPUTED_VALUE"""),9.0)</f>
        <v>9</v>
      </c>
      <c r="J1299" s="2">
        <f>IFERROR(__xludf.DUMMYFUNCTION("""COMPUTED_VALUE"""),310.91)</f>
        <v>310.91</v>
      </c>
      <c r="K1299" s="2">
        <f>IFERROR(__xludf.DUMMYFUNCTION("""COMPUTED_VALUE"""),310.91)</f>
        <v>310.91</v>
      </c>
    </row>
    <row r="1300">
      <c r="A1300" s="2">
        <f>IFERROR(__xludf.DUMMYFUNCTION("""COMPUTED_VALUE"""),1000.0)</f>
        <v>1000</v>
      </c>
      <c r="B1300" s="2">
        <f>IFERROR(__xludf.DUMMYFUNCTION("""COMPUTED_VALUE"""),184403.0)</f>
        <v>184403</v>
      </c>
      <c r="C1300" s="2">
        <f>IFERROR(__xludf.DUMMYFUNCTION("""COMPUTED_VALUE"""),2026.0)</f>
        <v>2026</v>
      </c>
      <c r="D1300" s="2">
        <f>IFERROR(__xludf.DUMMYFUNCTION("""COMPUTED_VALUE"""),46120.0)</f>
        <v>46120</v>
      </c>
      <c r="E1300" s="2" t="str">
        <f>IFERROR(__xludf.DUMMYFUNCTION("""COMPUTED_VALUE"""),"VF")</f>
        <v>VF</v>
      </c>
      <c r="F1300" s="2">
        <f>IFERROR(__xludf.DUMMYFUNCTION("""COMPUTED_VALUE"""),2.0)</f>
        <v>2</v>
      </c>
      <c r="G1300" s="2" t="str">
        <f>IFERROR(__xludf.DUMMYFUNCTION("""COMPUTED_VALUE"""),"PR036")</f>
        <v>PR036</v>
      </c>
      <c r="H1300" s="2" t="str">
        <f>IFERROR(__xludf.DUMMYFUNCTION("""COMPUTED_VALUE"""),"VD016")</f>
        <v>VD016</v>
      </c>
      <c r="I1300" s="2">
        <f>IFERROR(__xludf.DUMMYFUNCTION("""COMPUTED_VALUE"""),6.0)</f>
        <v>6</v>
      </c>
      <c r="J1300" s="2">
        <f>IFERROR(__xludf.DUMMYFUNCTION("""COMPUTED_VALUE"""),566.61)</f>
        <v>566.61</v>
      </c>
      <c r="K1300" s="2">
        <f>IFERROR(__xludf.DUMMYFUNCTION("""COMPUTED_VALUE"""),566.61)</f>
        <v>566.61</v>
      </c>
    </row>
    <row r="1301">
      <c r="A1301" s="2">
        <f>IFERROR(__xludf.DUMMYFUNCTION("""COMPUTED_VALUE"""),1000.0)</f>
        <v>1000</v>
      </c>
      <c r="B1301" s="2">
        <f>IFERROR(__xludf.DUMMYFUNCTION("""COMPUTED_VALUE"""),184404.0)</f>
        <v>184404</v>
      </c>
      <c r="C1301" s="2">
        <f>IFERROR(__xludf.DUMMYFUNCTION("""COMPUTED_VALUE"""),2026.0)</f>
        <v>2026</v>
      </c>
      <c r="D1301" s="2">
        <f>IFERROR(__xludf.DUMMYFUNCTION("""COMPUTED_VALUE"""),46119.0)</f>
        <v>46119</v>
      </c>
      <c r="E1301" s="2" t="str">
        <f>IFERROR(__xludf.DUMMYFUNCTION("""COMPUTED_VALUE"""),"VF")</f>
        <v>VF</v>
      </c>
      <c r="F1301" s="2">
        <f>IFERROR(__xludf.DUMMYFUNCTION("""COMPUTED_VALUE"""),1.0)</f>
        <v>1</v>
      </c>
      <c r="G1301" s="2" t="str">
        <f>IFERROR(__xludf.DUMMYFUNCTION("""COMPUTED_VALUE"""),"PR005")</f>
        <v>PR005</v>
      </c>
      <c r="H1301" s="2" t="str">
        <f>IFERROR(__xludf.DUMMYFUNCTION("""COMPUTED_VALUE"""),"VD028")</f>
        <v>VD028</v>
      </c>
      <c r="I1301" s="2">
        <f>IFERROR(__xludf.DUMMYFUNCTION("""COMPUTED_VALUE"""),10.0)</f>
        <v>10</v>
      </c>
      <c r="J1301" s="2">
        <f>IFERROR(__xludf.DUMMYFUNCTION("""COMPUTED_VALUE"""),2832.91)</f>
        <v>2832.91</v>
      </c>
      <c r="K1301" s="2">
        <f>IFERROR(__xludf.DUMMYFUNCTION("""COMPUTED_VALUE"""),2832.91)</f>
        <v>2832.91</v>
      </c>
    </row>
    <row r="1302">
      <c r="A1302" s="2">
        <f>IFERROR(__xludf.DUMMYFUNCTION("""COMPUTED_VALUE"""),1000.0)</f>
        <v>1000</v>
      </c>
      <c r="B1302" s="2">
        <f>IFERROR(__xludf.DUMMYFUNCTION("""COMPUTED_VALUE"""),184404.0)</f>
        <v>184404</v>
      </c>
      <c r="C1302" s="2">
        <f>IFERROR(__xludf.DUMMYFUNCTION("""COMPUTED_VALUE"""),2026.0)</f>
        <v>2026</v>
      </c>
      <c r="D1302" s="2">
        <f>IFERROR(__xludf.DUMMYFUNCTION("""COMPUTED_VALUE"""),46119.0)</f>
        <v>46119</v>
      </c>
      <c r="E1302" s="2" t="str">
        <f>IFERROR(__xludf.DUMMYFUNCTION("""COMPUTED_VALUE"""),"VF")</f>
        <v>VF</v>
      </c>
      <c r="F1302" s="2">
        <f>IFERROR(__xludf.DUMMYFUNCTION("""COMPUTED_VALUE"""),2.0)</f>
        <v>2</v>
      </c>
      <c r="G1302" s="2" t="str">
        <f>IFERROR(__xludf.DUMMYFUNCTION("""COMPUTED_VALUE"""),"PR032")</f>
        <v>PR032</v>
      </c>
      <c r="H1302" s="2" t="str">
        <f>IFERROR(__xludf.DUMMYFUNCTION("""COMPUTED_VALUE"""),"VD035")</f>
        <v>VD035</v>
      </c>
      <c r="I1302" s="2">
        <f>IFERROR(__xludf.DUMMYFUNCTION("""COMPUTED_VALUE"""),6.0)</f>
        <v>6</v>
      </c>
      <c r="J1302" s="2">
        <f>IFERROR(__xludf.DUMMYFUNCTION("""COMPUTED_VALUE"""),1605.0)</f>
        <v>1605</v>
      </c>
      <c r="K1302" s="2">
        <f>IFERROR(__xludf.DUMMYFUNCTION("""COMPUTED_VALUE"""),1605.0)</f>
        <v>1605</v>
      </c>
    </row>
    <row r="1303">
      <c r="A1303" s="2">
        <f>IFERROR(__xludf.DUMMYFUNCTION("""COMPUTED_VALUE"""),1000.0)</f>
        <v>1000</v>
      </c>
      <c r="B1303" s="2">
        <f>IFERROR(__xludf.DUMMYFUNCTION("""COMPUTED_VALUE"""),184405.0)</f>
        <v>184405</v>
      </c>
      <c r="C1303" s="2">
        <f>IFERROR(__xludf.DUMMYFUNCTION("""COMPUTED_VALUE"""),2026.0)</f>
        <v>2026</v>
      </c>
      <c r="D1303" s="2">
        <f>IFERROR(__xludf.DUMMYFUNCTION("""COMPUTED_VALUE"""),46119.0)</f>
        <v>46119</v>
      </c>
      <c r="E1303" s="2" t="str">
        <f>IFERROR(__xludf.DUMMYFUNCTION("""COMPUTED_VALUE"""),"VF")</f>
        <v>VF</v>
      </c>
      <c r="F1303" s="2">
        <f>IFERROR(__xludf.DUMMYFUNCTION("""COMPUTED_VALUE"""),1.0)</f>
        <v>1</v>
      </c>
      <c r="G1303" s="2" t="str">
        <f>IFERROR(__xludf.DUMMYFUNCTION("""COMPUTED_VALUE"""),"PR002")</f>
        <v>PR002</v>
      </c>
      <c r="H1303" s="2" t="str">
        <f>IFERROR(__xludf.DUMMYFUNCTION("""COMPUTED_VALUE"""),"VD012")</f>
        <v>VD012</v>
      </c>
      <c r="I1303" s="2">
        <f>IFERROR(__xludf.DUMMYFUNCTION("""COMPUTED_VALUE"""),14.0)</f>
        <v>14</v>
      </c>
      <c r="J1303" s="2">
        <f>IFERROR(__xludf.DUMMYFUNCTION("""COMPUTED_VALUE"""),1037.32)</f>
        <v>1037.32</v>
      </c>
      <c r="K1303" s="2">
        <f>IFERROR(__xludf.DUMMYFUNCTION("""COMPUTED_VALUE"""),1037.32)</f>
        <v>1037.32</v>
      </c>
    </row>
    <row r="1304">
      <c r="A1304" s="2">
        <f>IFERROR(__xludf.DUMMYFUNCTION("""COMPUTED_VALUE"""),1000.0)</f>
        <v>1000</v>
      </c>
      <c r="B1304" s="2">
        <f>IFERROR(__xludf.DUMMYFUNCTION("""COMPUTED_VALUE"""),184406.0)</f>
        <v>184406</v>
      </c>
      <c r="C1304" s="2">
        <f>IFERROR(__xludf.DUMMYFUNCTION("""COMPUTED_VALUE"""),2026.0)</f>
        <v>2026</v>
      </c>
      <c r="D1304" s="2">
        <f>IFERROR(__xludf.DUMMYFUNCTION("""COMPUTED_VALUE"""),46119.0)</f>
        <v>46119</v>
      </c>
      <c r="E1304" s="2" t="str">
        <f>IFERROR(__xludf.DUMMYFUNCTION("""COMPUTED_VALUE"""),"VF")</f>
        <v>VF</v>
      </c>
      <c r="F1304" s="2">
        <f>IFERROR(__xludf.DUMMYFUNCTION("""COMPUTED_VALUE"""),1.0)</f>
        <v>1</v>
      </c>
      <c r="G1304" s="2" t="str">
        <f>IFERROR(__xludf.DUMMYFUNCTION("""COMPUTED_VALUE"""),"PR015")</f>
        <v>PR015</v>
      </c>
      <c r="H1304" s="2" t="str">
        <f>IFERROR(__xludf.DUMMYFUNCTION("""COMPUTED_VALUE"""),"VD032")</f>
        <v>VD032</v>
      </c>
      <c r="I1304" s="2">
        <f>IFERROR(__xludf.DUMMYFUNCTION("""COMPUTED_VALUE"""),10.0)</f>
        <v>10</v>
      </c>
      <c r="J1304" s="2">
        <f>IFERROR(__xludf.DUMMYFUNCTION("""COMPUTED_VALUE"""),437.75)</f>
        <v>437.75</v>
      </c>
      <c r="K1304" s="2">
        <f>IFERROR(__xludf.DUMMYFUNCTION("""COMPUTED_VALUE"""),437.75)</f>
        <v>437.75</v>
      </c>
    </row>
    <row r="1305">
      <c r="A1305" s="2">
        <f>IFERROR(__xludf.DUMMYFUNCTION("""COMPUTED_VALUE"""),1000.0)</f>
        <v>1000</v>
      </c>
      <c r="B1305" s="2">
        <f>IFERROR(__xludf.DUMMYFUNCTION("""COMPUTED_VALUE"""),184407.0)</f>
        <v>184407</v>
      </c>
      <c r="C1305" s="2">
        <f>IFERROR(__xludf.DUMMYFUNCTION("""COMPUTED_VALUE"""),2026.0)</f>
        <v>2026</v>
      </c>
      <c r="D1305" s="2">
        <f>IFERROR(__xludf.DUMMYFUNCTION("""COMPUTED_VALUE"""),46119.0)</f>
        <v>46119</v>
      </c>
      <c r="E1305" s="2" t="str">
        <f>IFERROR(__xludf.DUMMYFUNCTION("""COMPUTED_VALUE"""),"VF")</f>
        <v>VF</v>
      </c>
      <c r="F1305" s="2">
        <f>IFERROR(__xludf.DUMMYFUNCTION("""COMPUTED_VALUE"""),1.0)</f>
        <v>1</v>
      </c>
      <c r="G1305" s="2" t="str">
        <f>IFERROR(__xludf.DUMMYFUNCTION("""COMPUTED_VALUE"""),"PR038")</f>
        <v>PR038</v>
      </c>
      <c r="H1305" s="2" t="str">
        <f>IFERROR(__xludf.DUMMYFUNCTION("""COMPUTED_VALUE"""),"VD021")</f>
        <v>VD021</v>
      </c>
      <c r="I1305" s="2">
        <f>IFERROR(__xludf.DUMMYFUNCTION("""COMPUTED_VALUE"""),4.0)</f>
        <v>4</v>
      </c>
      <c r="J1305" s="2">
        <f>IFERROR(__xludf.DUMMYFUNCTION("""COMPUTED_VALUE"""),571.6)</f>
        <v>571.6</v>
      </c>
      <c r="K1305" s="2">
        <f>IFERROR(__xludf.DUMMYFUNCTION("""COMPUTED_VALUE"""),571.6)</f>
        <v>571.6</v>
      </c>
    </row>
    <row r="1306">
      <c r="A1306" s="2">
        <f>IFERROR(__xludf.DUMMYFUNCTION("""COMPUTED_VALUE"""),1000.0)</f>
        <v>1000</v>
      </c>
      <c r="B1306" s="2">
        <f>IFERROR(__xludf.DUMMYFUNCTION("""COMPUTED_VALUE"""),184408.0)</f>
        <v>184408</v>
      </c>
      <c r="C1306" s="2">
        <f>IFERROR(__xludf.DUMMYFUNCTION("""COMPUTED_VALUE"""),2026.0)</f>
        <v>2026</v>
      </c>
      <c r="D1306" s="2">
        <f>IFERROR(__xludf.DUMMYFUNCTION("""COMPUTED_VALUE"""),46119.0)</f>
        <v>46119</v>
      </c>
      <c r="E1306" s="2" t="str">
        <f>IFERROR(__xludf.DUMMYFUNCTION("""COMPUTED_VALUE"""),"VF")</f>
        <v>VF</v>
      </c>
      <c r="F1306" s="2">
        <f>IFERROR(__xludf.DUMMYFUNCTION("""COMPUTED_VALUE"""),1.0)</f>
        <v>1</v>
      </c>
      <c r="G1306" s="2" t="str">
        <f>IFERROR(__xludf.DUMMYFUNCTION("""COMPUTED_VALUE"""),"PR043")</f>
        <v>PR043</v>
      </c>
      <c r="H1306" s="2" t="str">
        <f>IFERROR(__xludf.DUMMYFUNCTION("""COMPUTED_VALUE"""),"VD040")</f>
        <v>VD040</v>
      </c>
      <c r="I1306" s="2">
        <f>IFERROR(__xludf.DUMMYFUNCTION("""COMPUTED_VALUE"""),8.0)</f>
        <v>8</v>
      </c>
      <c r="J1306" s="2">
        <f>IFERROR(__xludf.DUMMYFUNCTION("""COMPUTED_VALUE"""),580.0)</f>
        <v>580</v>
      </c>
      <c r="K1306" s="2">
        <f>IFERROR(__xludf.DUMMYFUNCTION("""COMPUTED_VALUE"""),580.0)</f>
        <v>580</v>
      </c>
    </row>
    <row r="1307">
      <c r="A1307" s="2">
        <f>IFERROR(__xludf.DUMMYFUNCTION("""COMPUTED_VALUE"""),1000.0)</f>
        <v>1000</v>
      </c>
      <c r="B1307" s="2">
        <f>IFERROR(__xludf.DUMMYFUNCTION("""COMPUTED_VALUE"""),184409.0)</f>
        <v>184409</v>
      </c>
      <c r="C1307" s="2">
        <f>IFERROR(__xludf.DUMMYFUNCTION("""COMPUTED_VALUE"""),2026.0)</f>
        <v>2026</v>
      </c>
      <c r="D1307" s="2">
        <f>IFERROR(__xludf.DUMMYFUNCTION("""COMPUTED_VALUE"""),46119.0)</f>
        <v>46119</v>
      </c>
      <c r="E1307" s="2" t="str">
        <f>IFERROR(__xludf.DUMMYFUNCTION("""COMPUTED_VALUE"""),"VF")</f>
        <v>VF</v>
      </c>
      <c r="F1307" s="2">
        <f>IFERROR(__xludf.DUMMYFUNCTION("""COMPUTED_VALUE"""),1.0)</f>
        <v>1</v>
      </c>
      <c r="G1307" s="2" t="str">
        <f>IFERROR(__xludf.DUMMYFUNCTION("""COMPUTED_VALUE"""),"PR060")</f>
        <v>PR060</v>
      </c>
      <c r="H1307" s="2" t="str">
        <f>IFERROR(__xludf.DUMMYFUNCTION("""COMPUTED_VALUE"""),"VD035")</f>
        <v>VD035</v>
      </c>
      <c r="I1307" s="2">
        <f>IFERROR(__xludf.DUMMYFUNCTION("""COMPUTED_VALUE"""),8.0)</f>
        <v>8</v>
      </c>
      <c r="J1307" s="2">
        <f>IFERROR(__xludf.DUMMYFUNCTION("""COMPUTED_VALUE"""),1440.0)</f>
        <v>1440</v>
      </c>
      <c r="K1307" s="2">
        <f>IFERROR(__xludf.DUMMYFUNCTION("""COMPUTED_VALUE"""),1440.0)</f>
        <v>1440</v>
      </c>
    </row>
    <row r="1308">
      <c r="A1308" s="2">
        <f>IFERROR(__xludf.DUMMYFUNCTION("""COMPUTED_VALUE"""),1000.0)</f>
        <v>1000</v>
      </c>
      <c r="B1308" s="2">
        <f>IFERROR(__xludf.DUMMYFUNCTION("""COMPUTED_VALUE"""),184410.0)</f>
        <v>184410</v>
      </c>
      <c r="C1308" s="2">
        <f>IFERROR(__xludf.DUMMYFUNCTION("""COMPUTED_VALUE"""),2026.0)</f>
        <v>2026</v>
      </c>
      <c r="D1308" s="2">
        <f>IFERROR(__xludf.DUMMYFUNCTION("""COMPUTED_VALUE"""),46119.0)</f>
        <v>46119</v>
      </c>
      <c r="E1308" s="2" t="str">
        <f>IFERROR(__xludf.DUMMYFUNCTION("""COMPUTED_VALUE"""),"VF")</f>
        <v>VF</v>
      </c>
      <c r="F1308" s="2">
        <f>IFERROR(__xludf.DUMMYFUNCTION("""COMPUTED_VALUE"""),1.0)</f>
        <v>1</v>
      </c>
      <c r="G1308" s="2" t="str">
        <f>IFERROR(__xludf.DUMMYFUNCTION("""COMPUTED_VALUE"""),"PR056")</f>
        <v>PR056</v>
      </c>
      <c r="H1308" s="2" t="str">
        <f>IFERROR(__xludf.DUMMYFUNCTION("""COMPUTED_VALUE"""),"VD045")</f>
        <v>VD045</v>
      </c>
      <c r="I1308" s="2">
        <f>IFERROR(__xludf.DUMMYFUNCTION("""COMPUTED_VALUE"""),6.0)</f>
        <v>6</v>
      </c>
      <c r="J1308" s="2">
        <f>IFERROR(__xludf.DUMMYFUNCTION("""COMPUTED_VALUE"""),560.98)</f>
        <v>560.98</v>
      </c>
      <c r="K1308" s="2">
        <f>IFERROR(__xludf.DUMMYFUNCTION("""COMPUTED_VALUE"""),560.98)</f>
        <v>560.98</v>
      </c>
    </row>
    <row r="1309">
      <c r="A1309" s="2">
        <f>IFERROR(__xludf.DUMMYFUNCTION("""COMPUTED_VALUE"""),1000.0)</f>
        <v>1000</v>
      </c>
      <c r="B1309" s="2">
        <f>IFERROR(__xludf.DUMMYFUNCTION("""COMPUTED_VALUE"""),184410.0)</f>
        <v>184410</v>
      </c>
      <c r="C1309" s="2">
        <f>IFERROR(__xludf.DUMMYFUNCTION("""COMPUTED_VALUE"""),2026.0)</f>
        <v>2026</v>
      </c>
      <c r="D1309" s="2">
        <f>IFERROR(__xludf.DUMMYFUNCTION("""COMPUTED_VALUE"""),46119.0)</f>
        <v>46119</v>
      </c>
      <c r="E1309" s="2" t="str">
        <f>IFERROR(__xludf.DUMMYFUNCTION("""COMPUTED_VALUE"""),"VF")</f>
        <v>VF</v>
      </c>
      <c r="F1309" s="2">
        <f>IFERROR(__xludf.DUMMYFUNCTION("""COMPUTED_VALUE"""),2.0)</f>
        <v>2</v>
      </c>
      <c r="G1309" s="2" t="str">
        <f>IFERROR(__xludf.DUMMYFUNCTION("""COMPUTED_VALUE"""),"PR053")</f>
        <v>PR053</v>
      </c>
      <c r="H1309" s="2" t="str">
        <f>IFERROR(__xludf.DUMMYFUNCTION("""COMPUTED_VALUE"""),"VD028")</f>
        <v>VD028</v>
      </c>
      <c r="I1309" s="2">
        <f>IFERROR(__xludf.DUMMYFUNCTION("""COMPUTED_VALUE"""),6.0)</f>
        <v>6</v>
      </c>
      <c r="J1309" s="2">
        <f>IFERROR(__xludf.DUMMYFUNCTION("""COMPUTED_VALUE"""),311.38)</f>
        <v>311.38</v>
      </c>
      <c r="K1309" s="2">
        <f>IFERROR(__xludf.DUMMYFUNCTION("""COMPUTED_VALUE"""),311.38)</f>
        <v>311.38</v>
      </c>
    </row>
    <row r="1310">
      <c r="A1310" s="2">
        <f>IFERROR(__xludf.DUMMYFUNCTION("""COMPUTED_VALUE"""),1000.0)</f>
        <v>1000</v>
      </c>
      <c r="B1310" s="2">
        <f>IFERROR(__xludf.DUMMYFUNCTION("""COMPUTED_VALUE"""),184411.0)</f>
        <v>184411</v>
      </c>
      <c r="C1310" s="2">
        <f>IFERROR(__xludf.DUMMYFUNCTION("""COMPUTED_VALUE"""),2026.0)</f>
        <v>2026</v>
      </c>
      <c r="D1310" s="2">
        <f>IFERROR(__xludf.DUMMYFUNCTION("""COMPUTED_VALUE"""),46118.0)</f>
        <v>46118</v>
      </c>
      <c r="E1310" s="2" t="str">
        <f>IFERROR(__xludf.DUMMYFUNCTION("""COMPUTED_VALUE"""),"VF")</f>
        <v>VF</v>
      </c>
      <c r="F1310" s="2">
        <f>IFERROR(__xludf.DUMMYFUNCTION("""COMPUTED_VALUE"""),1.0)</f>
        <v>1</v>
      </c>
      <c r="G1310" s="2" t="str">
        <f>IFERROR(__xludf.DUMMYFUNCTION("""COMPUTED_VALUE"""),"PR015")</f>
        <v>PR015</v>
      </c>
      <c r="H1310" s="2" t="str">
        <f>IFERROR(__xludf.DUMMYFUNCTION("""COMPUTED_VALUE"""),"VD037")</f>
        <v>VD037</v>
      </c>
      <c r="I1310" s="2">
        <f>IFERROR(__xludf.DUMMYFUNCTION("""COMPUTED_VALUE"""),2.0)</f>
        <v>2</v>
      </c>
      <c r="J1310" s="2">
        <f>IFERROR(__xludf.DUMMYFUNCTION("""COMPUTED_VALUE"""),85.0)</f>
        <v>85</v>
      </c>
      <c r="K1310" s="2">
        <f>IFERROR(__xludf.DUMMYFUNCTION("""COMPUTED_VALUE"""),85.0)</f>
        <v>85</v>
      </c>
    </row>
    <row r="1311">
      <c r="A1311" s="2">
        <f>IFERROR(__xludf.DUMMYFUNCTION("""COMPUTED_VALUE"""),1000.0)</f>
        <v>1000</v>
      </c>
      <c r="B1311" s="2">
        <f>IFERROR(__xludf.DUMMYFUNCTION("""COMPUTED_VALUE"""),184412.0)</f>
        <v>184412</v>
      </c>
      <c r="C1311" s="2">
        <f>IFERROR(__xludf.DUMMYFUNCTION("""COMPUTED_VALUE"""),2026.0)</f>
        <v>2026</v>
      </c>
      <c r="D1311" s="2">
        <f>IFERROR(__xludf.DUMMYFUNCTION("""COMPUTED_VALUE"""),46118.0)</f>
        <v>46118</v>
      </c>
      <c r="E1311" s="2" t="str">
        <f>IFERROR(__xludf.DUMMYFUNCTION("""COMPUTED_VALUE"""),"VF")</f>
        <v>VF</v>
      </c>
      <c r="F1311" s="2">
        <f>IFERROR(__xludf.DUMMYFUNCTION("""COMPUTED_VALUE"""),1.0)</f>
        <v>1</v>
      </c>
      <c r="G1311" s="2" t="str">
        <f>IFERROR(__xludf.DUMMYFUNCTION("""COMPUTED_VALUE"""),"PR044")</f>
        <v>PR044</v>
      </c>
      <c r="H1311" s="2" t="str">
        <f>IFERROR(__xludf.DUMMYFUNCTION("""COMPUTED_VALUE"""),"VD043")</f>
        <v>VD043</v>
      </c>
      <c r="I1311" s="2">
        <f>IFERROR(__xludf.DUMMYFUNCTION("""COMPUTED_VALUE"""),4.0)</f>
        <v>4</v>
      </c>
      <c r="J1311" s="2">
        <f>IFERROR(__xludf.DUMMYFUNCTION("""COMPUTED_VALUE"""),310.3)</f>
        <v>310.3</v>
      </c>
      <c r="K1311" s="2">
        <f>IFERROR(__xludf.DUMMYFUNCTION("""COMPUTED_VALUE"""),310.3)</f>
        <v>310.3</v>
      </c>
    </row>
    <row r="1312">
      <c r="A1312" s="2">
        <f>IFERROR(__xludf.DUMMYFUNCTION("""COMPUTED_VALUE"""),1000.0)</f>
        <v>1000</v>
      </c>
      <c r="B1312" s="2">
        <f>IFERROR(__xludf.DUMMYFUNCTION("""COMPUTED_VALUE"""),184413.0)</f>
        <v>184413</v>
      </c>
      <c r="C1312" s="2">
        <f>IFERROR(__xludf.DUMMYFUNCTION("""COMPUTED_VALUE"""),2026.0)</f>
        <v>2026</v>
      </c>
      <c r="D1312" s="2">
        <f>IFERROR(__xludf.DUMMYFUNCTION("""COMPUTED_VALUE"""),46118.0)</f>
        <v>46118</v>
      </c>
      <c r="E1312" s="2" t="str">
        <f>IFERROR(__xludf.DUMMYFUNCTION("""COMPUTED_VALUE"""),"VF")</f>
        <v>VF</v>
      </c>
      <c r="F1312" s="2">
        <f>IFERROR(__xludf.DUMMYFUNCTION("""COMPUTED_VALUE"""),1.0)</f>
        <v>1</v>
      </c>
      <c r="G1312" s="2" t="str">
        <f>IFERROR(__xludf.DUMMYFUNCTION("""COMPUTED_VALUE"""),"PR058")</f>
        <v>PR058</v>
      </c>
      <c r="H1312" s="2" t="str">
        <f>IFERROR(__xludf.DUMMYFUNCTION("""COMPUTED_VALUE"""),"VD013")</f>
        <v>VD013</v>
      </c>
      <c r="I1312" s="2">
        <f>IFERROR(__xludf.DUMMYFUNCTION("""COMPUTED_VALUE"""),5.0)</f>
        <v>5</v>
      </c>
      <c r="J1312" s="2">
        <f>IFERROR(__xludf.DUMMYFUNCTION("""COMPUTED_VALUE"""),954.0)</f>
        <v>954</v>
      </c>
      <c r="K1312" s="2">
        <f>IFERROR(__xludf.DUMMYFUNCTION("""COMPUTED_VALUE"""),954.0)</f>
        <v>954</v>
      </c>
    </row>
    <row r="1313">
      <c r="A1313" s="2">
        <f>IFERROR(__xludf.DUMMYFUNCTION("""COMPUTED_VALUE"""),2000.0)</f>
        <v>2000</v>
      </c>
      <c r="B1313" s="2">
        <f>IFERROR(__xludf.DUMMYFUNCTION("""COMPUTED_VALUE"""),184414.0)</f>
        <v>184414</v>
      </c>
      <c r="C1313" s="2">
        <f>IFERROR(__xludf.DUMMYFUNCTION("""COMPUTED_VALUE"""),2026.0)</f>
        <v>2026</v>
      </c>
      <c r="D1313" s="2">
        <f>IFERROR(__xludf.DUMMYFUNCTION("""COMPUTED_VALUE"""),46117.0)</f>
        <v>46117</v>
      </c>
      <c r="E1313" s="2" t="str">
        <f>IFERROR(__xludf.DUMMYFUNCTION("""COMPUTED_VALUE"""),"VF")</f>
        <v>VF</v>
      </c>
      <c r="F1313" s="2">
        <f>IFERROR(__xludf.DUMMYFUNCTION("""COMPUTED_VALUE"""),1.0)</f>
        <v>1</v>
      </c>
      <c r="G1313" s="2" t="str">
        <f>IFERROR(__xludf.DUMMYFUNCTION("""COMPUTED_VALUE"""),"PR006")</f>
        <v>PR006</v>
      </c>
      <c r="H1313" s="2" t="str">
        <f>IFERROR(__xludf.DUMMYFUNCTION("""COMPUTED_VALUE"""),"VD016")</f>
        <v>VD016</v>
      </c>
      <c r="I1313" s="2">
        <f>IFERROR(__xludf.DUMMYFUNCTION("""COMPUTED_VALUE"""),7.0)</f>
        <v>7</v>
      </c>
      <c r="J1313" s="2">
        <f>IFERROR(__xludf.DUMMYFUNCTION("""COMPUTED_VALUE"""),296.06)</f>
        <v>296.06</v>
      </c>
      <c r="K1313" s="2">
        <f>IFERROR(__xludf.DUMMYFUNCTION("""COMPUTED_VALUE"""),296.06)</f>
        <v>296.06</v>
      </c>
    </row>
    <row r="1314">
      <c r="A1314" s="2">
        <f>IFERROR(__xludf.DUMMYFUNCTION("""COMPUTED_VALUE"""),1000.0)</f>
        <v>1000</v>
      </c>
      <c r="B1314" s="2">
        <f>IFERROR(__xludf.DUMMYFUNCTION("""COMPUTED_VALUE"""),184415.0)</f>
        <v>184415</v>
      </c>
      <c r="C1314" s="2">
        <f>IFERROR(__xludf.DUMMYFUNCTION("""COMPUTED_VALUE"""),2026.0)</f>
        <v>2026</v>
      </c>
      <c r="D1314" s="2">
        <f>IFERROR(__xludf.DUMMYFUNCTION("""COMPUTED_VALUE"""),46117.0)</f>
        <v>46117</v>
      </c>
      <c r="E1314" s="2" t="str">
        <f>IFERROR(__xludf.DUMMYFUNCTION("""COMPUTED_VALUE"""),"VF")</f>
        <v>VF</v>
      </c>
      <c r="F1314" s="2">
        <f>IFERROR(__xludf.DUMMYFUNCTION("""COMPUTED_VALUE"""),1.0)</f>
        <v>1</v>
      </c>
      <c r="G1314" s="2" t="str">
        <f>IFERROR(__xludf.DUMMYFUNCTION("""COMPUTED_VALUE"""),"PR023")</f>
        <v>PR023</v>
      </c>
      <c r="H1314" s="2" t="str">
        <f>IFERROR(__xludf.DUMMYFUNCTION("""COMPUTED_VALUE"""),"VD021")</f>
        <v>VD021</v>
      </c>
      <c r="I1314" s="2">
        <f>IFERROR(__xludf.DUMMYFUNCTION("""COMPUTED_VALUE"""),14.0)</f>
        <v>14</v>
      </c>
      <c r="J1314" s="2">
        <f>IFERROR(__xludf.DUMMYFUNCTION("""COMPUTED_VALUE"""),3638.54)</f>
        <v>3638.54</v>
      </c>
      <c r="K1314" s="2">
        <f>IFERROR(__xludf.DUMMYFUNCTION("""COMPUTED_VALUE"""),3638.54)</f>
        <v>3638.54</v>
      </c>
    </row>
    <row r="1315">
      <c r="A1315" s="2">
        <f>IFERROR(__xludf.DUMMYFUNCTION("""COMPUTED_VALUE"""),2000.0)</f>
        <v>2000</v>
      </c>
      <c r="B1315" s="2">
        <f>IFERROR(__xludf.DUMMYFUNCTION("""COMPUTED_VALUE"""),184416.0)</f>
        <v>184416</v>
      </c>
      <c r="C1315" s="2">
        <f>IFERROR(__xludf.DUMMYFUNCTION("""COMPUTED_VALUE"""),2026.0)</f>
        <v>2026</v>
      </c>
      <c r="D1315" s="2">
        <f>IFERROR(__xludf.DUMMYFUNCTION("""COMPUTED_VALUE"""),46116.0)</f>
        <v>46116</v>
      </c>
      <c r="E1315" s="2" t="str">
        <f>IFERROR(__xludf.DUMMYFUNCTION("""COMPUTED_VALUE"""),"VF")</f>
        <v>VF</v>
      </c>
      <c r="F1315" s="2">
        <f>IFERROR(__xludf.DUMMYFUNCTION("""COMPUTED_VALUE"""),1.0)</f>
        <v>1</v>
      </c>
      <c r="G1315" s="2" t="str">
        <f>IFERROR(__xludf.DUMMYFUNCTION("""COMPUTED_VALUE"""),"PR055")</f>
        <v>PR055</v>
      </c>
      <c r="H1315" s="2" t="str">
        <f>IFERROR(__xludf.DUMMYFUNCTION("""COMPUTED_VALUE"""),"VD038")</f>
        <v>VD038</v>
      </c>
      <c r="I1315" s="2">
        <f>IFERROR(__xludf.DUMMYFUNCTION("""COMPUTED_VALUE"""),5.0)</f>
        <v>5</v>
      </c>
      <c r="J1315" s="2">
        <f>IFERROR(__xludf.DUMMYFUNCTION("""COMPUTED_VALUE"""),449.5)</f>
        <v>449.5</v>
      </c>
      <c r="K1315" s="2">
        <f>IFERROR(__xludf.DUMMYFUNCTION("""COMPUTED_VALUE"""),449.5)</f>
        <v>449.5</v>
      </c>
    </row>
    <row r="1316">
      <c r="A1316" s="2">
        <f>IFERROR(__xludf.DUMMYFUNCTION("""COMPUTED_VALUE"""),1000.0)</f>
        <v>1000</v>
      </c>
      <c r="B1316" s="2">
        <f>IFERROR(__xludf.DUMMYFUNCTION("""COMPUTED_VALUE"""),184417.0)</f>
        <v>184417</v>
      </c>
      <c r="C1316" s="2">
        <f>IFERROR(__xludf.DUMMYFUNCTION("""COMPUTED_VALUE"""),2026.0)</f>
        <v>2026</v>
      </c>
      <c r="D1316" s="2">
        <f>IFERROR(__xludf.DUMMYFUNCTION("""COMPUTED_VALUE"""),46116.0)</f>
        <v>46116</v>
      </c>
      <c r="E1316" s="2" t="str">
        <f>IFERROR(__xludf.DUMMYFUNCTION("""COMPUTED_VALUE"""),"VF")</f>
        <v>VF</v>
      </c>
      <c r="F1316" s="2">
        <f>IFERROR(__xludf.DUMMYFUNCTION("""COMPUTED_VALUE"""),1.0)</f>
        <v>1</v>
      </c>
      <c r="G1316" s="2" t="str">
        <f>IFERROR(__xludf.DUMMYFUNCTION("""COMPUTED_VALUE"""),"PR006")</f>
        <v>PR006</v>
      </c>
      <c r="H1316" s="2" t="str">
        <f>IFERROR(__xludf.DUMMYFUNCTION("""COMPUTED_VALUE"""),"VD046")</f>
        <v>VD046</v>
      </c>
      <c r="I1316" s="2">
        <f>IFERROR(__xludf.DUMMYFUNCTION("""COMPUTED_VALUE"""),7.0)</f>
        <v>7</v>
      </c>
      <c r="J1316" s="2">
        <f>IFERROR(__xludf.DUMMYFUNCTION("""COMPUTED_VALUE"""),293.27)</f>
        <v>293.27</v>
      </c>
      <c r="K1316" s="2">
        <f>IFERROR(__xludf.DUMMYFUNCTION("""COMPUTED_VALUE"""),293.27)</f>
        <v>293.27</v>
      </c>
    </row>
    <row r="1317">
      <c r="A1317" s="2">
        <f>IFERROR(__xludf.DUMMYFUNCTION("""COMPUTED_VALUE"""),2000.0)</f>
        <v>2000</v>
      </c>
      <c r="B1317" s="2">
        <f>IFERROR(__xludf.DUMMYFUNCTION("""COMPUTED_VALUE"""),184418.0)</f>
        <v>184418</v>
      </c>
      <c r="C1317" s="2">
        <f>IFERROR(__xludf.DUMMYFUNCTION("""COMPUTED_VALUE"""),2026.0)</f>
        <v>2026</v>
      </c>
      <c r="D1317" s="2">
        <f>IFERROR(__xludf.DUMMYFUNCTION("""COMPUTED_VALUE"""),46116.0)</f>
        <v>46116</v>
      </c>
      <c r="E1317" s="2" t="str">
        <f>IFERROR(__xludf.DUMMYFUNCTION("""COMPUTED_VALUE"""),"VF")</f>
        <v>VF</v>
      </c>
      <c r="F1317" s="2">
        <f>IFERROR(__xludf.DUMMYFUNCTION("""COMPUTED_VALUE"""),1.0)</f>
        <v>1</v>
      </c>
      <c r="G1317" s="2" t="str">
        <f>IFERROR(__xludf.DUMMYFUNCTION("""COMPUTED_VALUE"""),"PR033")</f>
        <v>PR033</v>
      </c>
      <c r="H1317" s="2" t="str">
        <f>IFERROR(__xludf.DUMMYFUNCTION("""COMPUTED_VALUE"""),"VD049")</f>
        <v>VD049</v>
      </c>
      <c r="I1317" s="2">
        <f>IFERROR(__xludf.DUMMYFUNCTION("""COMPUTED_VALUE"""),8.0)</f>
        <v>8</v>
      </c>
      <c r="J1317" s="2">
        <f>IFERROR(__xludf.DUMMYFUNCTION("""COMPUTED_VALUE"""),2287.12)</f>
        <v>2287.12</v>
      </c>
      <c r="K1317" s="2">
        <f>IFERROR(__xludf.DUMMYFUNCTION("""COMPUTED_VALUE"""),2287.12)</f>
        <v>2287.12</v>
      </c>
    </row>
    <row r="1318">
      <c r="A1318" s="2">
        <f>IFERROR(__xludf.DUMMYFUNCTION("""COMPUTED_VALUE"""),2000.0)</f>
        <v>2000</v>
      </c>
      <c r="B1318" s="2">
        <f>IFERROR(__xludf.DUMMYFUNCTION("""COMPUTED_VALUE"""),184418.0)</f>
        <v>184418</v>
      </c>
      <c r="C1318" s="2">
        <f>IFERROR(__xludf.DUMMYFUNCTION("""COMPUTED_VALUE"""),2026.0)</f>
        <v>2026</v>
      </c>
      <c r="D1318" s="2">
        <f>IFERROR(__xludf.DUMMYFUNCTION("""COMPUTED_VALUE"""),46116.0)</f>
        <v>46116</v>
      </c>
      <c r="E1318" s="2" t="str">
        <f>IFERROR(__xludf.DUMMYFUNCTION("""COMPUTED_VALUE"""),"VF")</f>
        <v>VF</v>
      </c>
      <c r="F1318" s="2">
        <f>IFERROR(__xludf.DUMMYFUNCTION("""COMPUTED_VALUE"""),2.0)</f>
        <v>2</v>
      </c>
      <c r="G1318" s="2" t="str">
        <f>IFERROR(__xludf.DUMMYFUNCTION("""COMPUTED_VALUE"""),"PR028")</f>
        <v>PR028</v>
      </c>
      <c r="H1318" s="2" t="str">
        <f>IFERROR(__xludf.DUMMYFUNCTION("""COMPUTED_VALUE"""),"VD039")</f>
        <v>VD039</v>
      </c>
      <c r="I1318" s="2">
        <f>IFERROR(__xludf.DUMMYFUNCTION("""COMPUTED_VALUE"""),8.0)</f>
        <v>8</v>
      </c>
      <c r="J1318" s="2">
        <f>IFERROR(__xludf.DUMMYFUNCTION("""COMPUTED_VALUE"""),2119.15)</f>
        <v>2119.15</v>
      </c>
      <c r="K1318" s="2">
        <f>IFERROR(__xludf.DUMMYFUNCTION("""COMPUTED_VALUE"""),2119.15)</f>
        <v>2119.15</v>
      </c>
    </row>
    <row r="1319">
      <c r="A1319" s="2">
        <f>IFERROR(__xludf.DUMMYFUNCTION("""COMPUTED_VALUE"""),1000.0)</f>
        <v>1000</v>
      </c>
      <c r="B1319" s="2">
        <f>IFERROR(__xludf.DUMMYFUNCTION("""COMPUTED_VALUE"""),184418.0)</f>
        <v>184418</v>
      </c>
      <c r="C1319" s="2">
        <f>IFERROR(__xludf.DUMMYFUNCTION("""COMPUTED_VALUE"""),2026.0)</f>
        <v>2026</v>
      </c>
      <c r="D1319" s="2">
        <f>IFERROR(__xludf.DUMMYFUNCTION("""COMPUTED_VALUE"""),46116.0)</f>
        <v>46116</v>
      </c>
      <c r="E1319" s="2" t="str">
        <f>IFERROR(__xludf.DUMMYFUNCTION("""COMPUTED_VALUE"""),"VF")</f>
        <v>VF</v>
      </c>
      <c r="F1319" s="2">
        <f>IFERROR(__xludf.DUMMYFUNCTION("""COMPUTED_VALUE"""),3.0)</f>
        <v>3</v>
      </c>
      <c r="G1319" s="2" t="str">
        <f>IFERROR(__xludf.DUMMYFUNCTION("""COMPUTED_VALUE"""),"PR047")</f>
        <v>PR047</v>
      </c>
      <c r="H1319" s="2" t="str">
        <f>IFERROR(__xludf.DUMMYFUNCTION("""COMPUTED_VALUE"""),"VD049")</f>
        <v>VD049</v>
      </c>
      <c r="I1319" s="2">
        <f>IFERROR(__xludf.DUMMYFUNCTION("""COMPUTED_VALUE"""),2.0)</f>
        <v>2</v>
      </c>
      <c r="J1319" s="2">
        <f>IFERROR(__xludf.DUMMYFUNCTION("""COMPUTED_VALUE"""),608.79)</f>
        <v>608.79</v>
      </c>
      <c r="K1319" s="2">
        <f>IFERROR(__xludf.DUMMYFUNCTION("""COMPUTED_VALUE"""),608.79)</f>
        <v>608.79</v>
      </c>
    </row>
    <row r="1320">
      <c r="A1320" s="2">
        <f>IFERROR(__xludf.DUMMYFUNCTION("""COMPUTED_VALUE"""),1000.0)</f>
        <v>1000</v>
      </c>
      <c r="B1320" s="2">
        <f>IFERROR(__xludf.DUMMYFUNCTION("""COMPUTED_VALUE"""),184419.0)</f>
        <v>184419</v>
      </c>
      <c r="C1320" s="2">
        <f>IFERROR(__xludf.DUMMYFUNCTION("""COMPUTED_VALUE"""),2026.0)</f>
        <v>2026</v>
      </c>
      <c r="D1320" s="2">
        <f>IFERROR(__xludf.DUMMYFUNCTION("""COMPUTED_VALUE"""),46116.0)</f>
        <v>46116</v>
      </c>
      <c r="E1320" s="2" t="str">
        <f>IFERROR(__xludf.DUMMYFUNCTION("""COMPUTED_VALUE"""),"VF")</f>
        <v>VF</v>
      </c>
      <c r="F1320" s="2">
        <f>IFERROR(__xludf.DUMMYFUNCTION("""COMPUTED_VALUE"""),1.0)</f>
        <v>1</v>
      </c>
      <c r="G1320" s="2" t="str">
        <f>IFERROR(__xludf.DUMMYFUNCTION("""COMPUTED_VALUE"""),"PR030")</f>
        <v>PR030</v>
      </c>
      <c r="H1320" s="2" t="str">
        <f>IFERROR(__xludf.DUMMYFUNCTION("""COMPUTED_VALUE"""),"VD040")</f>
        <v>VD040</v>
      </c>
      <c r="I1320" s="2">
        <f>IFERROR(__xludf.DUMMYFUNCTION("""COMPUTED_VALUE"""),10.0)</f>
        <v>10</v>
      </c>
      <c r="J1320" s="2">
        <f>IFERROR(__xludf.DUMMYFUNCTION("""COMPUTED_VALUE"""),2728.95)</f>
        <v>2728.95</v>
      </c>
      <c r="K1320" s="2">
        <f>IFERROR(__xludf.DUMMYFUNCTION("""COMPUTED_VALUE"""),2728.95)</f>
        <v>2728.95</v>
      </c>
    </row>
    <row r="1321">
      <c r="A1321" s="2">
        <f>IFERROR(__xludf.DUMMYFUNCTION("""COMPUTED_VALUE"""),1000.0)</f>
        <v>1000</v>
      </c>
      <c r="B1321" s="2">
        <f>IFERROR(__xludf.DUMMYFUNCTION("""COMPUTED_VALUE"""),184420.0)</f>
        <v>184420</v>
      </c>
      <c r="C1321" s="2">
        <f>IFERROR(__xludf.DUMMYFUNCTION("""COMPUTED_VALUE"""),2026.0)</f>
        <v>2026</v>
      </c>
      <c r="D1321" s="2">
        <f>IFERROR(__xludf.DUMMYFUNCTION("""COMPUTED_VALUE"""),46116.0)</f>
        <v>46116</v>
      </c>
      <c r="E1321" s="2" t="str">
        <f>IFERROR(__xludf.DUMMYFUNCTION("""COMPUTED_VALUE"""),"VF")</f>
        <v>VF</v>
      </c>
      <c r="F1321" s="2">
        <f>IFERROR(__xludf.DUMMYFUNCTION("""COMPUTED_VALUE"""),1.0)</f>
        <v>1</v>
      </c>
      <c r="G1321" s="2" t="str">
        <f>IFERROR(__xludf.DUMMYFUNCTION("""COMPUTED_VALUE"""),"PR017")</f>
        <v>PR017</v>
      </c>
      <c r="H1321" s="2" t="str">
        <f>IFERROR(__xludf.DUMMYFUNCTION("""COMPUTED_VALUE"""),"VD043")</f>
        <v>VD043</v>
      </c>
      <c r="I1321" s="2">
        <f>IFERROR(__xludf.DUMMYFUNCTION("""COMPUTED_VALUE"""),2.0)</f>
        <v>2</v>
      </c>
      <c r="J1321" s="2">
        <f>IFERROR(__xludf.DUMMYFUNCTION("""COMPUTED_VALUE"""),61.59)</f>
        <v>61.59</v>
      </c>
      <c r="K1321" s="2">
        <f>IFERROR(__xludf.DUMMYFUNCTION("""COMPUTED_VALUE"""),61.59)</f>
        <v>61.59</v>
      </c>
    </row>
    <row r="1322">
      <c r="A1322" s="2">
        <f>IFERROR(__xludf.DUMMYFUNCTION("""COMPUTED_VALUE"""),2000.0)</f>
        <v>2000</v>
      </c>
      <c r="B1322" s="2">
        <f>IFERROR(__xludf.DUMMYFUNCTION("""COMPUTED_VALUE"""),184421.0)</f>
        <v>184421</v>
      </c>
      <c r="C1322" s="2">
        <f>IFERROR(__xludf.DUMMYFUNCTION("""COMPUTED_VALUE"""),2026.0)</f>
        <v>2026</v>
      </c>
      <c r="D1322" s="2">
        <f>IFERROR(__xludf.DUMMYFUNCTION("""COMPUTED_VALUE"""),46116.0)</f>
        <v>46116</v>
      </c>
      <c r="E1322" s="2" t="str">
        <f>IFERROR(__xludf.DUMMYFUNCTION("""COMPUTED_VALUE"""),"VF")</f>
        <v>VF</v>
      </c>
      <c r="F1322" s="2">
        <f>IFERROR(__xludf.DUMMYFUNCTION("""COMPUTED_VALUE"""),1.0)</f>
        <v>1</v>
      </c>
      <c r="G1322" s="2" t="str">
        <f>IFERROR(__xludf.DUMMYFUNCTION("""COMPUTED_VALUE"""),"PR018")</f>
        <v>PR018</v>
      </c>
      <c r="H1322" s="2" t="str">
        <f>IFERROR(__xludf.DUMMYFUNCTION("""COMPUTED_VALUE"""),"VD012")</f>
        <v>VD012</v>
      </c>
      <c r="I1322" s="2">
        <f>IFERROR(__xludf.DUMMYFUNCTION("""COMPUTED_VALUE"""),16.0)</f>
        <v>16</v>
      </c>
      <c r="J1322" s="2">
        <f>IFERROR(__xludf.DUMMYFUNCTION("""COMPUTED_VALUE"""),536.93)</f>
        <v>536.93</v>
      </c>
      <c r="K1322" s="2">
        <f>IFERROR(__xludf.DUMMYFUNCTION("""COMPUTED_VALUE"""),536.93)</f>
        <v>536.93</v>
      </c>
    </row>
    <row r="1323">
      <c r="A1323" s="2">
        <f>IFERROR(__xludf.DUMMYFUNCTION("""COMPUTED_VALUE"""),1000.0)</f>
        <v>1000</v>
      </c>
      <c r="B1323" s="2">
        <f>IFERROR(__xludf.DUMMYFUNCTION("""COMPUTED_VALUE"""),184422.0)</f>
        <v>184422</v>
      </c>
      <c r="C1323" s="2">
        <f>IFERROR(__xludf.DUMMYFUNCTION("""COMPUTED_VALUE"""),2026.0)</f>
        <v>2026</v>
      </c>
      <c r="D1323" s="2">
        <f>IFERROR(__xludf.DUMMYFUNCTION("""COMPUTED_VALUE"""),46115.0)</f>
        <v>46115</v>
      </c>
      <c r="E1323" s="2" t="str">
        <f>IFERROR(__xludf.DUMMYFUNCTION("""COMPUTED_VALUE"""),"VF")</f>
        <v>VF</v>
      </c>
      <c r="F1323" s="2">
        <f>IFERROR(__xludf.DUMMYFUNCTION("""COMPUTED_VALUE"""),1.0)</f>
        <v>1</v>
      </c>
      <c r="G1323" s="2" t="str">
        <f>IFERROR(__xludf.DUMMYFUNCTION("""COMPUTED_VALUE"""),"PR044")</f>
        <v>PR044</v>
      </c>
      <c r="H1323" s="2" t="str">
        <f>IFERROR(__xludf.DUMMYFUNCTION("""COMPUTED_VALUE"""),"VD023")</f>
        <v>VD023</v>
      </c>
      <c r="I1323" s="2">
        <f>IFERROR(__xludf.DUMMYFUNCTION("""COMPUTED_VALUE"""),10.0)</f>
        <v>10</v>
      </c>
      <c r="J1323" s="2">
        <f>IFERROR(__xludf.DUMMYFUNCTION("""COMPUTED_VALUE"""),768.5)</f>
        <v>768.5</v>
      </c>
      <c r="K1323" s="2">
        <f>IFERROR(__xludf.DUMMYFUNCTION("""COMPUTED_VALUE"""),768.5)</f>
        <v>768.5</v>
      </c>
    </row>
    <row r="1324">
      <c r="A1324" s="2">
        <f>IFERROR(__xludf.DUMMYFUNCTION("""COMPUTED_VALUE"""),1000.0)</f>
        <v>1000</v>
      </c>
      <c r="B1324" s="2">
        <f>IFERROR(__xludf.DUMMYFUNCTION("""COMPUTED_VALUE"""),184423.0)</f>
        <v>184423</v>
      </c>
      <c r="C1324" s="2">
        <f>IFERROR(__xludf.DUMMYFUNCTION("""COMPUTED_VALUE"""),2026.0)</f>
        <v>2026</v>
      </c>
      <c r="D1324" s="2">
        <f>IFERROR(__xludf.DUMMYFUNCTION("""COMPUTED_VALUE"""),46115.0)</f>
        <v>46115</v>
      </c>
      <c r="E1324" s="2" t="str">
        <f>IFERROR(__xludf.DUMMYFUNCTION("""COMPUTED_VALUE"""),"VF")</f>
        <v>VF</v>
      </c>
      <c r="F1324" s="2">
        <f>IFERROR(__xludf.DUMMYFUNCTION("""COMPUTED_VALUE"""),1.0)</f>
        <v>1</v>
      </c>
      <c r="G1324" s="2" t="str">
        <f>IFERROR(__xludf.DUMMYFUNCTION("""COMPUTED_VALUE"""),"PR053")</f>
        <v>PR053</v>
      </c>
      <c r="H1324" s="2" t="str">
        <f>IFERROR(__xludf.DUMMYFUNCTION("""COMPUTED_VALUE"""),"VD029")</f>
        <v>VD029</v>
      </c>
      <c r="I1324" s="2">
        <f>IFERROR(__xludf.DUMMYFUNCTION("""COMPUTED_VALUE"""),12.0)</f>
        <v>12</v>
      </c>
      <c r="J1324" s="2">
        <f>IFERROR(__xludf.DUMMYFUNCTION("""COMPUTED_VALUE"""),628.74)</f>
        <v>628.74</v>
      </c>
      <c r="K1324" s="2">
        <f>IFERROR(__xludf.DUMMYFUNCTION("""COMPUTED_VALUE"""),628.74)</f>
        <v>628.74</v>
      </c>
    </row>
    <row r="1325">
      <c r="A1325" s="2">
        <f>IFERROR(__xludf.DUMMYFUNCTION("""COMPUTED_VALUE"""),1000.0)</f>
        <v>1000</v>
      </c>
      <c r="B1325" s="2">
        <f>IFERROR(__xludf.DUMMYFUNCTION("""COMPUTED_VALUE"""),184424.0)</f>
        <v>184424</v>
      </c>
      <c r="C1325" s="2">
        <f>IFERROR(__xludf.DUMMYFUNCTION("""COMPUTED_VALUE"""),2026.0)</f>
        <v>2026</v>
      </c>
      <c r="D1325" s="2">
        <f>IFERROR(__xludf.DUMMYFUNCTION("""COMPUTED_VALUE"""),46114.0)</f>
        <v>46114</v>
      </c>
      <c r="E1325" s="2" t="str">
        <f>IFERROR(__xludf.DUMMYFUNCTION("""COMPUTED_VALUE"""),"VF")</f>
        <v>VF</v>
      </c>
      <c r="F1325" s="2">
        <f>IFERROR(__xludf.DUMMYFUNCTION("""COMPUTED_VALUE"""),1.0)</f>
        <v>1</v>
      </c>
      <c r="G1325" s="2" t="str">
        <f>IFERROR(__xludf.DUMMYFUNCTION("""COMPUTED_VALUE"""),"PR025")</f>
        <v>PR025</v>
      </c>
      <c r="H1325" s="2" t="str">
        <f>IFERROR(__xludf.DUMMYFUNCTION("""COMPUTED_VALUE"""),"VD015")</f>
        <v>VD015</v>
      </c>
      <c r="I1325" s="2">
        <f>IFERROR(__xludf.DUMMYFUNCTION("""COMPUTED_VALUE"""),7.0)</f>
        <v>7</v>
      </c>
      <c r="J1325" s="2">
        <f>IFERROR(__xludf.DUMMYFUNCTION("""COMPUTED_VALUE"""),2183.27)</f>
        <v>2183.27</v>
      </c>
      <c r="K1325" s="2">
        <f>IFERROR(__xludf.DUMMYFUNCTION("""COMPUTED_VALUE"""),2183.27)</f>
        <v>2183.27</v>
      </c>
    </row>
    <row r="1326">
      <c r="A1326" s="2">
        <f>IFERROR(__xludf.DUMMYFUNCTION("""COMPUTED_VALUE"""),1000.0)</f>
        <v>1000</v>
      </c>
      <c r="B1326" s="2">
        <f>IFERROR(__xludf.DUMMYFUNCTION("""COMPUTED_VALUE"""),184425.0)</f>
        <v>184425</v>
      </c>
      <c r="C1326" s="2">
        <f>IFERROR(__xludf.DUMMYFUNCTION("""COMPUTED_VALUE"""),2026.0)</f>
        <v>2026</v>
      </c>
      <c r="D1326" s="2">
        <f>IFERROR(__xludf.DUMMYFUNCTION("""COMPUTED_VALUE"""),46114.0)</f>
        <v>46114</v>
      </c>
      <c r="E1326" s="2" t="str">
        <f>IFERROR(__xludf.DUMMYFUNCTION("""COMPUTED_VALUE"""),"VF")</f>
        <v>VF</v>
      </c>
      <c r="F1326" s="2">
        <f>IFERROR(__xludf.DUMMYFUNCTION("""COMPUTED_VALUE"""),1.0)</f>
        <v>1</v>
      </c>
      <c r="G1326" s="2" t="str">
        <f>IFERROR(__xludf.DUMMYFUNCTION("""COMPUTED_VALUE"""),"PR021")</f>
        <v>PR021</v>
      </c>
      <c r="H1326" s="2" t="str">
        <f>IFERROR(__xludf.DUMMYFUNCTION("""COMPUTED_VALUE"""),"VD030")</f>
        <v>VD030</v>
      </c>
      <c r="I1326" s="2">
        <f>IFERROR(__xludf.DUMMYFUNCTION("""COMPUTED_VALUE"""),18.0)</f>
        <v>18</v>
      </c>
      <c r="J1326" s="2">
        <f>IFERROR(__xludf.DUMMYFUNCTION("""COMPUTED_VALUE"""),5670.29)</f>
        <v>5670.29</v>
      </c>
      <c r="K1326" s="2">
        <f>IFERROR(__xludf.DUMMYFUNCTION("""COMPUTED_VALUE"""),5670.29)</f>
        <v>5670.29</v>
      </c>
    </row>
    <row r="1327">
      <c r="A1327" s="2">
        <f>IFERROR(__xludf.DUMMYFUNCTION("""COMPUTED_VALUE"""),1000.0)</f>
        <v>1000</v>
      </c>
      <c r="B1327" s="2">
        <f>IFERROR(__xludf.DUMMYFUNCTION("""COMPUTED_VALUE"""),184426.0)</f>
        <v>184426</v>
      </c>
      <c r="C1327" s="2">
        <f>IFERROR(__xludf.DUMMYFUNCTION("""COMPUTED_VALUE"""),2026.0)</f>
        <v>2026</v>
      </c>
      <c r="D1327" s="2">
        <f>IFERROR(__xludf.DUMMYFUNCTION("""COMPUTED_VALUE"""),46114.0)</f>
        <v>46114</v>
      </c>
      <c r="E1327" s="2" t="str">
        <f>IFERROR(__xludf.DUMMYFUNCTION("""COMPUTED_VALUE"""),"VF")</f>
        <v>VF</v>
      </c>
      <c r="F1327" s="2">
        <f>IFERROR(__xludf.DUMMYFUNCTION("""COMPUTED_VALUE"""),1.0)</f>
        <v>1</v>
      </c>
      <c r="G1327" s="2" t="str">
        <f>IFERROR(__xludf.DUMMYFUNCTION("""COMPUTED_VALUE"""),"PR054")</f>
        <v>PR054</v>
      </c>
      <c r="H1327" s="2" t="str">
        <f>IFERROR(__xludf.DUMMYFUNCTION("""COMPUTED_VALUE"""),"VD026")</f>
        <v>VD026</v>
      </c>
      <c r="I1327" s="2">
        <f>IFERROR(__xludf.DUMMYFUNCTION("""COMPUTED_VALUE"""),10.0)</f>
        <v>10</v>
      </c>
      <c r="J1327" s="2">
        <f>IFERROR(__xludf.DUMMYFUNCTION("""COMPUTED_VALUE"""),523.95)</f>
        <v>523.95</v>
      </c>
      <c r="K1327" s="2">
        <f>IFERROR(__xludf.DUMMYFUNCTION("""COMPUTED_VALUE"""),523.95)</f>
        <v>523.95</v>
      </c>
    </row>
    <row r="1328">
      <c r="A1328" s="2">
        <f>IFERROR(__xludf.DUMMYFUNCTION("""COMPUTED_VALUE"""),1000.0)</f>
        <v>1000</v>
      </c>
      <c r="B1328" s="2">
        <f>IFERROR(__xludf.DUMMYFUNCTION("""COMPUTED_VALUE"""),184426.0)</f>
        <v>184426</v>
      </c>
      <c r="C1328" s="2">
        <f>IFERROR(__xludf.DUMMYFUNCTION("""COMPUTED_VALUE"""),2026.0)</f>
        <v>2026</v>
      </c>
      <c r="D1328" s="2">
        <f>IFERROR(__xludf.DUMMYFUNCTION("""COMPUTED_VALUE"""),46114.0)</f>
        <v>46114</v>
      </c>
      <c r="E1328" s="2" t="str">
        <f>IFERROR(__xludf.DUMMYFUNCTION("""COMPUTED_VALUE"""),"VF")</f>
        <v>VF</v>
      </c>
      <c r="F1328" s="2">
        <f>IFERROR(__xludf.DUMMYFUNCTION("""COMPUTED_VALUE"""),2.0)</f>
        <v>2</v>
      </c>
      <c r="G1328" s="2" t="str">
        <f>IFERROR(__xludf.DUMMYFUNCTION("""COMPUTED_VALUE"""),"PR002")</f>
        <v>PR002</v>
      </c>
      <c r="H1328" s="2" t="str">
        <f>IFERROR(__xludf.DUMMYFUNCTION("""COMPUTED_VALUE"""),"VD019")</f>
        <v>VD019</v>
      </c>
      <c r="I1328" s="2">
        <f>IFERROR(__xludf.DUMMYFUNCTION("""COMPUTED_VALUE"""),2.0)</f>
        <v>2</v>
      </c>
      <c r="J1328" s="2">
        <f>IFERROR(__xludf.DUMMYFUNCTION("""COMPUTED_VALUE"""),153.78)</f>
        <v>153.78</v>
      </c>
      <c r="K1328" s="2">
        <f>IFERROR(__xludf.DUMMYFUNCTION("""COMPUTED_VALUE"""),153.78)</f>
        <v>153.78</v>
      </c>
    </row>
    <row r="1329">
      <c r="A1329" s="2">
        <f>IFERROR(__xludf.DUMMYFUNCTION("""COMPUTED_VALUE"""),1000.0)</f>
        <v>1000</v>
      </c>
      <c r="B1329" s="2">
        <f>IFERROR(__xludf.DUMMYFUNCTION("""COMPUTED_VALUE"""),184426.0)</f>
        <v>184426</v>
      </c>
      <c r="C1329" s="2">
        <f>IFERROR(__xludf.DUMMYFUNCTION("""COMPUTED_VALUE"""),2026.0)</f>
        <v>2026</v>
      </c>
      <c r="D1329" s="2">
        <f>IFERROR(__xludf.DUMMYFUNCTION("""COMPUTED_VALUE"""),46113.0)</f>
        <v>46113</v>
      </c>
      <c r="E1329" s="2" t="str">
        <f>IFERROR(__xludf.DUMMYFUNCTION("""COMPUTED_VALUE"""),"VF")</f>
        <v>VF</v>
      </c>
      <c r="F1329" s="2">
        <f>IFERROR(__xludf.DUMMYFUNCTION("""COMPUTED_VALUE"""),3.0)</f>
        <v>3</v>
      </c>
      <c r="G1329" s="2" t="str">
        <f>IFERROR(__xludf.DUMMYFUNCTION("""COMPUTED_VALUE"""),"PR022")</f>
        <v>PR022</v>
      </c>
      <c r="H1329" s="2" t="str">
        <f>IFERROR(__xludf.DUMMYFUNCTION("""COMPUTED_VALUE"""),"VD029")</f>
        <v>VD029</v>
      </c>
      <c r="I1329" s="2">
        <f>IFERROR(__xludf.DUMMYFUNCTION("""COMPUTED_VALUE"""),6.0)</f>
        <v>6</v>
      </c>
      <c r="J1329" s="2">
        <f>IFERROR(__xludf.DUMMYFUNCTION("""COMPUTED_VALUE"""),1980.0)</f>
        <v>1980</v>
      </c>
      <c r="K1329" s="2">
        <f>IFERROR(__xludf.DUMMYFUNCTION("""COMPUTED_VALUE"""),1980.0)</f>
        <v>1980</v>
      </c>
    </row>
    <row r="1330">
      <c r="A1330" s="2">
        <f>IFERROR(__xludf.DUMMYFUNCTION("""COMPUTED_VALUE"""),1000.0)</f>
        <v>1000</v>
      </c>
      <c r="B1330" s="2">
        <f>IFERROR(__xludf.DUMMYFUNCTION("""COMPUTED_VALUE"""),184426.0)</f>
        <v>184426</v>
      </c>
      <c r="C1330" s="2">
        <f>IFERROR(__xludf.DUMMYFUNCTION("""COMPUTED_VALUE"""),2026.0)</f>
        <v>2026</v>
      </c>
      <c r="D1330" s="2">
        <f>IFERROR(__xludf.DUMMYFUNCTION("""COMPUTED_VALUE"""),46113.0)</f>
        <v>46113</v>
      </c>
      <c r="E1330" s="2" t="str">
        <f>IFERROR(__xludf.DUMMYFUNCTION("""COMPUTED_VALUE"""),"VF")</f>
        <v>VF</v>
      </c>
      <c r="F1330" s="2">
        <f>IFERROR(__xludf.DUMMYFUNCTION("""COMPUTED_VALUE"""),4.0)</f>
        <v>4</v>
      </c>
      <c r="G1330" s="2" t="str">
        <f>IFERROR(__xludf.DUMMYFUNCTION("""COMPUTED_VALUE"""),"PR058")</f>
        <v>PR058</v>
      </c>
      <c r="H1330" s="2" t="str">
        <f>IFERROR(__xludf.DUMMYFUNCTION("""COMPUTED_VALUE"""),"VD024")</f>
        <v>VD024</v>
      </c>
      <c r="I1330" s="2">
        <f>IFERROR(__xludf.DUMMYFUNCTION("""COMPUTED_VALUE"""),5.0)</f>
        <v>5</v>
      </c>
      <c r="J1330" s="2">
        <f>IFERROR(__xludf.DUMMYFUNCTION("""COMPUTED_VALUE"""),954.0)</f>
        <v>954</v>
      </c>
      <c r="K1330" s="2">
        <f>IFERROR(__xludf.DUMMYFUNCTION("""COMPUTED_VALUE"""),954.0)</f>
        <v>954</v>
      </c>
    </row>
    <row r="1331">
      <c r="A1331" s="2">
        <f>IFERROR(__xludf.DUMMYFUNCTION("""COMPUTED_VALUE"""),2000.0)</f>
        <v>2000</v>
      </c>
      <c r="B1331" s="2">
        <f>IFERROR(__xludf.DUMMYFUNCTION("""COMPUTED_VALUE"""),184427.0)</f>
        <v>184427</v>
      </c>
      <c r="C1331" s="2">
        <f>IFERROR(__xludf.DUMMYFUNCTION("""COMPUTED_VALUE"""),2026.0)</f>
        <v>2026</v>
      </c>
      <c r="D1331" s="2">
        <f>IFERROR(__xludf.DUMMYFUNCTION("""COMPUTED_VALUE"""),46112.0)</f>
        <v>46112</v>
      </c>
      <c r="E1331" s="2" t="str">
        <f>IFERROR(__xludf.DUMMYFUNCTION("""COMPUTED_VALUE"""),"VF")</f>
        <v>VF</v>
      </c>
      <c r="F1331" s="2">
        <f>IFERROR(__xludf.DUMMYFUNCTION("""COMPUTED_VALUE"""),1.0)</f>
        <v>1</v>
      </c>
      <c r="G1331" s="2" t="str">
        <f>IFERROR(__xludf.DUMMYFUNCTION("""COMPUTED_VALUE"""),"PR055")</f>
        <v>PR055</v>
      </c>
      <c r="H1331" s="2" t="str">
        <f>IFERROR(__xludf.DUMMYFUNCTION("""COMPUTED_VALUE"""),"VD044")</f>
        <v>VD044</v>
      </c>
      <c r="I1331" s="2">
        <f>IFERROR(__xludf.DUMMYFUNCTION("""COMPUTED_VALUE"""),10.0)</f>
        <v>10</v>
      </c>
      <c r="J1331" s="2">
        <f>IFERROR(__xludf.DUMMYFUNCTION("""COMPUTED_VALUE"""),970.92)</f>
        <v>970.92</v>
      </c>
      <c r="K1331" s="2">
        <f>IFERROR(__xludf.DUMMYFUNCTION("""COMPUTED_VALUE"""),970.92)</f>
        <v>970.92</v>
      </c>
    </row>
    <row r="1332">
      <c r="A1332" s="2">
        <f>IFERROR(__xludf.DUMMYFUNCTION("""COMPUTED_VALUE"""),1000.0)</f>
        <v>1000</v>
      </c>
      <c r="B1332" s="2">
        <f>IFERROR(__xludf.DUMMYFUNCTION("""COMPUTED_VALUE"""),184427.0)</f>
        <v>184427</v>
      </c>
      <c r="C1332" s="2">
        <f>IFERROR(__xludf.DUMMYFUNCTION("""COMPUTED_VALUE"""),2026.0)</f>
        <v>2026</v>
      </c>
      <c r="D1332" s="2">
        <f>IFERROR(__xludf.DUMMYFUNCTION("""COMPUTED_VALUE"""),46112.0)</f>
        <v>46112</v>
      </c>
      <c r="E1332" s="2" t="str">
        <f>IFERROR(__xludf.DUMMYFUNCTION("""COMPUTED_VALUE"""),"VF")</f>
        <v>VF</v>
      </c>
      <c r="F1332" s="2">
        <f>IFERROR(__xludf.DUMMYFUNCTION("""COMPUTED_VALUE"""),2.0)</f>
        <v>2</v>
      </c>
      <c r="G1332" s="2" t="str">
        <f>IFERROR(__xludf.DUMMYFUNCTION("""COMPUTED_VALUE"""),"PR027")</f>
        <v>PR027</v>
      </c>
      <c r="H1332" s="2" t="str">
        <f>IFERROR(__xludf.DUMMYFUNCTION("""COMPUTED_VALUE"""),"VD018")</f>
        <v>VD018</v>
      </c>
      <c r="I1332" s="2">
        <f>IFERROR(__xludf.DUMMYFUNCTION("""COMPUTED_VALUE"""),4.0)</f>
        <v>4</v>
      </c>
      <c r="J1332" s="2">
        <f>IFERROR(__xludf.DUMMYFUNCTION("""COMPUTED_VALUE"""),480.0)</f>
        <v>480</v>
      </c>
      <c r="K1332" s="2">
        <f>IFERROR(__xludf.DUMMYFUNCTION("""COMPUTED_VALUE"""),480.0)</f>
        <v>480</v>
      </c>
    </row>
    <row r="1333">
      <c r="A1333" s="2">
        <f>IFERROR(__xludf.DUMMYFUNCTION("""COMPUTED_VALUE"""),1000.0)</f>
        <v>1000</v>
      </c>
      <c r="B1333" s="2">
        <f>IFERROR(__xludf.DUMMYFUNCTION("""COMPUTED_VALUE"""),184428.0)</f>
        <v>184428</v>
      </c>
      <c r="C1333" s="2">
        <f>IFERROR(__xludf.DUMMYFUNCTION("""COMPUTED_VALUE"""),2026.0)</f>
        <v>2026</v>
      </c>
      <c r="D1333" s="2">
        <f>IFERROR(__xludf.DUMMYFUNCTION("""COMPUTED_VALUE"""),46112.0)</f>
        <v>46112</v>
      </c>
      <c r="E1333" s="2" t="str">
        <f>IFERROR(__xludf.DUMMYFUNCTION("""COMPUTED_VALUE"""),"VF")</f>
        <v>VF</v>
      </c>
      <c r="F1333" s="2">
        <f>IFERROR(__xludf.DUMMYFUNCTION("""COMPUTED_VALUE"""),1.0)</f>
        <v>1</v>
      </c>
      <c r="G1333" s="2" t="str">
        <f>IFERROR(__xludf.DUMMYFUNCTION("""COMPUTED_VALUE"""),"PR031")</f>
        <v>PR031</v>
      </c>
      <c r="H1333" s="2" t="str">
        <f>IFERROR(__xludf.DUMMYFUNCTION("""COMPUTED_VALUE"""),"VD046")</f>
        <v>VD046</v>
      </c>
      <c r="I1333" s="2">
        <f>IFERROR(__xludf.DUMMYFUNCTION("""COMPUTED_VALUE"""),5.0)</f>
        <v>5</v>
      </c>
      <c r="J1333" s="2">
        <f>IFERROR(__xludf.DUMMYFUNCTION("""COMPUTED_VALUE"""),1249.5)</f>
        <v>1249.5</v>
      </c>
      <c r="K1333" s="2">
        <f>IFERROR(__xludf.DUMMYFUNCTION("""COMPUTED_VALUE"""),1249.5)</f>
        <v>1249.5</v>
      </c>
    </row>
    <row r="1334">
      <c r="A1334" s="2">
        <f>IFERROR(__xludf.DUMMYFUNCTION("""COMPUTED_VALUE"""),2000.0)</f>
        <v>2000</v>
      </c>
      <c r="B1334" s="2">
        <f>IFERROR(__xludf.DUMMYFUNCTION("""COMPUTED_VALUE"""),184429.0)</f>
        <v>184429</v>
      </c>
      <c r="C1334" s="2">
        <f>IFERROR(__xludf.DUMMYFUNCTION("""COMPUTED_VALUE"""),2026.0)</f>
        <v>2026</v>
      </c>
      <c r="D1334" s="2">
        <f>IFERROR(__xludf.DUMMYFUNCTION("""COMPUTED_VALUE"""),46111.0)</f>
        <v>46111</v>
      </c>
      <c r="E1334" s="2" t="str">
        <f>IFERROR(__xludf.DUMMYFUNCTION("""COMPUTED_VALUE"""),"VF")</f>
        <v>VF</v>
      </c>
      <c r="F1334" s="2">
        <f>IFERROR(__xludf.DUMMYFUNCTION("""COMPUTED_VALUE"""),1.0)</f>
        <v>1</v>
      </c>
      <c r="G1334" s="2" t="str">
        <f>IFERROR(__xludf.DUMMYFUNCTION("""COMPUTED_VALUE"""),"PR021")</f>
        <v>PR021</v>
      </c>
      <c r="H1334" s="2" t="str">
        <f>IFERROR(__xludf.DUMMYFUNCTION("""COMPUTED_VALUE"""),"VD019")</f>
        <v>VD019</v>
      </c>
      <c r="I1334" s="2">
        <f>IFERROR(__xludf.DUMMYFUNCTION("""COMPUTED_VALUE"""),20.0)</f>
        <v>20</v>
      </c>
      <c r="J1334" s="2">
        <f>IFERROR(__xludf.DUMMYFUNCTION("""COMPUTED_VALUE"""),6300.32)</f>
        <v>6300.32</v>
      </c>
      <c r="K1334" s="2">
        <f>IFERROR(__xludf.DUMMYFUNCTION("""COMPUTED_VALUE"""),6300.32)</f>
        <v>6300.32</v>
      </c>
    </row>
    <row r="1335">
      <c r="A1335" s="2">
        <f>IFERROR(__xludf.DUMMYFUNCTION("""COMPUTED_VALUE"""),1000.0)</f>
        <v>1000</v>
      </c>
      <c r="B1335" s="2">
        <f>IFERROR(__xludf.DUMMYFUNCTION("""COMPUTED_VALUE"""),184429.0)</f>
        <v>184429</v>
      </c>
      <c r="C1335" s="2">
        <f>IFERROR(__xludf.DUMMYFUNCTION("""COMPUTED_VALUE"""),2026.0)</f>
        <v>2026</v>
      </c>
      <c r="D1335" s="2">
        <f>IFERROR(__xludf.DUMMYFUNCTION("""COMPUTED_VALUE"""),46111.0)</f>
        <v>46111</v>
      </c>
      <c r="E1335" s="2" t="str">
        <f>IFERROR(__xludf.DUMMYFUNCTION("""COMPUTED_VALUE"""),"VF")</f>
        <v>VF</v>
      </c>
      <c r="F1335" s="2">
        <f>IFERROR(__xludf.DUMMYFUNCTION("""COMPUTED_VALUE"""),2.0)</f>
        <v>2</v>
      </c>
      <c r="G1335" s="2" t="str">
        <f>IFERROR(__xludf.DUMMYFUNCTION("""COMPUTED_VALUE"""),"PR001")</f>
        <v>PR001</v>
      </c>
      <c r="H1335" s="2" t="str">
        <f>IFERROR(__xludf.DUMMYFUNCTION("""COMPUTED_VALUE"""),"VD029")</f>
        <v>VD029</v>
      </c>
      <c r="I1335" s="2">
        <f>IFERROR(__xludf.DUMMYFUNCTION("""COMPUTED_VALUE"""),2.0)</f>
        <v>2</v>
      </c>
      <c r="J1335" s="2">
        <f>IFERROR(__xludf.DUMMYFUNCTION("""COMPUTED_VALUE"""),135.75)</f>
        <v>135.75</v>
      </c>
      <c r="K1335" s="2">
        <f>IFERROR(__xludf.DUMMYFUNCTION("""COMPUTED_VALUE"""),135.75)</f>
        <v>135.75</v>
      </c>
    </row>
    <row r="1336">
      <c r="A1336" s="2">
        <f>IFERROR(__xludf.DUMMYFUNCTION("""COMPUTED_VALUE"""),1000.0)</f>
        <v>1000</v>
      </c>
      <c r="B1336" s="2">
        <f>IFERROR(__xludf.DUMMYFUNCTION("""COMPUTED_VALUE"""),184429.0)</f>
        <v>184429</v>
      </c>
      <c r="C1336" s="2">
        <f>IFERROR(__xludf.DUMMYFUNCTION("""COMPUTED_VALUE"""),2026.0)</f>
        <v>2026</v>
      </c>
      <c r="D1336" s="2">
        <f>IFERROR(__xludf.DUMMYFUNCTION("""COMPUTED_VALUE"""),46111.0)</f>
        <v>46111</v>
      </c>
      <c r="E1336" s="2" t="str">
        <f>IFERROR(__xludf.DUMMYFUNCTION("""COMPUTED_VALUE"""),"VF")</f>
        <v>VF</v>
      </c>
      <c r="F1336" s="2">
        <f>IFERROR(__xludf.DUMMYFUNCTION("""COMPUTED_VALUE"""),3.0)</f>
        <v>3</v>
      </c>
      <c r="G1336" s="2" t="str">
        <f>IFERROR(__xludf.DUMMYFUNCTION("""COMPUTED_VALUE"""),"PR055")</f>
        <v>PR055</v>
      </c>
      <c r="H1336" s="2" t="str">
        <f>IFERROR(__xludf.DUMMYFUNCTION("""COMPUTED_VALUE"""),"VD043")</f>
        <v>VD043</v>
      </c>
      <c r="I1336" s="2">
        <f>IFERROR(__xludf.DUMMYFUNCTION("""COMPUTED_VALUE"""),4.0)</f>
        <v>4</v>
      </c>
      <c r="J1336" s="2">
        <f>IFERROR(__xludf.DUMMYFUNCTION("""COMPUTED_VALUE"""),377.58)</f>
        <v>377.58</v>
      </c>
      <c r="K1336" s="2">
        <f>IFERROR(__xludf.DUMMYFUNCTION("""COMPUTED_VALUE"""),377.58)</f>
        <v>377.58</v>
      </c>
    </row>
    <row r="1337">
      <c r="A1337" s="2">
        <f>IFERROR(__xludf.DUMMYFUNCTION("""COMPUTED_VALUE"""),1000.0)</f>
        <v>1000</v>
      </c>
      <c r="B1337" s="2">
        <f>IFERROR(__xludf.DUMMYFUNCTION("""COMPUTED_VALUE"""),184430.0)</f>
        <v>184430</v>
      </c>
      <c r="C1337" s="2">
        <f>IFERROR(__xludf.DUMMYFUNCTION("""COMPUTED_VALUE"""),2026.0)</f>
        <v>2026</v>
      </c>
      <c r="D1337" s="2">
        <f>IFERROR(__xludf.DUMMYFUNCTION("""COMPUTED_VALUE"""),46110.0)</f>
        <v>46110</v>
      </c>
      <c r="E1337" s="2" t="str">
        <f>IFERROR(__xludf.DUMMYFUNCTION("""COMPUTED_VALUE"""),"VF")</f>
        <v>VF</v>
      </c>
      <c r="F1337" s="2">
        <f>IFERROR(__xludf.DUMMYFUNCTION("""COMPUTED_VALUE"""),1.0)</f>
        <v>1</v>
      </c>
      <c r="G1337" s="2" t="str">
        <f>IFERROR(__xludf.DUMMYFUNCTION("""COMPUTED_VALUE"""),"PR053")</f>
        <v>PR053</v>
      </c>
      <c r="H1337" s="2" t="str">
        <f>IFERROR(__xludf.DUMMYFUNCTION("""COMPUTED_VALUE"""),"VD033")</f>
        <v>VD033</v>
      </c>
      <c r="I1337" s="2">
        <f>IFERROR(__xludf.DUMMYFUNCTION("""COMPUTED_VALUE"""),3.0)</f>
        <v>3</v>
      </c>
      <c r="J1337" s="2">
        <f>IFERROR(__xludf.DUMMYFUNCTION("""COMPUTED_VALUE"""),164.67)</f>
        <v>164.67</v>
      </c>
      <c r="K1337" s="2">
        <f>IFERROR(__xludf.DUMMYFUNCTION("""COMPUTED_VALUE"""),164.67)</f>
        <v>164.67</v>
      </c>
    </row>
    <row r="1338">
      <c r="A1338" s="2">
        <f>IFERROR(__xludf.DUMMYFUNCTION("""COMPUTED_VALUE"""),1000.0)</f>
        <v>1000</v>
      </c>
      <c r="B1338" s="2">
        <f>IFERROR(__xludf.DUMMYFUNCTION("""COMPUTED_VALUE"""),184430.0)</f>
        <v>184430</v>
      </c>
      <c r="C1338" s="2">
        <f>IFERROR(__xludf.DUMMYFUNCTION("""COMPUTED_VALUE"""),2026.0)</f>
        <v>2026</v>
      </c>
      <c r="D1338" s="2">
        <f>IFERROR(__xludf.DUMMYFUNCTION("""COMPUTED_VALUE"""),46110.0)</f>
        <v>46110</v>
      </c>
      <c r="E1338" s="2" t="str">
        <f>IFERROR(__xludf.DUMMYFUNCTION("""COMPUTED_VALUE"""),"VF")</f>
        <v>VF</v>
      </c>
      <c r="F1338" s="2">
        <f>IFERROR(__xludf.DUMMYFUNCTION("""COMPUTED_VALUE"""),2.0)</f>
        <v>2</v>
      </c>
      <c r="G1338" s="2" t="str">
        <f>IFERROR(__xludf.DUMMYFUNCTION("""COMPUTED_VALUE"""),"PR024")</f>
        <v>PR024</v>
      </c>
      <c r="H1338" s="2" t="str">
        <f>IFERROR(__xludf.DUMMYFUNCTION("""COMPUTED_VALUE"""),"VD032")</f>
        <v>VD032</v>
      </c>
      <c r="I1338" s="2">
        <f>IFERROR(__xludf.DUMMYFUNCTION("""COMPUTED_VALUE"""),8.0)</f>
        <v>8</v>
      </c>
      <c r="J1338" s="2">
        <f>IFERROR(__xludf.DUMMYFUNCTION("""COMPUTED_VALUE"""),2183.16)</f>
        <v>2183.16</v>
      </c>
      <c r="K1338" s="2">
        <f>IFERROR(__xludf.DUMMYFUNCTION("""COMPUTED_VALUE"""),2183.16)</f>
        <v>2183.16</v>
      </c>
    </row>
    <row r="1339">
      <c r="A1339" s="2">
        <f>IFERROR(__xludf.DUMMYFUNCTION("""COMPUTED_VALUE"""),1000.0)</f>
        <v>1000</v>
      </c>
      <c r="B1339" s="2">
        <f>IFERROR(__xludf.DUMMYFUNCTION("""COMPUTED_VALUE"""),184430.0)</f>
        <v>184430</v>
      </c>
      <c r="C1339" s="2">
        <f>IFERROR(__xludf.DUMMYFUNCTION("""COMPUTED_VALUE"""),2026.0)</f>
        <v>2026</v>
      </c>
      <c r="D1339" s="2">
        <f>IFERROR(__xludf.DUMMYFUNCTION("""COMPUTED_VALUE"""),46109.0)</f>
        <v>46109</v>
      </c>
      <c r="E1339" s="2" t="str">
        <f>IFERROR(__xludf.DUMMYFUNCTION("""COMPUTED_VALUE"""),"VF")</f>
        <v>VF</v>
      </c>
      <c r="F1339" s="2">
        <f>IFERROR(__xludf.DUMMYFUNCTION("""COMPUTED_VALUE"""),3.0)</f>
        <v>3</v>
      </c>
      <c r="G1339" s="2" t="str">
        <f>IFERROR(__xludf.DUMMYFUNCTION("""COMPUTED_VALUE"""),"PR042")</f>
        <v>PR042</v>
      </c>
      <c r="H1339" s="2" t="str">
        <f>IFERROR(__xludf.DUMMYFUNCTION("""COMPUTED_VALUE"""),"VD041")</f>
        <v>VD041</v>
      </c>
      <c r="I1339" s="2">
        <f>IFERROR(__xludf.DUMMYFUNCTION("""COMPUTED_VALUE"""),16.0)</f>
        <v>16</v>
      </c>
      <c r="J1339" s="2">
        <f>IFERROR(__xludf.DUMMYFUNCTION("""COMPUTED_VALUE"""),931.1)</f>
        <v>931.1</v>
      </c>
      <c r="K1339" s="2">
        <f>IFERROR(__xludf.DUMMYFUNCTION("""COMPUTED_VALUE"""),931.1)</f>
        <v>931.1</v>
      </c>
    </row>
    <row r="1340">
      <c r="A1340" s="2">
        <f>IFERROR(__xludf.DUMMYFUNCTION("""COMPUTED_VALUE"""),1000.0)</f>
        <v>1000</v>
      </c>
      <c r="B1340" s="2">
        <f>IFERROR(__xludf.DUMMYFUNCTION("""COMPUTED_VALUE"""),184431.0)</f>
        <v>184431</v>
      </c>
      <c r="C1340" s="2">
        <f>IFERROR(__xludf.DUMMYFUNCTION("""COMPUTED_VALUE"""),2026.0)</f>
        <v>2026</v>
      </c>
      <c r="D1340" s="2">
        <f>IFERROR(__xludf.DUMMYFUNCTION("""COMPUTED_VALUE"""),46109.0)</f>
        <v>46109</v>
      </c>
      <c r="E1340" s="2" t="str">
        <f>IFERROR(__xludf.DUMMYFUNCTION("""COMPUTED_VALUE"""),"VF")</f>
        <v>VF</v>
      </c>
      <c r="F1340" s="2">
        <f>IFERROR(__xludf.DUMMYFUNCTION("""COMPUTED_VALUE"""),1.0)</f>
        <v>1</v>
      </c>
      <c r="G1340" s="2" t="str">
        <f>IFERROR(__xludf.DUMMYFUNCTION("""COMPUTED_VALUE"""),"PR021")</f>
        <v>PR021</v>
      </c>
      <c r="H1340" s="2" t="str">
        <f>IFERROR(__xludf.DUMMYFUNCTION("""COMPUTED_VALUE"""),"VD032")</f>
        <v>VD032</v>
      </c>
      <c r="I1340" s="2">
        <f>IFERROR(__xludf.DUMMYFUNCTION("""COMPUTED_VALUE"""),14.0)</f>
        <v>14</v>
      </c>
      <c r="J1340" s="2">
        <f>IFERROR(__xludf.DUMMYFUNCTION("""COMPUTED_VALUE"""),4240.6)</f>
        <v>4240.6</v>
      </c>
      <c r="K1340" s="2">
        <f>IFERROR(__xludf.DUMMYFUNCTION("""COMPUTED_VALUE"""),4240.6)</f>
        <v>4240.6</v>
      </c>
    </row>
    <row r="1341">
      <c r="A1341" s="2">
        <f>IFERROR(__xludf.DUMMYFUNCTION("""COMPUTED_VALUE"""),1000.0)</f>
        <v>1000</v>
      </c>
      <c r="B1341" s="2">
        <f>IFERROR(__xludf.DUMMYFUNCTION("""COMPUTED_VALUE"""),184432.0)</f>
        <v>184432</v>
      </c>
      <c r="C1341" s="2">
        <f>IFERROR(__xludf.DUMMYFUNCTION("""COMPUTED_VALUE"""),2026.0)</f>
        <v>2026</v>
      </c>
      <c r="D1341" s="2">
        <f>IFERROR(__xludf.DUMMYFUNCTION("""COMPUTED_VALUE"""),46109.0)</f>
        <v>46109</v>
      </c>
      <c r="E1341" s="2" t="str">
        <f>IFERROR(__xludf.DUMMYFUNCTION("""COMPUTED_VALUE"""),"VF")</f>
        <v>VF</v>
      </c>
      <c r="F1341" s="2">
        <f>IFERROR(__xludf.DUMMYFUNCTION("""COMPUTED_VALUE"""),1.0)</f>
        <v>1</v>
      </c>
      <c r="G1341" s="2" t="str">
        <f>IFERROR(__xludf.DUMMYFUNCTION("""COMPUTED_VALUE"""),"PR056")</f>
        <v>PR056</v>
      </c>
      <c r="H1341" s="2" t="str">
        <f>IFERROR(__xludf.DUMMYFUNCTION("""COMPUTED_VALUE"""),"VD016")</f>
        <v>VD016</v>
      </c>
      <c r="I1341" s="2">
        <f>IFERROR(__xludf.DUMMYFUNCTION("""COMPUTED_VALUE"""),12.0)</f>
        <v>12</v>
      </c>
      <c r="J1341" s="2">
        <f>IFERROR(__xludf.DUMMYFUNCTION("""COMPUTED_VALUE"""),1175.89)</f>
        <v>1175.89</v>
      </c>
      <c r="K1341" s="2">
        <f>IFERROR(__xludf.DUMMYFUNCTION("""COMPUTED_VALUE"""),1175.89)</f>
        <v>1175.89</v>
      </c>
    </row>
    <row r="1342">
      <c r="A1342" s="2">
        <f>IFERROR(__xludf.DUMMYFUNCTION("""COMPUTED_VALUE"""),2000.0)</f>
        <v>2000</v>
      </c>
      <c r="B1342" s="2">
        <f>IFERROR(__xludf.DUMMYFUNCTION("""COMPUTED_VALUE"""),184433.0)</f>
        <v>184433</v>
      </c>
      <c r="C1342" s="2">
        <f>IFERROR(__xludf.DUMMYFUNCTION("""COMPUTED_VALUE"""),2026.0)</f>
        <v>2026</v>
      </c>
      <c r="D1342" s="2">
        <f>IFERROR(__xludf.DUMMYFUNCTION("""COMPUTED_VALUE"""),46109.0)</f>
        <v>46109</v>
      </c>
      <c r="E1342" s="2" t="str">
        <f>IFERROR(__xludf.DUMMYFUNCTION("""COMPUTED_VALUE"""),"VF")</f>
        <v>VF</v>
      </c>
      <c r="F1342" s="2">
        <f>IFERROR(__xludf.DUMMYFUNCTION("""COMPUTED_VALUE"""),1.0)</f>
        <v>1</v>
      </c>
      <c r="G1342" s="2" t="str">
        <f>IFERROR(__xludf.DUMMYFUNCTION("""COMPUTED_VALUE"""),"PR006")</f>
        <v>PR006</v>
      </c>
      <c r="H1342" s="2" t="str">
        <f>IFERROR(__xludf.DUMMYFUNCTION("""COMPUTED_VALUE"""),"VD012")</f>
        <v>VD012</v>
      </c>
      <c r="I1342" s="2">
        <f>IFERROR(__xludf.DUMMYFUNCTION("""COMPUTED_VALUE"""),14.0)</f>
        <v>14</v>
      </c>
      <c r="J1342" s="2">
        <f>IFERROR(__xludf.DUMMYFUNCTION("""COMPUTED_VALUE"""),592.12)</f>
        <v>592.12</v>
      </c>
      <c r="K1342" s="2">
        <f>IFERROR(__xludf.DUMMYFUNCTION("""COMPUTED_VALUE"""),592.12)</f>
        <v>592.12</v>
      </c>
    </row>
    <row r="1343">
      <c r="A1343" s="2">
        <f>IFERROR(__xludf.DUMMYFUNCTION("""COMPUTED_VALUE"""),1000.0)</f>
        <v>1000</v>
      </c>
      <c r="B1343" s="2">
        <f>IFERROR(__xludf.DUMMYFUNCTION("""COMPUTED_VALUE"""),184434.0)</f>
        <v>184434</v>
      </c>
      <c r="C1343" s="2">
        <f>IFERROR(__xludf.DUMMYFUNCTION("""COMPUTED_VALUE"""),2026.0)</f>
        <v>2026</v>
      </c>
      <c r="D1343" s="2">
        <f>IFERROR(__xludf.DUMMYFUNCTION("""COMPUTED_VALUE"""),46108.0)</f>
        <v>46108</v>
      </c>
      <c r="E1343" s="2" t="str">
        <f>IFERROR(__xludf.DUMMYFUNCTION("""COMPUTED_VALUE"""),"VF")</f>
        <v>VF</v>
      </c>
      <c r="F1343" s="2">
        <f>IFERROR(__xludf.DUMMYFUNCTION("""COMPUTED_VALUE"""),1.0)</f>
        <v>1</v>
      </c>
      <c r="G1343" s="2" t="str">
        <f>IFERROR(__xludf.DUMMYFUNCTION("""COMPUTED_VALUE"""),"PR029")</f>
        <v>PR029</v>
      </c>
      <c r="H1343" s="2" t="str">
        <f>IFERROR(__xludf.DUMMYFUNCTION("""COMPUTED_VALUE"""),"VD043")</f>
        <v>VD043</v>
      </c>
      <c r="I1343" s="2">
        <f>IFERROR(__xludf.DUMMYFUNCTION("""COMPUTED_VALUE"""),2.0)</f>
        <v>2</v>
      </c>
      <c r="J1343" s="2">
        <f>IFERROR(__xludf.DUMMYFUNCTION("""COMPUTED_VALUE"""),515.1)</f>
        <v>515.1</v>
      </c>
      <c r="K1343" s="2">
        <f>IFERROR(__xludf.DUMMYFUNCTION("""COMPUTED_VALUE"""),515.1)</f>
        <v>515.1</v>
      </c>
    </row>
    <row r="1344">
      <c r="A1344" s="2">
        <f>IFERROR(__xludf.DUMMYFUNCTION("""COMPUTED_VALUE"""),2000.0)</f>
        <v>2000</v>
      </c>
      <c r="B1344" s="2">
        <f>IFERROR(__xludf.DUMMYFUNCTION("""COMPUTED_VALUE"""),184435.0)</f>
        <v>184435</v>
      </c>
      <c r="C1344" s="2">
        <f>IFERROR(__xludf.DUMMYFUNCTION("""COMPUTED_VALUE"""),2026.0)</f>
        <v>2026</v>
      </c>
      <c r="D1344" s="2">
        <f>IFERROR(__xludf.DUMMYFUNCTION("""COMPUTED_VALUE"""),46108.0)</f>
        <v>46108</v>
      </c>
      <c r="E1344" s="2" t="str">
        <f>IFERROR(__xludf.DUMMYFUNCTION("""COMPUTED_VALUE"""),"VF")</f>
        <v>VF</v>
      </c>
      <c r="F1344" s="2">
        <f>IFERROR(__xludf.DUMMYFUNCTION("""COMPUTED_VALUE"""),1.0)</f>
        <v>1</v>
      </c>
      <c r="G1344" s="2" t="str">
        <f>IFERROR(__xludf.DUMMYFUNCTION("""COMPUTED_VALUE"""),"PR037")</f>
        <v>PR037</v>
      </c>
      <c r="H1344" s="2" t="str">
        <f>IFERROR(__xludf.DUMMYFUNCTION("""COMPUTED_VALUE"""),"VD039")</f>
        <v>VD039</v>
      </c>
      <c r="I1344" s="2">
        <f>IFERROR(__xludf.DUMMYFUNCTION("""COMPUTED_VALUE"""),9.0)</f>
        <v>9</v>
      </c>
      <c r="J1344" s="2">
        <f>IFERROR(__xludf.DUMMYFUNCTION("""COMPUTED_VALUE"""),1335.6)</f>
        <v>1335.6</v>
      </c>
      <c r="K1344" s="2">
        <f>IFERROR(__xludf.DUMMYFUNCTION("""COMPUTED_VALUE"""),1335.6)</f>
        <v>1335.6</v>
      </c>
    </row>
    <row r="1345">
      <c r="A1345" s="2">
        <f>IFERROR(__xludf.DUMMYFUNCTION("""COMPUTED_VALUE"""),2000.0)</f>
        <v>2000</v>
      </c>
      <c r="B1345" s="2">
        <f>IFERROR(__xludf.DUMMYFUNCTION("""COMPUTED_VALUE"""),184435.0)</f>
        <v>184435</v>
      </c>
      <c r="C1345" s="2">
        <f>IFERROR(__xludf.DUMMYFUNCTION("""COMPUTED_VALUE"""),2026.0)</f>
        <v>2026</v>
      </c>
      <c r="D1345" s="2">
        <f>IFERROR(__xludf.DUMMYFUNCTION("""COMPUTED_VALUE"""),46108.0)</f>
        <v>46108</v>
      </c>
      <c r="E1345" s="2" t="str">
        <f>IFERROR(__xludf.DUMMYFUNCTION("""COMPUTED_VALUE"""),"VF")</f>
        <v>VF</v>
      </c>
      <c r="F1345" s="2">
        <f>IFERROR(__xludf.DUMMYFUNCTION("""COMPUTED_VALUE"""),2.0)</f>
        <v>2</v>
      </c>
      <c r="G1345" s="2" t="str">
        <f>IFERROR(__xludf.DUMMYFUNCTION("""COMPUTED_VALUE"""),"PR028")</f>
        <v>PR028</v>
      </c>
      <c r="H1345" s="2" t="str">
        <f>IFERROR(__xludf.DUMMYFUNCTION("""COMPUTED_VALUE"""),"VD040")</f>
        <v>VD040</v>
      </c>
      <c r="I1345" s="2">
        <f>IFERROR(__xludf.DUMMYFUNCTION("""COMPUTED_VALUE"""),2.0)</f>
        <v>2</v>
      </c>
      <c r="J1345" s="2">
        <f>IFERROR(__xludf.DUMMYFUNCTION("""COMPUTED_VALUE"""),499.8)</f>
        <v>499.8</v>
      </c>
      <c r="K1345" s="2">
        <f>IFERROR(__xludf.DUMMYFUNCTION("""COMPUTED_VALUE"""),499.8)</f>
        <v>499.8</v>
      </c>
    </row>
    <row r="1346">
      <c r="A1346" s="2">
        <f>IFERROR(__xludf.DUMMYFUNCTION("""COMPUTED_VALUE"""),1000.0)</f>
        <v>1000</v>
      </c>
      <c r="B1346" s="2">
        <f>IFERROR(__xludf.DUMMYFUNCTION("""COMPUTED_VALUE"""),184435.0)</f>
        <v>184435</v>
      </c>
      <c r="C1346" s="2">
        <f>IFERROR(__xludf.DUMMYFUNCTION("""COMPUTED_VALUE"""),2026.0)</f>
        <v>2026</v>
      </c>
      <c r="D1346" s="2">
        <f>IFERROR(__xludf.DUMMYFUNCTION("""COMPUTED_VALUE"""),46108.0)</f>
        <v>46108</v>
      </c>
      <c r="E1346" s="2" t="str">
        <f>IFERROR(__xludf.DUMMYFUNCTION("""COMPUTED_VALUE"""),"VF")</f>
        <v>VF</v>
      </c>
      <c r="F1346" s="2">
        <f>IFERROR(__xludf.DUMMYFUNCTION("""COMPUTED_VALUE"""),3.0)</f>
        <v>3</v>
      </c>
      <c r="G1346" s="2" t="str">
        <f>IFERROR(__xludf.DUMMYFUNCTION("""COMPUTED_VALUE"""),"PR054")</f>
        <v>PR054</v>
      </c>
      <c r="H1346" s="2" t="str">
        <f>IFERROR(__xludf.DUMMYFUNCTION("""COMPUTED_VALUE"""),"VD012")</f>
        <v>VD012</v>
      </c>
      <c r="I1346" s="2">
        <f>IFERROR(__xludf.DUMMYFUNCTION("""COMPUTED_VALUE"""),18.0)</f>
        <v>18</v>
      </c>
      <c r="J1346" s="2">
        <f>IFERROR(__xludf.DUMMYFUNCTION("""COMPUTED_VALUE"""),961.07)</f>
        <v>961.07</v>
      </c>
      <c r="K1346" s="2">
        <f>IFERROR(__xludf.DUMMYFUNCTION("""COMPUTED_VALUE"""),961.07)</f>
        <v>961.07</v>
      </c>
    </row>
    <row r="1347">
      <c r="A1347" s="2">
        <f>IFERROR(__xludf.DUMMYFUNCTION("""COMPUTED_VALUE"""),1000.0)</f>
        <v>1000</v>
      </c>
      <c r="B1347" s="2">
        <f>IFERROR(__xludf.DUMMYFUNCTION("""COMPUTED_VALUE"""),184436.0)</f>
        <v>184436</v>
      </c>
      <c r="C1347" s="2">
        <f>IFERROR(__xludf.DUMMYFUNCTION("""COMPUTED_VALUE"""),2026.0)</f>
        <v>2026</v>
      </c>
      <c r="D1347" s="2">
        <f>IFERROR(__xludf.DUMMYFUNCTION("""COMPUTED_VALUE"""),46108.0)</f>
        <v>46108</v>
      </c>
      <c r="E1347" s="2" t="str">
        <f>IFERROR(__xludf.DUMMYFUNCTION("""COMPUTED_VALUE"""),"VF")</f>
        <v>VF</v>
      </c>
      <c r="F1347" s="2">
        <f>IFERROR(__xludf.DUMMYFUNCTION("""COMPUTED_VALUE"""),1.0)</f>
        <v>1</v>
      </c>
      <c r="G1347" s="2" t="str">
        <f>IFERROR(__xludf.DUMMYFUNCTION("""COMPUTED_VALUE"""),"PR023")</f>
        <v>PR023</v>
      </c>
      <c r="H1347" s="2" t="str">
        <f>IFERROR(__xludf.DUMMYFUNCTION("""COMPUTED_VALUE"""),"VD036")</f>
        <v>VD036</v>
      </c>
      <c r="I1347" s="2">
        <f>IFERROR(__xludf.DUMMYFUNCTION("""COMPUTED_VALUE"""),6.0)</f>
        <v>6</v>
      </c>
      <c r="J1347" s="2">
        <f>IFERROR(__xludf.DUMMYFUNCTION("""COMPUTED_VALUE"""),1514.39)</f>
        <v>1514.39</v>
      </c>
      <c r="K1347" s="2">
        <f>IFERROR(__xludf.DUMMYFUNCTION("""COMPUTED_VALUE"""),1514.39)</f>
        <v>1514.39</v>
      </c>
    </row>
    <row r="1348">
      <c r="A1348" s="2">
        <f>IFERROR(__xludf.DUMMYFUNCTION("""COMPUTED_VALUE"""),1000.0)</f>
        <v>1000</v>
      </c>
      <c r="B1348" s="2">
        <f>IFERROR(__xludf.DUMMYFUNCTION("""COMPUTED_VALUE"""),184437.0)</f>
        <v>184437</v>
      </c>
      <c r="C1348" s="2">
        <f>IFERROR(__xludf.DUMMYFUNCTION("""COMPUTED_VALUE"""),2026.0)</f>
        <v>2026</v>
      </c>
      <c r="D1348" s="2">
        <f>IFERROR(__xludf.DUMMYFUNCTION("""COMPUTED_VALUE"""),46108.0)</f>
        <v>46108</v>
      </c>
      <c r="E1348" s="2" t="str">
        <f>IFERROR(__xludf.DUMMYFUNCTION("""COMPUTED_VALUE"""),"VF")</f>
        <v>VF</v>
      </c>
      <c r="F1348" s="2">
        <f>IFERROR(__xludf.DUMMYFUNCTION("""COMPUTED_VALUE"""),1.0)</f>
        <v>1</v>
      </c>
      <c r="G1348" s="2" t="str">
        <f>IFERROR(__xludf.DUMMYFUNCTION("""COMPUTED_VALUE"""),"PR041")</f>
        <v>PR041</v>
      </c>
      <c r="H1348" s="2" t="str">
        <f>IFERROR(__xludf.DUMMYFUNCTION("""COMPUTED_VALUE"""),"VD013")</f>
        <v>VD013</v>
      </c>
      <c r="I1348" s="2">
        <f>IFERROR(__xludf.DUMMYFUNCTION("""COMPUTED_VALUE"""),9.0)</f>
        <v>9</v>
      </c>
      <c r="J1348" s="2">
        <f>IFERROR(__xludf.DUMMYFUNCTION("""COMPUTED_VALUE"""),503.98)</f>
        <v>503.98</v>
      </c>
      <c r="K1348" s="2">
        <f>IFERROR(__xludf.DUMMYFUNCTION("""COMPUTED_VALUE"""),503.98)</f>
        <v>503.98</v>
      </c>
    </row>
    <row r="1349">
      <c r="A1349" s="2">
        <f>IFERROR(__xludf.DUMMYFUNCTION("""COMPUTED_VALUE"""),2000.0)</f>
        <v>2000</v>
      </c>
      <c r="B1349" s="2">
        <f>IFERROR(__xludf.DUMMYFUNCTION("""COMPUTED_VALUE"""),184438.0)</f>
        <v>184438</v>
      </c>
      <c r="C1349" s="2">
        <f>IFERROR(__xludf.DUMMYFUNCTION("""COMPUTED_VALUE"""),2026.0)</f>
        <v>2026</v>
      </c>
      <c r="D1349" s="2">
        <f>IFERROR(__xludf.DUMMYFUNCTION("""COMPUTED_VALUE"""),46108.0)</f>
        <v>46108</v>
      </c>
      <c r="E1349" s="2" t="str">
        <f>IFERROR(__xludf.DUMMYFUNCTION("""COMPUTED_VALUE"""),"VF")</f>
        <v>VF</v>
      </c>
      <c r="F1349" s="2">
        <f>IFERROR(__xludf.DUMMYFUNCTION("""COMPUTED_VALUE"""),1.0)</f>
        <v>1</v>
      </c>
      <c r="G1349" s="2" t="str">
        <f>IFERROR(__xludf.DUMMYFUNCTION("""COMPUTED_VALUE"""),"PR012")</f>
        <v>PR012</v>
      </c>
      <c r="H1349" s="2" t="str">
        <f>IFERROR(__xludf.DUMMYFUNCTION("""COMPUTED_VALUE"""),"VD015")</f>
        <v>VD015</v>
      </c>
      <c r="I1349" s="2">
        <f>IFERROR(__xludf.DUMMYFUNCTION("""COMPUTED_VALUE"""),10.0)</f>
        <v>10</v>
      </c>
      <c r="J1349" s="2">
        <f>IFERROR(__xludf.DUMMYFUNCTION("""COMPUTED_VALUE"""),518.34)</f>
        <v>518.34</v>
      </c>
      <c r="K1349" s="2">
        <f>IFERROR(__xludf.DUMMYFUNCTION("""COMPUTED_VALUE"""),518.34)</f>
        <v>518.34</v>
      </c>
    </row>
    <row r="1350">
      <c r="A1350" s="2">
        <f>IFERROR(__xludf.DUMMYFUNCTION("""COMPUTED_VALUE"""),1000.0)</f>
        <v>1000</v>
      </c>
      <c r="B1350" s="2">
        <f>IFERROR(__xludf.DUMMYFUNCTION("""COMPUTED_VALUE"""),184439.0)</f>
        <v>184439</v>
      </c>
      <c r="C1350" s="2">
        <f>IFERROR(__xludf.DUMMYFUNCTION("""COMPUTED_VALUE"""),2026.0)</f>
        <v>2026</v>
      </c>
      <c r="D1350" s="2">
        <f>IFERROR(__xludf.DUMMYFUNCTION("""COMPUTED_VALUE"""),46108.0)</f>
        <v>46108</v>
      </c>
      <c r="E1350" s="2" t="str">
        <f>IFERROR(__xludf.DUMMYFUNCTION("""COMPUTED_VALUE"""),"VF")</f>
        <v>VF</v>
      </c>
      <c r="F1350" s="2">
        <f>IFERROR(__xludf.DUMMYFUNCTION("""COMPUTED_VALUE"""),1.0)</f>
        <v>1</v>
      </c>
      <c r="G1350" s="2" t="str">
        <f>IFERROR(__xludf.DUMMYFUNCTION("""COMPUTED_VALUE"""),"PR053")</f>
        <v>PR053</v>
      </c>
      <c r="H1350" s="2" t="str">
        <f>IFERROR(__xludf.DUMMYFUNCTION("""COMPUTED_VALUE"""),"VD021")</f>
        <v>VD021</v>
      </c>
      <c r="I1350" s="2">
        <f>IFERROR(__xludf.DUMMYFUNCTION("""COMPUTED_VALUE"""),18.0)</f>
        <v>18</v>
      </c>
      <c r="J1350" s="2">
        <f>IFERROR(__xludf.DUMMYFUNCTION("""COMPUTED_VALUE"""),898.2)</f>
        <v>898.2</v>
      </c>
      <c r="K1350" s="2">
        <f>IFERROR(__xludf.DUMMYFUNCTION("""COMPUTED_VALUE"""),898.2)</f>
        <v>898.2</v>
      </c>
    </row>
    <row r="1351">
      <c r="A1351" s="2">
        <f>IFERROR(__xludf.DUMMYFUNCTION("""COMPUTED_VALUE"""),1000.0)</f>
        <v>1000</v>
      </c>
      <c r="B1351" s="2">
        <f>IFERROR(__xludf.DUMMYFUNCTION("""COMPUTED_VALUE"""),184440.0)</f>
        <v>184440</v>
      </c>
      <c r="C1351" s="2">
        <f>IFERROR(__xludf.DUMMYFUNCTION("""COMPUTED_VALUE"""),2026.0)</f>
        <v>2026</v>
      </c>
      <c r="D1351" s="2">
        <f>IFERROR(__xludf.DUMMYFUNCTION("""COMPUTED_VALUE"""),46108.0)</f>
        <v>46108</v>
      </c>
      <c r="E1351" s="2" t="str">
        <f>IFERROR(__xludf.DUMMYFUNCTION("""COMPUTED_VALUE"""),"VF")</f>
        <v>VF</v>
      </c>
      <c r="F1351" s="2">
        <f>IFERROR(__xludf.DUMMYFUNCTION("""COMPUTED_VALUE"""),1.0)</f>
        <v>1</v>
      </c>
      <c r="G1351" s="2" t="str">
        <f>IFERROR(__xludf.DUMMYFUNCTION("""COMPUTED_VALUE"""),"PR038")</f>
        <v>PR038</v>
      </c>
      <c r="H1351" s="2" t="str">
        <f>IFERROR(__xludf.DUMMYFUNCTION("""COMPUTED_VALUE"""),"VD013")</f>
        <v>VD013</v>
      </c>
      <c r="I1351" s="2">
        <f>IFERROR(__xludf.DUMMYFUNCTION("""COMPUTED_VALUE"""),2.0)</f>
        <v>2</v>
      </c>
      <c r="J1351" s="2">
        <f>IFERROR(__xludf.DUMMYFUNCTION("""COMPUTED_VALUE"""),311.52)</f>
        <v>311.52</v>
      </c>
      <c r="K1351" s="2">
        <f>IFERROR(__xludf.DUMMYFUNCTION("""COMPUTED_VALUE"""),311.52)</f>
        <v>311.52</v>
      </c>
    </row>
    <row r="1352">
      <c r="A1352" s="2">
        <f>IFERROR(__xludf.DUMMYFUNCTION("""COMPUTED_VALUE"""),1000.0)</f>
        <v>1000</v>
      </c>
      <c r="B1352" s="2">
        <f>IFERROR(__xludf.DUMMYFUNCTION("""COMPUTED_VALUE"""),184440.0)</f>
        <v>184440</v>
      </c>
      <c r="C1352" s="2">
        <f>IFERROR(__xludf.DUMMYFUNCTION("""COMPUTED_VALUE"""),2026.0)</f>
        <v>2026</v>
      </c>
      <c r="D1352" s="2">
        <f>IFERROR(__xludf.DUMMYFUNCTION("""COMPUTED_VALUE"""),46107.0)</f>
        <v>46107</v>
      </c>
      <c r="E1352" s="2" t="str">
        <f>IFERROR(__xludf.DUMMYFUNCTION("""COMPUTED_VALUE"""),"VF")</f>
        <v>VF</v>
      </c>
      <c r="F1352" s="2">
        <f>IFERROR(__xludf.DUMMYFUNCTION("""COMPUTED_VALUE"""),2.0)</f>
        <v>2</v>
      </c>
      <c r="G1352" s="2" t="str">
        <f>IFERROR(__xludf.DUMMYFUNCTION("""COMPUTED_VALUE"""),"PR009")</f>
        <v>PR009</v>
      </c>
      <c r="H1352" s="2" t="str">
        <f>IFERROR(__xludf.DUMMYFUNCTION("""COMPUTED_VALUE"""),"VD022")</f>
        <v>VD022</v>
      </c>
      <c r="I1352" s="2">
        <f>IFERROR(__xludf.DUMMYFUNCTION("""COMPUTED_VALUE"""),12.0)</f>
        <v>12</v>
      </c>
      <c r="J1352" s="2">
        <f>IFERROR(__xludf.DUMMYFUNCTION("""COMPUTED_VALUE"""),1181.69)</f>
        <v>1181.69</v>
      </c>
      <c r="K1352" s="2">
        <f>IFERROR(__xludf.DUMMYFUNCTION("""COMPUTED_VALUE"""),1181.69)</f>
        <v>1181.69</v>
      </c>
    </row>
    <row r="1353">
      <c r="A1353" s="2">
        <f>IFERROR(__xludf.DUMMYFUNCTION("""COMPUTED_VALUE"""),1000.0)</f>
        <v>1000</v>
      </c>
      <c r="B1353" s="2">
        <f>IFERROR(__xludf.DUMMYFUNCTION("""COMPUTED_VALUE"""),184441.0)</f>
        <v>184441</v>
      </c>
      <c r="C1353" s="2">
        <f>IFERROR(__xludf.DUMMYFUNCTION("""COMPUTED_VALUE"""),2026.0)</f>
        <v>2026</v>
      </c>
      <c r="D1353" s="2">
        <f>IFERROR(__xludf.DUMMYFUNCTION("""COMPUTED_VALUE"""),46107.0)</f>
        <v>46107</v>
      </c>
      <c r="E1353" s="2" t="str">
        <f>IFERROR(__xludf.DUMMYFUNCTION("""COMPUTED_VALUE"""),"VF")</f>
        <v>VF</v>
      </c>
      <c r="F1353" s="2">
        <f>IFERROR(__xludf.DUMMYFUNCTION("""COMPUTED_VALUE"""),1.0)</f>
        <v>1</v>
      </c>
      <c r="G1353" s="2" t="str">
        <f>IFERROR(__xludf.DUMMYFUNCTION("""COMPUTED_VALUE"""),"PR019")</f>
        <v>PR019</v>
      </c>
      <c r="H1353" s="2" t="str">
        <f>IFERROR(__xludf.DUMMYFUNCTION("""COMPUTED_VALUE"""),"VD025")</f>
        <v>VD025</v>
      </c>
      <c r="I1353" s="2">
        <f>IFERROR(__xludf.DUMMYFUNCTION("""COMPUTED_VALUE"""),14.0)</f>
        <v>14</v>
      </c>
      <c r="J1353" s="2">
        <f>IFERROR(__xludf.DUMMYFUNCTION("""COMPUTED_VALUE"""),705.59)</f>
        <v>705.59</v>
      </c>
      <c r="K1353" s="2">
        <f>IFERROR(__xludf.DUMMYFUNCTION("""COMPUTED_VALUE"""),705.59)</f>
        <v>705.59</v>
      </c>
    </row>
    <row r="1354">
      <c r="A1354" s="2">
        <f>IFERROR(__xludf.DUMMYFUNCTION("""COMPUTED_VALUE"""),1000.0)</f>
        <v>1000</v>
      </c>
      <c r="B1354" s="2">
        <f>IFERROR(__xludf.DUMMYFUNCTION("""COMPUTED_VALUE"""),184442.0)</f>
        <v>184442</v>
      </c>
      <c r="C1354" s="2">
        <f>IFERROR(__xludf.DUMMYFUNCTION("""COMPUTED_VALUE"""),2026.0)</f>
        <v>2026</v>
      </c>
      <c r="D1354" s="2">
        <f>IFERROR(__xludf.DUMMYFUNCTION("""COMPUTED_VALUE"""),46106.0)</f>
        <v>46106</v>
      </c>
      <c r="E1354" s="2" t="str">
        <f>IFERROR(__xludf.DUMMYFUNCTION("""COMPUTED_VALUE"""),"VF")</f>
        <v>VF</v>
      </c>
      <c r="F1354" s="2">
        <f>IFERROR(__xludf.DUMMYFUNCTION("""COMPUTED_VALUE"""),1.0)</f>
        <v>1</v>
      </c>
      <c r="G1354" s="2" t="str">
        <f>IFERROR(__xludf.DUMMYFUNCTION("""COMPUTED_VALUE"""),"PR029")</f>
        <v>PR029</v>
      </c>
      <c r="H1354" s="2" t="str">
        <f>IFERROR(__xludf.DUMMYFUNCTION("""COMPUTED_VALUE"""),"VD018")</f>
        <v>VD018</v>
      </c>
      <c r="I1354" s="2">
        <f>IFERROR(__xludf.DUMMYFUNCTION("""COMPUTED_VALUE"""),1.0)</f>
        <v>1</v>
      </c>
      <c r="J1354" s="2">
        <f>IFERROR(__xludf.DUMMYFUNCTION("""COMPUTED_VALUE"""),257.55)</f>
        <v>257.55</v>
      </c>
      <c r="K1354" s="2">
        <f>IFERROR(__xludf.DUMMYFUNCTION("""COMPUTED_VALUE"""),257.55)</f>
        <v>257.55</v>
      </c>
    </row>
    <row r="1355">
      <c r="A1355" s="2">
        <f>IFERROR(__xludf.DUMMYFUNCTION("""COMPUTED_VALUE"""),1000.0)</f>
        <v>1000</v>
      </c>
      <c r="B1355" s="2">
        <f>IFERROR(__xludf.DUMMYFUNCTION("""COMPUTED_VALUE"""),184443.0)</f>
        <v>184443</v>
      </c>
      <c r="C1355" s="2">
        <f>IFERROR(__xludf.DUMMYFUNCTION("""COMPUTED_VALUE"""),2026.0)</f>
        <v>2026</v>
      </c>
      <c r="D1355" s="2">
        <f>IFERROR(__xludf.DUMMYFUNCTION("""COMPUTED_VALUE"""),46106.0)</f>
        <v>46106</v>
      </c>
      <c r="E1355" s="2" t="str">
        <f>IFERROR(__xludf.DUMMYFUNCTION("""COMPUTED_VALUE"""),"VF")</f>
        <v>VF</v>
      </c>
      <c r="F1355" s="2">
        <f>IFERROR(__xludf.DUMMYFUNCTION("""COMPUTED_VALUE"""),1.0)</f>
        <v>1</v>
      </c>
      <c r="G1355" s="2" t="str">
        <f>IFERROR(__xludf.DUMMYFUNCTION("""COMPUTED_VALUE"""),"PR032")</f>
        <v>PR032</v>
      </c>
      <c r="H1355" s="2" t="str">
        <f>IFERROR(__xludf.DUMMYFUNCTION("""COMPUTED_VALUE"""),"VD018")</f>
        <v>VD018</v>
      </c>
      <c r="I1355" s="2">
        <f>IFERROR(__xludf.DUMMYFUNCTION("""COMPUTED_VALUE"""),2.0)</f>
        <v>2</v>
      </c>
      <c r="J1355" s="2">
        <f>IFERROR(__xludf.DUMMYFUNCTION("""COMPUTED_VALUE"""),520.0)</f>
        <v>520</v>
      </c>
      <c r="K1355" s="2">
        <f>IFERROR(__xludf.DUMMYFUNCTION("""COMPUTED_VALUE"""),520.0)</f>
        <v>520</v>
      </c>
    </row>
    <row r="1356">
      <c r="A1356" s="2">
        <f>IFERROR(__xludf.DUMMYFUNCTION("""COMPUTED_VALUE"""),1000.0)</f>
        <v>1000</v>
      </c>
      <c r="B1356" s="2">
        <f>IFERROR(__xludf.DUMMYFUNCTION("""COMPUTED_VALUE"""),184443.0)</f>
        <v>184443</v>
      </c>
      <c r="C1356" s="2">
        <f>IFERROR(__xludf.DUMMYFUNCTION("""COMPUTED_VALUE"""),2026.0)</f>
        <v>2026</v>
      </c>
      <c r="D1356" s="2">
        <f>IFERROR(__xludf.DUMMYFUNCTION("""COMPUTED_VALUE"""),46106.0)</f>
        <v>46106</v>
      </c>
      <c r="E1356" s="2" t="str">
        <f>IFERROR(__xludf.DUMMYFUNCTION("""COMPUTED_VALUE"""),"VF")</f>
        <v>VF</v>
      </c>
      <c r="F1356" s="2">
        <f>IFERROR(__xludf.DUMMYFUNCTION("""COMPUTED_VALUE"""),2.0)</f>
        <v>2</v>
      </c>
      <c r="G1356" s="2" t="str">
        <f>IFERROR(__xludf.DUMMYFUNCTION("""COMPUTED_VALUE"""),"PR048")</f>
        <v>PR048</v>
      </c>
      <c r="H1356" s="2" t="str">
        <f>IFERROR(__xludf.DUMMYFUNCTION("""COMPUTED_VALUE"""),"VD042")</f>
        <v>VD042</v>
      </c>
      <c r="I1356" s="2">
        <f>IFERROR(__xludf.DUMMYFUNCTION("""COMPUTED_VALUE"""),2.0)</f>
        <v>2</v>
      </c>
      <c r="J1356" s="2">
        <f>IFERROR(__xludf.DUMMYFUNCTION("""COMPUTED_VALUE"""),585.6)</f>
        <v>585.6</v>
      </c>
      <c r="K1356" s="2">
        <f>IFERROR(__xludf.DUMMYFUNCTION("""COMPUTED_VALUE"""),585.6)</f>
        <v>585.6</v>
      </c>
    </row>
    <row r="1357">
      <c r="A1357" s="2">
        <f>IFERROR(__xludf.DUMMYFUNCTION("""COMPUTED_VALUE"""),2000.0)</f>
        <v>2000</v>
      </c>
      <c r="B1357" s="2">
        <f>IFERROR(__xludf.DUMMYFUNCTION("""COMPUTED_VALUE"""),184443.0)</f>
        <v>184443</v>
      </c>
      <c r="C1357" s="2">
        <f>IFERROR(__xludf.DUMMYFUNCTION("""COMPUTED_VALUE"""),2026.0)</f>
        <v>2026</v>
      </c>
      <c r="D1357" s="2">
        <f>IFERROR(__xludf.DUMMYFUNCTION("""COMPUTED_VALUE"""),46105.0)</f>
        <v>46105</v>
      </c>
      <c r="E1357" s="2" t="str">
        <f>IFERROR(__xludf.DUMMYFUNCTION("""COMPUTED_VALUE"""),"VF")</f>
        <v>VF</v>
      </c>
      <c r="F1357" s="2">
        <f>IFERROR(__xludf.DUMMYFUNCTION("""COMPUTED_VALUE"""),3.0)</f>
        <v>3</v>
      </c>
      <c r="G1357" s="2" t="str">
        <f>IFERROR(__xludf.DUMMYFUNCTION("""COMPUTED_VALUE"""),"PR044")</f>
        <v>PR044</v>
      </c>
      <c r="H1357" s="2" t="str">
        <f>IFERROR(__xludf.DUMMYFUNCTION("""COMPUTED_VALUE"""),"VD042")</f>
        <v>VD042</v>
      </c>
      <c r="I1357" s="2">
        <f>IFERROR(__xludf.DUMMYFUNCTION("""COMPUTED_VALUE"""),8.0)</f>
        <v>8</v>
      </c>
      <c r="J1357" s="2">
        <f>IFERROR(__xludf.DUMMYFUNCTION("""COMPUTED_VALUE"""),626.4)</f>
        <v>626.4</v>
      </c>
      <c r="K1357" s="2">
        <f>IFERROR(__xludf.DUMMYFUNCTION("""COMPUTED_VALUE"""),626.4)</f>
        <v>626.4</v>
      </c>
    </row>
    <row r="1358">
      <c r="A1358" s="2">
        <f>IFERROR(__xludf.DUMMYFUNCTION("""COMPUTED_VALUE"""),1000.0)</f>
        <v>1000</v>
      </c>
      <c r="B1358" s="2">
        <f>IFERROR(__xludf.DUMMYFUNCTION("""COMPUTED_VALUE"""),184444.0)</f>
        <v>184444</v>
      </c>
      <c r="C1358" s="2">
        <f>IFERROR(__xludf.DUMMYFUNCTION("""COMPUTED_VALUE"""),2026.0)</f>
        <v>2026</v>
      </c>
      <c r="D1358" s="2">
        <f>IFERROR(__xludf.DUMMYFUNCTION("""COMPUTED_VALUE"""),46105.0)</f>
        <v>46105</v>
      </c>
      <c r="E1358" s="2" t="str">
        <f>IFERROR(__xludf.DUMMYFUNCTION("""COMPUTED_VALUE"""),"VF")</f>
        <v>VF</v>
      </c>
      <c r="F1358" s="2">
        <f>IFERROR(__xludf.DUMMYFUNCTION("""COMPUTED_VALUE"""),1.0)</f>
        <v>1</v>
      </c>
      <c r="G1358" s="2" t="str">
        <f>IFERROR(__xludf.DUMMYFUNCTION("""COMPUTED_VALUE"""),"PR007")</f>
        <v>PR007</v>
      </c>
      <c r="H1358" s="2" t="str">
        <f>IFERROR(__xludf.DUMMYFUNCTION("""COMPUTED_VALUE"""),"VD019")</f>
        <v>VD019</v>
      </c>
      <c r="I1358" s="2">
        <f>IFERROR(__xludf.DUMMYFUNCTION("""COMPUTED_VALUE"""),3.0)</f>
        <v>3</v>
      </c>
      <c r="J1358" s="2">
        <f>IFERROR(__xludf.DUMMYFUNCTION("""COMPUTED_VALUE"""),280.89)</f>
        <v>280.89</v>
      </c>
      <c r="K1358" s="2">
        <f>IFERROR(__xludf.DUMMYFUNCTION("""COMPUTED_VALUE"""),280.89)</f>
        <v>280.89</v>
      </c>
    </row>
    <row r="1359">
      <c r="A1359" s="2">
        <f>IFERROR(__xludf.DUMMYFUNCTION("""COMPUTED_VALUE"""),1000.0)</f>
        <v>1000</v>
      </c>
      <c r="B1359" s="2">
        <f>IFERROR(__xludf.DUMMYFUNCTION("""COMPUTED_VALUE"""),184445.0)</f>
        <v>184445</v>
      </c>
      <c r="C1359" s="2">
        <f>IFERROR(__xludf.DUMMYFUNCTION("""COMPUTED_VALUE"""),2026.0)</f>
        <v>2026</v>
      </c>
      <c r="D1359" s="2">
        <f>IFERROR(__xludf.DUMMYFUNCTION("""COMPUTED_VALUE"""),46105.0)</f>
        <v>46105</v>
      </c>
      <c r="E1359" s="2" t="str">
        <f>IFERROR(__xludf.DUMMYFUNCTION("""COMPUTED_VALUE"""),"VF")</f>
        <v>VF</v>
      </c>
      <c r="F1359" s="2">
        <f>IFERROR(__xludf.DUMMYFUNCTION("""COMPUTED_VALUE"""),1.0)</f>
        <v>1</v>
      </c>
      <c r="G1359" s="2" t="str">
        <f>IFERROR(__xludf.DUMMYFUNCTION("""COMPUTED_VALUE"""),"PR018")</f>
        <v>PR018</v>
      </c>
      <c r="H1359" s="2" t="str">
        <f>IFERROR(__xludf.DUMMYFUNCTION("""COMPUTED_VALUE"""),"VD029")</f>
        <v>VD029</v>
      </c>
      <c r="I1359" s="2">
        <f>IFERROR(__xludf.DUMMYFUNCTION("""COMPUTED_VALUE"""),20.0)</f>
        <v>20</v>
      </c>
      <c r="J1359" s="2">
        <f>IFERROR(__xludf.DUMMYFUNCTION("""COMPUTED_VALUE"""),717.22)</f>
        <v>717.22</v>
      </c>
      <c r="K1359" s="2">
        <f>IFERROR(__xludf.DUMMYFUNCTION("""COMPUTED_VALUE"""),717.22)</f>
        <v>717.22</v>
      </c>
    </row>
    <row r="1360">
      <c r="A1360" s="2">
        <f>IFERROR(__xludf.DUMMYFUNCTION("""COMPUTED_VALUE"""),1000.0)</f>
        <v>1000</v>
      </c>
      <c r="B1360" s="2">
        <f>IFERROR(__xludf.DUMMYFUNCTION("""COMPUTED_VALUE"""),184446.0)</f>
        <v>184446</v>
      </c>
      <c r="C1360" s="2">
        <f>IFERROR(__xludf.DUMMYFUNCTION("""COMPUTED_VALUE"""),2026.0)</f>
        <v>2026</v>
      </c>
      <c r="D1360" s="2">
        <f>IFERROR(__xludf.DUMMYFUNCTION("""COMPUTED_VALUE"""),46104.0)</f>
        <v>46104</v>
      </c>
      <c r="E1360" s="2" t="str">
        <f>IFERROR(__xludf.DUMMYFUNCTION("""COMPUTED_VALUE"""),"VF")</f>
        <v>VF</v>
      </c>
      <c r="F1360" s="2">
        <f>IFERROR(__xludf.DUMMYFUNCTION("""COMPUTED_VALUE"""),1.0)</f>
        <v>1</v>
      </c>
      <c r="G1360" s="2" t="str">
        <f>IFERROR(__xludf.DUMMYFUNCTION("""COMPUTED_VALUE"""),"PR017")</f>
        <v>PR017</v>
      </c>
      <c r="H1360" s="2" t="str">
        <f>IFERROR(__xludf.DUMMYFUNCTION("""COMPUTED_VALUE"""),"VD028")</f>
        <v>VD028</v>
      </c>
      <c r="I1360" s="2">
        <f>IFERROR(__xludf.DUMMYFUNCTION("""COMPUTED_VALUE"""),9.0)</f>
        <v>9</v>
      </c>
      <c r="J1360" s="2">
        <f>IFERROR(__xludf.DUMMYFUNCTION("""COMPUTED_VALUE"""),279.86)</f>
        <v>279.86</v>
      </c>
      <c r="K1360" s="2">
        <f>IFERROR(__xludf.DUMMYFUNCTION("""COMPUTED_VALUE"""),279.86)</f>
        <v>279.86</v>
      </c>
    </row>
    <row r="1361">
      <c r="A1361" s="2">
        <f>IFERROR(__xludf.DUMMYFUNCTION("""COMPUTED_VALUE"""),1000.0)</f>
        <v>1000</v>
      </c>
      <c r="B1361" s="2">
        <f>IFERROR(__xludf.DUMMYFUNCTION("""COMPUTED_VALUE"""),184447.0)</f>
        <v>184447</v>
      </c>
      <c r="C1361" s="2">
        <f>IFERROR(__xludf.DUMMYFUNCTION("""COMPUTED_VALUE"""),2026.0)</f>
        <v>2026</v>
      </c>
      <c r="D1361" s="2">
        <f>IFERROR(__xludf.DUMMYFUNCTION("""COMPUTED_VALUE"""),46104.0)</f>
        <v>46104</v>
      </c>
      <c r="E1361" s="2" t="str">
        <f>IFERROR(__xludf.DUMMYFUNCTION("""COMPUTED_VALUE"""),"VF")</f>
        <v>VF</v>
      </c>
      <c r="F1361" s="2">
        <f>IFERROR(__xludf.DUMMYFUNCTION("""COMPUTED_VALUE"""),1.0)</f>
        <v>1</v>
      </c>
      <c r="G1361" s="2" t="str">
        <f>IFERROR(__xludf.DUMMYFUNCTION("""COMPUTED_VALUE"""),"PR053")</f>
        <v>PR053</v>
      </c>
      <c r="H1361" s="2" t="str">
        <f>IFERROR(__xludf.DUMMYFUNCTION("""COMPUTED_VALUE"""),"VD014")</f>
        <v>VD014</v>
      </c>
      <c r="I1361" s="2">
        <f>IFERROR(__xludf.DUMMYFUNCTION("""COMPUTED_VALUE"""),8.0)</f>
        <v>8</v>
      </c>
      <c r="J1361" s="2">
        <f>IFERROR(__xludf.DUMMYFUNCTION("""COMPUTED_VALUE"""),419.16)</f>
        <v>419.16</v>
      </c>
      <c r="K1361" s="2">
        <f>IFERROR(__xludf.DUMMYFUNCTION("""COMPUTED_VALUE"""),419.16)</f>
        <v>419.16</v>
      </c>
    </row>
    <row r="1362">
      <c r="A1362" s="2">
        <f>IFERROR(__xludf.DUMMYFUNCTION("""COMPUTED_VALUE"""),2000.0)</f>
        <v>2000</v>
      </c>
      <c r="B1362" s="2">
        <f>IFERROR(__xludf.DUMMYFUNCTION("""COMPUTED_VALUE"""),184448.0)</f>
        <v>184448</v>
      </c>
      <c r="C1362" s="2">
        <f>IFERROR(__xludf.DUMMYFUNCTION("""COMPUTED_VALUE"""),2026.0)</f>
        <v>2026</v>
      </c>
      <c r="D1362" s="2">
        <f>IFERROR(__xludf.DUMMYFUNCTION("""COMPUTED_VALUE"""),46104.0)</f>
        <v>46104</v>
      </c>
      <c r="E1362" s="2" t="str">
        <f>IFERROR(__xludf.DUMMYFUNCTION("""COMPUTED_VALUE"""),"VF")</f>
        <v>VF</v>
      </c>
      <c r="F1362" s="2">
        <f>IFERROR(__xludf.DUMMYFUNCTION("""COMPUTED_VALUE"""),1.0)</f>
        <v>1</v>
      </c>
      <c r="G1362" s="2" t="str">
        <f>IFERROR(__xludf.DUMMYFUNCTION("""COMPUTED_VALUE"""),"PR059")</f>
        <v>PR059</v>
      </c>
      <c r="H1362" s="2" t="str">
        <f>IFERROR(__xludf.DUMMYFUNCTION("""COMPUTED_VALUE"""),"VD015")</f>
        <v>VD015</v>
      </c>
      <c r="I1362" s="2">
        <f>IFERROR(__xludf.DUMMYFUNCTION("""COMPUTED_VALUE"""),1.0)</f>
        <v>1</v>
      </c>
      <c r="J1362" s="2">
        <f>IFERROR(__xludf.DUMMYFUNCTION("""COMPUTED_VALUE"""),181.8)</f>
        <v>181.8</v>
      </c>
      <c r="K1362" s="2">
        <f>IFERROR(__xludf.DUMMYFUNCTION("""COMPUTED_VALUE"""),181.8)</f>
        <v>181.8</v>
      </c>
    </row>
    <row r="1363">
      <c r="A1363" s="2">
        <f>IFERROR(__xludf.DUMMYFUNCTION("""COMPUTED_VALUE"""),2000.0)</f>
        <v>2000</v>
      </c>
      <c r="B1363" s="2">
        <f>IFERROR(__xludf.DUMMYFUNCTION("""COMPUTED_VALUE"""),184449.0)</f>
        <v>184449</v>
      </c>
      <c r="C1363" s="2">
        <f>IFERROR(__xludf.DUMMYFUNCTION("""COMPUTED_VALUE"""),2026.0)</f>
        <v>2026</v>
      </c>
      <c r="D1363" s="2">
        <f>IFERROR(__xludf.DUMMYFUNCTION("""COMPUTED_VALUE"""),46103.0)</f>
        <v>46103</v>
      </c>
      <c r="E1363" s="2" t="str">
        <f>IFERROR(__xludf.DUMMYFUNCTION("""COMPUTED_VALUE"""),"VF")</f>
        <v>VF</v>
      </c>
      <c r="F1363" s="2">
        <f>IFERROR(__xludf.DUMMYFUNCTION("""COMPUTED_VALUE"""),1.0)</f>
        <v>1</v>
      </c>
      <c r="G1363" s="2" t="str">
        <f>IFERROR(__xludf.DUMMYFUNCTION("""COMPUTED_VALUE"""),"PR014")</f>
        <v>PR014</v>
      </c>
      <c r="H1363" s="2" t="str">
        <f>IFERROR(__xludf.DUMMYFUNCTION("""COMPUTED_VALUE"""),"VD018")</f>
        <v>VD018</v>
      </c>
      <c r="I1363" s="2">
        <f>IFERROR(__xludf.DUMMYFUNCTION("""COMPUTED_VALUE"""),16.0)</f>
        <v>16</v>
      </c>
      <c r="J1363" s="2">
        <f>IFERROR(__xludf.DUMMYFUNCTION("""COMPUTED_VALUE"""),651.17)</f>
        <v>651.17</v>
      </c>
      <c r="K1363" s="2">
        <f>IFERROR(__xludf.DUMMYFUNCTION("""COMPUTED_VALUE"""),651.17)</f>
        <v>651.17</v>
      </c>
    </row>
    <row r="1364">
      <c r="A1364" s="2">
        <f>IFERROR(__xludf.DUMMYFUNCTION("""COMPUTED_VALUE"""),1000.0)</f>
        <v>1000</v>
      </c>
      <c r="B1364" s="2">
        <f>IFERROR(__xludf.DUMMYFUNCTION("""COMPUTED_VALUE"""),184449.0)</f>
        <v>184449</v>
      </c>
      <c r="C1364" s="2">
        <f>IFERROR(__xludf.DUMMYFUNCTION("""COMPUTED_VALUE"""),2026.0)</f>
        <v>2026</v>
      </c>
      <c r="D1364" s="2">
        <f>IFERROR(__xludf.DUMMYFUNCTION("""COMPUTED_VALUE"""),46103.0)</f>
        <v>46103</v>
      </c>
      <c r="E1364" s="2" t="str">
        <f>IFERROR(__xludf.DUMMYFUNCTION("""COMPUTED_VALUE"""),"VF")</f>
        <v>VF</v>
      </c>
      <c r="F1364" s="2">
        <f>IFERROR(__xludf.DUMMYFUNCTION("""COMPUTED_VALUE"""),2.0)</f>
        <v>2</v>
      </c>
      <c r="G1364" s="2" t="str">
        <f>IFERROR(__xludf.DUMMYFUNCTION("""COMPUTED_VALUE"""),"PR022")</f>
        <v>PR022</v>
      </c>
      <c r="H1364" s="2" t="str">
        <f>IFERROR(__xludf.DUMMYFUNCTION("""COMPUTED_VALUE"""),"VD032")</f>
        <v>VD032</v>
      </c>
      <c r="I1364" s="2">
        <f>IFERROR(__xludf.DUMMYFUNCTION("""COMPUTED_VALUE"""),10.0)</f>
        <v>10</v>
      </c>
      <c r="J1364" s="2">
        <f>IFERROR(__xludf.DUMMYFUNCTION("""COMPUTED_VALUE"""),3150.0)</f>
        <v>3150</v>
      </c>
      <c r="K1364" s="2">
        <f>IFERROR(__xludf.DUMMYFUNCTION("""COMPUTED_VALUE"""),3150.0)</f>
        <v>3150</v>
      </c>
    </row>
    <row r="1365">
      <c r="A1365" s="2">
        <f>IFERROR(__xludf.DUMMYFUNCTION("""COMPUTED_VALUE"""),2000.0)</f>
        <v>2000</v>
      </c>
      <c r="B1365" s="2">
        <f>IFERROR(__xludf.DUMMYFUNCTION("""COMPUTED_VALUE"""),184450.0)</f>
        <v>184450</v>
      </c>
      <c r="C1365" s="2">
        <f>IFERROR(__xludf.DUMMYFUNCTION("""COMPUTED_VALUE"""),2026.0)</f>
        <v>2026</v>
      </c>
      <c r="D1365" s="2">
        <f>IFERROR(__xludf.DUMMYFUNCTION("""COMPUTED_VALUE"""),46102.0)</f>
        <v>46102</v>
      </c>
      <c r="E1365" s="2" t="str">
        <f>IFERROR(__xludf.DUMMYFUNCTION("""COMPUTED_VALUE"""),"VF")</f>
        <v>VF</v>
      </c>
      <c r="F1365" s="2">
        <f>IFERROR(__xludf.DUMMYFUNCTION("""COMPUTED_VALUE"""),1.0)</f>
        <v>1</v>
      </c>
      <c r="G1365" s="2" t="str">
        <f>IFERROR(__xludf.DUMMYFUNCTION("""COMPUTED_VALUE"""),"PR007")</f>
        <v>PR007</v>
      </c>
      <c r="H1365" s="2" t="str">
        <f>IFERROR(__xludf.DUMMYFUNCTION("""COMPUTED_VALUE"""),"VD028")</f>
        <v>VD028</v>
      </c>
      <c r="I1365" s="2">
        <f>IFERROR(__xludf.DUMMYFUNCTION("""COMPUTED_VALUE"""),10.0)</f>
        <v>10</v>
      </c>
      <c r="J1365" s="2">
        <f>IFERROR(__xludf.DUMMYFUNCTION("""COMPUTED_VALUE"""),859.0)</f>
        <v>859</v>
      </c>
      <c r="K1365" s="2">
        <f>IFERROR(__xludf.DUMMYFUNCTION("""COMPUTED_VALUE"""),859.0)</f>
        <v>859</v>
      </c>
    </row>
    <row r="1366">
      <c r="A1366" s="2">
        <f>IFERROR(__xludf.DUMMYFUNCTION("""COMPUTED_VALUE"""),1000.0)</f>
        <v>1000</v>
      </c>
      <c r="B1366" s="2">
        <f>IFERROR(__xludf.DUMMYFUNCTION("""COMPUTED_VALUE"""),184451.0)</f>
        <v>184451</v>
      </c>
      <c r="C1366" s="2">
        <f>IFERROR(__xludf.DUMMYFUNCTION("""COMPUTED_VALUE"""),2026.0)</f>
        <v>2026</v>
      </c>
      <c r="D1366" s="2">
        <f>IFERROR(__xludf.DUMMYFUNCTION("""COMPUTED_VALUE"""),46102.0)</f>
        <v>46102</v>
      </c>
      <c r="E1366" s="2" t="str">
        <f>IFERROR(__xludf.DUMMYFUNCTION("""COMPUTED_VALUE"""),"VF")</f>
        <v>VF</v>
      </c>
      <c r="F1366" s="2">
        <f>IFERROR(__xludf.DUMMYFUNCTION("""COMPUTED_VALUE"""),1.0)</f>
        <v>1</v>
      </c>
      <c r="G1366" s="2" t="str">
        <f>IFERROR(__xludf.DUMMYFUNCTION("""COMPUTED_VALUE"""),"PR035")</f>
        <v>PR035</v>
      </c>
      <c r="H1366" s="2" t="str">
        <f>IFERROR(__xludf.DUMMYFUNCTION("""COMPUTED_VALUE"""),"VD049")</f>
        <v>VD049</v>
      </c>
      <c r="I1366" s="2">
        <f>IFERROR(__xludf.DUMMYFUNCTION("""COMPUTED_VALUE"""),8.0)</f>
        <v>8</v>
      </c>
      <c r="J1366" s="2">
        <f>IFERROR(__xludf.DUMMYFUNCTION("""COMPUTED_VALUE"""),775.07)</f>
        <v>775.07</v>
      </c>
      <c r="K1366" s="2">
        <f>IFERROR(__xludf.DUMMYFUNCTION("""COMPUTED_VALUE"""),775.07)</f>
        <v>775.07</v>
      </c>
    </row>
    <row r="1367">
      <c r="A1367" s="2">
        <f>IFERROR(__xludf.DUMMYFUNCTION("""COMPUTED_VALUE"""),2000.0)</f>
        <v>2000</v>
      </c>
      <c r="B1367" s="2">
        <f>IFERROR(__xludf.DUMMYFUNCTION("""COMPUTED_VALUE"""),184452.0)</f>
        <v>184452</v>
      </c>
      <c r="C1367" s="2">
        <f>IFERROR(__xludf.DUMMYFUNCTION("""COMPUTED_VALUE"""),2026.0)</f>
        <v>2026</v>
      </c>
      <c r="D1367" s="2">
        <f>IFERROR(__xludf.DUMMYFUNCTION("""COMPUTED_VALUE"""),46101.0)</f>
        <v>46101</v>
      </c>
      <c r="E1367" s="2" t="str">
        <f>IFERROR(__xludf.DUMMYFUNCTION("""COMPUTED_VALUE"""),"VF")</f>
        <v>VF</v>
      </c>
      <c r="F1367" s="2">
        <f>IFERROR(__xludf.DUMMYFUNCTION("""COMPUTED_VALUE"""),1.0)</f>
        <v>1</v>
      </c>
      <c r="G1367" s="2" t="str">
        <f>IFERROR(__xludf.DUMMYFUNCTION("""COMPUTED_VALUE"""),"PR024")</f>
        <v>PR024</v>
      </c>
      <c r="H1367" s="2" t="str">
        <f>IFERROR(__xludf.DUMMYFUNCTION("""COMPUTED_VALUE"""),"VD037")</f>
        <v>VD037</v>
      </c>
      <c r="I1367" s="2">
        <f>IFERROR(__xludf.DUMMYFUNCTION("""COMPUTED_VALUE"""),5.0)</f>
        <v>5</v>
      </c>
      <c r="J1367" s="2">
        <f>IFERROR(__xludf.DUMMYFUNCTION("""COMPUTED_VALUE"""),1299.5)</f>
        <v>1299.5</v>
      </c>
      <c r="K1367" s="2">
        <f>IFERROR(__xludf.DUMMYFUNCTION("""COMPUTED_VALUE"""),1299.5)</f>
        <v>1299.5</v>
      </c>
    </row>
    <row r="1368">
      <c r="A1368" s="2">
        <f>IFERROR(__xludf.DUMMYFUNCTION("""COMPUTED_VALUE"""),1000.0)</f>
        <v>1000</v>
      </c>
      <c r="B1368" s="2">
        <f>IFERROR(__xludf.DUMMYFUNCTION("""COMPUTED_VALUE"""),184453.0)</f>
        <v>184453</v>
      </c>
      <c r="C1368" s="2">
        <f>IFERROR(__xludf.DUMMYFUNCTION("""COMPUTED_VALUE"""),2026.0)</f>
        <v>2026</v>
      </c>
      <c r="D1368" s="2">
        <f>IFERROR(__xludf.DUMMYFUNCTION("""COMPUTED_VALUE"""),46101.0)</f>
        <v>46101</v>
      </c>
      <c r="E1368" s="2" t="str">
        <f>IFERROR(__xludf.DUMMYFUNCTION("""COMPUTED_VALUE"""),"VF")</f>
        <v>VF</v>
      </c>
      <c r="F1368" s="2">
        <f>IFERROR(__xludf.DUMMYFUNCTION("""COMPUTED_VALUE"""),1.0)</f>
        <v>1</v>
      </c>
      <c r="G1368" s="2" t="str">
        <f>IFERROR(__xludf.DUMMYFUNCTION("""COMPUTED_VALUE"""),"PR057")</f>
        <v>PR057</v>
      </c>
      <c r="H1368" s="2" t="str">
        <f>IFERROR(__xludf.DUMMYFUNCTION("""COMPUTED_VALUE"""),"VD033")</f>
        <v>VD033</v>
      </c>
      <c r="I1368" s="2">
        <f>IFERROR(__xludf.DUMMYFUNCTION("""COMPUTED_VALUE"""),14.0)</f>
        <v>14</v>
      </c>
      <c r="J1368" s="2">
        <f>IFERROR(__xludf.DUMMYFUNCTION("""COMPUTED_VALUE"""),1296.36)</f>
        <v>1296.36</v>
      </c>
      <c r="K1368" s="2">
        <f>IFERROR(__xludf.DUMMYFUNCTION("""COMPUTED_VALUE"""),1296.36)</f>
        <v>1296.36</v>
      </c>
    </row>
    <row r="1369">
      <c r="A1369" s="2">
        <f>IFERROR(__xludf.DUMMYFUNCTION("""COMPUTED_VALUE"""),1000.0)</f>
        <v>1000</v>
      </c>
      <c r="B1369" s="2">
        <f>IFERROR(__xludf.DUMMYFUNCTION("""COMPUTED_VALUE"""),184453.0)</f>
        <v>184453</v>
      </c>
      <c r="C1369" s="2">
        <f>IFERROR(__xludf.DUMMYFUNCTION("""COMPUTED_VALUE"""),2026.0)</f>
        <v>2026</v>
      </c>
      <c r="D1369" s="2">
        <f>IFERROR(__xludf.DUMMYFUNCTION("""COMPUTED_VALUE"""),46100.0)</f>
        <v>46100</v>
      </c>
      <c r="E1369" s="2" t="str">
        <f>IFERROR(__xludf.DUMMYFUNCTION("""COMPUTED_VALUE"""),"VF")</f>
        <v>VF</v>
      </c>
      <c r="F1369" s="2">
        <f>IFERROR(__xludf.DUMMYFUNCTION("""COMPUTED_VALUE"""),2.0)</f>
        <v>2</v>
      </c>
      <c r="G1369" s="2" t="str">
        <f>IFERROR(__xludf.DUMMYFUNCTION("""COMPUTED_VALUE"""),"PR047")</f>
        <v>PR047</v>
      </c>
      <c r="H1369" s="2" t="str">
        <f>IFERROR(__xludf.DUMMYFUNCTION("""COMPUTED_VALUE"""),"VD037")</f>
        <v>VD037</v>
      </c>
      <c r="I1369" s="2">
        <f>IFERROR(__xludf.DUMMYFUNCTION("""COMPUTED_VALUE"""),3.0)</f>
        <v>3</v>
      </c>
      <c r="J1369" s="2">
        <f>IFERROR(__xludf.DUMMYFUNCTION("""COMPUTED_VALUE"""),913.19)</f>
        <v>913.19</v>
      </c>
      <c r="K1369" s="2">
        <f>IFERROR(__xludf.DUMMYFUNCTION("""COMPUTED_VALUE"""),913.19)</f>
        <v>913.19</v>
      </c>
    </row>
    <row r="1370">
      <c r="A1370" s="2">
        <f>IFERROR(__xludf.DUMMYFUNCTION("""COMPUTED_VALUE"""),1000.0)</f>
        <v>1000</v>
      </c>
      <c r="B1370" s="2">
        <f>IFERROR(__xludf.DUMMYFUNCTION("""COMPUTED_VALUE"""),184453.0)</f>
        <v>184453</v>
      </c>
      <c r="C1370" s="2">
        <f>IFERROR(__xludf.DUMMYFUNCTION("""COMPUTED_VALUE"""),2026.0)</f>
        <v>2026</v>
      </c>
      <c r="D1370" s="2">
        <f>IFERROR(__xludf.DUMMYFUNCTION("""COMPUTED_VALUE"""),46100.0)</f>
        <v>46100</v>
      </c>
      <c r="E1370" s="2" t="str">
        <f>IFERROR(__xludf.DUMMYFUNCTION("""COMPUTED_VALUE"""),"VF")</f>
        <v>VF</v>
      </c>
      <c r="F1370" s="2">
        <f>IFERROR(__xludf.DUMMYFUNCTION("""COMPUTED_VALUE"""),3.0)</f>
        <v>3</v>
      </c>
      <c r="G1370" s="2" t="str">
        <f>IFERROR(__xludf.DUMMYFUNCTION("""COMPUTED_VALUE"""),"PR035")</f>
        <v>PR035</v>
      </c>
      <c r="H1370" s="2" t="str">
        <f>IFERROR(__xludf.DUMMYFUNCTION("""COMPUTED_VALUE"""),"VD042")</f>
        <v>VD042</v>
      </c>
      <c r="I1370" s="2">
        <f>IFERROR(__xludf.DUMMYFUNCTION("""COMPUTED_VALUE"""),20.0)</f>
        <v>20</v>
      </c>
      <c r="J1370" s="2">
        <f>IFERROR(__xludf.DUMMYFUNCTION("""COMPUTED_VALUE"""),1937.68)</f>
        <v>1937.68</v>
      </c>
      <c r="K1370" s="2">
        <f>IFERROR(__xludf.DUMMYFUNCTION("""COMPUTED_VALUE"""),1937.68)</f>
        <v>1937.68</v>
      </c>
    </row>
    <row r="1371">
      <c r="A1371" s="2">
        <f>IFERROR(__xludf.DUMMYFUNCTION("""COMPUTED_VALUE"""),1000.0)</f>
        <v>1000</v>
      </c>
      <c r="B1371" s="2">
        <f>IFERROR(__xludf.DUMMYFUNCTION("""COMPUTED_VALUE"""),184453.0)</f>
        <v>184453</v>
      </c>
      <c r="C1371" s="2">
        <f>IFERROR(__xludf.DUMMYFUNCTION("""COMPUTED_VALUE"""),2026.0)</f>
        <v>2026</v>
      </c>
      <c r="D1371" s="2">
        <f>IFERROR(__xludf.DUMMYFUNCTION("""COMPUTED_VALUE"""),46100.0)</f>
        <v>46100</v>
      </c>
      <c r="E1371" s="2" t="str">
        <f>IFERROR(__xludf.DUMMYFUNCTION("""COMPUTED_VALUE"""),"VF")</f>
        <v>VF</v>
      </c>
      <c r="F1371" s="2">
        <f>IFERROR(__xludf.DUMMYFUNCTION("""COMPUTED_VALUE"""),4.0)</f>
        <v>4</v>
      </c>
      <c r="G1371" s="2" t="str">
        <f>IFERROR(__xludf.DUMMYFUNCTION("""COMPUTED_VALUE"""),"PR007")</f>
        <v>PR007</v>
      </c>
      <c r="H1371" s="2" t="str">
        <f>IFERROR(__xludf.DUMMYFUNCTION("""COMPUTED_VALUE"""),"VD026")</f>
        <v>VD026</v>
      </c>
      <c r="I1371" s="2">
        <f>IFERROR(__xludf.DUMMYFUNCTION("""COMPUTED_VALUE"""),3.0)</f>
        <v>3</v>
      </c>
      <c r="J1371" s="2">
        <f>IFERROR(__xludf.DUMMYFUNCTION("""COMPUTED_VALUE"""),270.59)</f>
        <v>270.59</v>
      </c>
      <c r="K1371" s="2">
        <f>IFERROR(__xludf.DUMMYFUNCTION("""COMPUTED_VALUE"""),270.59)</f>
        <v>270.59</v>
      </c>
    </row>
    <row r="1372">
      <c r="A1372" s="2">
        <f>IFERROR(__xludf.DUMMYFUNCTION("""COMPUTED_VALUE"""),1000.0)</f>
        <v>1000</v>
      </c>
      <c r="B1372" s="2">
        <f>IFERROR(__xludf.DUMMYFUNCTION("""COMPUTED_VALUE"""),184454.0)</f>
        <v>184454</v>
      </c>
      <c r="C1372" s="2">
        <f>IFERROR(__xludf.DUMMYFUNCTION("""COMPUTED_VALUE"""),2026.0)</f>
        <v>2026</v>
      </c>
      <c r="D1372" s="2">
        <f>IFERROR(__xludf.DUMMYFUNCTION("""COMPUTED_VALUE"""),46100.0)</f>
        <v>46100</v>
      </c>
      <c r="E1372" s="2" t="str">
        <f>IFERROR(__xludf.DUMMYFUNCTION("""COMPUTED_VALUE"""),"VF")</f>
        <v>VF</v>
      </c>
      <c r="F1372" s="2">
        <f>IFERROR(__xludf.DUMMYFUNCTION("""COMPUTED_VALUE"""),1.0)</f>
        <v>1</v>
      </c>
      <c r="G1372" s="2" t="str">
        <f>IFERROR(__xludf.DUMMYFUNCTION("""COMPUTED_VALUE"""),"PR002")</f>
        <v>PR002</v>
      </c>
      <c r="H1372" s="2" t="str">
        <f>IFERROR(__xludf.DUMMYFUNCTION("""COMPUTED_VALUE"""),"VD013")</f>
        <v>VD013</v>
      </c>
      <c r="I1372" s="2">
        <f>IFERROR(__xludf.DUMMYFUNCTION("""COMPUTED_VALUE"""),5.0)</f>
        <v>5</v>
      </c>
      <c r="J1372" s="2">
        <f>IFERROR(__xludf.DUMMYFUNCTION("""COMPUTED_VALUE"""),373.97)</f>
        <v>373.97</v>
      </c>
      <c r="K1372" s="2">
        <f>IFERROR(__xludf.DUMMYFUNCTION("""COMPUTED_VALUE"""),373.97)</f>
        <v>373.97</v>
      </c>
    </row>
    <row r="1373">
      <c r="A1373" s="2">
        <f>IFERROR(__xludf.DUMMYFUNCTION("""COMPUTED_VALUE"""),1000.0)</f>
        <v>1000</v>
      </c>
      <c r="B1373" s="2">
        <f>IFERROR(__xludf.DUMMYFUNCTION("""COMPUTED_VALUE"""),184455.0)</f>
        <v>184455</v>
      </c>
      <c r="C1373" s="2">
        <f>IFERROR(__xludf.DUMMYFUNCTION("""COMPUTED_VALUE"""),2026.0)</f>
        <v>2026</v>
      </c>
      <c r="D1373" s="2">
        <f>IFERROR(__xludf.DUMMYFUNCTION("""COMPUTED_VALUE"""),46100.0)</f>
        <v>46100</v>
      </c>
      <c r="E1373" s="2" t="str">
        <f>IFERROR(__xludf.DUMMYFUNCTION("""COMPUTED_VALUE"""),"VF")</f>
        <v>VF</v>
      </c>
      <c r="F1373" s="2">
        <f>IFERROR(__xludf.DUMMYFUNCTION("""COMPUTED_VALUE"""),1.0)</f>
        <v>1</v>
      </c>
      <c r="G1373" s="2" t="str">
        <f>IFERROR(__xludf.DUMMYFUNCTION("""COMPUTED_VALUE"""),"PR035")</f>
        <v>PR035</v>
      </c>
      <c r="H1373" s="2" t="str">
        <f>IFERROR(__xludf.DUMMYFUNCTION("""COMPUTED_VALUE"""),"VD036")</f>
        <v>VD036</v>
      </c>
      <c r="I1373" s="2">
        <f>IFERROR(__xludf.DUMMYFUNCTION("""COMPUTED_VALUE"""),2.0)</f>
        <v>2</v>
      </c>
      <c r="J1373" s="2">
        <f>IFERROR(__xludf.DUMMYFUNCTION("""COMPUTED_VALUE"""),184.63)</f>
        <v>184.63</v>
      </c>
      <c r="K1373" s="2">
        <f>IFERROR(__xludf.DUMMYFUNCTION("""COMPUTED_VALUE"""),184.63)</f>
        <v>184.63</v>
      </c>
    </row>
    <row r="1374">
      <c r="A1374" s="2">
        <f>IFERROR(__xludf.DUMMYFUNCTION("""COMPUTED_VALUE"""),1000.0)</f>
        <v>1000</v>
      </c>
      <c r="B1374" s="2">
        <f>IFERROR(__xludf.DUMMYFUNCTION("""COMPUTED_VALUE"""),184456.0)</f>
        <v>184456</v>
      </c>
      <c r="C1374" s="2">
        <f>IFERROR(__xludf.DUMMYFUNCTION("""COMPUTED_VALUE"""),2026.0)</f>
        <v>2026</v>
      </c>
      <c r="D1374" s="2">
        <f>IFERROR(__xludf.DUMMYFUNCTION("""COMPUTED_VALUE"""),46100.0)</f>
        <v>46100</v>
      </c>
      <c r="E1374" s="2" t="str">
        <f>IFERROR(__xludf.DUMMYFUNCTION("""COMPUTED_VALUE"""),"VF")</f>
        <v>VF</v>
      </c>
      <c r="F1374" s="2">
        <f>IFERROR(__xludf.DUMMYFUNCTION("""COMPUTED_VALUE"""),1.0)</f>
        <v>1</v>
      </c>
      <c r="G1374" s="2" t="str">
        <f>IFERROR(__xludf.DUMMYFUNCTION("""COMPUTED_VALUE"""),"PR049")</f>
        <v>PR049</v>
      </c>
      <c r="H1374" s="2" t="str">
        <f>IFERROR(__xludf.DUMMYFUNCTION("""COMPUTED_VALUE"""),"VD026")</f>
        <v>VD026</v>
      </c>
      <c r="I1374" s="2">
        <f>IFERROR(__xludf.DUMMYFUNCTION("""COMPUTED_VALUE"""),10.0)</f>
        <v>10</v>
      </c>
      <c r="J1374" s="2">
        <f>IFERROR(__xludf.DUMMYFUNCTION("""COMPUTED_VALUE"""),348.74)</f>
        <v>348.74</v>
      </c>
      <c r="K1374" s="2">
        <f>IFERROR(__xludf.DUMMYFUNCTION("""COMPUTED_VALUE"""),348.74)</f>
        <v>348.74</v>
      </c>
    </row>
    <row r="1375">
      <c r="A1375" s="2">
        <f>IFERROR(__xludf.DUMMYFUNCTION("""COMPUTED_VALUE"""),1000.0)</f>
        <v>1000</v>
      </c>
      <c r="B1375" s="2">
        <f>IFERROR(__xludf.DUMMYFUNCTION("""COMPUTED_VALUE"""),184457.0)</f>
        <v>184457</v>
      </c>
      <c r="C1375" s="2">
        <f>IFERROR(__xludf.DUMMYFUNCTION("""COMPUTED_VALUE"""),2026.0)</f>
        <v>2026</v>
      </c>
      <c r="D1375" s="2">
        <f>IFERROR(__xludf.DUMMYFUNCTION("""COMPUTED_VALUE"""),46100.0)</f>
        <v>46100</v>
      </c>
      <c r="E1375" s="2" t="str">
        <f>IFERROR(__xludf.DUMMYFUNCTION("""COMPUTED_VALUE"""),"VF")</f>
        <v>VF</v>
      </c>
      <c r="F1375" s="2">
        <f>IFERROR(__xludf.DUMMYFUNCTION("""COMPUTED_VALUE"""),1.0)</f>
        <v>1</v>
      </c>
      <c r="G1375" s="2" t="str">
        <f>IFERROR(__xludf.DUMMYFUNCTION("""COMPUTED_VALUE"""),"PR048")</f>
        <v>PR048</v>
      </c>
      <c r="H1375" s="2" t="str">
        <f>IFERROR(__xludf.DUMMYFUNCTION("""COMPUTED_VALUE"""),"VD019")</f>
        <v>VD019</v>
      </c>
      <c r="I1375" s="2">
        <f>IFERROR(__xludf.DUMMYFUNCTION("""COMPUTED_VALUE"""),14.0)</f>
        <v>14</v>
      </c>
      <c r="J1375" s="2">
        <f>IFERROR(__xludf.DUMMYFUNCTION("""COMPUTED_VALUE"""),4139.77)</f>
        <v>4139.77</v>
      </c>
      <c r="K1375" s="2">
        <f>IFERROR(__xludf.DUMMYFUNCTION("""COMPUTED_VALUE"""),4139.77)</f>
        <v>4139.77</v>
      </c>
    </row>
    <row r="1376">
      <c r="A1376" s="2">
        <f>IFERROR(__xludf.DUMMYFUNCTION("""COMPUTED_VALUE"""),2000.0)</f>
        <v>2000</v>
      </c>
      <c r="B1376" s="2">
        <f>IFERROR(__xludf.DUMMYFUNCTION("""COMPUTED_VALUE"""),184458.0)</f>
        <v>184458</v>
      </c>
      <c r="C1376" s="2">
        <f>IFERROR(__xludf.DUMMYFUNCTION("""COMPUTED_VALUE"""),2026.0)</f>
        <v>2026</v>
      </c>
      <c r="D1376" s="2">
        <f>IFERROR(__xludf.DUMMYFUNCTION("""COMPUTED_VALUE"""),46100.0)</f>
        <v>46100</v>
      </c>
      <c r="E1376" s="2" t="str">
        <f>IFERROR(__xludf.DUMMYFUNCTION("""COMPUTED_VALUE"""),"VF")</f>
        <v>VF</v>
      </c>
      <c r="F1376" s="2">
        <f>IFERROR(__xludf.DUMMYFUNCTION("""COMPUTED_VALUE"""),1.0)</f>
        <v>1</v>
      </c>
      <c r="G1376" s="2" t="str">
        <f>IFERROR(__xludf.DUMMYFUNCTION("""COMPUTED_VALUE"""),"PR058")</f>
        <v>PR058</v>
      </c>
      <c r="H1376" s="2" t="str">
        <f>IFERROR(__xludf.DUMMYFUNCTION("""COMPUTED_VALUE"""),"VD029")</f>
        <v>VD029</v>
      </c>
      <c r="I1376" s="2">
        <f>IFERROR(__xludf.DUMMYFUNCTION("""COMPUTED_VALUE"""),5.0)</f>
        <v>5</v>
      </c>
      <c r="J1376" s="2">
        <f>IFERROR(__xludf.DUMMYFUNCTION("""COMPUTED_VALUE"""),918.0)</f>
        <v>918</v>
      </c>
      <c r="K1376" s="2">
        <f>IFERROR(__xludf.DUMMYFUNCTION("""COMPUTED_VALUE"""),918.0)</f>
        <v>918</v>
      </c>
    </row>
    <row r="1377">
      <c r="A1377" s="2">
        <f>IFERROR(__xludf.DUMMYFUNCTION("""COMPUTED_VALUE"""),1000.0)</f>
        <v>1000</v>
      </c>
      <c r="B1377" s="2">
        <f>IFERROR(__xludf.DUMMYFUNCTION("""COMPUTED_VALUE"""),184459.0)</f>
        <v>184459</v>
      </c>
      <c r="C1377" s="2">
        <f>IFERROR(__xludf.DUMMYFUNCTION("""COMPUTED_VALUE"""),2026.0)</f>
        <v>2026</v>
      </c>
      <c r="D1377" s="2">
        <f>IFERROR(__xludf.DUMMYFUNCTION("""COMPUTED_VALUE"""),46100.0)</f>
        <v>46100</v>
      </c>
      <c r="E1377" s="2" t="str">
        <f>IFERROR(__xludf.DUMMYFUNCTION("""COMPUTED_VALUE"""),"VF")</f>
        <v>VF</v>
      </c>
      <c r="F1377" s="2">
        <f>IFERROR(__xludf.DUMMYFUNCTION("""COMPUTED_VALUE"""),1.0)</f>
        <v>1</v>
      </c>
      <c r="G1377" s="2" t="str">
        <f>IFERROR(__xludf.DUMMYFUNCTION("""COMPUTED_VALUE"""),"PR032")</f>
        <v>PR032</v>
      </c>
      <c r="H1377" s="2" t="str">
        <f>IFERROR(__xludf.DUMMYFUNCTION("""COMPUTED_VALUE"""),"VD038")</f>
        <v>VD038</v>
      </c>
      <c r="I1377" s="2">
        <f>IFERROR(__xludf.DUMMYFUNCTION("""COMPUTED_VALUE"""),8.0)</f>
        <v>8</v>
      </c>
      <c r="J1377" s="2">
        <f>IFERROR(__xludf.DUMMYFUNCTION("""COMPUTED_VALUE"""),2080.0)</f>
        <v>2080</v>
      </c>
      <c r="K1377" s="2">
        <f>IFERROR(__xludf.DUMMYFUNCTION("""COMPUTED_VALUE"""),2080.0)</f>
        <v>2080</v>
      </c>
    </row>
    <row r="1378">
      <c r="A1378" s="2">
        <f>IFERROR(__xludf.DUMMYFUNCTION("""COMPUTED_VALUE"""),1000.0)</f>
        <v>1000</v>
      </c>
      <c r="B1378" s="2">
        <f>IFERROR(__xludf.DUMMYFUNCTION("""COMPUTED_VALUE"""),184459.0)</f>
        <v>184459</v>
      </c>
      <c r="C1378" s="2">
        <f>IFERROR(__xludf.DUMMYFUNCTION("""COMPUTED_VALUE"""),2026.0)</f>
        <v>2026</v>
      </c>
      <c r="D1378" s="2">
        <f>IFERROR(__xludf.DUMMYFUNCTION("""COMPUTED_VALUE"""),46100.0)</f>
        <v>46100</v>
      </c>
      <c r="E1378" s="2" t="str">
        <f>IFERROR(__xludf.DUMMYFUNCTION("""COMPUTED_VALUE"""),"VF")</f>
        <v>VF</v>
      </c>
      <c r="F1378" s="2">
        <f>IFERROR(__xludf.DUMMYFUNCTION("""COMPUTED_VALUE"""),2.0)</f>
        <v>2</v>
      </c>
      <c r="G1378" s="2" t="str">
        <f>IFERROR(__xludf.DUMMYFUNCTION("""COMPUTED_VALUE"""),"PR009")</f>
        <v>PR009</v>
      </c>
      <c r="H1378" s="2" t="str">
        <f>IFERROR(__xludf.DUMMYFUNCTION("""COMPUTED_VALUE"""),"VD032")</f>
        <v>VD032</v>
      </c>
      <c r="I1378" s="2">
        <f>IFERROR(__xludf.DUMMYFUNCTION("""COMPUTED_VALUE"""),20.0)</f>
        <v>20</v>
      </c>
      <c r="J1378" s="2">
        <f>IFERROR(__xludf.DUMMYFUNCTION("""COMPUTED_VALUE"""),1969.48)</f>
        <v>1969.48</v>
      </c>
      <c r="K1378" s="2">
        <f>IFERROR(__xludf.DUMMYFUNCTION("""COMPUTED_VALUE"""),1969.48)</f>
        <v>1969.48</v>
      </c>
    </row>
    <row r="1379">
      <c r="A1379" s="2">
        <f>IFERROR(__xludf.DUMMYFUNCTION("""COMPUTED_VALUE"""),1000.0)</f>
        <v>1000</v>
      </c>
      <c r="B1379" s="2">
        <f>IFERROR(__xludf.DUMMYFUNCTION("""COMPUTED_VALUE"""),184460.0)</f>
        <v>184460</v>
      </c>
      <c r="C1379" s="2">
        <f>IFERROR(__xludf.DUMMYFUNCTION("""COMPUTED_VALUE"""),2026.0)</f>
        <v>2026</v>
      </c>
      <c r="D1379" s="2">
        <f>IFERROR(__xludf.DUMMYFUNCTION("""COMPUTED_VALUE"""),46100.0)</f>
        <v>46100</v>
      </c>
      <c r="E1379" s="2" t="str">
        <f>IFERROR(__xludf.DUMMYFUNCTION("""COMPUTED_VALUE"""),"VF")</f>
        <v>VF</v>
      </c>
      <c r="F1379" s="2">
        <f>IFERROR(__xludf.DUMMYFUNCTION("""COMPUTED_VALUE"""),1.0)</f>
        <v>1</v>
      </c>
      <c r="G1379" s="2" t="str">
        <f>IFERROR(__xludf.DUMMYFUNCTION("""COMPUTED_VALUE"""),"PR060")</f>
        <v>PR060</v>
      </c>
      <c r="H1379" s="2" t="str">
        <f>IFERROR(__xludf.DUMMYFUNCTION("""COMPUTED_VALUE"""),"VD032")</f>
        <v>VD032</v>
      </c>
      <c r="I1379" s="2">
        <f>IFERROR(__xludf.DUMMYFUNCTION("""COMPUTED_VALUE"""),5.0)</f>
        <v>5</v>
      </c>
      <c r="J1379" s="2">
        <f>IFERROR(__xludf.DUMMYFUNCTION("""COMPUTED_VALUE"""),927.0)</f>
        <v>927</v>
      </c>
      <c r="K1379" s="2">
        <f>IFERROR(__xludf.DUMMYFUNCTION("""COMPUTED_VALUE"""),927.0)</f>
        <v>927</v>
      </c>
    </row>
    <row r="1380">
      <c r="A1380" s="2">
        <f>IFERROR(__xludf.DUMMYFUNCTION("""COMPUTED_VALUE"""),2000.0)</f>
        <v>2000</v>
      </c>
      <c r="B1380" s="2">
        <f>IFERROR(__xludf.DUMMYFUNCTION("""COMPUTED_VALUE"""),184460.0)</f>
        <v>184460</v>
      </c>
      <c r="C1380" s="2">
        <f>IFERROR(__xludf.DUMMYFUNCTION("""COMPUTED_VALUE"""),2026.0)</f>
        <v>2026</v>
      </c>
      <c r="D1380" s="2">
        <f>IFERROR(__xludf.DUMMYFUNCTION("""COMPUTED_VALUE"""),46100.0)</f>
        <v>46100</v>
      </c>
      <c r="E1380" s="2" t="str">
        <f>IFERROR(__xludf.DUMMYFUNCTION("""COMPUTED_VALUE"""),"VF")</f>
        <v>VF</v>
      </c>
      <c r="F1380" s="2">
        <f>IFERROR(__xludf.DUMMYFUNCTION("""COMPUTED_VALUE"""),2.0)</f>
        <v>2</v>
      </c>
      <c r="G1380" s="2" t="str">
        <f>IFERROR(__xludf.DUMMYFUNCTION("""COMPUTED_VALUE"""),"PR026")</f>
        <v>PR026</v>
      </c>
      <c r="H1380" s="2" t="str">
        <f>IFERROR(__xludf.DUMMYFUNCTION("""COMPUTED_VALUE"""),"VD026")</f>
        <v>VD026</v>
      </c>
      <c r="I1380" s="2">
        <f>IFERROR(__xludf.DUMMYFUNCTION("""COMPUTED_VALUE"""),14.0)</f>
        <v>14</v>
      </c>
      <c r="J1380" s="2">
        <f>IFERROR(__xludf.DUMMYFUNCTION("""COMPUTED_VALUE"""),5290.49)</f>
        <v>5290.49</v>
      </c>
      <c r="K1380" s="2">
        <f>IFERROR(__xludf.DUMMYFUNCTION("""COMPUTED_VALUE"""),5290.49)</f>
        <v>5290.49</v>
      </c>
    </row>
    <row r="1381">
      <c r="A1381" s="2">
        <f>IFERROR(__xludf.DUMMYFUNCTION("""COMPUTED_VALUE"""),1000.0)</f>
        <v>1000</v>
      </c>
      <c r="B1381" s="2">
        <f>IFERROR(__xludf.DUMMYFUNCTION("""COMPUTED_VALUE"""),184461.0)</f>
        <v>184461</v>
      </c>
      <c r="C1381" s="2">
        <f>IFERROR(__xludf.DUMMYFUNCTION("""COMPUTED_VALUE"""),2026.0)</f>
        <v>2026</v>
      </c>
      <c r="D1381" s="2">
        <f>IFERROR(__xludf.DUMMYFUNCTION("""COMPUTED_VALUE"""),46099.0)</f>
        <v>46099</v>
      </c>
      <c r="E1381" s="2" t="str">
        <f>IFERROR(__xludf.DUMMYFUNCTION("""COMPUTED_VALUE"""),"VF")</f>
        <v>VF</v>
      </c>
      <c r="F1381" s="2">
        <f>IFERROR(__xludf.DUMMYFUNCTION("""COMPUTED_VALUE"""),1.0)</f>
        <v>1</v>
      </c>
      <c r="G1381" s="2" t="str">
        <f>IFERROR(__xludf.DUMMYFUNCTION("""COMPUTED_VALUE"""),"PR012")</f>
        <v>PR012</v>
      </c>
      <c r="H1381" s="2" t="str">
        <f>IFERROR(__xludf.DUMMYFUNCTION("""COMPUTED_VALUE"""),"VD035")</f>
        <v>VD035</v>
      </c>
      <c r="I1381" s="2">
        <f>IFERROR(__xludf.DUMMYFUNCTION("""COMPUTED_VALUE"""),16.0)</f>
        <v>16</v>
      </c>
      <c r="J1381" s="2">
        <f>IFERROR(__xludf.DUMMYFUNCTION("""COMPUTED_VALUE"""),852.82)</f>
        <v>852.82</v>
      </c>
      <c r="K1381" s="2">
        <f>IFERROR(__xludf.DUMMYFUNCTION("""COMPUTED_VALUE"""),852.82)</f>
        <v>852.82</v>
      </c>
    </row>
    <row r="1382">
      <c r="A1382" s="2">
        <f>IFERROR(__xludf.DUMMYFUNCTION("""COMPUTED_VALUE"""),1000.0)</f>
        <v>1000</v>
      </c>
      <c r="B1382" s="2">
        <f>IFERROR(__xludf.DUMMYFUNCTION("""COMPUTED_VALUE"""),184461.0)</f>
        <v>184461</v>
      </c>
      <c r="C1382" s="2">
        <f>IFERROR(__xludf.DUMMYFUNCTION("""COMPUTED_VALUE"""),2026.0)</f>
        <v>2026</v>
      </c>
      <c r="D1382" s="2">
        <f>IFERROR(__xludf.DUMMYFUNCTION("""COMPUTED_VALUE"""),46099.0)</f>
        <v>46099</v>
      </c>
      <c r="E1382" s="2" t="str">
        <f>IFERROR(__xludf.DUMMYFUNCTION("""COMPUTED_VALUE"""),"VF")</f>
        <v>VF</v>
      </c>
      <c r="F1382" s="2">
        <f>IFERROR(__xludf.DUMMYFUNCTION("""COMPUTED_VALUE"""),2.0)</f>
        <v>2</v>
      </c>
      <c r="G1382" s="2" t="str">
        <f>IFERROR(__xludf.DUMMYFUNCTION("""COMPUTED_VALUE"""),"PR036")</f>
        <v>PR036</v>
      </c>
      <c r="H1382" s="2" t="str">
        <f>IFERROR(__xludf.DUMMYFUNCTION("""COMPUTED_VALUE"""),"VD046")</f>
        <v>VD046</v>
      </c>
      <c r="I1382" s="2">
        <f>IFERROR(__xludf.DUMMYFUNCTION("""COMPUTED_VALUE"""),5.0)</f>
        <v>5</v>
      </c>
      <c r="J1382" s="2">
        <f>IFERROR(__xludf.DUMMYFUNCTION("""COMPUTED_VALUE"""),514.25)</f>
        <v>514.25</v>
      </c>
      <c r="K1382" s="2">
        <f>IFERROR(__xludf.DUMMYFUNCTION("""COMPUTED_VALUE"""),514.25)</f>
        <v>514.25</v>
      </c>
    </row>
    <row r="1383">
      <c r="A1383" s="2">
        <f>IFERROR(__xludf.DUMMYFUNCTION("""COMPUTED_VALUE"""),1000.0)</f>
        <v>1000</v>
      </c>
      <c r="B1383" s="2">
        <f>IFERROR(__xludf.DUMMYFUNCTION("""COMPUTED_VALUE"""),184461.0)</f>
        <v>184461</v>
      </c>
      <c r="C1383" s="2">
        <f>IFERROR(__xludf.DUMMYFUNCTION("""COMPUTED_VALUE"""),2026.0)</f>
        <v>2026</v>
      </c>
      <c r="D1383" s="2">
        <f>IFERROR(__xludf.DUMMYFUNCTION("""COMPUTED_VALUE"""),46099.0)</f>
        <v>46099</v>
      </c>
      <c r="E1383" s="2" t="str">
        <f>IFERROR(__xludf.DUMMYFUNCTION("""COMPUTED_VALUE"""),"VF")</f>
        <v>VF</v>
      </c>
      <c r="F1383" s="2">
        <f>IFERROR(__xludf.DUMMYFUNCTION("""COMPUTED_VALUE"""),3.0)</f>
        <v>3</v>
      </c>
      <c r="G1383" s="2" t="str">
        <f>IFERROR(__xludf.DUMMYFUNCTION("""COMPUTED_VALUE"""),"PR022")</f>
        <v>PR022</v>
      </c>
      <c r="H1383" s="2" t="str">
        <f>IFERROR(__xludf.DUMMYFUNCTION("""COMPUTED_VALUE"""),"VD011")</f>
        <v>VD011</v>
      </c>
      <c r="I1383" s="2">
        <f>IFERROR(__xludf.DUMMYFUNCTION("""COMPUTED_VALUE"""),9.0)</f>
        <v>9</v>
      </c>
      <c r="J1383" s="2">
        <f>IFERROR(__xludf.DUMMYFUNCTION("""COMPUTED_VALUE"""),2835.0)</f>
        <v>2835</v>
      </c>
      <c r="K1383" s="2">
        <f>IFERROR(__xludf.DUMMYFUNCTION("""COMPUTED_VALUE"""),2835.0)</f>
        <v>2835</v>
      </c>
    </row>
    <row r="1384">
      <c r="A1384" s="2">
        <f>IFERROR(__xludf.DUMMYFUNCTION("""COMPUTED_VALUE"""),1000.0)</f>
        <v>1000</v>
      </c>
      <c r="B1384" s="2">
        <f>IFERROR(__xludf.DUMMYFUNCTION("""COMPUTED_VALUE"""),184462.0)</f>
        <v>184462</v>
      </c>
      <c r="C1384" s="2">
        <f>IFERROR(__xludf.DUMMYFUNCTION("""COMPUTED_VALUE"""),2026.0)</f>
        <v>2026</v>
      </c>
      <c r="D1384" s="2">
        <f>IFERROR(__xludf.DUMMYFUNCTION("""COMPUTED_VALUE"""),46099.0)</f>
        <v>46099</v>
      </c>
      <c r="E1384" s="2" t="str">
        <f>IFERROR(__xludf.DUMMYFUNCTION("""COMPUTED_VALUE"""),"VF")</f>
        <v>VF</v>
      </c>
      <c r="F1384" s="2">
        <f>IFERROR(__xludf.DUMMYFUNCTION("""COMPUTED_VALUE"""),1.0)</f>
        <v>1</v>
      </c>
      <c r="G1384" s="2" t="str">
        <f>IFERROR(__xludf.DUMMYFUNCTION("""COMPUTED_VALUE"""),"PR030")</f>
        <v>PR030</v>
      </c>
      <c r="H1384" s="2" t="str">
        <f>IFERROR(__xludf.DUMMYFUNCTION("""COMPUTED_VALUE"""),"VD023")</f>
        <v>VD023</v>
      </c>
      <c r="I1384" s="2">
        <f>IFERROR(__xludf.DUMMYFUNCTION("""COMPUTED_VALUE"""),8.0)</f>
        <v>8</v>
      </c>
      <c r="J1384" s="2">
        <f>IFERROR(__xludf.DUMMYFUNCTION("""COMPUTED_VALUE"""),2245.54)</f>
        <v>2245.54</v>
      </c>
      <c r="K1384" s="2">
        <f>IFERROR(__xludf.DUMMYFUNCTION("""COMPUTED_VALUE"""),2245.54)</f>
        <v>2245.54</v>
      </c>
    </row>
    <row r="1385">
      <c r="A1385" s="2">
        <f>IFERROR(__xludf.DUMMYFUNCTION("""COMPUTED_VALUE"""),1000.0)</f>
        <v>1000</v>
      </c>
      <c r="B1385" s="2">
        <f>IFERROR(__xludf.DUMMYFUNCTION("""COMPUTED_VALUE"""),184463.0)</f>
        <v>184463</v>
      </c>
      <c r="C1385" s="2">
        <f>IFERROR(__xludf.DUMMYFUNCTION("""COMPUTED_VALUE"""),2026.0)</f>
        <v>2026</v>
      </c>
      <c r="D1385" s="2">
        <f>IFERROR(__xludf.DUMMYFUNCTION("""COMPUTED_VALUE"""),46099.0)</f>
        <v>46099</v>
      </c>
      <c r="E1385" s="2" t="str">
        <f>IFERROR(__xludf.DUMMYFUNCTION("""COMPUTED_VALUE"""),"VF")</f>
        <v>VF</v>
      </c>
      <c r="F1385" s="2">
        <f>IFERROR(__xludf.DUMMYFUNCTION("""COMPUTED_VALUE"""),1.0)</f>
        <v>1</v>
      </c>
      <c r="G1385" s="2" t="str">
        <f>IFERROR(__xludf.DUMMYFUNCTION("""COMPUTED_VALUE"""),"PR019")</f>
        <v>PR019</v>
      </c>
      <c r="H1385" s="2" t="str">
        <f>IFERROR(__xludf.DUMMYFUNCTION("""COMPUTED_VALUE"""),"VD039")</f>
        <v>VD039</v>
      </c>
      <c r="I1385" s="2">
        <f>IFERROR(__xludf.DUMMYFUNCTION("""COMPUTED_VALUE"""),16.0)</f>
        <v>16</v>
      </c>
      <c r="J1385" s="2">
        <f>IFERROR(__xludf.DUMMYFUNCTION("""COMPUTED_VALUE"""),822.35)</f>
        <v>822.35</v>
      </c>
      <c r="K1385" s="2">
        <f>IFERROR(__xludf.DUMMYFUNCTION("""COMPUTED_VALUE"""),822.35)</f>
        <v>822.35</v>
      </c>
    </row>
    <row r="1386">
      <c r="A1386" s="2">
        <f>IFERROR(__xludf.DUMMYFUNCTION("""COMPUTED_VALUE"""),1000.0)</f>
        <v>1000</v>
      </c>
      <c r="B1386" s="2">
        <f>IFERROR(__xludf.DUMMYFUNCTION("""COMPUTED_VALUE"""),184464.0)</f>
        <v>184464</v>
      </c>
      <c r="C1386" s="2">
        <f>IFERROR(__xludf.DUMMYFUNCTION("""COMPUTED_VALUE"""),2026.0)</f>
        <v>2026</v>
      </c>
      <c r="D1386" s="2">
        <f>IFERROR(__xludf.DUMMYFUNCTION("""COMPUTED_VALUE"""),46099.0)</f>
        <v>46099</v>
      </c>
      <c r="E1386" s="2" t="str">
        <f>IFERROR(__xludf.DUMMYFUNCTION("""COMPUTED_VALUE"""),"VF")</f>
        <v>VF</v>
      </c>
      <c r="F1386" s="2">
        <f>IFERROR(__xludf.DUMMYFUNCTION("""COMPUTED_VALUE"""),1.0)</f>
        <v>1</v>
      </c>
      <c r="G1386" s="2" t="str">
        <f>IFERROR(__xludf.DUMMYFUNCTION("""COMPUTED_VALUE"""),"PR016")</f>
        <v>PR016</v>
      </c>
      <c r="H1386" s="2" t="str">
        <f>IFERROR(__xludf.DUMMYFUNCTION("""COMPUTED_VALUE"""),"VD018")</f>
        <v>VD018</v>
      </c>
      <c r="I1386" s="2">
        <f>IFERROR(__xludf.DUMMYFUNCTION("""COMPUTED_VALUE"""),9.0)</f>
        <v>9</v>
      </c>
      <c r="J1386" s="2">
        <f>IFERROR(__xludf.DUMMYFUNCTION("""COMPUTED_VALUE"""),244.76)</f>
        <v>244.76</v>
      </c>
      <c r="K1386" s="2">
        <f>IFERROR(__xludf.DUMMYFUNCTION("""COMPUTED_VALUE"""),244.76)</f>
        <v>244.76</v>
      </c>
    </row>
    <row r="1387">
      <c r="A1387" s="2">
        <f>IFERROR(__xludf.DUMMYFUNCTION("""COMPUTED_VALUE"""),1000.0)</f>
        <v>1000</v>
      </c>
      <c r="B1387" s="2">
        <f>IFERROR(__xludf.DUMMYFUNCTION("""COMPUTED_VALUE"""),184464.0)</f>
        <v>184464</v>
      </c>
      <c r="C1387" s="2">
        <f>IFERROR(__xludf.DUMMYFUNCTION("""COMPUTED_VALUE"""),2026.0)</f>
        <v>2026</v>
      </c>
      <c r="D1387" s="2">
        <f>IFERROR(__xludf.DUMMYFUNCTION("""COMPUTED_VALUE"""),46099.0)</f>
        <v>46099</v>
      </c>
      <c r="E1387" s="2" t="str">
        <f>IFERROR(__xludf.DUMMYFUNCTION("""COMPUTED_VALUE"""),"VF")</f>
        <v>VF</v>
      </c>
      <c r="F1387" s="2">
        <f>IFERROR(__xludf.DUMMYFUNCTION("""COMPUTED_VALUE"""),2.0)</f>
        <v>2</v>
      </c>
      <c r="G1387" s="2" t="str">
        <f>IFERROR(__xludf.DUMMYFUNCTION("""COMPUTED_VALUE"""),"PR014")</f>
        <v>PR014</v>
      </c>
      <c r="H1387" s="2" t="str">
        <f>IFERROR(__xludf.DUMMYFUNCTION("""COMPUTED_VALUE"""),"VD027")</f>
        <v>VD027</v>
      </c>
      <c r="I1387" s="2">
        <f>IFERROR(__xludf.DUMMYFUNCTION("""COMPUTED_VALUE"""),10.0)</f>
        <v>10</v>
      </c>
      <c r="J1387" s="2">
        <f>IFERROR(__xludf.DUMMYFUNCTION("""COMPUTED_VALUE"""),410.97)</f>
        <v>410.97</v>
      </c>
      <c r="K1387" s="2">
        <f>IFERROR(__xludf.DUMMYFUNCTION("""COMPUTED_VALUE"""),410.97)</f>
        <v>410.97</v>
      </c>
    </row>
    <row r="1388">
      <c r="A1388" s="2">
        <f>IFERROR(__xludf.DUMMYFUNCTION("""COMPUTED_VALUE"""),1000.0)</f>
        <v>1000</v>
      </c>
      <c r="B1388" s="2">
        <f>IFERROR(__xludf.DUMMYFUNCTION("""COMPUTED_VALUE"""),184465.0)</f>
        <v>184465</v>
      </c>
      <c r="C1388" s="2">
        <f>IFERROR(__xludf.DUMMYFUNCTION("""COMPUTED_VALUE"""),2026.0)</f>
        <v>2026</v>
      </c>
      <c r="D1388" s="2">
        <f>IFERROR(__xludf.DUMMYFUNCTION("""COMPUTED_VALUE"""),46099.0)</f>
        <v>46099</v>
      </c>
      <c r="E1388" s="2" t="str">
        <f>IFERROR(__xludf.DUMMYFUNCTION("""COMPUTED_VALUE"""),"VF")</f>
        <v>VF</v>
      </c>
      <c r="F1388" s="2">
        <f>IFERROR(__xludf.DUMMYFUNCTION("""COMPUTED_VALUE"""),1.0)</f>
        <v>1</v>
      </c>
      <c r="G1388" s="2" t="str">
        <f>IFERROR(__xludf.DUMMYFUNCTION("""COMPUTED_VALUE"""),"PR044")</f>
        <v>PR044</v>
      </c>
      <c r="H1388" s="2" t="str">
        <f>IFERROR(__xludf.DUMMYFUNCTION("""COMPUTED_VALUE"""),"VD025")</f>
        <v>VD025</v>
      </c>
      <c r="I1388" s="2">
        <f>IFERROR(__xludf.DUMMYFUNCTION("""COMPUTED_VALUE"""),14.0)</f>
        <v>14</v>
      </c>
      <c r="J1388" s="2">
        <f>IFERROR(__xludf.DUMMYFUNCTION("""COMPUTED_VALUE"""),1116.5)</f>
        <v>1116.5</v>
      </c>
      <c r="K1388" s="2">
        <f>IFERROR(__xludf.DUMMYFUNCTION("""COMPUTED_VALUE"""),1116.5)</f>
        <v>1116.5</v>
      </c>
    </row>
    <row r="1389">
      <c r="A1389" s="2">
        <f>IFERROR(__xludf.DUMMYFUNCTION("""COMPUTED_VALUE"""),1000.0)</f>
        <v>1000</v>
      </c>
      <c r="B1389" s="2">
        <f>IFERROR(__xludf.DUMMYFUNCTION("""COMPUTED_VALUE"""),184466.0)</f>
        <v>184466</v>
      </c>
      <c r="C1389" s="2">
        <f>IFERROR(__xludf.DUMMYFUNCTION("""COMPUTED_VALUE"""),2026.0)</f>
        <v>2026</v>
      </c>
      <c r="D1389" s="2">
        <f>IFERROR(__xludf.DUMMYFUNCTION("""COMPUTED_VALUE"""),46098.0)</f>
        <v>46098</v>
      </c>
      <c r="E1389" s="2" t="str">
        <f>IFERROR(__xludf.DUMMYFUNCTION("""COMPUTED_VALUE"""),"VF")</f>
        <v>VF</v>
      </c>
      <c r="F1389" s="2">
        <f>IFERROR(__xludf.DUMMYFUNCTION("""COMPUTED_VALUE"""),1.0)</f>
        <v>1</v>
      </c>
      <c r="G1389" s="2" t="str">
        <f>IFERROR(__xludf.DUMMYFUNCTION("""COMPUTED_VALUE"""),"PR014")</f>
        <v>PR014</v>
      </c>
      <c r="H1389" s="2" t="str">
        <f>IFERROR(__xludf.DUMMYFUNCTION("""COMPUTED_VALUE"""),"VD024")</f>
        <v>VD024</v>
      </c>
      <c r="I1389" s="2">
        <f>IFERROR(__xludf.DUMMYFUNCTION("""COMPUTED_VALUE"""),5.0)</f>
        <v>5</v>
      </c>
      <c r="J1389" s="2">
        <f>IFERROR(__xludf.DUMMYFUNCTION("""COMPUTED_VALUE"""),203.49)</f>
        <v>203.49</v>
      </c>
      <c r="K1389" s="2">
        <f>IFERROR(__xludf.DUMMYFUNCTION("""COMPUTED_VALUE"""),203.49)</f>
        <v>203.49</v>
      </c>
    </row>
    <row r="1390">
      <c r="A1390" s="2">
        <f>IFERROR(__xludf.DUMMYFUNCTION("""COMPUTED_VALUE"""),1000.0)</f>
        <v>1000</v>
      </c>
      <c r="B1390" s="2">
        <f>IFERROR(__xludf.DUMMYFUNCTION("""COMPUTED_VALUE"""),184467.0)</f>
        <v>184467</v>
      </c>
      <c r="C1390" s="2">
        <f>IFERROR(__xludf.DUMMYFUNCTION("""COMPUTED_VALUE"""),2026.0)</f>
        <v>2026</v>
      </c>
      <c r="D1390" s="2">
        <f>IFERROR(__xludf.DUMMYFUNCTION("""COMPUTED_VALUE"""),46098.0)</f>
        <v>46098</v>
      </c>
      <c r="E1390" s="2" t="str">
        <f>IFERROR(__xludf.DUMMYFUNCTION("""COMPUTED_VALUE"""),"VF")</f>
        <v>VF</v>
      </c>
      <c r="F1390" s="2">
        <f>IFERROR(__xludf.DUMMYFUNCTION("""COMPUTED_VALUE"""),1.0)</f>
        <v>1</v>
      </c>
      <c r="G1390" s="2" t="str">
        <f>IFERROR(__xludf.DUMMYFUNCTION("""COMPUTED_VALUE"""),"PR019")</f>
        <v>PR019</v>
      </c>
      <c r="H1390" s="2" t="str">
        <f>IFERROR(__xludf.DUMMYFUNCTION("""COMPUTED_VALUE"""),"VD043")</f>
        <v>VD043</v>
      </c>
      <c r="I1390" s="2">
        <f>IFERROR(__xludf.DUMMYFUNCTION("""COMPUTED_VALUE"""),12.0)</f>
        <v>12</v>
      </c>
      <c r="J1390" s="2">
        <f>IFERROR(__xludf.DUMMYFUNCTION("""COMPUTED_VALUE"""),604.79)</f>
        <v>604.79</v>
      </c>
      <c r="K1390" s="2">
        <f>IFERROR(__xludf.DUMMYFUNCTION("""COMPUTED_VALUE"""),604.79)</f>
        <v>604.79</v>
      </c>
    </row>
    <row r="1391">
      <c r="A1391" s="2">
        <f>IFERROR(__xludf.DUMMYFUNCTION("""COMPUTED_VALUE"""),2000.0)</f>
        <v>2000</v>
      </c>
      <c r="B1391" s="2">
        <f>IFERROR(__xludf.DUMMYFUNCTION("""COMPUTED_VALUE"""),184467.0)</f>
        <v>184467</v>
      </c>
      <c r="C1391" s="2">
        <f>IFERROR(__xludf.DUMMYFUNCTION("""COMPUTED_VALUE"""),2026.0)</f>
        <v>2026</v>
      </c>
      <c r="D1391" s="2">
        <f>IFERROR(__xludf.DUMMYFUNCTION("""COMPUTED_VALUE"""),46097.0)</f>
        <v>46097</v>
      </c>
      <c r="E1391" s="2" t="str">
        <f>IFERROR(__xludf.DUMMYFUNCTION("""COMPUTED_VALUE"""),"VF")</f>
        <v>VF</v>
      </c>
      <c r="F1391" s="2">
        <f>IFERROR(__xludf.DUMMYFUNCTION("""COMPUTED_VALUE"""),2.0)</f>
        <v>2</v>
      </c>
      <c r="G1391" s="2" t="str">
        <f>IFERROR(__xludf.DUMMYFUNCTION("""COMPUTED_VALUE"""),"PR003")</f>
        <v>PR003</v>
      </c>
      <c r="H1391" s="2" t="str">
        <f>IFERROR(__xludf.DUMMYFUNCTION("""COMPUTED_VALUE"""),"VD039")</f>
        <v>VD039</v>
      </c>
      <c r="I1391" s="2">
        <f>IFERROR(__xludf.DUMMYFUNCTION("""COMPUTED_VALUE"""),5.0)</f>
        <v>5</v>
      </c>
      <c r="J1391" s="2">
        <f>IFERROR(__xludf.DUMMYFUNCTION("""COMPUTED_VALUE"""),354.5)</f>
        <v>354.5</v>
      </c>
      <c r="K1391" s="2">
        <f>IFERROR(__xludf.DUMMYFUNCTION("""COMPUTED_VALUE"""),354.5)</f>
        <v>354.5</v>
      </c>
    </row>
    <row r="1392">
      <c r="A1392" s="2">
        <f>IFERROR(__xludf.DUMMYFUNCTION("""COMPUTED_VALUE"""),1000.0)</f>
        <v>1000</v>
      </c>
      <c r="B1392" s="2">
        <f>IFERROR(__xludf.DUMMYFUNCTION("""COMPUTED_VALUE"""),184467.0)</f>
        <v>184467</v>
      </c>
      <c r="C1392" s="2">
        <f>IFERROR(__xludf.DUMMYFUNCTION("""COMPUTED_VALUE"""),2026.0)</f>
        <v>2026</v>
      </c>
      <c r="D1392" s="2">
        <f>IFERROR(__xludf.DUMMYFUNCTION("""COMPUTED_VALUE"""),46097.0)</f>
        <v>46097</v>
      </c>
      <c r="E1392" s="2" t="str">
        <f>IFERROR(__xludf.DUMMYFUNCTION("""COMPUTED_VALUE"""),"VF")</f>
        <v>VF</v>
      </c>
      <c r="F1392" s="2">
        <f>IFERROR(__xludf.DUMMYFUNCTION("""COMPUTED_VALUE"""),3.0)</f>
        <v>3</v>
      </c>
      <c r="G1392" s="2" t="str">
        <f>IFERROR(__xludf.DUMMYFUNCTION("""COMPUTED_VALUE"""),"PR054")</f>
        <v>PR054</v>
      </c>
      <c r="H1392" s="2" t="str">
        <f>IFERROR(__xludf.DUMMYFUNCTION("""COMPUTED_VALUE"""),"VD019")</f>
        <v>VD019</v>
      </c>
      <c r="I1392" s="2">
        <f>IFERROR(__xludf.DUMMYFUNCTION("""COMPUTED_VALUE"""),4.0)</f>
        <v>4</v>
      </c>
      <c r="J1392" s="2">
        <f>IFERROR(__xludf.DUMMYFUNCTION("""COMPUTED_VALUE"""),217.56)</f>
        <v>217.56</v>
      </c>
      <c r="K1392" s="2">
        <f>IFERROR(__xludf.DUMMYFUNCTION("""COMPUTED_VALUE"""),217.56)</f>
        <v>217.56</v>
      </c>
    </row>
    <row r="1393">
      <c r="A1393" s="2">
        <f>IFERROR(__xludf.DUMMYFUNCTION("""COMPUTED_VALUE"""),1000.0)</f>
        <v>1000</v>
      </c>
      <c r="B1393" s="2">
        <f>IFERROR(__xludf.DUMMYFUNCTION("""COMPUTED_VALUE"""),184468.0)</f>
        <v>184468</v>
      </c>
      <c r="C1393" s="2">
        <f>IFERROR(__xludf.DUMMYFUNCTION("""COMPUTED_VALUE"""),2026.0)</f>
        <v>2026</v>
      </c>
      <c r="D1393" s="2">
        <f>IFERROR(__xludf.DUMMYFUNCTION("""COMPUTED_VALUE"""),46097.0)</f>
        <v>46097</v>
      </c>
      <c r="E1393" s="2" t="str">
        <f>IFERROR(__xludf.DUMMYFUNCTION("""COMPUTED_VALUE"""),"VF")</f>
        <v>VF</v>
      </c>
      <c r="F1393" s="2">
        <f>IFERROR(__xludf.DUMMYFUNCTION("""COMPUTED_VALUE"""),1.0)</f>
        <v>1</v>
      </c>
      <c r="G1393" s="2" t="str">
        <f>IFERROR(__xludf.DUMMYFUNCTION("""COMPUTED_VALUE"""),"PR003")</f>
        <v>PR003</v>
      </c>
      <c r="H1393" s="2" t="str">
        <f>IFERROR(__xludf.DUMMYFUNCTION("""COMPUTED_VALUE"""),"VD030")</f>
        <v>VD030</v>
      </c>
      <c r="I1393" s="2">
        <f>IFERROR(__xludf.DUMMYFUNCTION("""COMPUTED_VALUE"""),5.0)</f>
        <v>5</v>
      </c>
      <c r="J1393" s="2">
        <f>IFERROR(__xludf.DUMMYFUNCTION("""COMPUTED_VALUE"""),386.41)</f>
        <v>386.41</v>
      </c>
      <c r="K1393" s="2">
        <f>IFERROR(__xludf.DUMMYFUNCTION("""COMPUTED_VALUE"""),386.41)</f>
        <v>386.41</v>
      </c>
    </row>
    <row r="1394">
      <c r="A1394" s="2">
        <f>IFERROR(__xludf.DUMMYFUNCTION("""COMPUTED_VALUE"""),1000.0)</f>
        <v>1000</v>
      </c>
      <c r="B1394" s="2">
        <f>IFERROR(__xludf.DUMMYFUNCTION("""COMPUTED_VALUE"""),184469.0)</f>
        <v>184469</v>
      </c>
      <c r="C1394" s="2">
        <f>IFERROR(__xludf.DUMMYFUNCTION("""COMPUTED_VALUE"""),2026.0)</f>
        <v>2026</v>
      </c>
      <c r="D1394" s="2">
        <f>IFERROR(__xludf.DUMMYFUNCTION("""COMPUTED_VALUE"""),46096.0)</f>
        <v>46096</v>
      </c>
      <c r="E1394" s="2" t="str">
        <f>IFERROR(__xludf.DUMMYFUNCTION("""COMPUTED_VALUE"""),"VF")</f>
        <v>VF</v>
      </c>
      <c r="F1394" s="2">
        <f>IFERROR(__xludf.DUMMYFUNCTION("""COMPUTED_VALUE"""),1.0)</f>
        <v>1</v>
      </c>
      <c r="G1394" s="2" t="str">
        <f>IFERROR(__xludf.DUMMYFUNCTION("""COMPUTED_VALUE"""),"PR033")</f>
        <v>PR033</v>
      </c>
      <c r="H1394" s="2" t="str">
        <f>IFERROR(__xludf.DUMMYFUNCTION("""COMPUTED_VALUE"""),"VD025")</f>
        <v>VD025</v>
      </c>
      <c r="I1394" s="2">
        <f>IFERROR(__xludf.DUMMYFUNCTION("""COMPUTED_VALUE"""),2.0)</f>
        <v>2</v>
      </c>
      <c r="J1394" s="2">
        <f>IFERROR(__xludf.DUMMYFUNCTION("""COMPUTED_VALUE"""),550.99)</f>
        <v>550.99</v>
      </c>
      <c r="K1394" s="2">
        <f>IFERROR(__xludf.DUMMYFUNCTION("""COMPUTED_VALUE"""),550.99)</f>
        <v>550.99</v>
      </c>
    </row>
    <row r="1395">
      <c r="A1395" s="2">
        <f>IFERROR(__xludf.DUMMYFUNCTION("""COMPUTED_VALUE"""),1000.0)</f>
        <v>1000</v>
      </c>
      <c r="B1395" s="2">
        <f>IFERROR(__xludf.DUMMYFUNCTION("""COMPUTED_VALUE"""),184470.0)</f>
        <v>184470</v>
      </c>
      <c r="C1395" s="2">
        <f>IFERROR(__xludf.DUMMYFUNCTION("""COMPUTED_VALUE"""),2026.0)</f>
        <v>2026</v>
      </c>
      <c r="D1395" s="2">
        <f>IFERROR(__xludf.DUMMYFUNCTION("""COMPUTED_VALUE"""),46096.0)</f>
        <v>46096</v>
      </c>
      <c r="E1395" s="2" t="str">
        <f>IFERROR(__xludf.DUMMYFUNCTION("""COMPUTED_VALUE"""),"VF")</f>
        <v>VF</v>
      </c>
      <c r="F1395" s="2">
        <f>IFERROR(__xludf.DUMMYFUNCTION("""COMPUTED_VALUE"""),1.0)</f>
        <v>1</v>
      </c>
      <c r="G1395" s="2" t="str">
        <f>IFERROR(__xludf.DUMMYFUNCTION("""COMPUTED_VALUE"""),"PR054")</f>
        <v>PR054</v>
      </c>
      <c r="H1395" s="2" t="str">
        <f>IFERROR(__xludf.DUMMYFUNCTION("""COMPUTED_VALUE"""),"VD028")</f>
        <v>VD028</v>
      </c>
      <c r="I1395" s="2">
        <f>IFERROR(__xludf.DUMMYFUNCTION("""COMPUTED_VALUE"""),5.0)</f>
        <v>5</v>
      </c>
      <c r="J1395" s="2">
        <f>IFERROR(__xludf.DUMMYFUNCTION("""COMPUTED_VALUE"""),274.45)</f>
        <v>274.45</v>
      </c>
      <c r="K1395" s="2">
        <f>IFERROR(__xludf.DUMMYFUNCTION("""COMPUTED_VALUE"""),274.45)</f>
        <v>274.45</v>
      </c>
    </row>
    <row r="1396">
      <c r="A1396" s="2">
        <f>IFERROR(__xludf.DUMMYFUNCTION("""COMPUTED_VALUE"""),1000.0)</f>
        <v>1000</v>
      </c>
      <c r="B1396" s="2">
        <f>IFERROR(__xludf.DUMMYFUNCTION("""COMPUTED_VALUE"""),184471.0)</f>
        <v>184471</v>
      </c>
      <c r="C1396" s="2">
        <f>IFERROR(__xludf.DUMMYFUNCTION("""COMPUTED_VALUE"""),2026.0)</f>
        <v>2026</v>
      </c>
      <c r="D1396" s="2">
        <f>IFERROR(__xludf.DUMMYFUNCTION("""COMPUTED_VALUE"""),46095.0)</f>
        <v>46095</v>
      </c>
      <c r="E1396" s="2" t="str">
        <f>IFERROR(__xludf.DUMMYFUNCTION("""COMPUTED_VALUE"""),"VF")</f>
        <v>VF</v>
      </c>
      <c r="F1396" s="2">
        <f>IFERROR(__xludf.DUMMYFUNCTION("""COMPUTED_VALUE"""),1.0)</f>
        <v>1</v>
      </c>
      <c r="G1396" s="2" t="str">
        <f>IFERROR(__xludf.DUMMYFUNCTION("""COMPUTED_VALUE"""),"PR050")</f>
        <v>PR050</v>
      </c>
      <c r="H1396" s="2" t="str">
        <f>IFERROR(__xludf.DUMMYFUNCTION("""COMPUTED_VALUE"""),"VD043")</f>
        <v>VD043</v>
      </c>
      <c r="I1396" s="2">
        <f>IFERROR(__xludf.DUMMYFUNCTION("""COMPUTED_VALUE"""),4.0)</f>
        <v>4</v>
      </c>
      <c r="J1396" s="2">
        <f>IFERROR(__xludf.DUMMYFUNCTION("""COMPUTED_VALUE"""),132.92)</f>
        <v>132.92</v>
      </c>
      <c r="K1396" s="2">
        <f>IFERROR(__xludf.DUMMYFUNCTION("""COMPUTED_VALUE"""),132.92)</f>
        <v>132.92</v>
      </c>
    </row>
    <row r="1397">
      <c r="A1397" s="2">
        <f>IFERROR(__xludf.DUMMYFUNCTION("""COMPUTED_VALUE"""),1000.0)</f>
        <v>1000</v>
      </c>
      <c r="B1397" s="2">
        <f>IFERROR(__xludf.DUMMYFUNCTION("""COMPUTED_VALUE"""),184472.0)</f>
        <v>184472</v>
      </c>
      <c r="C1397" s="2">
        <f>IFERROR(__xludf.DUMMYFUNCTION("""COMPUTED_VALUE"""),2026.0)</f>
        <v>2026</v>
      </c>
      <c r="D1397" s="2">
        <f>IFERROR(__xludf.DUMMYFUNCTION("""COMPUTED_VALUE"""),46095.0)</f>
        <v>46095</v>
      </c>
      <c r="E1397" s="2" t="str">
        <f>IFERROR(__xludf.DUMMYFUNCTION("""COMPUTED_VALUE"""),"VF")</f>
        <v>VF</v>
      </c>
      <c r="F1397" s="2">
        <f>IFERROR(__xludf.DUMMYFUNCTION("""COMPUTED_VALUE"""),1.0)</f>
        <v>1</v>
      </c>
      <c r="G1397" s="2" t="str">
        <f>IFERROR(__xludf.DUMMYFUNCTION("""COMPUTED_VALUE"""),"PR029")</f>
        <v>PR029</v>
      </c>
      <c r="H1397" s="2" t="str">
        <f>IFERROR(__xludf.DUMMYFUNCTION("""COMPUTED_VALUE"""),"VD021")</f>
        <v>VD021</v>
      </c>
      <c r="I1397" s="2">
        <f>IFERROR(__xludf.DUMMYFUNCTION("""COMPUTED_VALUE"""),6.0)</f>
        <v>6</v>
      </c>
      <c r="J1397" s="2">
        <f>IFERROR(__xludf.DUMMYFUNCTION("""COMPUTED_VALUE"""),1683.0)</f>
        <v>1683</v>
      </c>
      <c r="K1397" s="2">
        <f>IFERROR(__xludf.DUMMYFUNCTION("""COMPUTED_VALUE"""),1683.0)</f>
        <v>1683</v>
      </c>
    </row>
    <row r="1398">
      <c r="A1398" s="2">
        <f>IFERROR(__xludf.DUMMYFUNCTION("""COMPUTED_VALUE"""),2000.0)</f>
        <v>2000</v>
      </c>
      <c r="B1398" s="2">
        <f>IFERROR(__xludf.DUMMYFUNCTION("""COMPUTED_VALUE"""),184473.0)</f>
        <v>184473</v>
      </c>
      <c r="C1398" s="2">
        <f>IFERROR(__xludf.DUMMYFUNCTION("""COMPUTED_VALUE"""),2026.0)</f>
        <v>2026</v>
      </c>
      <c r="D1398" s="2">
        <f>IFERROR(__xludf.DUMMYFUNCTION("""COMPUTED_VALUE"""),46095.0)</f>
        <v>46095</v>
      </c>
      <c r="E1398" s="2" t="str">
        <f>IFERROR(__xludf.DUMMYFUNCTION("""COMPUTED_VALUE"""),"VF")</f>
        <v>VF</v>
      </c>
      <c r="F1398" s="2">
        <f>IFERROR(__xludf.DUMMYFUNCTION("""COMPUTED_VALUE"""),1.0)</f>
        <v>1</v>
      </c>
      <c r="G1398" s="2" t="str">
        <f>IFERROR(__xludf.DUMMYFUNCTION("""COMPUTED_VALUE"""),"PR057")</f>
        <v>PR057</v>
      </c>
      <c r="H1398" s="2" t="str">
        <f>IFERROR(__xludf.DUMMYFUNCTION("""COMPUTED_VALUE"""),"VD033")</f>
        <v>VD033</v>
      </c>
      <c r="I1398" s="2">
        <f>IFERROR(__xludf.DUMMYFUNCTION("""COMPUTED_VALUE"""),6.0)</f>
        <v>6</v>
      </c>
      <c r="J1398" s="2">
        <f>IFERROR(__xludf.DUMMYFUNCTION("""COMPUTED_VALUE"""),566.37)</f>
        <v>566.37</v>
      </c>
      <c r="K1398" s="2">
        <f>IFERROR(__xludf.DUMMYFUNCTION("""COMPUTED_VALUE"""),566.37)</f>
        <v>566.37</v>
      </c>
    </row>
    <row r="1399">
      <c r="A1399" s="2">
        <f>IFERROR(__xludf.DUMMYFUNCTION("""COMPUTED_VALUE"""),1000.0)</f>
        <v>1000</v>
      </c>
      <c r="B1399" s="2">
        <f>IFERROR(__xludf.DUMMYFUNCTION("""COMPUTED_VALUE"""),184474.0)</f>
        <v>184474</v>
      </c>
      <c r="C1399" s="2">
        <f>IFERROR(__xludf.DUMMYFUNCTION("""COMPUTED_VALUE"""),2026.0)</f>
        <v>2026</v>
      </c>
      <c r="D1399" s="2">
        <f>IFERROR(__xludf.DUMMYFUNCTION("""COMPUTED_VALUE"""),46095.0)</f>
        <v>46095</v>
      </c>
      <c r="E1399" s="2" t="str">
        <f>IFERROR(__xludf.DUMMYFUNCTION("""COMPUTED_VALUE"""),"VF")</f>
        <v>VF</v>
      </c>
      <c r="F1399" s="2">
        <f>IFERROR(__xludf.DUMMYFUNCTION("""COMPUTED_VALUE"""),1.0)</f>
        <v>1</v>
      </c>
      <c r="G1399" s="2" t="str">
        <f>IFERROR(__xludf.DUMMYFUNCTION("""COMPUTED_VALUE"""),"PR006")</f>
        <v>PR006</v>
      </c>
      <c r="H1399" s="2" t="str">
        <f>IFERROR(__xludf.DUMMYFUNCTION("""COMPUTED_VALUE"""),"VD028")</f>
        <v>VD028</v>
      </c>
      <c r="I1399" s="2">
        <f>IFERROR(__xludf.DUMMYFUNCTION("""COMPUTED_VALUE"""),16.0)</f>
        <v>16</v>
      </c>
      <c r="J1399" s="2">
        <f>IFERROR(__xludf.DUMMYFUNCTION("""COMPUTED_VALUE"""),689.47)</f>
        <v>689.47</v>
      </c>
      <c r="K1399" s="2">
        <f>IFERROR(__xludf.DUMMYFUNCTION("""COMPUTED_VALUE"""),689.47)</f>
        <v>689.47</v>
      </c>
    </row>
    <row r="1400">
      <c r="A1400" s="2">
        <f>IFERROR(__xludf.DUMMYFUNCTION("""COMPUTED_VALUE"""),1000.0)</f>
        <v>1000</v>
      </c>
      <c r="B1400" s="2">
        <f>IFERROR(__xludf.DUMMYFUNCTION("""COMPUTED_VALUE"""),184474.0)</f>
        <v>184474</v>
      </c>
      <c r="C1400" s="2">
        <f>IFERROR(__xludf.DUMMYFUNCTION("""COMPUTED_VALUE"""),2026.0)</f>
        <v>2026</v>
      </c>
      <c r="D1400" s="2">
        <f>IFERROR(__xludf.DUMMYFUNCTION("""COMPUTED_VALUE"""),46095.0)</f>
        <v>46095</v>
      </c>
      <c r="E1400" s="2" t="str">
        <f>IFERROR(__xludf.DUMMYFUNCTION("""COMPUTED_VALUE"""),"VF")</f>
        <v>VF</v>
      </c>
      <c r="F1400" s="2">
        <f>IFERROR(__xludf.DUMMYFUNCTION("""COMPUTED_VALUE"""),2.0)</f>
        <v>2</v>
      </c>
      <c r="G1400" s="2" t="str">
        <f>IFERROR(__xludf.DUMMYFUNCTION("""COMPUTED_VALUE"""),"PR006")</f>
        <v>PR006</v>
      </c>
      <c r="H1400" s="2" t="str">
        <f>IFERROR(__xludf.DUMMYFUNCTION("""COMPUTED_VALUE"""),"VD032")</f>
        <v>VD032</v>
      </c>
      <c r="I1400" s="2">
        <f>IFERROR(__xludf.DUMMYFUNCTION("""COMPUTED_VALUE"""),8.0)</f>
        <v>8</v>
      </c>
      <c r="J1400" s="2">
        <f>IFERROR(__xludf.DUMMYFUNCTION("""COMPUTED_VALUE"""),347.93)</f>
        <v>347.93</v>
      </c>
      <c r="K1400" s="2">
        <f>IFERROR(__xludf.DUMMYFUNCTION("""COMPUTED_VALUE"""),347.93)</f>
        <v>347.93</v>
      </c>
    </row>
    <row r="1401">
      <c r="A1401" s="2">
        <f>IFERROR(__xludf.DUMMYFUNCTION("""COMPUTED_VALUE"""),1000.0)</f>
        <v>1000</v>
      </c>
      <c r="B1401" s="2">
        <f>IFERROR(__xludf.DUMMYFUNCTION("""COMPUTED_VALUE"""),184474.0)</f>
        <v>184474</v>
      </c>
      <c r="C1401" s="2">
        <f>IFERROR(__xludf.DUMMYFUNCTION("""COMPUTED_VALUE"""),2026.0)</f>
        <v>2026</v>
      </c>
      <c r="D1401" s="2">
        <f>IFERROR(__xludf.DUMMYFUNCTION("""COMPUTED_VALUE"""),46095.0)</f>
        <v>46095</v>
      </c>
      <c r="E1401" s="2" t="str">
        <f>IFERROR(__xludf.DUMMYFUNCTION("""COMPUTED_VALUE"""),"VF")</f>
        <v>VF</v>
      </c>
      <c r="F1401" s="2">
        <f>IFERROR(__xludf.DUMMYFUNCTION("""COMPUTED_VALUE"""),3.0)</f>
        <v>3</v>
      </c>
      <c r="G1401" s="2" t="str">
        <f>IFERROR(__xludf.DUMMYFUNCTION("""COMPUTED_VALUE"""),"PR014")</f>
        <v>PR014</v>
      </c>
      <c r="H1401" s="2" t="str">
        <f>IFERROR(__xludf.DUMMYFUNCTION("""COMPUTED_VALUE"""),"VD028")</f>
        <v>VD028</v>
      </c>
      <c r="I1401" s="2">
        <f>IFERROR(__xludf.DUMMYFUNCTION("""COMPUTED_VALUE"""),7.0)</f>
        <v>7</v>
      </c>
      <c r="J1401" s="2">
        <f>IFERROR(__xludf.DUMMYFUNCTION("""COMPUTED_VALUE"""),290.47)</f>
        <v>290.47</v>
      </c>
      <c r="K1401" s="2">
        <f>IFERROR(__xludf.DUMMYFUNCTION("""COMPUTED_VALUE"""),290.47)</f>
        <v>290.47</v>
      </c>
    </row>
    <row r="1402">
      <c r="A1402" s="2">
        <f>IFERROR(__xludf.DUMMYFUNCTION("""COMPUTED_VALUE"""),1000.0)</f>
        <v>1000</v>
      </c>
      <c r="B1402" s="2">
        <f>IFERROR(__xludf.DUMMYFUNCTION("""COMPUTED_VALUE"""),184474.0)</f>
        <v>184474</v>
      </c>
      <c r="C1402" s="2">
        <f>IFERROR(__xludf.DUMMYFUNCTION("""COMPUTED_VALUE"""),2026.0)</f>
        <v>2026</v>
      </c>
      <c r="D1402" s="2">
        <f>IFERROR(__xludf.DUMMYFUNCTION("""COMPUTED_VALUE"""),46094.0)</f>
        <v>46094</v>
      </c>
      <c r="E1402" s="2" t="str">
        <f>IFERROR(__xludf.DUMMYFUNCTION("""COMPUTED_VALUE"""),"VF")</f>
        <v>VF</v>
      </c>
      <c r="F1402" s="2">
        <f>IFERROR(__xludf.DUMMYFUNCTION("""COMPUTED_VALUE"""),4.0)</f>
        <v>4</v>
      </c>
      <c r="G1402" s="2" t="str">
        <f>IFERROR(__xludf.DUMMYFUNCTION("""COMPUTED_VALUE"""),"PR027")</f>
        <v>PR027</v>
      </c>
      <c r="H1402" s="2" t="str">
        <f>IFERROR(__xludf.DUMMYFUNCTION("""COMPUTED_VALUE"""),"VD042")</f>
        <v>VD042</v>
      </c>
      <c r="I1402" s="2">
        <f>IFERROR(__xludf.DUMMYFUNCTION("""COMPUTED_VALUE"""),8.0)</f>
        <v>8</v>
      </c>
      <c r="J1402" s="2">
        <f>IFERROR(__xludf.DUMMYFUNCTION("""COMPUTED_VALUE"""),960.0)</f>
        <v>960</v>
      </c>
      <c r="K1402" s="2">
        <f>IFERROR(__xludf.DUMMYFUNCTION("""COMPUTED_VALUE"""),960.0)</f>
        <v>960</v>
      </c>
    </row>
    <row r="1403">
      <c r="A1403" s="2">
        <f>IFERROR(__xludf.DUMMYFUNCTION("""COMPUTED_VALUE"""),1000.0)</f>
        <v>1000</v>
      </c>
      <c r="B1403" s="2">
        <f>IFERROR(__xludf.DUMMYFUNCTION("""COMPUTED_VALUE"""),184475.0)</f>
        <v>184475</v>
      </c>
      <c r="C1403" s="2">
        <f>IFERROR(__xludf.DUMMYFUNCTION("""COMPUTED_VALUE"""),2026.0)</f>
        <v>2026</v>
      </c>
      <c r="D1403" s="2">
        <f>IFERROR(__xludf.DUMMYFUNCTION("""COMPUTED_VALUE"""),46094.0)</f>
        <v>46094</v>
      </c>
      <c r="E1403" s="2" t="str">
        <f>IFERROR(__xludf.DUMMYFUNCTION("""COMPUTED_VALUE"""),"VF")</f>
        <v>VF</v>
      </c>
      <c r="F1403" s="2">
        <f>IFERROR(__xludf.DUMMYFUNCTION("""COMPUTED_VALUE"""),1.0)</f>
        <v>1</v>
      </c>
      <c r="G1403" s="2" t="str">
        <f>IFERROR(__xludf.DUMMYFUNCTION("""COMPUTED_VALUE"""),"PR004")</f>
        <v>PR004</v>
      </c>
      <c r="H1403" s="2" t="str">
        <f>IFERROR(__xludf.DUMMYFUNCTION("""COMPUTED_VALUE"""),"VD012")</f>
        <v>VD012</v>
      </c>
      <c r="I1403" s="2">
        <f>IFERROR(__xludf.DUMMYFUNCTION("""COMPUTED_VALUE"""),4.0)</f>
        <v>4</v>
      </c>
      <c r="J1403" s="2">
        <f>IFERROR(__xludf.DUMMYFUNCTION("""COMPUTED_VALUE"""),620.6)</f>
        <v>620.6</v>
      </c>
      <c r="K1403" s="2">
        <f>IFERROR(__xludf.DUMMYFUNCTION("""COMPUTED_VALUE"""),620.6)</f>
        <v>620.6</v>
      </c>
    </row>
    <row r="1404">
      <c r="A1404" s="2">
        <f>IFERROR(__xludf.DUMMYFUNCTION("""COMPUTED_VALUE"""),1000.0)</f>
        <v>1000</v>
      </c>
      <c r="B1404" s="2">
        <f>IFERROR(__xludf.DUMMYFUNCTION("""COMPUTED_VALUE"""),184476.0)</f>
        <v>184476</v>
      </c>
      <c r="C1404" s="2">
        <f>IFERROR(__xludf.DUMMYFUNCTION("""COMPUTED_VALUE"""),2026.0)</f>
        <v>2026</v>
      </c>
      <c r="D1404" s="2">
        <f>IFERROR(__xludf.DUMMYFUNCTION("""COMPUTED_VALUE"""),46093.0)</f>
        <v>46093</v>
      </c>
      <c r="E1404" s="2" t="str">
        <f>IFERROR(__xludf.DUMMYFUNCTION("""COMPUTED_VALUE"""),"VF")</f>
        <v>VF</v>
      </c>
      <c r="F1404" s="2">
        <f>IFERROR(__xludf.DUMMYFUNCTION("""COMPUTED_VALUE"""),1.0)</f>
        <v>1</v>
      </c>
      <c r="G1404" s="2" t="str">
        <f>IFERROR(__xludf.DUMMYFUNCTION("""COMPUTED_VALUE"""),"PR020")</f>
        <v>PR020</v>
      </c>
      <c r="H1404" s="2" t="str">
        <f>IFERROR(__xludf.DUMMYFUNCTION("""COMPUTED_VALUE"""),"VD018")</f>
        <v>VD018</v>
      </c>
      <c r="I1404" s="2">
        <f>IFERROR(__xludf.DUMMYFUNCTION("""COMPUTED_VALUE"""),10.0)</f>
        <v>10</v>
      </c>
      <c r="J1404" s="2">
        <f>IFERROR(__xludf.DUMMYFUNCTION("""COMPUTED_VALUE"""),3118.96)</f>
        <v>3118.96</v>
      </c>
      <c r="K1404" s="2">
        <f>IFERROR(__xludf.DUMMYFUNCTION("""COMPUTED_VALUE"""),3118.96)</f>
        <v>3118.96</v>
      </c>
    </row>
    <row r="1405">
      <c r="A1405" s="2">
        <f>IFERROR(__xludf.DUMMYFUNCTION("""COMPUTED_VALUE"""),1000.0)</f>
        <v>1000</v>
      </c>
      <c r="B1405" s="2">
        <f>IFERROR(__xludf.DUMMYFUNCTION("""COMPUTED_VALUE"""),184477.0)</f>
        <v>184477</v>
      </c>
      <c r="C1405" s="2">
        <f>IFERROR(__xludf.DUMMYFUNCTION("""COMPUTED_VALUE"""),2026.0)</f>
        <v>2026</v>
      </c>
      <c r="D1405" s="2">
        <f>IFERROR(__xludf.DUMMYFUNCTION("""COMPUTED_VALUE"""),46093.0)</f>
        <v>46093</v>
      </c>
      <c r="E1405" s="2" t="str">
        <f>IFERROR(__xludf.DUMMYFUNCTION("""COMPUTED_VALUE"""),"VF")</f>
        <v>VF</v>
      </c>
      <c r="F1405" s="2">
        <f>IFERROR(__xludf.DUMMYFUNCTION("""COMPUTED_VALUE"""),1.0)</f>
        <v>1</v>
      </c>
      <c r="G1405" s="2" t="str">
        <f>IFERROR(__xludf.DUMMYFUNCTION("""COMPUTED_VALUE"""),"PR004")</f>
        <v>PR004</v>
      </c>
      <c r="H1405" s="2" t="str">
        <f>IFERROR(__xludf.DUMMYFUNCTION("""COMPUTED_VALUE"""),"VD032")</f>
        <v>VD032</v>
      </c>
      <c r="I1405" s="2">
        <f>IFERROR(__xludf.DUMMYFUNCTION("""COMPUTED_VALUE"""),14.0)</f>
        <v>14</v>
      </c>
      <c r="J1405" s="2">
        <f>IFERROR(__xludf.DUMMYFUNCTION("""COMPUTED_VALUE"""),2172.1)</f>
        <v>2172.1</v>
      </c>
      <c r="K1405" s="2">
        <f>IFERROR(__xludf.DUMMYFUNCTION("""COMPUTED_VALUE"""),2172.1)</f>
        <v>2172.1</v>
      </c>
    </row>
    <row r="1406">
      <c r="A1406" s="2">
        <f>IFERROR(__xludf.DUMMYFUNCTION("""COMPUTED_VALUE"""),1000.0)</f>
        <v>1000</v>
      </c>
      <c r="B1406" s="2">
        <f>IFERROR(__xludf.DUMMYFUNCTION("""COMPUTED_VALUE"""),184478.0)</f>
        <v>184478</v>
      </c>
      <c r="C1406" s="2">
        <f>IFERROR(__xludf.DUMMYFUNCTION("""COMPUTED_VALUE"""),2026.0)</f>
        <v>2026</v>
      </c>
      <c r="D1406" s="2">
        <f>IFERROR(__xludf.DUMMYFUNCTION("""COMPUTED_VALUE"""),46093.0)</f>
        <v>46093</v>
      </c>
      <c r="E1406" s="2" t="str">
        <f>IFERROR(__xludf.DUMMYFUNCTION("""COMPUTED_VALUE"""),"VF")</f>
        <v>VF</v>
      </c>
      <c r="F1406" s="2">
        <f>IFERROR(__xludf.DUMMYFUNCTION("""COMPUTED_VALUE"""),1.0)</f>
        <v>1</v>
      </c>
      <c r="G1406" s="2" t="str">
        <f>IFERROR(__xludf.DUMMYFUNCTION("""COMPUTED_VALUE"""),"PR014")</f>
        <v>PR014</v>
      </c>
      <c r="H1406" s="2" t="str">
        <f>IFERROR(__xludf.DUMMYFUNCTION("""COMPUTED_VALUE"""),"VD036")</f>
        <v>VD036</v>
      </c>
      <c r="I1406" s="2">
        <f>IFERROR(__xludf.DUMMYFUNCTION("""COMPUTED_VALUE"""),3.0)</f>
        <v>3</v>
      </c>
      <c r="J1406" s="2">
        <f>IFERROR(__xludf.DUMMYFUNCTION("""COMPUTED_VALUE"""),124.49)</f>
        <v>124.49</v>
      </c>
      <c r="K1406" s="2">
        <f>IFERROR(__xludf.DUMMYFUNCTION("""COMPUTED_VALUE"""),124.49)</f>
        <v>124.49</v>
      </c>
    </row>
    <row r="1407">
      <c r="A1407" s="2">
        <f>IFERROR(__xludf.DUMMYFUNCTION("""COMPUTED_VALUE"""),1000.0)</f>
        <v>1000</v>
      </c>
      <c r="B1407" s="2">
        <f>IFERROR(__xludf.DUMMYFUNCTION("""COMPUTED_VALUE"""),184479.0)</f>
        <v>184479</v>
      </c>
      <c r="C1407" s="2">
        <f>IFERROR(__xludf.DUMMYFUNCTION("""COMPUTED_VALUE"""),2026.0)</f>
        <v>2026</v>
      </c>
      <c r="D1407" s="2">
        <f>IFERROR(__xludf.DUMMYFUNCTION("""COMPUTED_VALUE"""),46093.0)</f>
        <v>46093</v>
      </c>
      <c r="E1407" s="2" t="str">
        <f>IFERROR(__xludf.DUMMYFUNCTION("""COMPUTED_VALUE"""),"VF")</f>
        <v>VF</v>
      </c>
      <c r="F1407" s="2">
        <f>IFERROR(__xludf.DUMMYFUNCTION("""COMPUTED_VALUE"""),1.0)</f>
        <v>1</v>
      </c>
      <c r="G1407" s="2" t="str">
        <f>IFERROR(__xludf.DUMMYFUNCTION("""COMPUTED_VALUE"""),"PR033")</f>
        <v>PR033</v>
      </c>
      <c r="H1407" s="2" t="str">
        <f>IFERROR(__xludf.DUMMYFUNCTION("""COMPUTED_VALUE"""),"VD011")</f>
        <v>VD011</v>
      </c>
      <c r="I1407" s="2">
        <f>IFERROR(__xludf.DUMMYFUNCTION("""COMPUTED_VALUE"""),12.0)</f>
        <v>12</v>
      </c>
      <c r="J1407" s="2">
        <f>IFERROR(__xludf.DUMMYFUNCTION("""COMPUTED_VALUE"""),3149.99)</f>
        <v>3149.99</v>
      </c>
      <c r="K1407" s="2">
        <f>IFERROR(__xludf.DUMMYFUNCTION("""COMPUTED_VALUE"""),3149.99)</f>
        <v>3149.99</v>
      </c>
    </row>
    <row r="1408">
      <c r="A1408" s="2">
        <f>IFERROR(__xludf.DUMMYFUNCTION("""COMPUTED_VALUE"""),2000.0)</f>
        <v>2000</v>
      </c>
      <c r="B1408" s="2">
        <f>IFERROR(__xludf.DUMMYFUNCTION("""COMPUTED_VALUE"""),184480.0)</f>
        <v>184480</v>
      </c>
      <c r="C1408" s="2">
        <f>IFERROR(__xludf.DUMMYFUNCTION("""COMPUTED_VALUE"""),2026.0)</f>
        <v>2026</v>
      </c>
      <c r="D1408" s="2">
        <f>IFERROR(__xludf.DUMMYFUNCTION("""COMPUTED_VALUE"""),46093.0)</f>
        <v>46093</v>
      </c>
      <c r="E1408" s="2" t="str">
        <f>IFERROR(__xludf.DUMMYFUNCTION("""COMPUTED_VALUE"""),"VF")</f>
        <v>VF</v>
      </c>
      <c r="F1408" s="2">
        <f>IFERROR(__xludf.DUMMYFUNCTION("""COMPUTED_VALUE"""),1.0)</f>
        <v>1</v>
      </c>
      <c r="G1408" s="2" t="str">
        <f>IFERROR(__xludf.DUMMYFUNCTION("""COMPUTED_VALUE"""),"PR049")</f>
        <v>PR049</v>
      </c>
      <c r="H1408" s="2" t="str">
        <f>IFERROR(__xludf.DUMMYFUNCTION("""COMPUTED_VALUE"""),"VD021")</f>
        <v>VD021</v>
      </c>
      <c r="I1408" s="2">
        <f>IFERROR(__xludf.DUMMYFUNCTION("""COMPUTED_VALUE"""),5.0)</f>
        <v>5</v>
      </c>
      <c r="J1408" s="2">
        <f>IFERROR(__xludf.DUMMYFUNCTION("""COMPUTED_VALUE"""),164.5)</f>
        <v>164.5</v>
      </c>
      <c r="K1408" s="2">
        <f>IFERROR(__xludf.DUMMYFUNCTION("""COMPUTED_VALUE"""),164.5)</f>
        <v>164.5</v>
      </c>
    </row>
    <row r="1409">
      <c r="A1409" s="2">
        <f>IFERROR(__xludf.DUMMYFUNCTION("""COMPUTED_VALUE"""),1000.0)</f>
        <v>1000</v>
      </c>
      <c r="B1409" s="2">
        <f>IFERROR(__xludf.DUMMYFUNCTION("""COMPUTED_VALUE"""),184481.0)</f>
        <v>184481</v>
      </c>
      <c r="C1409" s="2">
        <f>IFERROR(__xludf.DUMMYFUNCTION("""COMPUTED_VALUE"""),2026.0)</f>
        <v>2026</v>
      </c>
      <c r="D1409" s="2">
        <f>IFERROR(__xludf.DUMMYFUNCTION("""COMPUTED_VALUE"""),46093.0)</f>
        <v>46093</v>
      </c>
      <c r="E1409" s="2" t="str">
        <f>IFERROR(__xludf.DUMMYFUNCTION("""COMPUTED_VALUE"""),"VF")</f>
        <v>VF</v>
      </c>
      <c r="F1409" s="2">
        <f>IFERROR(__xludf.DUMMYFUNCTION("""COMPUTED_VALUE"""),1.0)</f>
        <v>1</v>
      </c>
      <c r="G1409" s="2" t="str">
        <f>IFERROR(__xludf.DUMMYFUNCTION("""COMPUTED_VALUE"""),"PR021")</f>
        <v>PR021</v>
      </c>
      <c r="H1409" s="2" t="str">
        <f>IFERROR(__xludf.DUMMYFUNCTION("""COMPUTED_VALUE"""),"VD045")</f>
        <v>VD045</v>
      </c>
      <c r="I1409" s="2">
        <f>IFERROR(__xludf.DUMMYFUNCTION("""COMPUTED_VALUE"""),16.0)</f>
        <v>16</v>
      </c>
      <c r="J1409" s="2">
        <f>IFERROR(__xludf.DUMMYFUNCTION("""COMPUTED_VALUE"""),5088.72)</f>
        <v>5088.72</v>
      </c>
      <c r="K1409" s="2">
        <f>IFERROR(__xludf.DUMMYFUNCTION("""COMPUTED_VALUE"""),5088.72)</f>
        <v>5088.72</v>
      </c>
    </row>
    <row r="1410">
      <c r="A1410" s="2">
        <f>IFERROR(__xludf.DUMMYFUNCTION("""COMPUTED_VALUE"""),2000.0)</f>
        <v>2000</v>
      </c>
      <c r="B1410" s="2">
        <f>IFERROR(__xludf.DUMMYFUNCTION("""COMPUTED_VALUE"""),184481.0)</f>
        <v>184481</v>
      </c>
      <c r="C1410" s="2">
        <f>IFERROR(__xludf.DUMMYFUNCTION("""COMPUTED_VALUE"""),2026.0)</f>
        <v>2026</v>
      </c>
      <c r="D1410" s="2">
        <f>IFERROR(__xludf.DUMMYFUNCTION("""COMPUTED_VALUE"""),46093.0)</f>
        <v>46093</v>
      </c>
      <c r="E1410" s="2" t="str">
        <f>IFERROR(__xludf.DUMMYFUNCTION("""COMPUTED_VALUE"""),"VF")</f>
        <v>VF</v>
      </c>
      <c r="F1410" s="2">
        <f>IFERROR(__xludf.DUMMYFUNCTION("""COMPUTED_VALUE"""),2.0)</f>
        <v>2</v>
      </c>
      <c r="G1410" s="2" t="str">
        <f>IFERROR(__xludf.DUMMYFUNCTION("""COMPUTED_VALUE"""),"PR018")</f>
        <v>PR018</v>
      </c>
      <c r="H1410" s="2" t="str">
        <f>IFERROR(__xludf.DUMMYFUNCTION("""COMPUTED_VALUE"""),"VD017")</f>
        <v>VD017</v>
      </c>
      <c r="I1410" s="2">
        <f>IFERROR(__xludf.DUMMYFUNCTION("""COMPUTED_VALUE"""),8.0)</f>
        <v>8</v>
      </c>
      <c r="J1410" s="2">
        <f>IFERROR(__xludf.DUMMYFUNCTION("""COMPUTED_VALUE"""),268.46)</f>
        <v>268.46</v>
      </c>
      <c r="K1410" s="2">
        <f>IFERROR(__xludf.DUMMYFUNCTION("""COMPUTED_VALUE"""),268.46)</f>
        <v>268.46</v>
      </c>
    </row>
    <row r="1411">
      <c r="A1411" s="2">
        <f>IFERROR(__xludf.DUMMYFUNCTION("""COMPUTED_VALUE"""),1000.0)</f>
        <v>1000</v>
      </c>
      <c r="B1411" s="2">
        <f>IFERROR(__xludf.DUMMYFUNCTION("""COMPUTED_VALUE"""),184482.0)</f>
        <v>184482</v>
      </c>
      <c r="C1411" s="2">
        <f>IFERROR(__xludf.DUMMYFUNCTION("""COMPUTED_VALUE"""),2026.0)</f>
        <v>2026</v>
      </c>
      <c r="D1411" s="2">
        <f>IFERROR(__xludf.DUMMYFUNCTION("""COMPUTED_VALUE"""),46092.0)</f>
        <v>46092</v>
      </c>
      <c r="E1411" s="2" t="str">
        <f>IFERROR(__xludf.DUMMYFUNCTION("""COMPUTED_VALUE"""),"VF")</f>
        <v>VF</v>
      </c>
      <c r="F1411" s="2">
        <f>IFERROR(__xludf.DUMMYFUNCTION("""COMPUTED_VALUE"""),1.0)</f>
        <v>1</v>
      </c>
      <c r="G1411" s="2" t="str">
        <f>IFERROR(__xludf.DUMMYFUNCTION("""COMPUTED_VALUE"""),"PR038")</f>
        <v>PR038</v>
      </c>
      <c r="H1411" s="2" t="str">
        <f>IFERROR(__xludf.DUMMYFUNCTION("""COMPUTED_VALUE"""),"VD028")</f>
        <v>VD028</v>
      </c>
      <c r="I1411" s="2">
        <f>IFERROR(__xludf.DUMMYFUNCTION("""COMPUTED_VALUE"""),6.0)</f>
        <v>6</v>
      </c>
      <c r="J1411" s="2">
        <f>IFERROR(__xludf.DUMMYFUNCTION("""COMPUTED_VALUE"""),908.84)</f>
        <v>908.84</v>
      </c>
      <c r="K1411" s="2">
        <f>IFERROR(__xludf.DUMMYFUNCTION("""COMPUTED_VALUE"""),908.84)</f>
        <v>908.84</v>
      </c>
    </row>
    <row r="1412">
      <c r="A1412" s="2">
        <f>IFERROR(__xludf.DUMMYFUNCTION("""COMPUTED_VALUE"""),2000.0)</f>
        <v>2000</v>
      </c>
      <c r="B1412" s="2">
        <f>IFERROR(__xludf.DUMMYFUNCTION("""COMPUTED_VALUE"""),184482.0)</f>
        <v>184482</v>
      </c>
      <c r="C1412" s="2">
        <f>IFERROR(__xludf.DUMMYFUNCTION("""COMPUTED_VALUE"""),2026.0)</f>
        <v>2026</v>
      </c>
      <c r="D1412" s="2">
        <f>IFERROR(__xludf.DUMMYFUNCTION("""COMPUTED_VALUE"""),46092.0)</f>
        <v>46092</v>
      </c>
      <c r="E1412" s="2" t="str">
        <f>IFERROR(__xludf.DUMMYFUNCTION("""COMPUTED_VALUE"""),"VF")</f>
        <v>VF</v>
      </c>
      <c r="F1412" s="2">
        <f>IFERROR(__xludf.DUMMYFUNCTION("""COMPUTED_VALUE"""),2.0)</f>
        <v>2</v>
      </c>
      <c r="G1412" s="2" t="str">
        <f>IFERROR(__xludf.DUMMYFUNCTION("""COMPUTED_VALUE"""),"PR037")</f>
        <v>PR037</v>
      </c>
      <c r="H1412" s="2" t="str">
        <f>IFERROR(__xludf.DUMMYFUNCTION("""COMPUTED_VALUE"""),"VD019")</f>
        <v>VD019</v>
      </c>
      <c r="I1412" s="2">
        <f>IFERROR(__xludf.DUMMYFUNCTION("""COMPUTED_VALUE"""),5.0)</f>
        <v>5</v>
      </c>
      <c r="J1412" s="2">
        <f>IFERROR(__xludf.DUMMYFUNCTION("""COMPUTED_VALUE"""),707.0)</f>
        <v>707</v>
      </c>
      <c r="K1412" s="2">
        <f>IFERROR(__xludf.DUMMYFUNCTION("""COMPUTED_VALUE"""),707.0)</f>
        <v>707</v>
      </c>
    </row>
    <row r="1413">
      <c r="A1413" s="2">
        <f>IFERROR(__xludf.DUMMYFUNCTION("""COMPUTED_VALUE"""),1000.0)</f>
        <v>1000</v>
      </c>
      <c r="B1413" s="2">
        <f>IFERROR(__xludf.DUMMYFUNCTION("""COMPUTED_VALUE"""),184483.0)</f>
        <v>184483</v>
      </c>
      <c r="C1413" s="2">
        <f>IFERROR(__xludf.DUMMYFUNCTION("""COMPUTED_VALUE"""),2026.0)</f>
        <v>2026</v>
      </c>
      <c r="D1413" s="2">
        <f>IFERROR(__xludf.DUMMYFUNCTION("""COMPUTED_VALUE"""),46091.0)</f>
        <v>46091</v>
      </c>
      <c r="E1413" s="2" t="str">
        <f>IFERROR(__xludf.DUMMYFUNCTION("""COMPUTED_VALUE"""),"VF")</f>
        <v>VF</v>
      </c>
      <c r="F1413" s="2">
        <f>IFERROR(__xludf.DUMMYFUNCTION("""COMPUTED_VALUE"""),1.0)</f>
        <v>1</v>
      </c>
      <c r="G1413" s="2" t="str">
        <f>IFERROR(__xludf.DUMMYFUNCTION("""COMPUTED_VALUE"""),"PR041")</f>
        <v>PR041</v>
      </c>
      <c r="H1413" s="2" t="str">
        <f>IFERROR(__xludf.DUMMYFUNCTION("""COMPUTED_VALUE"""),"VD024")</f>
        <v>VD024</v>
      </c>
      <c r="I1413" s="2">
        <f>IFERROR(__xludf.DUMMYFUNCTION("""COMPUTED_VALUE"""),10.0)</f>
        <v>10</v>
      </c>
      <c r="J1413" s="2">
        <f>IFERROR(__xludf.DUMMYFUNCTION("""COMPUTED_VALUE"""),576.45)</f>
        <v>576.45</v>
      </c>
      <c r="K1413" s="2">
        <f>IFERROR(__xludf.DUMMYFUNCTION("""COMPUTED_VALUE"""),576.45)</f>
        <v>576.45</v>
      </c>
    </row>
    <row r="1414">
      <c r="A1414" s="2">
        <f>IFERROR(__xludf.DUMMYFUNCTION("""COMPUTED_VALUE"""),1000.0)</f>
        <v>1000</v>
      </c>
      <c r="B1414" s="2">
        <f>IFERROR(__xludf.DUMMYFUNCTION("""COMPUTED_VALUE"""),184484.0)</f>
        <v>184484</v>
      </c>
      <c r="C1414" s="2">
        <f>IFERROR(__xludf.DUMMYFUNCTION("""COMPUTED_VALUE"""),2026.0)</f>
        <v>2026</v>
      </c>
      <c r="D1414" s="2">
        <f>IFERROR(__xludf.DUMMYFUNCTION("""COMPUTED_VALUE"""),46091.0)</f>
        <v>46091</v>
      </c>
      <c r="E1414" s="2" t="str">
        <f>IFERROR(__xludf.DUMMYFUNCTION("""COMPUTED_VALUE"""),"VF")</f>
        <v>VF</v>
      </c>
      <c r="F1414" s="2">
        <f>IFERROR(__xludf.DUMMYFUNCTION("""COMPUTED_VALUE"""),1.0)</f>
        <v>1</v>
      </c>
      <c r="G1414" s="2" t="str">
        <f>IFERROR(__xludf.DUMMYFUNCTION("""COMPUTED_VALUE"""),"PR014")</f>
        <v>PR014</v>
      </c>
      <c r="H1414" s="2" t="str">
        <f>IFERROR(__xludf.DUMMYFUNCTION("""COMPUTED_VALUE"""),"VD034")</f>
        <v>VD034</v>
      </c>
      <c r="I1414" s="2">
        <f>IFERROR(__xludf.DUMMYFUNCTION("""COMPUTED_VALUE"""),6.0)</f>
        <v>6</v>
      </c>
      <c r="J1414" s="2">
        <f>IFERROR(__xludf.DUMMYFUNCTION("""COMPUTED_VALUE"""),260.95)</f>
        <v>260.95</v>
      </c>
      <c r="K1414" s="2">
        <f>IFERROR(__xludf.DUMMYFUNCTION("""COMPUTED_VALUE"""),260.95)</f>
        <v>260.95</v>
      </c>
    </row>
    <row r="1415">
      <c r="A1415" s="2">
        <f>IFERROR(__xludf.DUMMYFUNCTION("""COMPUTED_VALUE"""),1000.0)</f>
        <v>1000</v>
      </c>
      <c r="B1415" s="2">
        <f>IFERROR(__xludf.DUMMYFUNCTION("""COMPUTED_VALUE"""),184485.0)</f>
        <v>184485</v>
      </c>
      <c r="C1415" s="2">
        <f>IFERROR(__xludf.DUMMYFUNCTION("""COMPUTED_VALUE"""),2026.0)</f>
        <v>2026</v>
      </c>
      <c r="D1415" s="2">
        <f>IFERROR(__xludf.DUMMYFUNCTION("""COMPUTED_VALUE"""),46091.0)</f>
        <v>46091</v>
      </c>
      <c r="E1415" s="2" t="str">
        <f>IFERROR(__xludf.DUMMYFUNCTION("""COMPUTED_VALUE"""),"VF")</f>
        <v>VF</v>
      </c>
      <c r="F1415" s="2">
        <f>IFERROR(__xludf.DUMMYFUNCTION("""COMPUTED_VALUE"""),1.0)</f>
        <v>1</v>
      </c>
      <c r="G1415" s="2" t="str">
        <f>IFERROR(__xludf.DUMMYFUNCTION("""COMPUTED_VALUE"""),"PR002")</f>
        <v>PR002</v>
      </c>
      <c r="H1415" s="2" t="str">
        <f>IFERROR(__xludf.DUMMYFUNCTION("""COMPUTED_VALUE"""),"VD041")</f>
        <v>VD041</v>
      </c>
      <c r="I1415" s="2">
        <f>IFERROR(__xludf.DUMMYFUNCTION("""COMPUTED_VALUE"""),8.0)</f>
        <v>8</v>
      </c>
      <c r="J1415" s="2">
        <f>IFERROR(__xludf.DUMMYFUNCTION("""COMPUTED_VALUE"""),609.53)</f>
        <v>609.53</v>
      </c>
      <c r="K1415" s="2">
        <f>IFERROR(__xludf.DUMMYFUNCTION("""COMPUTED_VALUE"""),609.53)</f>
        <v>609.53</v>
      </c>
    </row>
    <row r="1416">
      <c r="A1416" s="2">
        <f>IFERROR(__xludf.DUMMYFUNCTION("""COMPUTED_VALUE"""),1000.0)</f>
        <v>1000</v>
      </c>
      <c r="B1416" s="2">
        <f>IFERROR(__xludf.DUMMYFUNCTION("""COMPUTED_VALUE"""),184486.0)</f>
        <v>184486</v>
      </c>
      <c r="C1416" s="2">
        <f>IFERROR(__xludf.DUMMYFUNCTION("""COMPUTED_VALUE"""),2026.0)</f>
        <v>2026</v>
      </c>
      <c r="D1416" s="2">
        <f>IFERROR(__xludf.DUMMYFUNCTION("""COMPUTED_VALUE"""),46091.0)</f>
        <v>46091</v>
      </c>
      <c r="E1416" s="2" t="str">
        <f>IFERROR(__xludf.DUMMYFUNCTION("""COMPUTED_VALUE"""),"VF")</f>
        <v>VF</v>
      </c>
      <c r="F1416" s="2">
        <f>IFERROR(__xludf.DUMMYFUNCTION("""COMPUTED_VALUE"""),1.0)</f>
        <v>1</v>
      </c>
      <c r="G1416" s="2" t="str">
        <f>IFERROR(__xludf.DUMMYFUNCTION("""COMPUTED_VALUE"""),"PR023")</f>
        <v>PR023</v>
      </c>
      <c r="H1416" s="2" t="str">
        <f>IFERROR(__xludf.DUMMYFUNCTION("""COMPUTED_VALUE"""),"VD035")</f>
        <v>VD035</v>
      </c>
      <c r="I1416" s="2">
        <f>IFERROR(__xludf.DUMMYFUNCTION("""COMPUTED_VALUE"""),6.0)</f>
        <v>6</v>
      </c>
      <c r="J1416" s="2">
        <f>IFERROR(__xludf.DUMMYFUNCTION("""COMPUTED_VALUE"""),1604.36)</f>
        <v>1604.36</v>
      </c>
      <c r="K1416" s="2">
        <f>IFERROR(__xludf.DUMMYFUNCTION("""COMPUTED_VALUE"""),1604.36)</f>
        <v>1604.36</v>
      </c>
    </row>
    <row r="1417">
      <c r="A1417" s="2">
        <f>IFERROR(__xludf.DUMMYFUNCTION("""COMPUTED_VALUE"""),1000.0)</f>
        <v>1000</v>
      </c>
      <c r="B1417" s="2">
        <f>IFERROR(__xludf.DUMMYFUNCTION("""COMPUTED_VALUE"""),184487.0)</f>
        <v>184487</v>
      </c>
      <c r="C1417" s="2">
        <f>IFERROR(__xludf.DUMMYFUNCTION("""COMPUTED_VALUE"""),2026.0)</f>
        <v>2026</v>
      </c>
      <c r="D1417" s="2">
        <f>IFERROR(__xludf.DUMMYFUNCTION("""COMPUTED_VALUE"""),46091.0)</f>
        <v>46091</v>
      </c>
      <c r="E1417" s="2" t="str">
        <f>IFERROR(__xludf.DUMMYFUNCTION("""COMPUTED_VALUE"""),"VF")</f>
        <v>VF</v>
      </c>
      <c r="F1417" s="2">
        <f>IFERROR(__xludf.DUMMYFUNCTION("""COMPUTED_VALUE"""),1.0)</f>
        <v>1</v>
      </c>
      <c r="G1417" s="2" t="str">
        <f>IFERROR(__xludf.DUMMYFUNCTION("""COMPUTED_VALUE"""),"PR008")</f>
        <v>PR008</v>
      </c>
      <c r="H1417" s="2" t="str">
        <f>IFERROR(__xludf.DUMMYFUNCTION("""COMPUTED_VALUE"""),"VD043")</f>
        <v>VD043</v>
      </c>
      <c r="I1417" s="2">
        <f>IFERROR(__xludf.DUMMYFUNCTION("""COMPUTED_VALUE"""),8.0)</f>
        <v>8</v>
      </c>
      <c r="J1417" s="2">
        <f>IFERROR(__xludf.DUMMYFUNCTION("""COMPUTED_VALUE"""),726.39)</f>
        <v>726.39</v>
      </c>
      <c r="K1417" s="2">
        <f>IFERROR(__xludf.DUMMYFUNCTION("""COMPUTED_VALUE"""),726.39)</f>
        <v>726.39</v>
      </c>
    </row>
    <row r="1418">
      <c r="A1418" s="2">
        <f>IFERROR(__xludf.DUMMYFUNCTION("""COMPUTED_VALUE"""),2000.0)</f>
        <v>2000</v>
      </c>
      <c r="B1418" s="2">
        <f>IFERROR(__xludf.DUMMYFUNCTION("""COMPUTED_VALUE"""),184488.0)</f>
        <v>184488</v>
      </c>
      <c r="C1418" s="2">
        <f>IFERROR(__xludf.DUMMYFUNCTION("""COMPUTED_VALUE"""),2026.0)</f>
        <v>2026</v>
      </c>
      <c r="D1418" s="2">
        <f>IFERROR(__xludf.DUMMYFUNCTION("""COMPUTED_VALUE"""),46091.0)</f>
        <v>46091</v>
      </c>
      <c r="E1418" s="2" t="str">
        <f>IFERROR(__xludf.DUMMYFUNCTION("""COMPUTED_VALUE"""),"VF")</f>
        <v>VF</v>
      </c>
      <c r="F1418" s="2">
        <f>IFERROR(__xludf.DUMMYFUNCTION("""COMPUTED_VALUE"""),1.0)</f>
        <v>1</v>
      </c>
      <c r="G1418" s="2" t="str">
        <f>IFERROR(__xludf.DUMMYFUNCTION("""COMPUTED_VALUE"""),"PR053")</f>
        <v>PR053</v>
      </c>
      <c r="H1418" s="2" t="str">
        <f>IFERROR(__xludf.DUMMYFUNCTION("""COMPUTED_VALUE"""),"VD037")</f>
        <v>VD037</v>
      </c>
      <c r="I1418" s="2">
        <f>IFERROR(__xludf.DUMMYFUNCTION("""COMPUTED_VALUE"""),8.0)</f>
        <v>8</v>
      </c>
      <c r="J1418" s="2">
        <f>IFERROR(__xludf.DUMMYFUNCTION("""COMPUTED_VALUE"""),415.17)</f>
        <v>415.17</v>
      </c>
      <c r="K1418" s="2">
        <f>IFERROR(__xludf.DUMMYFUNCTION("""COMPUTED_VALUE"""),415.17)</f>
        <v>415.17</v>
      </c>
    </row>
    <row r="1419">
      <c r="A1419" s="2">
        <f>IFERROR(__xludf.DUMMYFUNCTION("""COMPUTED_VALUE"""),2000.0)</f>
        <v>2000</v>
      </c>
      <c r="B1419" s="2">
        <f>IFERROR(__xludf.DUMMYFUNCTION("""COMPUTED_VALUE"""),184489.0)</f>
        <v>184489</v>
      </c>
      <c r="C1419" s="2">
        <f>IFERROR(__xludf.DUMMYFUNCTION("""COMPUTED_VALUE"""),2026.0)</f>
        <v>2026</v>
      </c>
      <c r="D1419" s="2">
        <f>IFERROR(__xludf.DUMMYFUNCTION("""COMPUTED_VALUE"""),46091.0)</f>
        <v>46091</v>
      </c>
      <c r="E1419" s="2" t="str">
        <f>IFERROR(__xludf.DUMMYFUNCTION("""COMPUTED_VALUE"""),"VF")</f>
        <v>VF</v>
      </c>
      <c r="F1419" s="2">
        <f>IFERROR(__xludf.DUMMYFUNCTION("""COMPUTED_VALUE"""),1.0)</f>
        <v>1</v>
      </c>
      <c r="G1419" s="2" t="str">
        <f>IFERROR(__xludf.DUMMYFUNCTION("""COMPUTED_VALUE"""),"PR014")</f>
        <v>PR014</v>
      </c>
      <c r="H1419" s="2" t="str">
        <f>IFERROR(__xludf.DUMMYFUNCTION("""COMPUTED_VALUE"""),"VD026")</f>
        <v>VD026</v>
      </c>
      <c r="I1419" s="2">
        <f>IFERROR(__xludf.DUMMYFUNCTION("""COMPUTED_VALUE"""),3.0)</f>
        <v>3</v>
      </c>
      <c r="J1419" s="2">
        <f>IFERROR(__xludf.DUMMYFUNCTION("""COMPUTED_VALUE"""),129.28)</f>
        <v>129.28</v>
      </c>
      <c r="K1419" s="2">
        <f>IFERROR(__xludf.DUMMYFUNCTION("""COMPUTED_VALUE"""),129.28)</f>
        <v>129.28</v>
      </c>
    </row>
    <row r="1420">
      <c r="A1420" s="2">
        <f>IFERROR(__xludf.DUMMYFUNCTION("""COMPUTED_VALUE"""),1000.0)</f>
        <v>1000</v>
      </c>
      <c r="B1420" s="2">
        <f>IFERROR(__xludf.DUMMYFUNCTION("""COMPUTED_VALUE"""),184490.0)</f>
        <v>184490</v>
      </c>
      <c r="C1420" s="2">
        <f>IFERROR(__xludf.DUMMYFUNCTION("""COMPUTED_VALUE"""),2026.0)</f>
        <v>2026</v>
      </c>
      <c r="D1420" s="2">
        <f>IFERROR(__xludf.DUMMYFUNCTION("""COMPUTED_VALUE"""),46091.0)</f>
        <v>46091</v>
      </c>
      <c r="E1420" s="2" t="str">
        <f>IFERROR(__xludf.DUMMYFUNCTION("""COMPUTED_VALUE"""),"VF")</f>
        <v>VF</v>
      </c>
      <c r="F1420" s="2">
        <f>IFERROR(__xludf.DUMMYFUNCTION("""COMPUTED_VALUE"""),1.0)</f>
        <v>1</v>
      </c>
      <c r="G1420" s="2" t="str">
        <f>IFERROR(__xludf.DUMMYFUNCTION("""COMPUTED_VALUE"""),"PR028")</f>
        <v>PR028</v>
      </c>
      <c r="H1420" s="2" t="str">
        <f>IFERROR(__xludf.DUMMYFUNCTION("""COMPUTED_VALUE"""),"VD015")</f>
        <v>VD015</v>
      </c>
      <c r="I1420" s="2">
        <f>IFERROR(__xludf.DUMMYFUNCTION("""COMPUTED_VALUE"""),2.0)</f>
        <v>2</v>
      </c>
      <c r="J1420" s="2">
        <f>IFERROR(__xludf.DUMMYFUNCTION("""COMPUTED_VALUE"""),544.78)</f>
        <v>544.78</v>
      </c>
      <c r="K1420" s="2">
        <f>IFERROR(__xludf.DUMMYFUNCTION("""COMPUTED_VALUE"""),544.78)</f>
        <v>544.78</v>
      </c>
    </row>
    <row r="1421">
      <c r="A1421" s="2">
        <f>IFERROR(__xludf.DUMMYFUNCTION("""COMPUTED_VALUE"""),2000.0)</f>
        <v>2000</v>
      </c>
      <c r="B1421" s="2">
        <f>IFERROR(__xludf.DUMMYFUNCTION("""COMPUTED_VALUE"""),184491.0)</f>
        <v>184491</v>
      </c>
      <c r="C1421" s="2">
        <f>IFERROR(__xludf.DUMMYFUNCTION("""COMPUTED_VALUE"""),2026.0)</f>
        <v>2026</v>
      </c>
      <c r="D1421" s="2">
        <f>IFERROR(__xludf.DUMMYFUNCTION("""COMPUTED_VALUE"""),46091.0)</f>
        <v>46091</v>
      </c>
      <c r="E1421" s="2" t="str">
        <f>IFERROR(__xludf.DUMMYFUNCTION("""COMPUTED_VALUE"""),"VF")</f>
        <v>VF</v>
      </c>
      <c r="F1421" s="2">
        <f>IFERROR(__xludf.DUMMYFUNCTION("""COMPUTED_VALUE"""),1.0)</f>
        <v>1</v>
      </c>
      <c r="G1421" s="2" t="str">
        <f>IFERROR(__xludf.DUMMYFUNCTION("""COMPUTED_VALUE"""),"PR059")</f>
        <v>PR059</v>
      </c>
      <c r="H1421" s="2" t="str">
        <f>IFERROR(__xludf.DUMMYFUNCTION("""COMPUTED_VALUE"""),"VD028")</f>
        <v>VD028</v>
      </c>
      <c r="I1421" s="2">
        <f>IFERROR(__xludf.DUMMYFUNCTION("""COMPUTED_VALUE"""),8.0)</f>
        <v>8</v>
      </c>
      <c r="J1421" s="2">
        <f>IFERROR(__xludf.DUMMYFUNCTION("""COMPUTED_VALUE"""),1440.0)</f>
        <v>1440</v>
      </c>
      <c r="K1421" s="2">
        <f>IFERROR(__xludf.DUMMYFUNCTION("""COMPUTED_VALUE"""),1440.0)</f>
        <v>1440</v>
      </c>
    </row>
    <row r="1422">
      <c r="A1422" s="2">
        <f>IFERROR(__xludf.DUMMYFUNCTION("""COMPUTED_VALUE"""),1000.0)</f>
        <v>1000</v>
      </c>
      <c r="B1422" s="2">
        <f>IFERROR(__xludf.DUMMYFUNCTION("""COMPUTED_VALUE"""),184492.0)</f>
        <v>184492</v>
      </c>
      <c r="C1422" s="2">
        <f>IFERROR(__xludf.DUMMYFUNCTION("""COMPUTED_VALUE"""),2026.0)</f>
        <v>2026</v>
      </c>
      <c r="D1422" s="2">
        <f>IFERROR(__xludf.DUMMYFUNCTION("""COMPUTED_VALUE"""),46090.0)</f>
        <v>46090</v>
      </c>
      <c r="E1422" s="2" t="str">
        <f>IFERROR(__xludf.DUMMYFUNCTION("""COMPUTED_VALUE"""),"VF")</f>
        <v>VF</v>
      </c>
      <c r="F1422" s="2">
        <f>IFERROR(__xludf.DUMMYFUNCTION("""COMPUTED_VALUE"""),1.0)</f>
        <v>1</v>
      </c>
      <c r="G1422" s="2" t="str">
        <f>IFERROR(__xludf.DUMMYFUNCTION("""COMPUTED_VALUE"""),"PR053")</f>
        <v>PR053</v>
      </c>
      <c r="H1422" s="2" t="str">
        <f>IFERROR(__xludf.DUMMYFUNCTION("""COMPUTED_VALUE"""),"VD031")</f>
        <v>VD031</v>
      </c>
      <c r="I1422" s="2">
        <f>IFERROR(__xludf.DUMMYFUNCTION("""COMPUTED_VALUE"""),6.0)</f>
        <v>6</v>
      </c>
      <c r="J1422" s="2">
        <f>IFERROR(__xludf.DUMMYFUNCTION("""COMPUTED_VALUE"""),329.34)</f>
        <v>329.34</v>
      </c>
      <c r="K1422" s="2">
        <f>IFERROR(__xludf.DUMMYFUNCTION("""COMPUTED_VALUE"""),329.34)</f>
        <v>329.34</v>
      </c>
    </row>
    <row r="1423">
      <c r="A1423" s="2">
        <f>IFERROR(__xludf.DUMMYFUNCTION("""COMPUTED_VALUE"""),2000.0)</f>
        <v>2000</v>
      </c>
      <c r="B1423" s="2">
        <f>IFERROR(__xludf.DUMMYFUNCTION("""COMPUTED_VALUE"""),184493.0)</f>
        <v>184493</v>
      </c>
      <c r="C1423" s="2">
        <f>IFERROR(__xludf.DUMMYFUNCTION("""COMPUTED_VALUE"""),2026.0)</f>
        <v>2026</v>
      </c>
      <c r="D1423" s="2">
        <f>IFERROR(__xludf.DUMMYFUNCTION("""COMPUTED_VALUE"""),46090.0)</f>
        <v>46090</v>
      </c>
      <c r="E1423" s="2" t="str">
        <f>IFERROR(__xludf.DUMMYFUNCTION("""COMPUTED_VALUE"""),"VF")</f>
        <v>VF</v>
      </c>
      <c r="F1423" s="2">
        <f>IFERROR(__xludf.DUMMYFUNCTION("""COMPUTED_VALUE"""),1.0)</f>
        <v>1</v>
      </c>
      <c r="G1423" s="2" t="str">
        <f>IFERROR(__xludf.DUMMYFUNCTION("""COMPUTED_VALUE"""),"PR005")</f>
        <v>PR005</v>
      </c>
      <c r="H1423" s="2" t="str">
        <f>IFERROR(__xludf.DUMMYFUNCTION("""COMPUTED_VALUE"""),"VD046")</f>
        <v>VD046</v>
      </c>
      <c r="I1423" s="2">
        <f>IFERROR(__xludf.DUMMYFUNCTION("""COMPUTED_VALUE"""),14.0)</f>
        <v>14</v>
      </c>
      <c r="J1423" s="2">
        <f>IFERROR(__xludf.DUMMYFUNCTION("""COMPUTED_VALUE"""),3674.99)</f>
        <v>3674.99</v>
      </c>
      <c r="K1423" s="2">
        <f>IFERROR(__xludf.DUMMYFUNCTION("""COMPUTED_VALUE"""),3674.99)</f>
        <v>3674.99</v>
      </c>
    </row>
    <row r="1424">
      <c r="A1424" s="2">
        <f>IFERROR(__xludf.DUMMYFUNCTION("""COMPUTED_VALUE"""),1000.0)</f>
        <v>1000</v>
      </c>
      <c r="B1424" s="2">
        <f>IFERROR(__xludf.DUMMYFUNCTION("""COMPUTED_VALUE"""),184494.0)</f>
        <v>184494</v>
      </c>
      <c r="C1424" s="2">
        <f>IFERROR(__xludf.DUMMYFUNCTION("""COMPUTED_VALUE"""),2026.0)</f>
        <v>2026</v>
      </c>
      <c r="D1424" s="2">
        <f>IFERROR(__xludf.DUMMYFUNCTION("""COMPUTED_VALUE"""),46090.0)</f>
        <v>46090</v>
      </c>
      <c r="E1424" s="2" t="str">
        <f>IFERROR(__xludf.DUMMYFUNCTION("""COMPUTED_VALUE"""),"VF")</f>
        <v>VF</v>
      </c>
      <c r="F1424" s="2">
        <f>IFERROR(__xludf.DUMMYFUNCTION("""COMPUTED_VALUE"""),1.0)</f>
        <v>1</v>
      </c>
      <c r="G1424" s="2" t="str">
        <f>IFERROR(__xludf.DUMMYFUNCTION("""COMPUTED_VALUE"""),"PR016")</f>
        <v>PR016</v>
      </c>
      <c r="H1424" s="2" t="str">
        <f>IFERROR(__xludf.DUMMYFUNCTION("""COMPUTED_VALUE"""),"VD047")</f>
        <v>VD047</v>
      </c>
      <c r="I1424" s="2">
        <f>IFERROR(__xludf.DUMMYFUNCTION("""COMPUTED_VALUE"""),6.0)</f>
        <v>6</v>
      </c>
      <c r="J1424" s="2">
        <f>IFERROR(__xludf.DUMMYFUNCTION("""COMPUTED_VALUE"""),158.51)</f>
        <v>158.51</v>
      </c>
      <c r="K1424" s="2">
        <f>IFERROR(__xludf.DUMMYFUNCTION("""COMPUTED_VALUE"""),158.51)</f>
        <v>158.51</v>
      </c>
    </row>
    <row r="1425">
      <c r="A1425" s="2">
        <f>IFERROR(__xludf.DUMMYFUNCTION("""COMPUTED_VALUE"""),1000.0)</f>
        <v>1000</v>
      </c>
      <c r="B1425" s="2">
        <f>IFERROR(__xludf.DUMMYFUNCTION("""COMPUTED_VALUE"""),184495.0)</f>
        <v>184495</v>
      </c>
      <c r="C1425" s="2">
        <f>IFERROR(__xludf.DUMMYFUNCTION("""COMPUTED_VALUE"""),2026.0)</f>
        <v>2026</v>
      </c>
      <c r="D1425" s="2">
        <f>IFERROR(__xludf.DUMMYFUNCTION("""COMPUTED_VALUE"""),46090.0)</f>
        <v>46090</v>
      </c>
      <c r="E1425" s="2" t="str">
        <f>IFERROR(__xludf.DUMMYFUNCTION("""COMPUTED_VALUE"""),"VF")</f>
        <v>VF</v>
      </c>
      <c r="F1425" s="2">
        <f>IFERROR(__xludf.DUMMYFUNCTION("""COMPUTED_VALUE"""),1.0)</f>
        <v>1</v>
      </c>
      <c r="G1425" s="2" t="str">
        <f>IFERROR(__xludf.DUMMYFUNCTION("""COMPUTED_VALUE"""),"PR019")</f>
        <v>PR019</v>
      </c>
      <c r="H1425" s="2" t="str">
        <f>IFERROR(__xludf.DUMMYFUNCTION("""COMPUTED_VALUE"""),"VD023")</f>
        <v>VD023</v>
      </c>
      <c r="I1425" s="2">
        <f>IFERROR(__xludf.DUMMYFUNCTION("""COMPUTED_VALUE"""),8.0)</f>
        <v>8</v>
      </c>
      <c r="J1425" s="2">
        <f>IFERROR(__xludf.DUMMYFUNCTION("""COMPUTED_VALUE"""),407.18)</f>
        <v>407.18</v>
      </c>
      <c r="K1425" s="2">
        <f>IFERROR(__xludf.DUMMYFUNCTION("""COMPUTED_VALUE"""),407.18)</f>
        <v>407.18</v>
      </c>
    </row>
    <row r="1426">
      <c r="A1426" s="2">
        <f>IFERROR(__xludf.DUMMYFUNCTION("""COMPUTED_VALUE"""),1000.0)</f>
        <v>1000</v>
      </c>
      <c r="B1426" s="2">
        <f>IFERROR(__xludf.DUMMYFUNCTION("""COMPUTED_VALUE"""),184496.0)</f>
        <v>184496</v>
      </c>
      <c r="C1426" s="2">
        <f>IFERROR(__xludf.DUMMYFUNCTION("""COMPUTED_VALUE"""),2026.0)</f>
        <v>2026</v>
      </c>
      <c r="D1426" s="2">
        <f>IFERROR(__xludf.DUMMYFUNCTION("""COMPUTED_VALUE"""),46089.0)</f>
        <v>46089</v>
      </c>
      <c r="E1426" s="2" t="str">
        <f>IFERROR(__xludf.DUMMYFUNCTION("""COMPUTED_VALUE"""),"VF")</f>
        <v>VF</v>
      </c>
      <c r="F1426" s="2">
        <f>IFERROR(__xludf.DUMMYFUNCTION("""COMPUTED_VALUE"""),1.0)</f>
        <v>1</v>
      </c>
      <c r="G1426" s="2" t="str">
        <f>IFERROR(__xludf.DUMMYFUNCTION("""COMPUTED_VALUE"""),"PR049")</f>
        <v>PR049</v>
      </c>
      <c r="H1426" s="2" t="str">
        <f>IFERROR(__xludf.DUMMYFUNCTION("""COMPUTED_VALUE"""),"VD028")</f>
        <v>VD028</v>
      </c>
      <c r="I1426" s="2">
        <f>IFERROR(__xludf.DUMMYFUNCTION("""COMPUTED_VALUE"""),2.0)</f>
        <v>2</v>
      </c>
      <c r="J1426" s="2">
        <f>IFERROR(__xludf.DUMMYFUNCTION("""COMPUTED_VALUE"""),69.75)</f>
        <v>69.75</v>
      </c>
      <c r="K1426" s="2">
        <f>IFERROR(__xludf.DUMMYFUNCTION("""COMPUTED_VALUE"""),69.75)</f>
        <v>69.75</v>
      </c>
    </row>
    <row r="1427">
      <c r="A1427" s="2">
        <f>IFERROR(__xludf.DUMMYFUNCTION("""COMPUTED_VALUE"""),1000.0)</f>
        <v>1000</v>
      </c>
      <c r="B1427" s="2">
        <f>IFERROR(__xludf.DUMMYFUNCTION("""COMPUTED_VALUE"""),184496.0)</f>
        <v>184496</v>
      </c>
      <c r="C1427" s="2">
        <f>IFERROR(__xludf.DUMMYFUNCTION("""COMPUTED_VALUE"""),2026.0)</f>
        <v>2026</v>
      </c>
      <c r="D1427" s="2">
        <f>IFERROR(__xludf.DUMMYFUNCTION("""COMPUTED_VALUE"""),46089.0)</f>
        <v>46089</v>
      </c>
      <c r="E1427" s="2" t="str">
        <f>IFERROR(__xludf.DUMMYFUNCTION("""COMPUTED_VALUE"""),"VF")</f>
        <v>VF</v>
      </c>
      <c r="F1427" s="2">
        <f>IFERROR(__xludf.DUMMYFUNCTION("""COMPUTED_VALUE"""),2.0)</f>
        <v>2</v>
      </c>
      <c r="G1427" s="2" t="str">
        <f>IFERROR(__xludf.DUMMYFUNCTION("""COMPUTED_VALUE"""),"PR036")</f>
        <v>PR036</v>
      </c>
      <c r="H1427" s="2" t="str">
        <f>IFERROR(__xludf.DUMMYFUNCTION("""COMPUTED_VALUE"""),"VD043")</f>
        <v>VD043</v>
      </c>
      <c r="I1427" s="2">
        <f>IFERROR(__xludf.DUMMYFUNCTION("""COMPUTED_VALUE"""),4.0)</f>
        <v>4</v>
      </c>
      <c r="J1427" s="2">
        <f>IFERROR(__xludf.DUMMYFUNCTION("""COMPUTED_VALUE"""),381.48)</f>
        <v>381.48</v>
      </c>
      <c r="K1427" s="2">
        <f>IFERROR(__xludf.DUMMYFUNCTION("""COMPUTED_VALUE"""),381.48)</f>
        <v>381.48</v>
      </c>
    </row>
    <row r="1428">
      <c r="A1428" s="2">
        <f>IFERROR(__xludf.DUMMYFUNCTION("""COMPUTED_VALUE"""),1000.0)</f>
        <v>1000</v>
      </c>
      <c r="B1428" s="2">
        <f>IFERROR(__xludf.DUMMYFUNCTION("""COMPUTED_VALUE"""),184497.0)</f>
        <v>184497</v>
      </c>
      <c r="C1428" s="2">
        <f>IFERROR(__xludf.DUMMYFUNCTION("""COMPUTED_VALUE"""),2026.0)</f>
        <v>2026</v>
      </c>
      <c r="D1428" s="2">
        <f>IFERROR(__xludf.DUMMYFUNCTION("""COMPUTED_VALUE"""),46088.0)</f>
        <v>46088</v>
      </c>
      <c r="E1428" s="2" t="str">
        <f>IFERROR(__xludf.DUMMYFUNCTION("""COMPUTED_VALUE"""),"VF")</f>
        <v>VF</v>
      </c>
      <c r="F1428" s="2">
        <f>IFERROR(__xludf.DUMMYFUNCTION("""COMPUTED_VALUE"""),1.0)</f>
        <v>1</v>
      </c>
      <c r="G1428" s="2" t="str">
        <f>IFERROR(__xludf.DUMMYFUNCTION("""COMPUTED_VALUE"""),"PR027")</f>
        <v>PR027</v>
      </c>
      <c r="H1428" s="2" t="str">
        <f>IFERROR(__xludf.DUMMYFUNCTION("""COMPUTED_VALUE"""),"VD019")</f>
        <v>VD019</v>
      </c>
      <c r="I1428" s="2">
        <f>IFERROR(__xludf.DUMMYFUNCTION("""COMPUTED_VALUE"""),1.0)</f>
        <v>1</v>
      </c>
      <c r="J1428" s="2">
        <f>IFERROR(__xludf.DUMMYFUNCTION("""COMPUTED_VALUE"""),122.4)</f>
        <v>122.4</v>
      </c>
      <c r="K1428" s="2">
        <f>IFERROR(__xludf.DUMMYFUNCTION("""COMPUTED_VALUE"""),122.4)</f>
        <v>122.4</v>
      </c>
    </row>
    <row r="1429">
      <c r="A1429" s="2">
        <f>IFERROR(__xludf.DUMMYFUNCTION("""COMPUTED_VALUE"""),1000.0)</f>
        <v>1000</v>
      </c>
      <c r="B1429" s="2">
        <f>IFERROR(__xludf.DUMMYFUNCTION("""COMPUTED_VALUE"""),184498.0)</f>
        <v>184498</v>
      </c>
      <c r="C1429" s="2">
        <f>IFERROR(__xludf.DUMMYFUNCTION("""COMPUTED_VALUE"""),2026.0)</f>
        <v>2026</v>
      </c>
      <c r="D1429" s="2">
        <f>IFERROR(__xludf.DUMMYFUNCTION("""COMPUTED_VALUE"""),46088.0)</f>
        <v>46088</v>
      </c>
      <c r="E1429" s="2" t="str">
        <f>IFERROR(__xludf.DUMMYFUNCTION("""COMPUTED_VALUE"""),"VF")</f>
        <v>VF</v>
      </c>
      <c r="F1429" s="2">
        <f>IFERROR(__xludf.DUMMYFUNCTION("""COMPUTED_VALUE"""),1.0)</f>
        <v>1</v>
      </c>
      <c r="G1429" s="2" t="str">
        <f>IFERROR(__xludf.DUMMYFUNCTION("""COMPUTED_VALUE"""),"PR028")</f>
        <v>PR028</v>
      </c>
      <c r="H1429" s="2" t="str">
        <f>IFERROR(__xludf.DUMMYFUNCTION("""COMPUTED_VALUE"""),"VD020")</f>
        <v>VD020</v>
      </c>
      <c r="I1429" s="2">
        <f>IFERROR(__xludf.DUMMYFUNCTION("""COMPUTED_VALUE"""),14.0)</f>
        <v>14</v>
      </c>
      <c r="J1429" s="2">
        <f>IFERROR(__xludf.DUMMYFUNCTION("""COMPUTED_VALUE"""),3533.59)</f>
        <v>3533.59</v>
      </c>
      <c r="K1429" s="2">
        <f>IFERROR(__xludf.DUMMYFUNCTION("""COMPUTED_VALUE"""),3533.59)</f>
        <v>3533.59</v>
      </c>
    </row>
    <row r="1430">
      <c r="A1430" s="2">
        <f>IFERROR(__xludf.DUMMYFUNCTION("""COMPUTED_VALUE"""),1000.0)</f>
        <v>1000</v>
      </c>
      <c r="B1430" s="2">
        <f>IFERROR(__xludf.DUMMYFUNCTION("""COMPUTED_VALUE"""),184499.0)</f>
        <v>184499</v>
      </c>
      <c r="C1430" s="2">
        <f>IFERROR(__xludf.DUMMYFUNCTION("""COMPUTED_VALUE"""),2026.0)</f>
        <v>2026</v>
      </c>
      <c r="D1430" s="2">
        <f>IFERROR(__xludf.DUMMYFUNCTION("""COMPUTED_VALUE"""),46088.0)</f>
        <v>46088</v>
      </c>
      <c r="E1430" s="2" t="str">
        <f>IFERROR(__xludf.DUMMYFUNCTION("""COMPUTED_VALUE"""),"VF")</f>
        <v>VF</v>
      </c>
      <c r="F1430" s="2">
        <f>IFERROR(__xludf.DUMMYFUNCTION("""COMPUTED_VALUE"""),1.0)</f>
        <v>1</v>
      </c>
      <c r="G1430" s="2" t="str">
        <f>IFERROR(__xludf.DUMMYFUNCTION("""COMPUTED_VALUE"""),"PR022")</f>
        <v>PR022</v>
      </c>
      <c r="H1430" s="2" t="str">
        <f>IFERROR(__xludf.DUMMYFUNCTION("""COMPUTED_VALUE"""),"VD010")</f>
        <v>VD010</v>
      </c>
      <c r="I1430" s="2">
        <f>IFERROR(__xludf.DUMMYFUNCTION("""COMPUTED_VALUE"""),20.0)</f>
        <v>20</v>
      </c>
      <c r="J1430" s="2">
        <f>IFERROR(__xludf.DUMMYFUNCTION("""COMPUTED_VALUE"""),6060.0)</f>
        <v>6060</v>
      </c>
      <c r="K1430" s="2">
        <f>IFERROR(__xludf.DUMMYFUNCTION("""COMPUTED_VALUE"""),6060.0)</f>
        <v>6060</v>
      </c>
    </row>
    <row r="1431">
      <c r="A1431" s="2">
        <f>IFERROR(__xludf.DUMMYFUNCTION("""COMPUTED_VALUE"""),2000.0)</f>
        <v>2000</v>
      </c>
      <c r="B1431" s="2">
        <f>IFERROR(__xludf.DUMMYFUNCTION("""COMPUTED_VALUE"""),184500.0)</f>
        <v>184500</v>
      </c>
      <c r="C1431" s="2">
        <f>IFERROR(__xludf.DUMMYFUNCTION("""COMPUTED_VALUE"""),2026.0)</f>
        <v>2026</v>
      </c>
      <c r="D1431" s="2">
        <f>IFERROR(__xludf.DUMMYFUNCTION("""COMPUTED_VALUE"""),46088.0)</f>
        <v>46088</v>
      </c>
      <c r="E1431" s="2" t="str">
        <f>IFERROR(__xludf.DUMMYFUNCTION("""COMPUTED_VALUE"""),"VF")</f>
        <v>VF</v>
      </c>
      <c r="F1431" s="2">
        <f>IFERROR(__xludf.DUMMYFUNCTION("""COMPUTED_VALUE"""),1.0)</f>
        <v>1</v>
      </c>
      <c r="G1431" s="2" t="str">
        <f>IFERROR(__xludf.DUMMYFUNCTION("""COMPUTED_VALUE"""),"PR059")</f>
        <v>PR059</v>
      </c>
      <c r="H1431" s="2" t="str">
        <f>IFERROR(__xludf.DUMMYFUNCTION("""COMPUTED_VALUE"""),"VD010")</f>
        <v>VD010</v>
      </c>
      <c r="I1431" s="2">
        <f>IFERROR(__xludf.DUMMYFUNCTION("""COMPUTED_VALUE"""),8.0)</f>
        <v>8</v>
      </c>
      <c r="J1431" s="2">
        <f>IFERROR(__xludf.DUMMYFUNCTION("""COMPUTED_VALUE"""),1584.0)</f>
        <v>1584</v>
      </c>
      <c r="K1431" s="2">
        <f>IFERROR(__xludf.DUMMYFUNCTION("""COMPUTED_VALUE"""),1584.0)</f>
        <v>1584</v>
      </c>
    </row>
    <row r="1432">
      <c r="A1432" s="2">
        <f>IFERROR(__xludf.DUMMYFUNCTION("""COMPUTED_VALUE"""),1000.0)</f>
        <v>1000</v>
      </c>
      <c r="B1432" s="2">
        <f>IFERROR(__xludf.DUMMYFUNCTION("""COMPUTED_VALUE"""),184501.0)</f>
        <v>184501</v>
      </c>
      <c r="C1432" s="2">
        <f>IFERROR(__xludf.DUMMYFUNCTION("""COMPUTED_VALUE"""),2026.0)</f>
        <v>2026</v>
      </c>
      <c r="D1432" s="2">
        <f>IFERROR(__xludf.DUMMYFUNCTION("""COMPUTED_VALUE"""),46087.0)</f>
        <v>46087</v>
      </c>
      <c r="E1432" s="2" t="str">
        <f>IFERROR(__xludf.DUMMYFUNCTION("""COMPUTED_VALUE"""),"VF")</f>
        <v>VF</v>
      </c>
      <c r="F1432" s="2">
        <f>IFERROR(__xludf.DUMMYFUNCTION("""COMPUTED_VALUE"""),1.0)</f>
        <v>1</v>
      </c>
      <c r="G1432" s="2" t="str">
        <f>IFERROR(__xludf.DUMMYFUNCTION("""COMPUTED_VALUE"""),"PR059")</f>
        <v>PR059</v>
      </c>
      <c r="H1432" s="2" t="str">
        <f>IFERROR(__xludf.DUMMYFUNCTION("""COMPUTED_VALUE"""),"VD029")</f>
        <v>VD029</v>
      </c>
      <c r="I1432" s="2">
        <f>IFERROR(__xludf.DUMMYFUNCTION("""COMPUTED_VALUE"""),18.0)</f>
        <v>18</v>
      </c>
      <c r="J1432" s="2">
        <f>IFERROR(__xludf.DUMMYFUNCTION("""COMPUTED_VALUE"""),3564.0)</f>
        <v>3564</v>
      </c>
      <c r="K1432" s="2">
        <f>IFERROR(__xludf.DUMMYFUNCTION("""COMPUTED_VALUE"""),3564.0)</f>
        <v>3564</v>
      </c>
    </row>
    <row r="1433">
      <c r="A1433" s="2">
        <f>IFERROR(__xludf.DUMMYFUNCTION("""COMPUTED_VALUE"""),1000.0)</f>
        <v>1000</v>
      </c>
      <c r="B1433" s="2">
        <f>IFERROR(__xludf.DUMMYFUNCTION("""COMPUTED_VALUE"""),184501.0)</f>
        <v>184501</v>
      </c>
      <c r="C1433" s="2">
        <f>IFERROR(__xludf.DUMMYFUNCTION("""COMPUTED_VALUE"""),2026.0)</f>
        <v>2026</v>
      </c>
      <c r="D1433" s="2">
        <f>IFERROR(__xludf.DUMMYFUNCTION("""COMPUTED_VALUE"""),46087.0)</f>
        <v>46087</v>
      </c>
      <c r="E1433" s="2" t="str">
        <f>IFERROR(__xludf.DUMMYFUNCTION("""COMPUTED_VALUE"""),"VF")</f>
        <v>VF</v>
      </c>
      <c r="F1433" s="2">
        <f>IFERROR(__xludf.DUMMYFUNCTION("""COMPUTED_VALUE"""),2.0)</f>
        <v>2</v>
      </c>
      <c r="G1433" s="2" t="str">
        <f>IFERROR(__xludf.DUMMYFUNCTION("""COMPUTED_VALUE"""),"PR056")</f>
        <v>PR056</v>
      </c>
      <c r="H1433" s="2" t="str">
        <f>IFERROR(__xludf.DUMMYFUNCTION("""COMPUTED_VALUE"""),"VD011")</f>
        <v>VD011</v>
      </c>
      <c r="I1433" s="2">
        <f>IFERROR(__xludf.DUMMYFUNCTION("""COMPUTED_VALUE"""),12.0)</f>
        <v>12</v>
      </c>
      <c r="J1433" s="2">
        <f>IFERROR(__xludf.DUMMYFUNCTION("""COMPUTED_VALUE"""),1121.95)</f>
        <v>1121.95</v>
      </c>
      <c r="K1433" s="2">
        <f>IFERROR(__xludf.DUMMYFUNCTION("""COMPUTED_VALUE"""),1121.95)</f>
        <v>1121.95</v>
      </c>
    </row>
    <row r="1434">
      <c r="A1434" s="2">
        <f>IFERROR(__xludf.DUMMYFUNCTION("""COMPUTED_VALUE"""),1000.0)</f>
        <v>1000</v>
      </c>
      <c r="B1434" s="2">
        <f>IFERROR(__xludf.DUMMYFUNCTION("""COMPUTED_VALUE"""),184502.0)</f>
        <v>184502</v>
      </c>
      <c r="C1434" s="2">
        <f>IFERROR(__xludf.DUMMYFUNCTION("""COMPUTED_VALUE"""),2026.0)</f>
        <v>2026</v>
      </c>
      <c r="D1434" s="2">
        <f>IFERROR(__xludf.DUMMYFUNCTION("""COMPUTED_VALUE"""),46087.0)</f>
        <v>46087</v>
      </c>
      <c r="E1434" s="2" t="str">
        <f>IFERROR(__xludf.DUMMYFUNCTION("""COMPUTED_VALUE"""),"VF")</f>
        <v>VF</v>
      </c>
      <c r="F1434" s="2">
        <f>IFERROR(__xludf.DUMMYFUNCTION("""COMPUTED_VALUE"""),1.0)</f>
        <v>1</v>
      </c>
      <c r="G1434" s="2" t="str">
        <f>IFERROR(__xludf.DUMMYFUNCTION("""COMPUTED_VALUE"""),"PR033")</f>
        <v>PR033</v>
      </c>
      <c r="H1434" s="2" t="str">
        <f>IFERROR(__xludf.DUMMYFUNCTION("""COMPUTED_VALUE"""),"VD027")</f>
        <v>VD027</v>
      </c>
      <c r="I1434" s="2">
        <f>IFERROR(__xludf.DUMMYFUNCTION("""COMPUTED_VALUE"""),6.0)</f>
        <v>6</v>
      </c>
      <c r="J1434" s="2">
        <f>IFERROR(__xludf.DUMMYFUNCTION("""COMPUTED_VALUE"""),1699.75)</f>
        <v>1699.75</v>
      </c>
      <c r="K1434" s="2">
        <f>IFERROR(__xludf.DUMMYFUNCTION("""COMPUTED_VALUE"""),1699.75)</f>
        <v>1699.75</v>
      </c>
    </row>
    <row r="1435">
      <c r="A1435" s="2">
        <f>IFERROR(__xludf.DUMMYFUNCTION("""COMPUTED_VALUE"""),1000.0)</f>
        <v>1000</v>
      </c>
      <c r="B1435" s="2">
        <f>IFERROR(__xludf.DUMMYFUNCTION("""COMPUTED_VALUE"""),184502.0)</f>
        <v>184502</v>
      </c>
      <c r="C1435" s="2">
        <f>IFERROR(__xludf.DUMMYFUNCTION("""COMPUTED_VALUE"""),2026.0)</f>
        <v>2026</v>
      </c>
      <c r="D1435" s="2">
        <f>IFERROR(__xludf.DUMMYFUNCTION("""COMPUTED_VALUE"""),46086.0)</f>
        <v>46086</v>
      </c>
      <c r="E1435" s="2" t="str">
        <f>IFERROR(__xludf.DUMMYFUNCTION("""COMPUTED_VALUE"""),"VF")</f>
        <v>VF</v>
      </c>
      <c r="F1435" s="2">
        <f>IFERROR(__xludf.DUMMYFUNCTION("""COMPUTED_VALUE"""),2.0)</f>
        <v>2</v>
      </c>
      <c r="G1435" s="2" t="str">
        <f>IFERROR(__xludf.DUMMYFUNCTION("""COMPUTED_VALUE"""),"PR021")</f>
        <v>PR021</v>
      </c>
      <c r="H1435" s="2" t="str">
        <f>IFERROR(__xludf.DUMMYFUNCTION("""COMPUTED_VALUE"""),"VD038")</f>
        <v>VD038</v>
      </c>
      <c r="I1435" s="2">
        <f>IFERROR(__xludf.DUMMYFUNCTION("""COMPUTED_VALUE"""),2.0)</f>
        <v>2</v>
      </c>
      <c r="J1435" s="2">
        <f>IFERROR(__xludf.DUMMYFUNCTION("""COMPUTED_VALUE"""),605.8)</f>
        <v>605.8</v>
      </c>
      <c r="K1435" s="2">
        <f>IFERROR(__xludf.DUMMYFUNCTION("""COMPUTED_VALUE"""),605.8)</f>
        <v>605.8</v>
      </c>
    </row>
    <row r="1436">
      <c r="A1436" s="2">
        <f>IFERROR(__xludf.DUMMYFUNCTION("""COMPUTED_VALUE"""),1000.0)</f>
        <v>1000</v>
      </c>
      <c r="B1436" s="2">
        <f>IFERROR(__xludf.DUMMYFUNCTION("""COMPUTED_VALUE"""),184503.0)</f>
        <v>184503</v>
      </c>
      <c r="C1436" s="2">
        <f>IFERROR(__xludf.DUMMYFUNCTION("""COMPUTED_VALUE"""),2026.0)</f>
        <v>2026</v>
      </c>
      <c r="D1436" s="2">
        <f>IFERROR(__xludf.DUMMYFUNCTION("""COMPUTED_VALUE"""),46086.0)</f>
        <v>46086</v>
      </c>
      <c r="E1436" s="2" t="str">
        <f>IFERROR(__xludf.DUMMYFUNCTION("""COMPUTED_VALUE"""),"VF")</f>
        <v>VF</v>
      </c>
      <c r="F1436" s="2">
        <f>IFERROR(__xludf.DUMMYFUNCTION("""COMPUTED_VALUE"""),1.0)</f>
        <v>1</v>
      </c>
      <c r="G1436" s="2" t="str">
        <f>IFERROR(__xludf.DUMMYFUNCTION("""COMPUTED_VALUE"""),"PR045")</f>
        <v>PR045</v>
      </c>
      <c r="H1436" s="2" t="str">
        <f>IFERROR(__xludf.DUMMYFUNCTION("""COMPUTED_VALUE"""),"VD018")</f>
        <v>VD018</v>
      </c>
      <c r="I1436" s="2">
        <f>IFERROR(__xludf.DUMMYFUNCTION("""COMPUTED_VALUE"""),6.0)</f>
        <v>6</v>
      </c>
      <c r="J1436" s="2">
        <f>IFERROR(__xludf.DUMMYFUNCTION("""COMPUTED_VALUE"""),443.7)</f>
        <v>443.7</v>
      </c>
      <c r="K1436" s="2">
        <f>IFERROR(__xludf.DUMMYFUNCTION("""COMPUTED_VALUE"""),443.7)</f>
        <v>443.7</v>
      </c>
    </row>
    <row r="1437">
      <c r="A1437" s="2">
        <f>IFERROR(__xludf.DUMMYFUNCTION("""COMPUTED_VALUE"""),1000.0)</f>
        <v>1000</v>
      </c>
      <c r="B1437" s="2">
        <f>IFERROR(__xludf.DUMMYFUNCTION("""COMPUTED_VALUE"""),184504.0)</f>
        <v>184504</v>
      </c>
      <c r="C1437" s="2">
        <f>IFERROR(__xludf.DUMMYFUNCTION("""COMPUTED_VALUE"""),2026.0)</f>
        <v>2026</v>
      </c>
      <c r="D1437" s="2">
        <f>IFERROR(__xludf.DUMMYFUNCTION("""COMPUTED_VALUE"""),46086.0)</f>
        <v>46086</v>
      </c>
      <c r="E1437" s="2" t="str">
        <f>IFERROR(__xludf.DUMMYFUNCTION("""COMPUTED_VALUE"""),"VF")</f>
        <v>VF</v>
      </c>
      <c r="F1437" s="2">
        <f>IFERROR(__xludf.DUMMYFUNCTION("""COMPUTED_VALUE"""),1.0)</f>
        <v>1</v>
      </c>
      <c r="G1437" s="2" t="str">
        <f>IFERROR(__xludf.DUMMYFUNCTION("""COMPUTED_VALUE"""),"PR055")</f>
        <v>PR055</v>
      </c>
      <c r="H1437" s="2" t="str">
        <f>IFERROR(__xludf.DUMMYFUNCTION("""COMPUTED_VALUE"""),"VD019")</f>
        <v>VD019</v>
      </c>
      <c r="I1437" s="2">
        <f>IFERROR(__xludf.DUMMYFUNCTION("""COMPUTED_VALUE"""),6.0)</f>
        <v>6</v>
      </c>
      <c r="J1437" s="2">
        <f>IFERROR(__xludf.DUMMYFUNCTION("""COMPUTED_VALUE"""),560.98)</f>
        <v>560.98</v>
      </c>
      <c r="K1437" s="2">
        <f>IFERROR(__xludf.DUMMYFUNCTION("""COMPUTED_VALUE"""),560.98)</f>
        <v>560.98</v>
      </c>
    </row>
    <row r="1438">
      <c r="A1438" s="2">
        <f>IFERROR(__xludf.DUMMYFUNCTION("""COMPUTED_VALUE"""),1000.0)</f>
        <v>1000</v>
      </c>
      <c r="B1438" s="2">
        <f>IFERROR(__xludf.DUMMYFUNCTION("""COMPUTED_VALUE"""),184504.0)</f>
        <v>184504</v>
      </c>
      <c r="C1438" s="2">
        <f>IFERROR(__xludf.DUMMYFUNCTION("""COMPUTED_VALUE"""),2026.0)</f>
        <v>2026</v>
      </c>
      <c r="D1438" s="2">
        <f>IFERROR(__xludf.DUMMYFUNCTION("""COMPUTED_VALUE"""),46086.0)</f>
        <v>46086</v>
      </c>
      <c r="E1438" s="2" t="str">
        <f>IFERROR(__xludf.DUMMYFUNCTION("""COMPUTED_VALUE"""),"VF")</f>
        <v>VF</v>
      </c>
      <c r="F1438" s="2">
        <f>IFERROR(__xludf.DUMMYFUNCTION("""COMPUTED_VALUE"""),2.0)</f>
        <v>2</v>
      </c>
      <c r="G1438" s="2" t="str">
        <f>IFERROR(__xludf.DUMMYFUNCTION("""COMPUTED_VALUE"""),"PR017")</f>
        <v>PR017</v>
      </c>
      <c r="H1438" s="2" t="str">
        <f>IFERROR(__xludf.DUMMYFUNCTION("""COMPUTED_VALUE"""),"VD013")</f>
        <v>VD013</v>
      </c>
      <c r="I1438" s="2">
        <f>IFERROR(__xludf.DUMMYFUNCTION("""COMPUTED_VALUE"""),9.0)</f>
        <v>9</v>
      </c>
      <c r="J1438" s="2">
        <f>IFERROR(__xludf.DUMMYFUNCTION("""COMPUTED_VALUE"""),282.56)</f>
        <v>282.56</v>
      </c>
      <c r="K1438" s="2">
        <f>IFERROR(__xludf.DUMMYFUNCTION("""COMPUTED_VALUE"""),282.56)</f>
        <v>282.56</v>
      </c>
    </row>
    <row r="1439">
      <c r="A1439" s="2">
        <f>IFERROR(__xludf.DUMMYFUNCTION("""COMPUTED_VALUE"""),1000.0)</f>
        <v>1000</v>
      </c>
      <c r="B1439" s="2">
        <f>IFERROR(__xludf.DUMMYFUNCTION("""COMPUTED_VALUE"""),184504.0)</f>
        <v>184504</v>
      </c>
      <c r="C1439" s="2">
        <f>IFERROR(__xludf.DUMMYFUNCTION("""COMPUTED_VALUE"""),2026.0)</f>
        <v>2026</v>
      </c>
      <c r="D1439" s="2">
        <f>IFERROR(__xludf.DUMMYFUNCTION("""COMPUTED_VALUE"""),46085.0)</f>
        <v>46085</v>
      </c>
      <c r="E1439" s="2" t="str">
        <f>IFERROR(__xludf.DUMMYFUNCTION("""COMPUTED_VALUE"""),"VF")</f>
        <v>VF</v>
      </c>
      <c r="F1439" s="2">
        <f>IFERROR(__xludf.DUMMYFUNCTION("""COMPUTED_VALUE"""),3.0)</f>
        <v>3</v>
      </c>
      <c r="G1439" s="2" t="str">
        <f>IFERROR(__xludf.DUMMYFUNCTION("""COMPUTED_VALUE"""),"PR039")</f>
        <v>PR039</v>
      </c>
      <c r="H1439" s="2" t="str">
        <f>IFERROR(__xludf.DUMMYFUNCTION("""COMPUTED_VALUE"""),"VD040")</f>
        <v>VD040</v>
      </c>
      <c r="I1439" s="2">
        <f>IFERROR(__xludf.DUMMYFUNCTION("""COMPUTED_VALUE"""),4.0)</f>
        <v>4</v>
      </c>
      <c r="J1439" s="2">
        <f>IFERROR(__xludf.DUMMYFUNCTION("""COMPUTED_VALUE"""),601.52)</f>
        <v>601.52</v>
      </c>
      <c r="K1439" s="2">
        <f>IFERROR(__xludf.DUMMYFUNCTION("""COMPUTED_VALUE"""),601.52)</f>
        <v>601.52</v>
      </c>
    </row>
    <row r="1440">
      <c r="A1440" s="2">
        <f>IFERROR(__xludf.DUMMYFUNCTION("""COMPUTED_VALUE"""),2000.0)</f>
        <v>2000</v>
      </c>
      <c r="B1440" s="2">
        <f>IFERROR(__xludf.DUMMYFUNCTION("""COMPUTED_VALUE"""),184505.0)</f>
        <v>184505</v>
      </c>
      <c r="C1440" s="2">
        <f>IFERROR(__xludf.DUMMYFUNCTION("""COMPUTED_VALUE"""),2026.0)</f>
        <v>2026</v>
      </c>
      <c r="D1440" s="2">
        <f>IFERROR(__xludf.DUMMYFUNCTION("""COMPUTED_VALUE"""),46085.0)</f>
        <v>46085</v>
      </c>
      <c r="E1440" s="2" t="str">
        <f>IFERROR(__xludf.DUMMYFUNCTION("""COMPUTED_VALUE"""),"VF")</f>
        <v>VF</v>
      </c>
      <c r="F1440" s="2">
        <f>IFERROR(__xludf.DUMMYFUNCTION("""COMPUTED_VALUE"""),1.0)</f>
        <v>1</v>
      </c>
      <c r="G1440" s="2" t="str">
        <f>IFERROR(__xludf.DUMMYFUNCTION("""COMPUTED_VALUE"""),"PR060")</f>
        <v>PR060</v>
      </c>
      <c r="H1440" s="2" t="str">
        <f>IFERROR(__xludf.DUMMYFUNCTION("""COMPUTED_VALUE"""),"VD037")</f>
        <v>VD037</v>
      </c>
      <c r="I1440" s="2">
        <f>IFERROR(__xludf.DUMMYFUNCTION("""COMPUTED_VALUE"""),10.0)</f>
        <v>10</v>
      </c>
      <c r="J1440" s="2">
        <f>IFERROR(__xludf.DUMMYFUNCTION("""COMPUTED_VALUE"""),1818.0)</f>
        <v>1818</v>
      </c>
      <c r="K1440" s="2">
        <f>IFERROR(__xludf.DUMMYFUNCTION("""COMPUTED_VALUE"""),1818.0)</f>
        <v>1818</v>
      </c>
    </row>
    <row r="1441">
      <c r="A1441" s="2">
        <f>IFERROR(__xludf.DUMMYFUNCTION("""COMPUTED_VALUE"""),1000.0)</f>
        <v>1000</v>
      </c>
      <c r="B1441" s="2">
        <f>IFERROR(__xludf.DUMMYFUNCTION("""COMPUTED_VALUE"""),184506.0)</f>
        <v>184506</v>
      </c>
      <c r="C1441" s="2">
        <f>IFERROR(__xludf.DUMMYFUNCTION("""COMPUTED_VALUE"""),2026.0)</f>
        <v>2026</v>
      </c>
      <c r="D1441" s="2">
        <f>IFERROR(__xludf.DUMMYFUNCTION("""COMPUTED_VALUE"""),46084.0)</f>
        <v>46084</v>
      </c>
      <c r="E1441" s="2" t="str">
        <f>IFERROR(__xludf.DUMMYFUNCTION("""COMPUTED_VALUE"""),"VF")</f>
        <v>VF</v>
      </c>
      <c r="F1441" s="2">
        <f>IFERROR(__xludf.DUMMYFUNCTION("""COMPUTED_VALUE"""),1.0)</f>
        <v>1</v>
      </c>
      <c r="G1441" s="2" t="str">
        <f>IFERROR(__xludf.DUMMYFUNCTION("""COMPUTED_VALUE"""),"PR029")</f>
        <v>PR029</v>
      </c>
      <c r="H1441" s="2" t="str">
        <f>IFERROR(__xludf.DUMMYFUNCTION("""COMPUTED_VALUE"""),"VD013")</f>
        <v>VD013</v>
      </c>
      <c r="I1441" s="2">
        <f>IFERROR(__xludf.DUMMYFUNCTION("""COMPUTED_VALUE"""),7.0)</f>
        <v>7</v>
      </c>
      <c r="J1441" s="2">
        <f>IFERROR(__xludf.DUMMYFUNCTION("""COMPUTED_VALUE"""),1963.5)</f>
        <v>1963.5</v>
      </c>
      <c r="K1441" s="2">
        <f>IFERROR(__xludf.DUMMYFUNCTION("""COMPUTED_VALUE"""),1963.5)</f>
        <v>1963.5</v>
      </c>
    </row>
    <row r="1442">
      <c r="A1442" s="2">
        <f>IFERROR(__xludf.DUMMYFUNCTION("""COMPUTED_VALUE"""),2000.0)</f>
        <v>2000</v>
      </c>
      <c r="B1442" s="2">
        <f>IFERROR(__xludf.DUMMYFUNCTION("""COMPUTED_VALUE"""),184507.0)</f>
        <v>184507</v>
      </c>
      <c r="C1442" s="2">
        <f>IFERROR(__xludf.DUMMYFUNCTION("""COMPUTED_VALUE"""),2026.0)</f>
        <v>2026</v>
      </c>
      <c r="D1442" s="2">
        <f>IFERROR(__xludf.DUMMYFUNCTION("""COMPUTED_VALUE"""),46084.0)</f>
        <v>46084</v>
      </c>
      <c r="E1442" s="2" t="str">
        <f>IFERROR(__xludf.DUMMYFUNCTION("""COMPUTED_VALUE"""),"VF")</f>
        <v>VF</v>
      </c>
      <c r="F1442" s="2">
        <f>IFERROR(__xludf.DUMMYFUNCTION("""COMPUTED_VALUE"""),1.0)</f>
        <v>1</v>
      </c>
      <c r="G1442" s="2" t="str">
        <f>IFERROR(__xludf.DUMMYFUNCTION("""COMPUTED_VALUE"""),"PR009")</f>
        <v>PR009</v>
      </c>
      <c r="H1442" s="2" t="str">
        <f>IFERROR(__xludf.DUMMYFUNCTION("""COMPUTED_VALUE"""),"VD011")</f>
        <v>VD011</v>
      </c>
      <c r="I1442" s="2">
        <f>IFERROR(__xludf.DUMMYFUNCTION("""COMPUTED_VALUE"""),14.0)</f>
        <v>14</v>
      </c>
      <c r="J1442" s="2">
        <f>IFERROR(__xludf.DUMMYFUNCTION("""COMPUTED_VALUE"""),1365.63)</f>
        <v>1365.63</v>
      </c>
      <c r="K1442" s="2">
        <f>IFERROR(__xludf.DUMMYFUNCTION("""COMPUTED_VALUE"""),1365.63)</f>
        <v>1365.63</v>
      </c>
    </row>
    <row r="1443">
      <c r="A1443" s="2">
        <f>IFERROR(__xludf.DUMMYFUNCTION("""COMPUTED_VALUE"""),1000.0)</f>
        <v>1000</v>
      </c>
      <c r="B1443" s="2">
        <f>IFERROR(__xludf.DUMMYFUNCTION("""COMPUTED_VALUE"""),184507.0)</f>
        <v>184507</v>
      </c>
      <c r="C1443" s="2">
        <f>IFERROR(__xludf.DUMMYFUNCTION("""COMPUTED_VALUE"""),2026.0)</f>
        <v>2026</v>
      </c>
      <c r="D1443" s="2">
        <f>IFERROR(__xludf.DUMMYFUNCTION("""COMPUTED_VALUE"""),46084.0)</f>
        <v>46084</v>
      </c>
      <c r="E1443" s="2" t="str">
        <f>IFERROR(__xludf.DUMMYFUNCTION("""COMPUTED_VALUE"""),"VF")</f>
        <v>VF</v>
      </c>
      <c r="F1443" s="2">
        <f>IFERROR(__xludf.DUMMYFUNCTION("""COMPUTED_VALUE"""),2.0)</f>
        <v>2</v>
      </c>
      <c r="G1443" s="2" t="str">
        <f>IFERROR(__xludf.DUMMYFUNCTION("""COMPUTED_VALUE"""),"PR050")</f>
        <v>PR050</v>
      </c>
      <c r="H1443" s="2" t="str">
        <f>IFERROR(__xludf.DUMMYFUNCTION("""COMPUTED_VALUE"""),"VD033")</f>
        <v>VD033</v>
      </c>
      <c r="I1443" s="2">
        <f>IFERROR(__xludf.DUMMYFUNCTION("""COMPUTED_VALUE"""),6.0)</f>
        <v>6</v>
      </c>
      <c r="J1443" s="2">
        <f>IFERROR(__xludf.DUMMYFUNCTION("""COMPUTED_VALUE"""),205.3)</f>
        <v>205.3</v>
      </c>
      <c r="K1443" s="2">
        <f>IFERROR(__xludf.DUMMYFUNCTION("""COMPUTED_VALUE"""),205.3)</f>
        <v>205.3</v>
      </c>
    </row>
    <row r="1444">
      <c r="A1444" s="2">
        <f>IFERROR(__xludf.DUMMYFUNCTION("""COMPUTED_VALUE"""),1000.0)</f>
        <v>1000</v>
      </c>
      <c r="B1444" s="2">
        <f>IFERROR(__xludf.DUMMYFUNCTION("""COMPUTED_VALUE"""),184508.0)</f>
        <v>184508</v>
      </c>
      <c r="C1444" s="2">
        <f>IFERROR(__xludf.DUMMYFUNCTION("""COMPUTED_VALUE"""),2026.0)</f>
        <v>2026</v>
      </c>
      <c r="D1444" s="2">
        <f>IFERROR(__xludf.DUMMYFUNCTION("""COMPUTED_VALUE"""),46084.0)</f>
        <v>46084</v>
      </c>
      <c r="E1444" s="2" t="str">
        <f>IFERROR(__xludf.DUMMYFUNCTION("""COMPUTED_VALUE"""),"VF")</f>
        <v>VF</v>
      </c>
      <c r="F1444" s="2">
        <f>IFERROR(__xludf.DUMMYFUNCTION("""COMPUTED_VALUE"""),1.0)</f>
        <v>1</v>
      </c>
      <c r="G1444" s="2" t="str">
        <f>IFERROR(__xludf.DUMMYFUNCTION("""COMPUTED_VALUE"""),"PR004")</f>
        <v>PR004</v>
      </c>
      <c r="H1444" s="2" t="str">
        <f>IFERROR(__xludf.DUMMYFUNCTION("""COMPUTED_VALUE"""),"VD021")</f>
        <v>VD021</v>
      </c>
      <c r="I1444" s="2">
        <f>IFERROR(__xludf.DUMMYFUNCTION("""COMPUTED_VALUE"""),8.0)</f>
        <v>8</v>
      </c>
      <c r="J1444" s="2">
        <f>IFERROR(__xludf.DUMMYFUNCTION("""COMPUTED_VALUE"""),1264.4)</f>
        <v>1264.4</v>
      </c>
      <c r="K1444" s="2">
        <f>IFERROR(__xludf.DUMMYFUNCTION("""COMPUTED_VALUE"""),1264.4)</f>
        <v>1264.4</v>
      </c>
    </row>
    <row r="1445">
      <c r="A1445" s="2">
        <f>IFERROR(__xludf.DUMMYFUNCTION("""COMPUTED_VALUE"""),1000.0)</f>
        <v>1000</v>
      </c>
      <c r="B1445" s="2">
        <f>IFERROR(__xludf.DUMMYFUNCTION("""COMPUTED_VALUE"""),184508.0)</f>
        <v>184508</v>
      </c>
      <c r="C1445" s="2">
        <f>IFERROR(__xludf.DUMMYFUNCTION("""COMPUTED_VALUE"""),2026.0)</f>
        <v>2026</v>
      </c>
      <c r="D1445" s="2">
        <f>IFERROR(__xludf.DUMMYFUNCTION("""COMPUTED_VALUE"""),46084.0)</f>
        <v>46084</v>
      </c>
      <c r="E1445" s="2" t="str">
        <f>IFERROR(__xludf.DUMMYFUNCTION("""COMPUTED_VALUE"""),"VF")</f>
        <v>VF</v>
      </c>
      <c r="F1445" s="2">
        <f>IFERROR(__xludf.DUMMYFUNCTION("""COMPUTED_VALUE"""),2.0)</f>
        <v>2</v>
      </c>
      <c r="G1445" s="2" t="str">
        <f>IFERROR(__xludf.DUMMYFUNCTION("""COMPUTED_VALUE"""),"PR017")</f>
        <v>PR017</v>
      </c>
      <c r="H1445" s="2" t="str">
        <f>IFERROR(__xludf.DUMMYFUNCTION("""COMPUTED_VALUE"""),"VD045")</f>
        <v>VD045</v>
      </c>
      <c r="I1445" s="2">
        <f>IFERROR(__xludf.DUMMYFUNCTION("""COMPUTED_VALUE"""),9.0)</f>
        <v>9</v>
      </c>
      <c r="J1445" s="2">
        <f>IFERROR(__xludf.DUMMYFUNCTION("""COMPUTED_VALUE"""),269.1)</f>
        <v>269.1</v>
      </c>
      <c r="K1445" s="2">
        <f>IFERROR(__xludf.DUMMYFUNCTION("""COMPUTED_VALUE"""),269.1)</f>
        <v>269.1</v>
      </c>
    </row>
    <row r="1446">
      <c r="A1446" s="2">
        <f>IFERROR(__xludf.DUMMYFUNCTION("""COMPUTED_VALUE"""),2000.0)</f>
        <v>2000</v>
      </c>
      <c r="B1446" s="2">
        <f>IFERROR(__xludf.DUMMYFUNCTION("""COMPUTED_VALUE"""),184508.0)</f>
        <v>184508</v>
      </c>
      <c r="C1446" s="2">
        <f>IFERROR(__xludf.DUMMYFUNCTION("""COMPUTED_VALUE"""),2026.0)</f>
        <v>2026</v>
      </c>
      <c r="D1446" s="2">
        <f>IFERROR(__xludf.DUMMYFUNCTION("""COMPUTED_VALUE"""),46083.0)</f>
        <v>46083</v>
      </c>
      <c r="E1446" s="2" t="str">
        <f>IFERROR(__xludf.DUMMYFUNCTION("""COMPUTED_VALUE"""),"VF")</f>
        <v>VF</v>
      </c>
      <c r="F1446" s="2">
        <f>IFERROR(__xludf.DUMMYFUNCTION("""COMPUTED_VALUE"""),3.0)</f>
        <v>3</v>
      </c>
      <c r="G1446" s="2" t="str">
        <f>IFERROR(__xludf.DUMMYFUNCTION("""COMPUTED_VALUE"""),"PR054")</f>
        <v>PR054</v>
      </c>
      <c r="H1446" s="2" t="str">
        <f>IFERROR(__xludf.DUMMYFUNCTION("""COMPUTED_VALUE"""),"VD049")</f>
        <v>VD049</v>
      </c>
      <c r="I1446" s="2">
        <f>IFERROR(__xludf.DUMMYFUNCTION("""COMPUTED_VALUE"""),8.0)</f>
        <v>8</v>
      </c>
      <c r="J1446" s="2">
        <f>IFERROR(__xludf.DUMMYFUNCTION("""COMPUTED_VALUE"""),403.19)</f>
        <v>403.19</v>
      </c>
      <c r="K1446" s="2">
        <f>IFERROR(__xludf.DUMMYFUNCTION("""COMPUTED_VALUE"""),403.19)</f>
        <v>403.19</v>
      </c>
    </row>
    <row r="1447">
      <c r="A1447" s="2">
        <f>IFERROR(__xludf.DUMMYFUNCTION("""COMPUTED_VALUE"""),1000.0)</f>
        <v>1000</v>
      </c>
      <c r="B1447" s="2">
        <f>IFERROR(__xludf.DUMMYFUNCTION("""COMPUTED_VALUE"""),184509.0)</f>
        <v>184509</v>
      </c>
      <c r="C1447" s="2">
        <f>IFERROR(__xludf.DUMMYFUNCTION("""COMPUTED_VALUE"""),2026.0)</f>
        <v>2026</v>
      </c>
      <c r="D1447" s="2">
        <f>IFERROR(__xludf.DUMMYFUNCTION("""COMPUTED_VALUE"""),46083.0)</f>
        <v>46083</v>
      </c>
      <c r="E1447" s="2" t="str">
        <f>IFERROR(__xludf.DUMMYFUNCTION("""COMPUTED_VALUE"""),"VF")</f>
        <v>VF</v>
      </c>
      <c r="F1447" s="2">
        <f>IFERROR(__xludf.DUMMYFUNCTION("""COMPUTED_VALUE"""),1.0)</f>
        <v>1</v>
      </c>
      <c r="G1447" s="2" t="str">
        <f>IFERROR(__xludf.DUMMYFUNCTION("""COMPUTED_VALUE"""),"PR028")</f>
        <v>PR028</v>
      </c>
      <c r="H1447" s="2" t="str">
        <f>IFERROR(__xludf.DUMMYFUNCTION("""COMPUTED_VALUE"""),"VD033")</f>
        <v>VD033</v>
      </c>
      <c r="I1447" s="2">
        <f>IFERROR(__xludf.DUMMYFUNCTION("""COMPUTED_VALUE"""),8.0)</f>
        <v>8</v>
      </c>
      <c r="J1447" s="2">
        <f>IFERROR(__xludf.DUMMYFUNCTION("""COMPUTED_VALUE"""),2119.15)</f>
        <v>2119.15</v>
      </c>
      <c r="K1447" s="2">
        <f>IFERROR(__xludf.DUMMYFUNCTION("""COMPUTED_VALUE"""),2119.15)</f>
        <v>2119.15</v>
      </c>
    </row>
    <row r="1448">
      <c r="A1448" s="2">
        <f>IFERROR(__xludf.DUMMYFUNCTION("""COMPUTED_VALUE"""),1000.0)</f>
        <v>1000</v>
      </c>
      <c r="B1448" s="2">
        <f>IFERROR(__xludf.DUMMYFUNCTION("""COMPUTED_VALUE"""),184510.0)</f>
        <v>184510</v>
      </c>
      <c r="C1448" s="2">
        <f>IFERROR(__xludf.DUMMYFUNCTION("""COMPUTED_VALUE"""),2026.0)</f>
        <v>2026</v>
      </c>
      <c r="D1448" s="2">
        <f>IFERROR(__xludf.DUMMYFUNCTION("""COMPUTED_VALUE"""),46082.0)</f>
        <v>46082</v>
      </c>
      <c r="E1448" s="2" t="str">
        <f>IFERROR(__xludf.DUMMYFUNCTION("""COMPUTED_VALUE"""),"VF")</f>
        <v>VF</v>
      </c>
      <c r="F1448" s="2">
        <f>IFERROR(__xludf.DUMMYFUNCTION("""COMPUTED_VALUE"""),1.0)</f>
        <v>1</v>
      </c>
      <c r="G1448" s="2" t="str">
        <f>IFERROR(__xludf.DUMMYFUNCTION("""COMPUTED_VALUE"""),"PR037")</f>
        <v>PR037</v>
      </c>
      <c r="H1448" s="2" t="str">
        <f>IFERROR(__xludf.DUMMYFUNCTION("""COMPUTED_VALUE"""),"VD024")</f>
        <v>VD024</v>
      </c>
      <c r="I1448" s="2">
        <f>IFERROR(__xludf.DUMMYFUNCTION("""COMPUTED_VALUE"""),6.0)</f>
        <v>6</v>
      </c>
      <c r="J1448" s="2">
        <f>IFERROR(__xludf.DUMMYFUNCTION("""COMPUTED_VALUE"""),924.0)</f>
        <v>924</v>
      </c>
      <c r="K1448" s="2">
        <f>IFERROR(__xludf.DUMMYFUNCTION("""COMPUTED_VALUE"""),924.0)</f>
        <v>924</v>
      </c>
    </row>
    <row r="1449">
      <c r="A1449" s="2">
        <f>IFERROR(__xludf.DUMMYFUNCTION("""COMPUTED_VALUE"""),1000.0)</f>
        <v>1000</v>
      </c>
      <c r="B1449" s="2">
        <f>IFERROR(__xludf.DUMMYFUNCTION("""COMPUTED_VALUE"""),184511.0)</f>
        <v>184511</v>
      </c>
      <c r="C1449" s="2">
        <f>IFERROR(__xludf.DUMMYFUNCTION("""COMPUTED_VALUE"""),2026.0)</f>
        <v>2026</v>
      </c>
      <c r="D1449" s="2">
        <f>IFERROR(__xludf.DUMMYFUNCTION("""COMPUTED_VALUE"""),46082.0)</f>
        <v>46082</v>
      </c>
      <c r="E1449" s="2" t="str">
        <f>IFERROR(__xludf.DUMMYFUNCTION("""COMPUTED_VALUE"""),"VF")</f>
        <v>VF</v>
      </c>
      <c r="F1449" s="2">
        <f>IFERROR(__xludf.DUMMYFUNCTION("""COMPUTED_VALUE"""),1.0)</f>
        <v>1</v>
      </c>
      <c r="G1449" s="2" t="str">
        <f>IFERROR(__xludf.DUMMYFUNCTION("""COMPUTED_VALUE"""),"PR011")</f>
        <v>PR011</v>
      </c>
      <c r="H1449" s="2" t="str">
        <f>IFERROR(__xludf.DUMMYFUNCTION("""COMPUTED_VALUE"""),"VD012")</f>
        <v>VD012</v>
      </c>
      <c r="I1449" s="2">
        <f>IFERROR(__xludf.DUMMYFUNCTION("""COMPUTED_VALUE"""),3.0)</f>
        <v>3</v>
      </c>
      <c r="J1449" s="2">
        <f>IFERROR(__xludf.DUMMYFUNCTION("""COMPUTED_VALUE"""),143.51)</f>
        <v>143.51</v>
      </c>
      <c r="K1449" s="2">
        <f>IFERROR(__xludf.DUMMYFUNCTION("""COMPUTED_VALUE"""),143.51)</f>
        <v>143.51</v>
      </c>
    </row>
    <row r="1450">
      <c r="A1450" s="2">
        <f>IFERROR(__xludf.DUMMYFUNCTION("""COMPUTED_VALUE"""),2000.0)</f>
        <v>2000</v>
      </c>
      <c r="B1450" s="2">
        <f>IFERROR(__xludf.DUMMYFUNCTION("""COMPUTED_VALUE"""),184511.0)</f>
        <v>184511</v>
      </c>
      <c r="C1450" s="2">
        <f>IFERROR(__xludf.DUMMYFUNCTION("""COMPUTED_VALUE"""),2026.0)</f>
        <v>2026</v>
      </c>
      <c r="D1450" s="2">
        <f>IFERROR(__xludf.DUMMYFUNCTION("""COMPUTED_VALUE"""),46082.0)</f>
        <v>46082</v>
      </c>
      <c r="E1450" s="2" t="str">
        <f>IFERROR(__xludf.DUMMYFUNCTION("""COMPUTED_VALUE"""),"VF")</f>
        <v>VF</v>
      </c>
      <c r="F1450" s="2">
        <f>IFERROR(__xludf.DUMMYFUNCTION("""COMPUTED_VALUE"""),2.0)</f>
        <v>2</v>
      </c>
      <c r="G1450" s="2" t="str">
        <f>IFERROR(__xludf.DUMMYFUNCTION("""COMPUTED_VALUE"""),"PR047")</f>
        <v>PR047</v>
      </c>
      <c r="H1450" s="2" t="str">
        <f>IFERROR(__xludf.DUMMYFUNCTION("""COMPUTED_VALUE"""),"VD037")</f>
        <v>VD037</v>
      </c>
      <c r="I1450" s="2">
        <f>IFERROR(__xludf.DUMMYFUNCTION("""COMPUTED_VALUE"""),6.0)</f>
        <v>6</v>
      </c>
      <c r="J1450" s="2">
        <f>IFERROR(__xludf.DUMMYFUNCTION("""COMPUTED_VALUE"""),1808.98)</f>
        <v>1808.98</v>
      </c>
      <c r="K1450" s="2">
        <f>IFERROR(__xludf.DUMMYFUNCTION("""COMPUTED_VALUE"""),1808.98)</f>
        <v>1808.98</v>
      </c>
    </row>
    <row r="1451">
      <c r="A1451" s="2">
        <f>IFERROR(__xludf.DUMMYFUNCTION("""COMPUTED_VALUE"""),1000.0)</f>
        <v>1000</v>
      </c>
      <c r="B1451" s="2">
        <f>IFERROR(__xludf.DUMMYFUNCTION("""COMPUTED_VALUE"""),184512.0)</f>
        <v>184512</v>
      </c>
      <c r="C1451" s="2">
        <f>IFERROR(__xludf.DUMMYFUNCTION("""COMPUTED_VALUE"""),2026.0)</f>
        <v>2026</v>
      </c>
      <c r="D1451" s="2">
        <f>IFERROR(__xludf.DUMMYFUNCTION("""COMPUTED_VALUE"""),46081.0)</f>
        <v>46081</v>
      </c>
      <c r="E1451" s="2" t="str">
        <f>IFERROR(__xludf.DUMMYFUNCTION("""COMPUTED_VALUE"""),"VF")</f>
        <v>VF</v>
      </c>
      <c r="F1451" s="2">
        <f>IFERROR(__xludf.DUMMYFUNCTION("""COMPUTED_VALUE"""),1.0)</f>
        <v>1</v>
      </c>
      <c r="G1451" s="2" t="str">
        <f>IFERROR(__xludf.DUMMYFUNCTION("""COMPUTED_VALUE"""),"PR036")</f>
        <v>PR036</v>
      </c>
      <c r="H1451" s="2" t="str">
        <f>IFERROR(__xludf.DUMMYFUNCTION("""COMPUTED_VALUE"""),"VD027")</f>
        <v>VD027</v>
      </c>
      <c r="I1451" s="2">
        <f>IFERROR(__xludf.DUMMYFUNCTION("""COMPUTED_VALUE"""),7.0)</f>
        <v>7</v>
      </c>
      <c r="J1451" s="2">
        <f>IFERROR(__xludf.DUMMYFUNCTION("""COMPUTED_VALUE"""),693.77)</f>
        <v>693.77</v>
      </c>
      <c r="K1451" s="2">
        <f>IFERROR(__xludf.DUMMYFUNCTION("""COMPUTED_VALUE"""),693.77)</f>
        <v>693.77</v>
      </c>
    </row>
    <row r="1452">
      <c r="A1452" s="2">
        <f>IFERROR(__xludf.DUMMYFUNCTION("""COMPUTED_VALUE"""),1000.0)</f>
        <v>1000</v>
      </c>
      <c r="B1452" s="2">
        <f>IFERROR(__xludf.DUMMYFUNCTION("""COMPUTED_VALUE"""),184513.0)</f>
        <v>184513</v>
      </c>
      <c r="C1452" s="2">
        <f>IFERROR(__xludf.DUMMYFUNCTION("""COMPUTED_VALUE"""),2026.0)</f>
        <v>2026</v>
      </c>
      <c r="D1452" s="2">
        <f>IFERROR(__xludf.DUMMYFUNCTION("""COMPUTED_VALUE"""),46081.0)</f>
        <v>46081</v>
      </c>
      <c r="E1452" s="2" t="str">
        <f>IFERROR(__xludf.DUMMYFUNCTION("""COMPUTED_VALUE"""),"VF")</f>
        <v>VF</v>
      </c>
      <c r="F1452" s="2">
        <f>IFERROR(__xludf.DUMMYFUNCTION("""COMPUTED_VALUE"""),1.0)</f>
        <v>1</v>
      </c>
      <c r="G1452" s="2" t="str">
        <f>IFERROR(__xludf.DUMMYFUNCTION("""COMPUTED_VALUE"""),"PR027")</f>
        <v>PR027</v>
      </c>
      <c r="H1452" s="2" t="str">
        <f>IFERROR(__xludf.DUMMYFUNCTION("""COMPUTED_VALUE"""),"VD034")</f>
        <v>VD034</v>
      </c>
      <c r="I1452" s="2">
        <f>IFERROR(__xludf.DUMMYFUNCTION("""COMPUTED_VALUE"""),6.0)</f>
        <v>6</v>
      </c>
      <c r="J1452" s="2">
        <f>IFERROR(__xludf.DUMMYFUNCTION("""COMPUTED_VALUE"""),720.0)</f>
        <v>720</v>
      </c>
      <c r="K1452" s="2">
        <f>IFERROR(__xludf.DUMMYFUNCTION("""COMPUTED_VALUE"""),720.0)</f>
        <v>720</v>
      </c>
    </row>
    <row r="1453">
      <c r="A1453" s="2">
        <f>IFERROR(__xludf.DUMMYFUNCTION("""COMPUTED_VALUE"""),1000.0)</f>
        <v>1000</v>
      </c>
      <c r="B1453" s="2">
        <f>IFERROR(__xludf.DUMMYFUNCTION("""COMPUTED_VALUE"""),184514.0)</f>
        <v>184514</v>
      </c>
      <c r="C1453" s="2">
        <f>IFERROR(__xludf.DUMMYFUNCTION("""COMPUTED_VALUE"""),2026.0)</f>
        <v>2026</v>
      </c>
      <c r="D1453" s="2">
        <f>IFERROR(__xludf.DUMMYFUNCTION("""COMPUTED_VALUE"""),46080.0)</f>
        <v>46080</v>
      </c>
      <c r="E1453" s="2" t="str">
        <f>IFERROR(__xludf.DUMMYFUNCTION("""COMPUTED_VALUE"""),"VF")</f>
        <v>VF</v>
      </c>
      <c r="F1453" s="2">
        <f>IFERROR(__xludf.DUMMYFUNCTION("""COMPUTED_VALUE"""),1.0)</f>
        <v>1</v>
      </c>
      <c r="G1453" s="2" t="str">
        <f>IFERROR(__xludf.DUMMYFUNCTION("""COMPUTED_VALUE"""),"PR018")</f>
        <v>PR018</v>
      </c>
      <c r="H1453" s="2" t="str">
        <f>IFERROR(__xludf.DUMMYFUNCTION("""COMPUTED_VALUE"""),"VD017")</f>
        <v>VD017</v>
      </c>
      <c r="I1453" s="2">
        <f>IFERROR(__xludf.DUMMYFUNCTION("""COMPUTED_VALUE"""),8.0)</f>
        <v>8</v>
      </c>
      <c r="J1453" s="2">
        <f>IFERROR(__xludf.DUMMYFUNCTION("""COMPUTED_VALUE"""),268.46)</f>
        <v>268.46</v>
      </c>
      <c r="K1453" s="2">
        <f>IFERROR(__xludf.DUMMYFUNCTION("""COMPUTED_VALUE"""),268.46)</f>
        <v>268.46</v>
      </c>
    </row>
    <row r="1454">
      <c r="A1454" s="2">
        <f>IFERROR(__xludf.DUMMYFUNCTION("""COMPUTED_VALUE"""),1000.0)</f>
        <v>1000</v>
      </c>
      <c r="B1454" s="2">
        <f>IFERROR(__xludf.DUMMYFUNCTION("""COMPUTED_VALUE"""),184514.0)</f>
        <v>184514</v>
      </c>
      <c r="C1454" s="2">
        <f>IFERROR(__xludf.DUMMYFUNCTION("""COMPUTED_VALUE"""),2026.0)</f>
        <v>2026</v>
      </c>
      <c r="D1454" s="2">
        <f>IFERROR(__xludf.DUMMYFUNCTION("""COMPUTED_VALUE"""),46080.0)</f>
        <v>46080</v>
      </c>
      <c r="E1454" s="2" t="str">
        <f>IFERROR(__xludf.DUMMYFUNCTION("""COMPUTED_VALUE"""),"VF")</f>
        <v>VF</v>
      </c>
      <c r="F1454" s="2">
        <f>IFERROR(__xludf.DUMMYFUNCTION("""COMPUTED_VALUE"""),2.0)</f>
        <v>2</v>
      </c>
      <c r="G1454" s="2" t="str">
        <f>IFERROR(__xludf.DUMMYFUNCTION("""COMPUTED_VALUE"""),"PR043")</f>
        <v>PR043</v>
      </c>
      <c r="H1454" s="2" t="str">
        <f>IFERROR(__xludf.DUMMYFUNCTION("""COMPUTED_VALUE"""),"VD038")</f>
        <v>VD038</v>
      </c>
      <c r="I1454" s="2">
        <f>IFERROR(__xludf.DUMMYFUNCTION("""COMPUTED_VALUE"""),14.0)</f>
        <v>14</v>
      </c>
      <c r="J1454" s="2">
        <f>IFERROR(__xludf.DUMMYFUNCTION("""COMPUTED_VALUE"""),1035.3)</f>
        <v>1035.3</v>
      </c>
      <c r="K1454" s="2">
        <f>IFERROR(__xludf.DUMMYFUNCTION("""COMPUTED_VALUE"""),1035.3)</f>
        <v>1035.3</v>
      </c>
    </row>
    <row r="1455">
      <c r="A1455" s="2">
        <f>IFERROR(__xludf.DUMMYFUNCTION("""COMPUTED_VALUE"""),1000.0)</f>
        <v>1000</v>
      </c>
      <c r="B1455" s="2">
        <f>IFERROR(__xludf.DUMMYFUNCTION("""COMPUTED_VALUE"""),184514.0)</f>
        <v>184514</v>
      </c>
      <c r="C1455" s="2">
        <f>IFERROR(__xludf.DUMMYFUNCTION("""COMPUTED_VALUE"""),2026.0)</f>
        <v>2026</v>
      </c>
      <c r="D1455" s="2">
        <f>IFERROR(__xludf.DUMMYFUNCTION("""COMPUTED_VALUE"""),46080.0)</f>
        <v>46080</v>
      </c>
      <c r="E1455" s="2" t="str">
        <f>IFERROR(__xludf.DUMMYFUNCTION("""COMPUTED_VALUE"""),"VF")</f>
        <v>VF</v>
      </c>
      <c r="F1455" s="2">
        <f>IFERROR(__xludf.DUMMYFUNCTION("""COMPUTED_VALUE"""),3.0)</f>
        <v>3</v>
      </c>
      <c r="G1455" s="2" t="str">
        <f>IFERROR(__xludf.DUMMYFUNCTION("""COMPUTED_VALUE"""),"PR023")</f>
        <v>PR023</v>
      </c>
      <c r="H1455" s="2" t="str">
        <f>IFERROR(__xludf.DUMMYFUNCTION("""COMPUTED_VALUE"""),"VD046")</f>
        <v>VD046</v>
      </c>
      <c r="I1455" s="2">
        <f>IFERROR(__xludf.DUMMYFUNCTION("""COMPUTED_VALUE"""),12.0)</f>
        <v>12</v>
      </c>
      <c r="J1455" s="2">
        <f>IFERROR(__xludf.DUMMYFUNCTION("""COMPUTED_VALUE"""),3058.78)</f>
        <v>3058.78</v>
      </c>
      <c r="K1455" s="2">
        <f>IFERROR(__xludf.DUMMYFUNCTION("""COMPUTED_VALUE"""),3058.78)</f>
        <v>3058.78</v>
      </c>
    </row>
    <row r="1456">
      <c r="A1456" s="2">
        <f>IFERROR(__xludf.DUMMYFUNCTION("""COMPUTED_VALUE"""),1000.0)</f>
        <v>1000</v>
      </c>
      <c r="B1456" s="2">
        <f>IFERROR(__xludf.DUMMYFUNCTION("""COMPUTED_VALUE"""),184515.0)</f>
        <v>184515</v>
      </c>
      <c r="C1456" s="2">
        <f>IFERROR(__xludf.DUMMYFUNCTION("""COMPUTED_VALUE"""),2026.0)</f>
        <v>2026</v>
      </c>
      <c r="D1456" s="2">
        <f>IFERROR(__xludf.DUMMYFUNCTION("""COMPUTED_VALUE"""),46079.0)</f>
        <v>46079</v>
      </c>
      <c r="E1456" s="2" t="str">
        <f>IFERROR(__xludf.DUMMYFUNCTION("""COMPUTED_VALUE"""),"VF")</f>
        <v>VF</v>
      </c>
      <c r="F1456" s="2">
        <f>IFERROR(__xludf.DUMMYFUNCTION("""COMPUTED_VALUE"""),1.0)</f>
        <v>1</v>
      </c>
      <c r="G1456" s="2" t="str">
        <f>IFERROR(__xludf.DUMMYFUNCTION("""COMPUTED_VALUE"""),"PR014")</f>
        <v>PR014</v>
      </c>
      <c r="H1456" s="2" t="str">
        <f>IFERROR(__xludf.DUMMYFUNCTION("""COMPUTED_VALUE"""),"VD019")</f>
        <v>VD019</v>
      </c>
      <c r="I1456" s="2">
        <f>IFERROR(__xludf.DUMMYFUNCTION("""COMPUTED_VALUE"""),18.0)</f>
        <v>18</v>
      </c>
      <c r="J1456" s="2">
        <f>IFERROR(__xludf.DUMMYFUNCTION("""COMPUTED_VALUE"""),718.2)</f>
        <v>718.2</v>
      </c>
      <c r="K1456" s="2">
        <f>IFERROR(__xludf.DUMMYFUNCTION("""COMPUTED_VALUE"""),718.2)</f>
        <v>718.2</v>
      </c>
    </row>
    <row r="1457">
      <c r="A1457" s="2">
        <f>IFERROR(__xludf.DUMMYFUNCTION("""COMPUTED_VALUE"""),1000.0)</f>
        <v>1000</v>
      </c>
      <c r="B1457" s="2">
        <f>IFERROR(__xludf.DUMMYFUNCTION("""COMPUTED_VALUE"""),184515.0)</f>
        <v>184515</v>
      </c>
      <c r="C1457" s="2">
        <f>IFERROR(__xludf.DUMMYFUNCTION("""COMPUTED_VALUE"""),2026.0)</f>
        <v>2026</v>
      </c>
      <c r="D1457" s="2">
        <f>IFERROR(__xludf.DUMMYFUNCTION("""COMPUTED_VALUE"""),46079.0)</f>
        <v>46079</v>
      </c>
      <c r="E1457" s="2" t="str">
        <f>IFERROR(__xludf.DUMMYFUNCTION("""COMPUTED_VALUE"""),"VF")</f>
        <v>VF</v>
      </c>
      <c r="F1457" s="2">
        <f>IFERROR(__xludf.DUMMYFUNCTION("""COMPUTED_VALUE"""),2.0)</f>
        <v>2</v>
      </c>
      <c r="G1457" s="2" t="str">
        <f>IFERROR(__xludf.DUMMYFUNCTION("""COMPUTED_VALUE"""),"PR028")</f>
        <v>PR028</v>
      </c>
      <c r="H1457" s="2" t="str">
        <f>IFERROR(__xludf.DUMMYFUNCTION("""COMPUTED_VALUE"""),"VD029")</f>
        <v>VD029</v>
      </c>
      <c r="I1457" s="2">
        <f>IFERROR(__xludf.DUMMYFUNCTION("""COMPUTED_VALUE"""),9.0)</f>
        <v>9</v>
      </c>
      <c r="J1457" s="2">
        <f>IFERROR(__xludf.DUMMYFUNCTION("""COMPUTED_VALUE"""),2406.54)</f>
        <v>2406.54</v>
      </c>
      <c r="K1457" s="2">
        <f>IFERROR(__xludf.DUMMYFUNCTION("""COMPUTED_VALUE"""),2406.54)</f>
        <v>2406.54</v>
      </c>
    </row>
    <row r="1458">
      <c r="A1458" s="2">
        <f>IFERROR(__xludf.DUMMYFUNCTION("""COMPUTED_VALUE"""),1000.0)</f>
        <v>1000</v>
      </c>
      <c r="B1458" s="2">
        <f>IFERROR(__xludf.DUMMYFUNCTION("""COMPUTED_VALUE"""),184516.0)</f>
        <v>184516</v>
      </c>
      <c r="C1458" s="2">
        <f>IFERROR(__xludf.DUMMYFUNCTION("""COMPUTED_VALUE"""),2026.0)</f>
        <v>2026</v>
      </c>
      <c r="D1458" s="2">
        <f>IFERROR(__xludf.DUMMYFUNCTION("""COMPUTED_VALUE"""),46078.0)</f>
        <v>46078</v>
      </c>
      <c r="E1458" s="2" t="str">
        <f>IFERROR(__xludf.DUMMYFUNCTION("""COMPUTED_VALUE"""),"VF")</f>
        <v>VF</v>
      </c>
      <c r="F1458" s="2">
        <f>IFERROR(__xludf.DUMMYFUNCTION("""COMPUTED_VALUE"""),1.0)</f>
        <v>1</v>
      </c>
      <c r="G1458" s="2" t="str">
        <f>IFERROR(__xludf.DUMMYFUNCTION("""COMPUTED_VALUE"""),"PR054")</f>
        <v>PR054</v>
      </c>
      <c r="H1458" s="2" t="str">
        <f>IFERROR(__xludf.DUMMYFUNCTION("""COMPUTED_VALUE"""),"VD015")</f>
        <v>VD015</v>
      </c>
      <c r="I1458" s="2">
        <f>IFERROR(__xludf.DUMMYFUNCTION("""COMPUTED_VALUE"""),2.0)</f>
        <v>2</v>
      </c>
      <c r="J1458" s="2">
        <f>IFERROR(__xludf.DUMMYFUNCTION("""COMPUTED_VALUE"""),100.8)</f>
        <v>100.8</v>
      </c>
      <c r="K1458" s="2">
        <f>IFERROR(__xludf.DUMMYFUNCTION("""COMPUTED_VALUE"""),100.8)</f>
        <v>100.8</v>
      </c>
    </row>
    <row r="1459">
      <c r="A1459" s="2">
        <f>IFERROR(__xludf.DUMMYFUNCTION("""COMPUTED_VALUE"""),1000.0)</f>
        <v>1000</v>
      </c>
      <c r="B1459" s="2">
        <f>IFERROR(__xludf.DUMMYFUNCTION("""COMPUTED_VALUE"""),184517.0)</f>
        <v>184517</v>
      </c>
      <c r="C1459" s="2">
        <f>IFERROR(__xludf.DUMMYFUNCTION("""COMPUTED_VALUE"""),2026.0)</f>
        <v>2026</v>
      </c>
      <c r="D1459" s="2">
        <f>IFERROR(__xludf.DUMMYFUNCTION("""COMPUTED_VALUE"""),46078.0)</f>
        <v>46078</v>
      </c>
      <c r="E1459" s="2" t="str">
        <f>IFERROR(__xludf.DUMMYFUNCTION("""COMPUTED_VALUE"""),"VF")</f>
        <v>VF</v>
      </c>
      <c r="F1459" s="2">
        <f>IFERROR(__xludf.DUMMYFUNCTION("""COMPUTED_VALUE"""),1.0)</f>
        <v>1</v>
      </c>
      <c r="G1459" s="2" t="str">
        <f>IFERROR(__xludf.DUMMYFUNCTION("""COMPUTED_VALUE"""),"PR010")</f>
        <v>PR010</v>
      </c>
      <c r="H1459" s="2" t="str">
        <f>IFERROR(__xludf.DUMMYFUNCTION("""COMPUTED_VALUE"""),"VD018")</f>
        <v>VD018</v>
      </c>
      <c r="I1459" s="2">
        <f>IFERROR(__xludf.DUMMYFUNCTION("""COMPUTED_VALUE"""),10.0)</f>
        <v>10</v>
      </c>
      <c r="J1459" s="2">
        <f>IFERROR(__xludf.DUMMYFUNCTION("""COMPUTED_VALUE"""),475.94)</f>
        <v>475.94</v>
      </c>
      <c r="K1459" s="2">
        <f>IFERROR(__xludf.DUMMYFUNCTION("""COMPUTED_VALUE"""),475.94)</f>
        <v>475.94</v>
      </c>
    </row>
    <row r="1460">
      <c r="A1460" s="2">
        <f>IFERROR(__xludf.DUMMYFUNCTION("""COMPUTED_VALUE"""),1000.0)</f>
        <v>1000</v>
      </c>
      <c r="B1460" s="2">
        <f>IFERROR(__xludf.DUMMYFUNCTION("""COMPUTED_VALUE"""),184518.0)</f>
        <v>184518</v>
      </c>
      <c r="C1460" s="2">
        <f>IFERROR(__xludf.DUMMYFUNCTION("""COMPUTED_VALUE"""),2026.0)</f>
        <v>2026</v>
      </c>
      <c r="D1460" s="2">
        <f>IFERROR(__xludf.DUMMYFUNCTION("""COMPUTED_VALUE"""),46078.0)</f>
        <v>46078</v>
      </c>
      <c r="E1460" s="2" t="str">
        <f>IFERROR(__xludf.DUMMYFUNCTION("""COMPUTED_VALUE"""),"VF")</f>
        <v>VF</v>
      </c>
      <c r="F1460" s="2">
        <f>IFERROR(__xludf.DUMMYFUNCTION("""COMPUTED_VALUE"""),1.0)</f>
        <v>1</v>
      </c>
      <c r="G1460" s="2" t="str">
        <f>IFERROR(__xludf.DUMMYFUNCTION("""COMPUTED_VALUE"""),"PR042")</f>
        <v>PR042</v>
      </c>
      <c r="H1460" s="2" t="str">
        <f>IFERROR(__xludf.DUMMYFUNCTION("""COMPUTED_VALUE"""),"VD026")</f>
        <v>VD026</v>
      </c>
      <c r="I1460" s="2">
        <f>IFERROR(__xludf.DUMMYFUNCTION("""COMPUTED_VALUE"""),3.0)</f>
        <v>3</v>
      </c>
      <c r="J1460" s="2">
        <f>IFERROR(__xludf.DUMMYFUNCTION("""COMPUTED_VALUE"""),164.7)</f>
        <v>164.7</v>
      </c>
      <c r="K1460" s="2">
        <f>IFERROR(__xludf.DUMMYFUNCTION("""COMPUTED_VALUE"""),164.7)</f>
        <v>164.7</v>
      </c>
    </row>
    <row r="1461">
      <c r="A1461" s="2">
        <f>IFERROR(__xludf.DUMMYFUNCTION("""COMPUTED_VALUE"""),1000.0)</f>
        <v>1000</v>
      </c>
      <c r="B1461" s="2">
        <f>IFERROR(__xludf.DUMMYFUNCTION("""COMPUTED_VALUE"""),184518.0)</f>
        <v>184518</v>
      </c>
      <c r="C1461" s="2">
        <f>IFERROR(__xludf.DUMMYFUNCTION("""COMPUTED_VALUE"""),2026.0)</f>
        <v>2026</v>
      </c>
      <c r="D1461" s="2">
        <f>IFERROR(__xludf.DUMMYFUNCTION("""COMPUTED_VALUE"""),46078.0)</f>
        <v>46078</v>
      </c>
      <c r="E1461" s="2" t="str">
        <f>IFERROR(__xludf.DUMMYFUNCTION("""COMPUTED_VALUE"""),"VF")</f>
        <v>VF</v>
      </c>
      <c r="F1461" s="2">
        <f>IFERROR(__xludf.DUMMYFUNCTION("""COMPUTED_VALUE"""),2.0)</f>
        <v>2</v>
      </c>
      <c r="G1461" s="2" t="str">
        <f>IFERROR(__xludf.DUMMYFUNCTION("""COMPUTED_VALUE"""),"PR039")</f>
        <v>PR039</v>
      </c>
      <c r="H1461" s="2" t="str">
        <f>IFERROR(__xludf.DUMMYFUNCTION("""COMPUTED_VALUE"""),"VD044")</f>
        <v>VD044</v>
      </c>
      <c r="I1461" s="2">
        <f>IFERROR(__xludf.DUMMYFUNCTION("""COMPUTED_VALUE"""),2.0)</f>
        <v>2</v>
      </c>
      <c r="J1461" s="2">
        <f>IFERROR(__xludf.DUMMYFUNCTION("""COMPUTED_VALUE"""),312.44)</f>
        <v>312.44</v>
      </c>
      <c r="K1461" s="2">
        <f>IFERROR(__xludf.DUMMYFUNCTION("""COMPUTED_VALUE"""),312.44)</f>
        <v>312.44</v>
      </c>
    </row>
    <row r="1462">
      <c r="A1462" s="2">
        <f>IFERROR(__xludf.DUMMYFUNCTION("""COMPUTED_VALUE"""),2000.0)</f>
        <v>2000</v>
      </c>
      <c r="B1462" s="2">
        <f>IFERROR(__xludf.DUMMYFUNCTION("""COMPUTED_VALUE"""),184519.0)</f>
        <v>184519</v>
      </c>
      <c r="C1462" s="2">
        <f>IFERROR(__xludf.DUMMYFUNCTION("""COMPUTED_VALUE"""),2026.0)</f>
        <v>2026</v>
      </c>
      <c r="D1462" s="2">
        <f>IFERROR(__xludf.DUMMYFUNCTION("""COMPUTED_VALUE"""),46078.0)</f>
        <v>46078</v>
      </c>
      <c r="E1462" s="2" t="str">
        <f>IFERROR(__xludf.DUMMYFUNCTION("""COMPUTED_VALUE"""),"VF")</f>
        <v>VF</v>
      </c>
      <c r="F1462" s="2">
        <f>IFERROR(__xludf.DUMMYFUNCTION("""COMPUTED_VALUE"""),1.0)</f>
        <v>1</v>
      </c>
      <c r="G1462" s="2" t="str">
        <f>IFERROR(__xludf.DUMMYFUNCTION("""COMPUTED_VALUE"""),"PR010")</f>
        <v>PR010</v>
      </c>
      <c r="H1462" s="2" t="str">
        <f>IFERROR(__xludf.DUMMYFUNCTION("""COMPUTED_VALUE"""),"VD047")</f>
        <v>VD047</v>
      </c>
      <c r="I1462" s="2">
        <f>IFERROR(__xludf.DUMMYFUNCTION("""COMPUTED_VALUE"""),2.0)</f>
        <v>2</v>
      </c>
      <c r="J1462" s="2">
        <f>IFERROR(__xludf.DUMMYFUNCTION("""COMPUTED_VALUE"""),91.6)</f>
        <v>91.6</v>
      </c>
      <c r="K1462" s="2">
        <f>IFERROR(__xludf.DUMMYFUNCTION("""COMPUTED_VALUE"""),91.6)</f>
        <v>91.6</v>
      </c>
    </row>
    <row r="1463">
      <c r="A1463" s="2">
        <f>IFERROR(__xludf.DUMMYFUNCTION("""COMPUTED_VALUE"""),1000.0)</f>
        <v>1000</v>
      </c>
      <c r="B1463" s="2">
        <f>IFERROR(__xludf.DUMMYFUNCTION("""COMPUTED_VALUE"""),184520.0)</f>
        <v>184520</v>
      </c>
      <c r="C1463" s="2">
        <f>IFERROR(__xludf.DUMMYFUNCTION("""COMPUTED_VALUE"""),2026.0)</f>
        <v>2026</v>
      </c>
      <c r="D1463" s="2">
        <f>IFERROR(__xludf.DUMMYFUNCTION("""COMPUTED_VALUE"""),46078.0)</f>
        <v>46078</v>
      </c>
      <c r="E1463" s="2" t="str">
        <f>IFERROR(__xludf.DUMMYFUNCTION("""COMPUTED_VALUE"""),"VF")</f>
        <v>VF</v>
      </c>
      <c r="F1463" s="2">
        <f>IFERROR(__xludf.DUMMYFUNCTION("""COMPUTED_VALUE"""),1.0)</f>
        <v>1</v>
      </c>
      <c r="G1463" s="2" t="str">
        <f>IFERROR(__xludf.DUMMYFUNCTION("""COMPUTED_VALUE"""),"PR046")</f>
        <v>PR046</v>
      </c>
      <c r="H1463" s="2" t="str">
        <f>IFERROR(__xludf.DUMMYFUNCTION("""COMPUTED_VALUE"""),"VD024")</f>
        <v>VD024</v>
      </c>
      <c r="I1463" s="2">
        <f>IFERROR(__xludf.DUMMYFUNCTION("""COMPUTED_VALUE"""),10.0)</f>
        <v>10</v>
      </c>
      <c r="J1463" s="2">
        <f>IFERROR(__xludf.DUMMYFUNCTION("""COMPUTED_VALUE"""),3043.95)</f>
        <v>3043.95</v>
      </c>
      <c r="K1463" s="2">
        <f>IFERROR(__xludf.DUMMYFUNCTION("""COMPUTED_VALUE"""),3043.95)</f>
        <v>3043.95</v>
      </c>
    </row>
    <row r="1464">
      <c r="A1464" s="2">
        <f>IFERROR(__xludf.DUMMYFUNCTION("""COMPUTED_VALUE"""),2000.0)</f>
        <v>2000</v>
      </c>
      <c r="B1464" s="2">
        <f>IFERROR(__xludf.DUMMYFUNCTION("""COMPUTED_VALUE"""),184521.0)</f>
        <v>184521</v>
      </c>
      <c r="C1464" s="2">
        <f>IFERROR(__xludf.DUMMYFUNCTION("""COMPUTED_VALUE"""),2026.0)</f>
        <v>2026</v>
      </c>
      <c r="D1464" s="2">
        <f>IFERROR(__xludf.DUMMYFUNCTION("""COMPUTED_VALUE"""),46078.0)</f>
        <v>46078</v>
      </c>
      <c r="E1464" s="2" t="str">
        <f>IFERROR(__xludf.DUMMYFUNCTION("""COMPUTED_VALUE"""),"VF")</f>
        <v>VF</v>
      </c>
      <c r="F1464" s="2">
        <f>IFERROR(__xludf.DUMMYFUNCTION("""COMPUTED_VALUE"""),1.0)</f>
        <v>1</v>
      </c>
      <c r="G1464" s="2" t="str">
        <f>IFERROR(__xludf.DUMMYFUNCTION("""COMPUTED_VALUE"""),"PR059")</f>
        <v>PR059</v>
      </c>
      <c r="H1464" s="2" t="str">
        <f>IFERROR(__xludf.DUMMYFUNCTION("""COMPUTED_VALUE"""),"VD019")</f>
        <v>VD019</v>
      </c>
      <c r="I1464" s="2">
        <f>IFERROR(__xludf.DUMMYFUNCTION("""COMPUTED_VALUE"""),7.0)</f>
        <v>7</v>
      </c>
      <c r="J1464" s="2">
        <f>IFERROR(__xludf.DUMMYFUNCTION("""COMPUTED_VALUE"""),1285.2)</f>
        <v>1285.2</v>
      </c>
      <c r="K1464" s="2">
        <f>IFERROR(__xludf.DUMMYFUNCTION("""COMPUTED_VALUE"""),1285.2)</f>
        <v>1285.2</v>
      </c>
    </row>
    <row r="1465">
      <c r="A1465" s="2">
        <f>IFERROR(__xludf.DUMMYFUNCTION("""COMPUTED_VALUE"""),1000.0)</f>
        <v>1000</v>
      </c>
      <c r="B1465" s="2">
        <f>IFERROR(__xludf.DUMMYFUNCTION("""COMPUTED_VALUE"""),184522.0)</f>
        <v>184522</v>
      </c>
      <c r="C1465" s="2">
        <f>IFERROR(__xludf.DUMMYFUNCTION("""COMPUTED_VALUE"""),2026.0)</f>
        <v>2026</v>
      </c>
      <c r="D1465" s="2">
        <f>IFERROR(__xludf.DUMMYFUNCTION("""COMPUTED_VALUE"""),46078.0)</f>
        <v>46078</v>
      </c>
      <c r="E1465" s="2" t="str">
        <f>IFERROR(__xludf.DUMMYFUNCTION("""COMPUTED_VALUE"""),"VF")</f>
        <v>VF</v>
      </c>
      <c r="F1465" s="2">
        <f>IFERROR(__xludf.DUMMYFUNCTION("""COMPUTED_VALUE"""),1.0)</f>
        <v>1</v>
      </c>
      <c r="G1465" s="2" t="str">
        <f>IFERROR(__xludf.DUMMYFUNCTION("""COMPUTED_VALUE"""),"PR048")</f>
        <v>PR048</v>
      </c>
      <c r="H1465" s="2" t="str">
        <f>IFERROR(__xludf.DUMMYFUNCTION("""COMPUTED_VALUE"""),"VD034")</f>
        <v>VD034</v>
      </c>
      <c r="I1465" s="2">
        <f>IFERROR(__xludf.DUMMYFUNCTION("""COMPUTED_VALUE"""),20.0)</f>
        <v>20</v>
      </c>
      <c r="J1465" s="2">
        <f>IFERROR(__xludf.DUMMYFUNCTION("""COMPUTED_VALUE"""),6145.88)</f>
        <v>6145.88</v>
      </c>
      <c r="K1465" s="2">
        <f>IFERROR(__xludf.DUMMYFUNCTION("""COMPUTED_VALUE"""),6145.88)</f>
        <v>6145.88</v>
      </c>
    </row>
    <row r="1466">
      <c r="A1466" s="2">
        <f>IFERROR(__xludf.DUMMYFUNCTION("""COMPUTED_VALUE"""),1000.0)</f>
        <v>1000</v>
      </c>
      <c r="B1466" s="2">
        <f>IFERROR(__xludf.DUMMYFUNCTION("""COMPUTED_VALUE"""),184523.0)</f>
        <v>184523</v>
      </c>
      <c r="C1466" s="2">
        <f>IFERROR(__xludf.DUMMYFUNCTION("""COMPUTED_VALUE"""),2026.0)</f>
        <v>2026</v>
      </c>
      <c r="D1466" s="2">
        <f>IFERROR(__xludf.DUMMYFUNCTION("""COMPUTED_VALUE"""),46077.0)</f>
        <v>46077</v>
      </c>
      <c r="E1466" s="2" t="str">
        <f>IFERROR(__xludf.DUMMYFUNCTION("""COMPUTED_VALUE"""),"VF")</f>
        <v>VF</v>
      </c>
      <c r="F1466" s="2">
        <f>IFERROR(__xludf.DUMMYFUNCTION("""COMPUTED_VALUE"""),1.0)</f>
        <v>1</v>
      </c>
      <c r="G1466" s="2" t="str">
        <f>IFERROR(__xludf.DUMMYFUNCTION("""COMPUTED_VALUE"""),"PR047")</f>
        <v>PR047</v>
      </c>
      <c r="H1466" s="2" t="str">
        <f>IFERROR(__xludf.DUMMYFUNCTION("""COMPUTED_VALUE"""),"VD048")</f>
        <v>VD048</v>
      </c>
      <c r="I1466" s="2">
        <f>IFERROR(__xludf.DUMMYFUNCTION("""COMPUTED_VALUE"""),10.0)</f>
        <v>10</v>
      </c>
      <c r="J1466" s="2">
        <f>IFERROR(__xludf.DUMMYFUNCTION("""COMPUTED_VALUE"""),3159.91)</f>
        <v>3159.91</v>
      </c>
      <c r="K1466" s="2">
        <f>IFERROR(__xludf.DUMMYFUNCTION("""COMPUTED_VALUE"""),3159.91)</f>
        <v>3159.91</v>
      </c>
    </row>
    <row r="1467">
      <c r="A1467" s="2">
        <f>IFERROR(__xludf.DUMMYFUNCTION("""COMPUTED_VALUE"""),1000.0)</f>
        <v>1000</v>
      </c>
      <c r="B1467" s="2">
        <f>IFERROR(__xludf.DUMMYFUNCTION("""COMPUTED_VALUE"""),184524.0)</f>
        <v>184524</v>
      </c>
      <c r="C1467" s="2">
        <f>IFERROR(__xludf.DUMMYFUNCTION("""COMPUTED_VALUE"""),2026.0)</f>
        <v>2026</v>
      </c>
      <c r="D1467" s="2">
        <f>IFERROR(__xludf.DUMMYFUNCTION("""COMPUTED_VALUE"""),46077.0)</f>
        <v>46077</v>
      </c>
      <c r="E1467" s="2" t="str">
        <f>IFERROR(__xludf.DUMMYFUNCTION("""COMPUTED_VALUE"""),"VF")</f>
        <v>VF</v>
      </c>
      <c r="F1467" s="2">
        <f>IFERROR(__xludf.DUMMYFUNCTION("""COMPUTED_VALUE"""),1.0)</f>
        <v>1</v>
      </c>
      <c r="G1467" s="2" t="str">
        <f>IFERROR(__xludf.DUMMYFUNCTION("""COMPUTED_VALUE"""),"PR029")</f>
        <v>PR029</v>
      </c>
      <c r="H1467" s="2" t="str">
        <f>IFERROR(__xludf.DUMMYFUNCTION("""COMPUTED_VALUE"""),"VD014")</f>
        <v>VD014</v>
      </c>
      <c r="I1467" s="2">
        <f>IFERROR(__xludf.DUMMYFUNCTION("""COMPUTED_VALUE"""),9.0)</f>
        <v>9</v>
      </c>
      <c r="J1467" s="2">
        <f>IFERROR(__xludf.DUMMYFUNCTION("""COMPUTED_VALUE"""),2340.9)</f>
        <v>2340.9</v>
      </c>
      <c r="K1467" s="2">
        <f>IFERROR(__xludf.DUMMYFUNCTION("""COMPUTED_VALUE"""),2340.9)</f>
        <v>2340.9</v>
      </c>
    </row>
    <row r="1468">
      <c r="A1468" s="2">
        <f>IFERROR(__xludf.DUMMYFUNCTION("""COMPUTED_VALUE"""),1000.0)</f>
        <v>1000</v>
      </c>
      <c r="B1468" s="2">
        <f>IFERROR(__xludf.DUMMYFUNCTION("""COMPUTED_VALUE"""),184524.0)</f>
        <v>184524</v>
      </c>
      <c r="C1468" s="2">
        <f>IFERROR(__xludf.DUMMYFUNCTION("""COMPUTED_VALUE"""),2026.0)</f>
        <v>2026</v>
      </c>
      <c r="D1468" s="2">
        <f>IFERROR(__xludf.DUMMYFUNCTION("""COMPUTED_VALUE"""),46077.0)</f>
        <v>46077</v>
      </c>
      <c r="E1468" s="2" t="str">
        <f>IFERROR(__xludf.DUMMYFUNCTION("""COMPUTED_VALUE"""),"VF")</f>
        <v>VF</v>
      </c>
      <c r="F1468" s="2">
        <f>IFERROR(__xludf.DUMMYFUNCTION("""COMPUTED_VALUE"""),2.0)</f>
        <v>2</v>
      </c>
      <c r="G1468" s="2" t="str">
        <f>IFERROR(__xludf.DUMMYFUNCTION("""COMPUTED_VALUE"""),"PR053")</f>
        <v>PR053</v>
      </c>
      <c r="H1468" s="2" t="str">
        <f>IFERROR(__xludf.DUMMYFUNCTION("""COMPUTED_VALUE"""),"VD043")</f>
        <v>VD043</v>
      </c>
      <c r="I1468" s="2">
        <f>IFERROR(__xludf.DUMMYFUNCTION("""COMPUTED_VALUE"""),6.0)</f>
        <v>6</v>
      </c>
      <c r="J1468" s="2">
        <f>IFERROR(__xludf.DUMMYFUNCTION("""COMPUTED_VALUE"""),299.4)</f>
        <v>299.4</v>
      </c>
      <c r="K1468" s="2">
        <f>IFERROR(__xludf.DUMMYFUNCTION("""COMPUTED_VALUE"""),299.4)</f>
        <v>299.4</v>
      </c>
    </row>
    <row r="1469">
      <c r="A1469" s="2">
        <f>IFERROR(__xludf.DUMMYFUNCTION("""COMPUTED_VALUE"""),1000.0)</f>
        <v>1000</v>
      </c>
      <c r="B1469" s="2">
        <f>IFERROR(__xludf.DUMMYFUNCTION("""COMPUTED_VALUE"""),184524.0)</f>
        <v>184524</v>
      </c>
      <c r="C1469" s="2">
        <f>IFERROR(__xludf.DUMMYFUNCTION("""COMPUTED_VALUE"""),2026.0)</f>
        <v>2026</v>
      </c>
      <c r="D1469" s="2">
        <f>IFERROR(__xludf.DUMMYFUNCTION("""COMPUTED_VALUE"""),46076.0)</f>
        <v>46076</v>
      </c>
      <c r="E1469" s="2" t="str">
        <f>IFERROR(__xludf.DUMMYFUNCTION("""COMPUTED_VALUE"""),"VF")</f>
        <v>VF</v>
      </c>
      <c r="F1469" s="2">
        <f>IFERROR(__xludf.DUMMYFUNCTION("""COMPUTED_VALUE"""),3.0)</f>
        <v>3</v>
      </c>
      <c r="G1469" s="2" t="str">
        <f>IFERROR(__xludf.DUMMYFUNCTION("""COMPUTED_VALUE"""),"PR005")</f>
        <v>PR005</v>
      </c>
      <c r="H1469" s="2" t="str">
        <f>IFERROR(__xludf.DUMMYFUNCTION("""COMPUTED_VALUE"""),"VD047")</f>
        <v>VD047</v>
      </c>
      <c r="I1469" s="2">
        <f>IFERROR(__xludf.DUMMYFUNCTION("""COMPUTED_VALUE"""),2.0)</f>
        <v>2</v>
      </c>
      <c r="J1469" s="2">
        <f>IFERROR(__xludf.DUMMYFUNCTION("""COMPUTED_VALUE"""),556.19)</f>
        <v>556.19</v>
      </c>
      <c r="K1469" s="2">
        <f>IFERROR(__xludf.DUMMYFUNCTION("""COMPUTED_VALUE"""),556.19)</f>
        <v>556.19</v>
      </c>
    </row>
    <row r="1470">
      <c r="A1470" s="2">
        <f>IFERROR(__xludf.DUMMYFUNCTION("""COMPUTED_VALUE"""),1000.0)</f>
        <v>1000</v>
      </c>
      <c r="B1470" s="2">
        <f>IFERROR(__xludf.DUMMYFUNCTION("""COMPUTED_VALUE"""),184524.0)</f>
        <v>184524</v>
      </c>
      <c r="C1470" s="2">
        <f>IFERROR(__xludf.DUMMYFUNCTION("""COMPUTED_VALUE"""),2026.0)</f>
        <v>2026</v>
      </c>
      <c r="D1470" s="2">
        <f>IFERROR(__xludf.DUMMYFUNCTION("""COMPUTED_VALUE"""),46076.0)</f>
        <v>46076</v>
      </c>
      <c r="E1470" s="2" t="str">
        <f>IFERROR(__xludf.DUMMYFUNCTION("""COMPUTED_VALUE"""),"VF")</f>
        <v>VF</v>
      </c>
      <c r="F1470" s="2">
        <f>IFERROR(__xludf.DUMMYFUNCTION("""COMPUTED_VALUE"""),4.0)</f>
        <v>4</v>
      </c>
      <c r="G1470" s="2" t="str">
        <f>IFERROR(__xludf.DUMMYFUNCTION("""COMPUTED_VALUE"""),"PR039")</f>
        <v>PR039</v>
      </c>
      <c r="H1470" s="2" t="str">
        <f>IFERROR(__xludf.DUMMYFUNCTION("""COMPUTED_VALUE"""),"VD020")</f>
        <v>VD020</v>
      </c>
      <c r="I1470" s="2">
        <f>IFERROR(__xludf.DUMMYFUNCTION("""COMPUTED_VALUE"""),2.0)</f>
        <v>2</v>
      </c>
      <c r="J1470" s="2">
        <f>IFERROR(__xludf.DUMMYFUNCTION("""COMPUTED_VALUE"""),292.0)</f>
        <v>292</v>
      </c>
      <c r="K1470" s="2">
        <f>IFERROR(__xludf.DUMMYFUNCTION("""COMPUTED_VALUE"""),292.0)</f>
        <v>292</v>
      </c>
    </row>
    <row r="1471">
      <c r="A1471" s="2">
        <f>IFERROR(__xludf.DUMMYFUNCTION("""COMPUTED_VALUE"""),1000.0)</f>
        <v>1000</v>
      </c>
      <c r="B1471" s="2">
        <f>IFERROR(__xludf.DUMMYFUNCTION("""COMPUTED_VALUE"""),184525.0)</f>
        <v>184525</v>
      </c>
      <c r="C1471" s="2">
        <f>IFERROR(__xludf.DUMMYFUNCTION("""COMPUTED_VALUE"""),2026.0)</f>
        <v>2026</v>
      </c>
      <c r="D1471" s="2">
        <f>IFERROR(__xludf.DUMMYFUNCTION("""COMPUTED_VALUE"""),46075.0)</f>
        <v>46075</v>
      </c>
      <c r="E1471" s="2" t="str">
        <f>IFERROR(__xludf.DUMMYFUNCTION("""COMPUTED_VALUE"""),"VF")</f>
        <v>VF</v>
      </c>
      <c r="F1471" s="2">
        <f>IFERROR(__xludf.DUMMYFUNCTION("""COMPUTED_VALUE"""),1.0)</f>
        <v>1</v>
      </c>
      <c r="G1471" s="2" t="str">
        <f>IFERROR(__xludf.DUMMYFUNCTION("""COMPUTED_VALUE"""),"PR031")</f>
        <v>PR031</v>
      </c>
      <c r="H1471" s="2" t="str">
        <f>IFERROR(__xludf.DUMMYFUNCTION("""COMPUTED_VALUE"""),"VD031")</f>
        <v>VD031</v>
      </c>
      <c r="I1471" s="2">
        <f>IFERROR(__xludf.DUMMYFUNCTION("""COMPUTED_VALUE"""),8.0)</f>
        <v>8</v>
      </c>
      <c r="J1471" s="2">
        <f>IFERROR(__xludf.DUMMYFUNCTION("""COMPUTED_VALUE"""),2097.2)</f>
        <v>2097.2</v>
      </c>
      <c r="K1471" s="2">
        <f>IFERROR(__xludf.DUMMYFUNCTION("""COMPUTED_VALUE"""),2097.2)</f>
        <v>2097.2</v>
      </c>
    </row>
    <row r="1472">
      <c r="A1472" s="2">
        <f>IFERROR(__xludf.DUMMYFUNCTION("""COMPUTED_VALUE"""),1000.0)</f>
        <v>1000</v>
      </c>
      <c r="B1472" s="2">
        <f>IFERROR(__xludf.DUMMYFUNCTION("""COMPUTED_VALUE"""),184526.0)</f>
        <v>184526</v>
      </c>
      <c r="C1472" s="2">
        <f>IFERROR(__xludf.DUMMYFUNCTION("""COMPUTED_VALUE"""),2026.0)</f>
        <v>2026</v>
      </c>
      <c r="D1472" s="2">
        <f>IFERROR(__xludf.DUMMYFUNCTION("""COMPUTED_VALUE"""),46075.0)</f>
        <v>46075</v>
      </c>
      <c r="E1472" s="2" t="str">
        <f>IFERROR(__xludf.DUMMYFUNCTION("""COMPUTED_VALUE"""),"VF")</f>
        <v>VF</v>
      </c>
      <c r="F1472" s="2">
        <f>IFERROR(__xludf.DUMMYFUNCTION("""COMPUTED_VALUE"""),1.0)</f>
        <v>1</v>
      </c>
      <c r="G1472" s="2" t="str">
        <f>IFERROR(__xludf.DUMMYFUNCTION("""COMPUTED_VALUE"""),"PR056")</f>
        <v>PR056</v>
      </c>
      <c r="H1472" s="2" t="str">
        <f>IFERROR(__xludf.DUMMYFUNCTION("""COMPUTED_VALUE"""),"VD022")</f>
        <v>VD022</v>
      </c>
      <c r="I1472" s="2">
        <f>IFERROR(__xludf.DUMMYFUNCTION("""COMPUTED_VALUE"""),10.0)</f>
        <v>10</v>
      </c>
      <c r="J1472" s="2">
        <f>IFERROR(__xludf.DUMMYFUNCTION("""COMPUTED_VALUE"""),961.93)</f>
        <v>961.93</v>
      </c>
      <c r="K1472" s="2">
        <f>IFERROR(__xludf.DUMMYFUNCTION("""COMPUTED_VALUE"""),961.93)</f>
        <v>961.93</v>
      </c>
    </row>
    <row r="1473">
      <c r="A1473" s="2">
        <f>IFERROR(__xludf.DUMMYFUNCTION("""COMPUTED_VALUE"""),2000.0)</f>
        <v>2000</v>
      </c>
      <c r="B1473" s="2">
        <f>IFERROR(__xludf.DUMMYFUNCTION("""COMPUTED_VALUE"""),184527.0)</f>
        <v>184527</v>
      </c>
      <c r="C1473" s="2">
        <f>IFERROR(__xludf.DUMMYFUNCTION("""COMPUTED_VALUE"""),2026.0)</f>
        <v>2026</v>
      </c>
      <c r="D1473" s="2">
        <f>IFERROR(__xludf.DUMMYFUNCTION("""COMPUTED_VALUE"""),46075.0)</f>
        <v>46075</v>
      </c>
      <c r="E1473" s="2" t="str">
        <f>IFERROR(__xludf.DUMMYFUNCTION("""COMPUTED_VALUE"""),"VF")</f>
        <v>VF</v>
      </c>
      <c r="F1473" s="2">
        <f>IFERROR(__xludf.DUMMYFUNCTION("""COMPUTED_VALUE"""),1.0)</f>
        <v>1</v>
      </c>
      <c r="G1473" s="2" t="str">
        <f>IFERROR(__xludf.DUMMYFUNCTION("""COMPUTED_VALUE"""),"PR018")</f>
        <v>PR018</v>
      </c>
      <c r="H1473" s="2" t="str">
        <f>IFERROR(__xludf.DUMMYFUNCTION("""COMPUTED_VALUE"""),"VD025")</f>
        <v>VD025</v>
      </c>
      <c r="I1473" s="2">
        <f>IFERROR(__xludf.DUMMYFUNCTION("""COMPUTED_VALUE"""),2.0)</f>
        <v>2</v>
      </c>
      <c r="J1473" s="2">
        <f>IFERROR(__xludf.DUMMYFUNCTION("""COMPUTED_VALUE"""),70.41)</f>
        <v>70.41</v>
      </c>
      <c r="K1473" s="2">
        <f>IFERROR(__xludf.DUMMYFUNCTION("""COMPUTED_VALUE"""),70.41)</f>
        <v>70.41</v>
      </c>
    </row>
    <row r="1474">
      <c r="A1474" s="2">
        <f>IFERROR(__xludf.DUMMYFUNCTION("""COMPUTED_VALUE"""),1000.0)</f>
        <v>1000</v>
      </c>
      <c r="B1474" s="2">
        <f>IFERROR(__xludf.DUMMYFUNCTION("""COMPUTED_VALUE"""),184528.0)</f>
        <v>184528</v>
      </c>
      <c r="C1474" s="2">
        <f>IFERROR(__xludf.DUMMYFUNCTION("""COMPUTED_VALUE"""),2026.0)</f>
        <v>2026</v>
      </c>
      <c r="D1474" s="2">
        <f>IFERROR(__xludf.DUMMYFUNCTION("""COMPUTED_VALUE"""),46075.0)</f>
        <v>46075</v>
      </c>
      <c r="E1474" s="2" t="str">
        <f>IFERROR(__xludf.DUMMYFUNCTION("""COMPUTED_VALUE"""),"VF")</f>
        <v>VF</v>
      </c>
      <c r="F1474" s="2">
        <f>IFERROR(__xludf.DUMMYFUNCTION("""COMPUTED_VALUE"""),1.0)</f>
        <v>1</v>
      </c>
      <c r="G1474" s="2" t="str">
        <f>IFERROR(__xludf.DUMMYFUNCTION("""COMPUTED_VALUE"""),"PR055")</f>
        <v>PR055</v>
      </c>
      <c r="H1474" s="2" t="str">
        <f>IFERROR(__xludf.DUMMYFUNCTION("""COMPUTED_VALUE"""),"VD020")</f>
        <v>VD020</v>
      </c>
      <c r="I1474" s="2">
        <f>IFERROR(__xludf.DUMMYFUNCTION("""COMPUTED_VALUE"""),10.0)</f>
        <v>10</v>
      </c>
      <c r="J1474" s="2">
        <f>IFERROR(__xludf.DUMMYFUNCTION("""COMPUTED_VALUE"""),925.97)</f>
        <v>925.97</v>
      </c>
      <c r="K1474" s="2">
        <f>IFERROR(__xludf.DUMMYFUNCTION("""COMPUTED_VALUE"""),925.97)</f>
        <v>925.97</v>
      </c>
    </row>
    <row r="1475">
      <c r="A1475" s="2">
        <f>IFERROR(__xludf.DUMMYFUNCTION("""COMPUTED_VALUE"""),1000.0)</f>
        <v>1000</v>
      </c>
      <c r="B1475" s="2">
        <f>IFERROR(__xludf.DUMMYFUNCTION("""COMPUTED_VALUE"""),184529.0)</f>
        <v>184529</v>
      </c>
      <c r="C1475" s="2">
        <f>IFERROR(__xludf.DUMMYFUNCTION("""COMPUTED_VALUE"""),2026.0)</f>
        <v>2026</v>
      </c>
      <c r="D1475" s="2">
        <f>IFERROR(__xludf.DUMMYFUNCTION("""COMPUTED_VALUE"""),46074.0)</f>
        <v>46074</v>
      </c>
      <c r="E1475" s="2" t="str">
        <f>IFERROR(__xludf.DUMMYFUNCTION("""COMPUTED_VALUE"""),"VF")</f>
        <v>VF</v>
      </c>
      <c r="F1475" s="2">
        <f>IFERROR(__xludf.DUMMYFUNCTION("""COMPUTED_VALUE"""),1.0)</f>
        <v>1</v>
      </c>
      <c r="G1475" s="2" t="str">
        <f>IFERROR(__xludf.DUMMYFUNCTION("""COMPUTED_VALUE"""),"PR047")</f>
        <v>PR047</v>
      </c>
      <c r="H1475" s="2" t="str">
        <f>IFERROR(__xludf.DUMMYFUNCTION("""COMPUTED_VALUE"""),"VD046")</f>
        <v>VD046</v>
      </c>
      <c r="I1475" s="2">
        <f>IFERROR(__xludf.DUMMYFUNCTION("""COMPUTED_VALUE"""),2.0)</f>
        <v>2</v>
      </c>
      <c r="J1475" s="2">
        <f>IFERROR(__xludf.DUMMYFUNCTION("""COMPUTED_VALUE"""),585.6)</f>
        <v>585.6</v>
      </c>
      <c r="K1475" s="2">
        <f>IFERROR(__xludf.DUMMYFUNCTION("""COMPUTED_VALUE"""),585.6)</f>
        <v>585.6</v>
      </c>
    </row>
    <row r="1476">
      <c r="A1476" s="2">
        <f>IFERROR(__xludf.DUMMYFUNCTION("""COMPUTED_VALUE"""),1000.0)</f>
        <v>1000</v>
      </c>
      <c r="B1476" s="2">
        <f>IFERROR(__xludf.DUMMYFUNCTION("""COMPUTED_VALUE"""),184530.0)</f>
        <v>184530</v>
      </c>
      <c r="C1476" s="2">
        <f>IFERROR(__xludf.DUMMYFUNCTION("""COMPUTED_VALUE"""),2026.0)</f>
        <v>2026</v>
      </c>
      <c r="D1476" s="2">
        <f>IFERROR(__xludf.DUMMYFUNCTION("""COMPUTED_VALUE"""),46074.0)</f>
        <v>46074</v>
      </c>
      <c r="E1476" s="2" t="str">
        <f>IFERROR(__xludf.DUMMYFUNCTION("""COMPUTED_VALUE"""),"VF")</f>
        <v>VF</v>
      </c>
      <c r="F1476" s="2">
        <f>IFERROR(__xludf.DUMMYFUNCTION("""COMPUTED_VALUE"""),1.0)</f>
        <v>1</v>
      </c>
      <c r="G1476" s="2" t="str">
        <f>IFERROR(__xludf.DUMMYFUNCTION("""COMPUTED_VALUE"""),"PR027")</f>
        <v>PR027</v>
      </c>
      <c r="H1476" s="2" t="str">
        <f>IFERROR(__xludf.DUMMYFUNCTION("""COMPUTED_VALUE"""),"VD044")</f>
        <v>VD044</v>
      </c>
      <c r="I1476" s="2">
        <f>IFERROR(__xludf.DUMMYFUNCTION("""COMPUTED_VALUE"""),8.0)</f>
        <v>8</v>
      </c>
      <c r="J1476" s="2">
        <f>IFERROR(__xludf.DUMMYFUNCTION("""COMPUTED_VALUE"""),998.4)</f>
        <v>998.4</v>
      </c>
      <c r="K1476" s="2">
        <f>IFERROR(__xludf.DUMMYFUNCTION("""COMPUTED_VALUE"""),998.4)</f>
        <v>998.4</v>
      </c>
    </row>
    <row r="1477">
      <c r="A1477" s="2">
        <f>IFERROR(__xludf.DUMMYFUNCTION("""COMPUTED_VALUE"""),1000.0)</f>
        <v>1000</v>
      </c>
      <c r="B1477" s="2">
        <f>IFERROR(__xludf.DUMMYFUNCTION("""COMPUTED_VALUE"""),184531.0)</f>
        <v>184531</v>
      </c>
      <c r="C1477" s="2">
        <f>IFERROR(__xludf.DUMMYFUNCTION("""COMPUTED_VALUE"""),2026.0)</f>
        <v>2026</v>
      </c>
      <c r="D1477" s="2">
        <f>IFERROR(__xludf.DUMMYFUNCTION("""COMPUTED_VALUE"""),46074.0)</f>
        <v>46074</v>
      </c>
      <c r="E1477" s="2" t="str">
        <f>IFERROR(__xludf.DUMMYFUNCTION("""COMPUTED_VALUE"""),"VF")</f>
        <v>VF</v>
      </c>
      <c r="F1477" s="2">
        <f>IFERROR(__xludf.DUMMYFUNCTION("""COMPUTED_VALUE"""),1.0)</f>
        <v>1</v>
      </c>
      <c r="G1477" s="2" t="str">
        <f>IFERROR(__xludf.DUMMYFUNCTION("""COMPUTED_VALUE"""),"PR047")</f>
        <v>PR047</v>
      </c>
      <c r="H1477" s="2" t="str">
        <f>IFERROR(__xludf.DUMMYFUNCTION("""COMPUTED_VALUE"""),"VD029")</f>
        <v>VD029</v>
      </c>
      <c r="I1477" s="2">
        <f>IFERROR(__xludf.DUMMYFUNCTION("""COMPUTED_VALUE"""),5.0)</f>
        <v>5</v>
      </c>
      <c r="J1477" s="2">
        <f>IFERROR(__xludf.DUMMYFUNCTION("""COMPUTED_VALUE"""),1492.99)</f>
        <v>1492.99</v>
      </c>
      <c r="K1477" s="2">
        <f>IFERROR(__xludf.DUMMYFUNCTION("""COMPUTED_VALUE"""),1492.99)</f>
        <v>1492.99</v>
      </c>
    </row>
    <row r="1478">
      <c r="A1478" s="2">
        <f>IFERROR(__xludf.DUMMYFUNCTION("""COMPUTED_VALUE"""),2000.0)</f>
        <v>2000</v>
      </c>
      <c r="B1478" s="2">
        <f>IFERROR(__xludf.DUMMYFUNCTION("""COMPUTED_VALUE"""),184532.0)</f>
        <v>184532</v>
      </c>
      <c r="C1478" s="2">
        <f>IFERROR(__xludf.DUMMYFUNCTION("""COMPUTED_VALUE"""),2026.0)</f>
        <v>2026</v>
      </c>
      <c r="D1478" s="2">
        <f>IFERROR(__xludf.DUMMYFUNCTION("""COMPUTED_VALUE"""),46074.0)</f>
        <v>46074</v>
      </c>
      <c r="E1478" s="2" t="str">
        <f>IFERROR(__xludf.DUMMYFUNCTION("""COMPUTED_VALUE"""),"VF")</f>
        <v>VF</v>
      </c>
      <c r="F1478" s="2">
        <f>IFERROR(__xludf.DUMMYFUNCTION("""COMPUTED_VALUE"""),1.0)</f>
        <v>1</v>
      </c>
      <c r="G1478" s="2" t="str">
        <f>IFERROR(__xludf.DUMMYFUNCTION("""COMPUTED_VALUE"""),"PR022")</f>
        <v>PR022</v>
      </c>
      <c r="H1478" s="2" t="str">
        <f>IFERROR(__xludf.DUMMYFUNCTION("""COMPUTED_VALUE"""),"VD021")</f>
        <v>VD021</v>
      </c>
      <c r="I1478" s="2">
        <f>IFERROR(__xludf.DUMMYFUNCTION("""COMPUTED_VALUE"""),2.0)</f>
        <v>2</v>
      </c>
      <c r="J1478" s="2">
        <f>IFERROR(__xludf.DUMMYFUNCTION("""COMPUTED_VALUE"""),636.0)</f>
        <v>636</v>
      </c>
      <c r="K1478" s="2">
        <f>IFERROR(__xludf.DUMMYFUNCTION("""COMPUTED_VALUE"""),636.0)</f>
        <v>636</v>
      </c>
    </row>
    <row r="1479">
      <c r="A1479" s="2">
        <f>IFERROR(__xludf.DUMMYFUNCTION("""COMPUTED_VALUE"""),1000.0)</f>
        <v>1000</v>
      </c>
      <c r="B1479" s="2">
        <f>IFERROR(__xludf.DUMMYFUNCTION("""COMPUTED_VALUE"""),184532.0)</f>
        <v>184532</v>
      </c>
      <c r="C1479" s="2">
        <f>IFERROR(__xludf.DUMMYFUNCTION("""COMPUTED_VALUE"""),2026.0)</f>
        <v>2026</v>
      </c>
      <c r="D1479" s="2">
        <f>IFERROR(__xludf.DUMMYFUNCTION("""COMPUTED_VALUE"""),46073.0)</f>
        <v>46073</v>
      </c>
      <c r="E1479" s="2" t="str">
        <f>IFERROR(__xludf.DUMMYFUNCTION("""COMPUTED_VALUE"""),"VF")</f>
        <v>VF</v>
      </c>
      <c r="F1479" s="2">
        <f>IFERROR(__xludf.DUMMYFUNCTION("""COMPUTED_VALUE"""),2.0)</f>
        <v>2</v>
      </c>
      <c r="G1479" s="2" t="str">
        <f>IFERROR(__xludf.DUMMYFUNCTION("""COMPUTED_VALUE"""),"PR050")</f>
        <v>PR050</v>
      </c>
      <c r="H1479" s="2" t="str">
        <f>IFERROR(__xludf.DUMMYFUNCTION("""COMPUTED_VALUE"""),"VD010")</f>
        <v>VD010</v>
      </c>
      <c r="I1479" s="2">
        <f>IFERROR(__xludf.DUMMYFUNCTION("""COMPUTED_VALUE"""),16.0)</f>
        <v>16</v>
      </c>
      <c r="J1479" s="2">
        <f>IFERROR(__xludf.DUMMYFUNCTION("""COMPUTED_VALUE"""),573.78)</f>
        <v>573.78</v>
      </c>
      <c r="K1479" s="2">
        <f>IFERROR(__xludf.DUMMYFUNCTION("""COMPUTED_VALUE"""),573.78)</f>
        <v>573.78</v>
      </c>
    </row>
    <row r="1480">
      <c r="A1480" s="2">
        <f>IFERROR(__xludf.DUMMYFUNCTION("""COMPUTED_VALUE"""),2000.0)</f>
        <v>2000</v>
      </c>
      <c r="B1480" s="2">
        <f>IFERROR(__xludf.DUMMYFUNCTION("""COMPUTED_VALUE"""),184533.0)</f>
        <v>184533</v>
      </c>
      <c r="C1480" s="2">
        <f>IFERROR(__xludf.DUMMYFUNCTION("""COMPUTED_VALUE"""),2026.0)</f>
        <v>2026</v>
      </c>
      <c r="D1480" s="2">
        <f>IFERROR(__xludf.DUMMYFUNCTION("""COMPUTED_VALUE"""),46073.0)</f>
        <v>46073</v>
      </c>
      <c r="E1480" s="2" t="str">
        <f>IFERROR(__xludf.DUMMYFUNCTION("""COMPUTED_VALUE"""),"VF")</f>
        <v>VF</v>
      </c>
      <c r="F1480" s="2">
        <f>IFERROR(__xludf.DUMMYFUNCTION("""COMPUTED_VALUE"""),1.0)</f>
        <v>1</v>
      </c>
      <c r="G1480" s="2" t="str">
        <f>IFERROR(__xludf.DUMMYFUNCTION("""COMPUTED_VALUE"""),"PR019")</f>
        <v>PR019</v>
      </c>
      <c r="H1480" s="2" t="str">
        <f>IFERROR(__xludf.DUMMYFUNCTION("""COMPUTED_VALUE"""),"VD030")</f>
        <v>VD030</v>
      </c>
      <c r="I1480" s="2">
        <f>IFERROR(__xludf.DUMMYFUNCTION("""COMPUTED_VALUE"""),18.0)</f>
        <v>18</v>
      </c>
      <c r="J1480" s="2">
        <f>IFERROR(__xludf.DUMMYFUNCTION("""COMPUTED_VALUE"""),934.13)</f>
        <v>934.13</v>
      </c>
      <c r="K1480" s="2">
        <f>IFERROR(__xludf.DUMMYFUNCTION("""COMPUTED_VALUE"""),934.13)</f>
        <v>934.13</v>
      </c>
    </row>
    <row r="1481">
      <c r="A1481" s="2">
        <f>IFERROR(__xludf.DUMMYFUNCTION("""COMPUTED_VALUE"""),1000.0)</f>
        <v>1000</v>
      </c>
      <c r="B1481" s="2">
        <f>IFERROR(__xludf.DUMMYFUNCTION("""COMPUTED_VALUE"""),184533.0)</f>
        <v>184533</v>
      </c>
      <c r="C1481" s="2">
        <f>IFERROR(__xludf.DUMMYFUNCTION("""COMPUTED_VALUE"""),2026.0)</f>
        <v>2026</v>
      </c>
      <c r="D1481" s="2">
        <f>IFERROR(__xludf.DUMMYFUNCTION("""COMPUTED_VALUE"""),46073.0)</f>
        <v>46073</v>
      </c>
      <c r="E1481" s="2" t="str">
        <f>IFERROR(__xludf.DUMMYFUNCTION("""COMPUTED_VALUE"""),"VF")</f>
        <v>VF</v>
      </c>
      <c r="F1481" s="2">
        <f>IFERROR(__xludf.DUMMYFUNCTION("""COMPUTED_VALUE"""),2.0)</f>
        <v>2</v>
      </c>
      <c r="G1481" s="2" t="str">
        <f>IFERROR(__xludf.DUMMYFUNCTION("""COMPUTED_VALUE"""),"PR030")</f>
        <v>PR030</v>
      </c>
      <c r="H1481" s="2" t="str">
        <f>IFERROR(__xludf.DUMMYFUNCTION("""COMPUTED_VALUE"""),"VD043")</f>
        <v>VD043</v>
      </c>
      <c r="I1481" s="2">
        <f>IFERROR(__xludf.DUMMYFUNCTION("""COMPUTED_VALUE"""),18.0)</f>
        <v>18</v>
      </c>
      <c r="J1481" s="2">
        <f>IFERROR(__xludf.DUMMYFUNCTION("""COMPUTED_VALUE"""),4912.11)</f>
        <v>4912.11</v>
      </c>
      <c r="K1481" s="2">
        <f>IFERROR(__xludf.DUMMYFUNCTION("""COMPUTED_VALUE"""),4912.11)</f>
        <v>4912.11</v>
      </c>
    </row>
    <row r="1482">
      <c r="A1482" s="2">
        <f>IFERROR(__xludf.DUMMYFUNCTION("""COMPUTED_VALUE"""),2000.0)</f>
        <v>2000</v>
      </c>
      <c r="B1482" s="2">
        <f>IFERROR(__xludf.DUMMYFUNCTION("""COMPUTED_VALUE"""),184534.0)</f>
        <v>184534</v>
      </c>
      <c r="C1482" s="2">
        <f>IFERROR(__xludf.DUMMYFUNCTION("""COMPUTED_VALUE"""),2026.0)</f>
        <v>2026</v>
      </c>
      <c r="D1482" s="2">
        <f>IFERROR(__xludf.DUMMYFUNCTION("""COMPUTED_VALUE"""),46073.0)</f>
        <v>46073</v>
      </c>
      <c r="E1482" s="2" t="str">
        <f>IFERROR(__xludf.DUMMYFUNCTION("""COMPUTED_VALUE"""),"VF")</f>
        <v>VF</v>
      </c>
      <c r="F1482" s="2">
        <f>IFERROR(__xludf.DUMMYFUNCTION("""COMPUTED_VALUE"""),1.0)</f>
        <v>1</v>
      </c>
      <c r="G1482" s="2" t="str">
        <f>IFERROR(__xludf.DUMMYFUNCTION("""COMPUTED_VALUE"""),"PR030")</f>
        <v>PR030</v>
      </c>
      <c r="H1482" s="2" t="str">
        <f>IFERROR(__xludf.DUMMYFUNCTION("""COMPUTED_VALUE"""),"VD021")</f>
        <v>VD021</v>
      </c>
      <c r="I1482" s="2">
        <f>IFERROR(__xludf.DUMMYFUNCTION("""COMPUTED_VALUE"""),12.0)</f>
        <v>12</v>
      </c>
      <c r="J1482" s="2">
        <f>IFERROR(__xludf.DUMMYFUNCTION("""COMPUTED_VALUE"""),3181.18)</f>
        <v>3181.18</v>
      </c>
      <c r="K1482" s="2">
        <f>IFERROR(__xludf.DUMMYFUNCTION("""COMPUTED_VALUE"""),3181.18)</f>
        <v>3181.18</v>
      </c>
    </row>
    <row r="1483">
      <c r="A1483" s="2">
        <f>IFERROR(__xludf.DUMMYFUNCTION("""COMPUTED_VALUE"""),1000.0)</f>
        <v>1000</v>
      </c>
      <c r="B1483" s="2">
        <f>IFERROR(__xludf.DUMMYFUNCTION("""COMPUTED_VALUE"""),184534.0)</f>
        <v>184534</v>
      </c>
      <c r="C1483" s="2">
        <f>IFERROR(__xludf.DUMMYFUNCTION("""COMPUTED_VALUE"""),2026.0)</f>
        <v>2026</v>
      </c>
      <c r="D1483" s="2">
        <f>IFERROR(__xludf.DUMMYFUNCTION("""COMPUTED_VALUE"""),46073.0)</f>
        <v>46073</v>
      </c>
      <c r="E1483" s="2" t="str">
        <f>IFERROR(__xludf.DUMMYFUNCTION("""COMPUTED_VALUE"""),"VF")</f>
        <v>VF</v>
      </c>
      <c r="F1483" s="2">
        <f>IFERROR(__xludf.DUMMYFUNCTION("""COMPUTED_VALUE"""),2.0)</f>
        <v>2</v>
      </c>
      <c r="G1483" s="2" t="str">
        <f>IFERROR(__xludf.DUMMYFUNCTION("""COMPUTED_VALUE"""),"PR026")</f>
        <v>PR026</v>
      </c>
      <c r="H1483" s="2" t="str">
        <f>IFERROR(__xludf.DUMMYFUNCTION("""COMPUTED_VALUE"""),"VD043")</f>
        <v>VD043</v>
      </c>
      <c r="I1483" s="2">
        <f>IFERROR(__xludf.DUMMYFUNCTION("""COMPUTED_VALUE"""),10.0)</f>
        <v>10</v>
      </c>
      <c r="J1483" s="2">
        <f>IFERROR(__xludf.DUMMYFUNCTION("""COMPUTED_VALUE"""),3743.93)</f>
        <v>3743.93</v>
      </c>
      <c r="K1483" s="2">
        <f>IFERROR(__xludf.DUMMYFUNCTION("""COMPUTED_VALUE"""),3743.93)</f>
        <v>3743.93</v>
      </c>
    </row>
    <row r="1484">
      <c r="A1484" s="2">
        <f>IFERROR(__xludf.DUMMYFUNCTION("""COMPUTED_VALUE"""),1000.0)</f>
        <v>1000</v>
      </c>
      <c r="B1484" s="2">
        <f>IFERROR(__xludf.DUMMYFUNCTION("""COMPUTED_VALUE"""),184535.0)</f>
        <v>184535</v>
      </c>
      <c r="C1484" s="2">
        <f>IFERROR(__xludf.DUMMYFUNCTION("""COMPUTED_VALUE"""),2026.0)</f>
        <v>2026</v>
      </c>
      <c r="D1484" s="2">
        <f>IFERROR(__xludf.DUMMYFUNCTION("""COMPUTED_VALUE"""),46072.0)</f>
        <v>46072</v>
      </c>
      <c r="E1484" s="2" t="str">
        <f>IFERROR(__xludf.DUMMYFUNCTION("""COMPUTED_VALUE"""),"VF")</f>
        <v>VF</v>
      </c>
      <c r="F1484" s="2">
        <f>IFERROR(__xludf.DUMMYFUNCTION("""COMPUTED_VALUE"""),1.0)</f>
        <v>1</v>
      </c>
      <c r="G1484" s="2" t="str">
        <f>IFERROR(__xludf.DUMMYFUNCTION("""COMPUTED_VALUE"""),"PR025")</f>
        <v>PR025</v>
      </c>
      <c r="H1484" s="2" t="str">
        <f>IFERROR(__xludf.DUMMYFUNCTION("""COMPUTED_VALUE"""),"VD021")</f>
        <v>VD021</v>
      </c>
      <c r="I1484" s="2">
        <f>IFERROR(__xludf.DUMMYFUNCTION("""COMPUTED_VALUE"""),16.0)</f>
        <v>16</v>
      </c>
      <c r="J1484" s="2">
        <f>IFERROR(__xludf.DUMMYFUNCTION("""COMPUTED_VALUE"""),5182.27)</f>
        <v>5182.27</v>
      </c>
      <c r="K1484" s="2">
        <f>IFERROR(__xludf.DUMMYFUNCTION("""COMPUTED_VALUE"""),5182.27)</f>
        <v>5182.27</v>
      </c>
    </row>
    <row r="1485">
      <c r="A1485" s="2">
        <f>IFERROR(__xludf.DUMMYFUNCTION("""COMPUTED_VALUE"""),1000.0)</f>
        <v>1000</v>
      </c>
      <c r="B1485" s="2">
        <f>IFERROR(__xludf.DUMMYFUNCTION("""COMPUTED_VALUE"""),184535.0)</f>
        <v>184535</v>
      </c>
      <c r="C1485" s="2">
        <f>IFERROR(__xludf.DUMMYFUNCTION("""COMPUTED_VALUE"""),2026.0)</f>
        <v>2026</v>
      </c>
      <c r="D1485" s="2">
        <f>IFERROR(__xludf.DUMMYFUNCTION("""COMPUTED_VALUE"""),46072.0)</f>
        <v>46072</v>
      </c>
      <c r="E1485" s="2" t="str">
        <f>IFERROR(__xludf.DUMMYFUNCTION("""COMPUTED_VALUE"""),"VF")</f>
        <v>VF</v>
      </c>
      <c r="F1485" s="2">
        <f>IFERROR(__xludf.DUMMYFUNCTION("""COMPUTED_VALUE"""),2.0)</f>
        <v>2</v>
      </c>
      <c r="G1485" s="2" t="str">
        <f>IFERROR(__xludf.DUMMYFUNCTION("""COMPUTED_VALUE"""),"PR039")</f>
        <v>PR039</v>
      </c>
      <c r="H1485" s="2" t="str">
        <f>IFERROR(__xludf.DUMMYFUNCTION("""COMPUTED_VALUE"""),"VD019")</f>
        <v>VD019</v>
      </c>
      <c r="I1485" s="2">
        <f>IFERROR(__xludf.DUMMYFUNCTION("""COMPUTED_VALUE"""),20.0)</f>
        <v>20</v>
      </c>
      <c r="J1485" s="2">
        <f>IFERROR(__xludf.DUMMYFUNCTION("""COMPUTED_VALUE"""),3036.8)</f>
        <v>3036.8</v>
      </c>
      <c r="K1485" s="2">
        <f>IFERROR(__xludf.DUMMYFUNCTION("""COMPUTED_VALUE"""),3036.8)</f>
        <v>3036.8</v>
      </c>
    </row>
    <row r="1486">
      <c r="A1486" s="2">
        <f>IFERROR(__xludf.DUMMYFUNCTION("""COMPUTED_VALUE"""),1000.0)</f>
        <v>1000</v>
      </c>
      <c r="B1486" s="2">
        <f>IFERROR(__xludf.DUMMYFUNCTION("""COMPUTED_VALUE"""),184536.0)</f>
        <v>184536</v>
      </c>
      <c r="C1486" s="2">
        <f>IFERROR(__xludf.DUMMYFUNCTION("""COMPUTED_VALUE"""),2026.0)</f>
        <v>2026</v>
      </c>
      <c r="D1486" s="2">
        <f>IFERROR(__xludf.DUMMYFUNCTION("""COMPUTED_VALUE"""),46072.0)</f>
        <v>46072</v>
      </c>
      <c r="E1486" s="2" t="str">
        <f>IFERROR(__xludf.DUMMYFUNCTION("""COMPUTED_VALUE"""),"VF")</f>
        <v>VF</v>
      </c>
      <c r="F1486" s="2">
        <f>IFERROR(__xludf.DUMMYFUNCTION("""COMPUTED_VALUE"""),1.0)</f>
        <v>1</v>
      </c>
      <c r="G1486" s="2" t="str">
        <f>IFERROR(__xludf.DUMMYFUNCTION("""COMPUTED_VALUE"""),"PR046")</f>
        <v>PR046</v>
      </c>
      <c r="H1486" s="2" t="str">
        <f>IFERROR(__xludf.DUMMYFUNCTION("""COMPUTED_VALUE"""),"VD022")</f>
        <v>VD022</v>
      </c>
      <c r="I1486" s="2">
        <f>IFERROR(__xludf.DUMMYFUNCTION("""COMPUTED_VALUE"""),4.0)</f>
        <v>4</v>
      </c>
      <c r="J1486" s="2">
        <f>IFERROR(__xludf.DUMMYFUNCTION("""COMPUTED_VALUE"""),1171.2)</f>
        <v>1171.2</v>
      </c>
      <c r="K1486" s="2">
        <f>IFERROR(__xludf.DUMMYFUNCTION("""COMPUTED_VALUE"""),1171.2)</f>
        <v>1171.2</v>
      </c>
    </row>
    <row r="1487">
      <c r="A1487" s="2">
        <f>IFERROR(__xludf.DUMMYFUNCTION("""COMPUTED_VALUE"""),1000.0)</f>
        <v>1000</v>
      </c>
      <c r="B1487" s="2">
        <f>IFERROR(__xludf.DUMMYFUNCTION("""COMPUTED_VALUE"""),184536.0)</f>
        <v>184536</v>
      </c>
      <c r="C1487" s="2">
        <f>IFERROR(__xludf.DUMMYFUNCTION("""COMPUTED_VALUE"""),2026.0)</f>
        <v>2026</v>
      </c>
      <c r="D1487" s="2">
        <f>IFERROR(__xludf.DUMMYFUNCTION("""COMPUTED_VALUE"""),46072.0)</f>
        <v>46072</v>
      </c>
      <c r="E1487" s="2" t="str">
        <f>IFERROR(__xludf.DUMMYFUNCTION("""COMPUTED_VALUE"""),"VF")</f>
        <v>VF</v>
      </c>
      <c r="F1487" s="2">
        <f>IFERROR(__xludf.DUMMYFUNCTION("""COMPUTED_VALUE"""),2.0)</f>
        <v>2</v>
      </c>
      <c r="G1487" s="2" t="str">
        <f>IFERROR(__xludf.DUMMYFUNCTION("""COMPUTED_VALUE"""),"PR043")</f>
        <v>PR043</v>
      </c>
      <c r="H1487" s="2" t="str">
        <f>IFERROR(__xludf.DUMMYFUNCTION("""COMPUTED_VALUE"""),"VD016")</f>
        <v>VD016</v>
      </c>
      <c r="I1487" s="2">
        <f>IFERROR(__xludf.DUMMYFUNCTION("""COMPUTED_VALUE"""),20.0)</f>
        <v>20</v>
      </c>
      <c r="J1487" s="2">
        <f>IFERROR(__xludf.DUMMYFUNCTION("""COMPUTED_VALUE"""),1595.0)</f>
        <v>1595</v>
      </c>
      <c r="K1487" s="2">
        <f>IFERROR(__xludf.DUMMYFUNCTION("""COMPUTED_VALUE"""),1595.0)</f>
        <v>1595</v>
      </c>
    </row>
    <row r="1488">
      <c r="A1488" s="2">
        <f>IFERROR(__xludf.DUMMYFUNCTION("""COMPUTED_VALUE"""),1000.0)</f>
        <v>1000</v>
      </c>
      <c r="B1488" s="2">
        <f>IFERROR(__xludf.DUMMYFUNCTION("""COMPUTED_VALUE"""),184536.0)</f>
        <v>184536</v>
      </c>
      <c r="C1488" s="2">
        <f>IFERROR(__xludf.DUMMYFUNCTION("""COMPUTED_VALUE"""),2026.0)</f>
        <v>2026</v>
      </c>
      <c r="D1488" s="2">
        <f>IFERROR(__xludf.DUMMYFUNCTION("""COMPUTED_VALUE"""),46072.0)</f>
        <v>46072</v>
      </c>
      <c r="E1488" s="2" t="str">
        <f>IFERROR(__xludf.DUMMYFUNCTION("""COMPUTED_VALUE"""),"VF")</f>
        <v>VF</v>
      </c>
      <c r="F1488" s="2">
        <f>IFERROR(__xludf.DUMMYFUNCTION("""COMPUTED_VALUE"""),3.0)</f>
        <v>3</v>
      </c>
      <c r="G1488" s="2" t="str">
        <f>IFERROR(__xludf.DUMMYFUNCTION("""COMPUTED_VALUE"""),"PR048")</f>
        <v>PR048</v>
      </c>
      <c r="H1488" s="2" t="str">
        <f>IFERROR(__xludf.DUMMYFUNCTION("""COMPUTED_VALUE"""),"VD023")</f>
        <v>VD023</v>
      </c>
      <c r="I1488" s="2">
        <f>IFERROR(__xludf.DUMMYFUNCTION("""COMPUTED_VALUE"""),3.0)</f>
        <v>3</v>
      </c>
      <c r="J1488" s="2">
        <f>IFERROR(__xludf.DUMMYFUNCTION("""COMPUTED_VALUE"""),887.09)</f>
        <v>887.09</v>
      </c>
      <c r="K1488" s="2">
        <f>IFERROR(__xludf.DUMMYFUNCTION("""COMPUTED_VALUE"""),887.09)</f>
        <v>887.09</v>
      </c>
    </row>
    <row r="1489">
      <c r="A1489" s="2">
        <f>IFERROR(__xludf.DUMMYFUNCTION("""COMPUTED_VALUE"""),1000.0)</f>
        <v>1000</v>
      </c>
      <c r="B1489" s="2">
        <f>IFERROR(__xludf.DUMMYFUNCTION("""COMPUTED_VALUE"""),184536.0)</f>
        <v>184536</v>
      </c>
      <c r="C1489" s="2">
        <f>IFERROR(__xludf.DUMMYFUNCTION("""COMPUTED_VALUE"""),2026.0)</f>
        <v>2026</v>
      </c>
      <c r="D1489" s="2">
        <f>IFERROR(__xludf.DUMMYFUNCTION("""COMPUTED_VALUE"""),46072.0)</f>
        <v>46072</v>
      </c>
      <c r="E1489" s="2" t="str">
        <f>IFERROR(__xludf.DUMMYFUNCTION("""COMPUTED_VALUE"""),"VF")</f>
        <v>VF</v>
      </c>
      <c r="F1489" s="2">
        <f>IFERROR(__xludf.DUMMYFUNCTION("""COMPUTED_VALUE"""),4.0)</f>
        <v>4</v>
      </c>
      <c r="G1489" s="2" t="str">
        <f>IFERROR(__xludf.DUMMYFUNCTION("""COMPUTED_VALUE"""),"PR039")</f>
        <v>PR039</v>
      </c>
      <c r="H1489" s="2" t="str">
        <f>IFERROR(__xludf.DUMMYFUNCTION("""COMPUTED_VALUE"""),"VD025")</f>
        <v>VD025</v>
      </c>
      <c r="I1489" s="2">
        <f>IFERROR(__xludf.DUMMYFUNCTION("""COMPUTED_VALUE"""),10.0)</f>
        <v>10</v>
      </c>
      <c r="J1489" s="2">
        <f>IFERROR(__xludf.DUMMYFUNCTION("""COMPUTED_VALUE"""),1533.0)</f>
        <v>1533</v>
      </c>
      <c r="K1489" s="2">
        <f>IFERROR(__xludf.DUMMYFUNCTION("""COMPUTED_VALUE"""),1533.0)</f>
        <v>1533</v>
      </c>
    </row>
    <row r="1490">
      <c r="A1490" s="2">
        <f>IFERROR(__xludf.DUMMYFUNCTION("""COMPUTED_VALUE"""),1000.0)</f>
        <v>1000</v>
      </c>
      <c r="B1490" s="2">
        <f>IFERROR(__xludf.DUMMYFUNCTION("""COMPUTED_VALUE"""),184537.0)</f>
        <v>184537</v>
      </c>
      <c r="C1490" s="2">
        <f>IFERROR(__xludf.DUMMYFUNCTION("""COMPUTED_VALUE"""),2026.0)</f>
        <v>2026</v>
      </c>
      <c r="D1490" s="2">
        <f>IFERROR(__xludf.DUMMYFUNCTION("""COMPUTED_VALUE"""),46072.0)</f>
        <v>46072</v>
      </c>
      <c r="E1490" s="2" t="str">
        <f>IFERROR(__xludf.DUMMYFUNCTION("""COMPUTED_VALUE"""),"VF")</f>
        <v>VF</v>
      </c>
      <c r="F1490" s="2">
        <f>IFERROR(__xludf.DUMMYFUNCTION("""COMPUTED_VALUE"""),1.0)</f>
        <v>1</v>
      </c>
      <c r="G1490" s="2" t="str">
        <f>IFERROR(__xludf.DUMMYFUNCTION("""COMPUTED_VALUE"""),"PR060")</f>
        <v>PR060</v>
      </c>
      <c r="H1490" s="2" t="str">
        <f>IFERROR(__xludf.DUMMYFUNCTION("""COMPUTED_VALUE"""),"VD030")</f>
        <v>VD030</v>
      </c>
      <c r="I1490" s="2">
        <f>IFERROR(__xludf.DUMMYFUNCTION("""COMPUTED_VALUE"""),9.0)</f>
        <v>9</v>
      </c>
      <c r="J1490" s="2">
        <f>IFERROR(__xludf.DUMMYFUNCTION("""COMPUTED_VALUE"""),1717.2)</f>
        <v>1717.2</v>
      </c>
      <c r="K1490" s="2">
        <f>IFERROR(__xludf.DUMMYFUNCTION("""COMPUTED_VALUE"""),1717.2)</f>
        <v>1717.2</v>
      </c>
    </row>
    <row r="1491">
      <c r="A1491" s="2">
        <f>IFERROR(__xludf.DUMMYFUNCTION("""COMPUTED_VALUE"""),1000.0)</f>
        <v>1000</v>
      </c>
      <c r="B1491" s="2">
        <f>IFERROR(__xludf.DUMMYFUNCTION("""COMPUTED_VALUE"""),184538.0)</f>
        <v>184538</v>
      </c>
      <c r="C1491" s="2">
        <f>IFERROR(__xludf.DUMMYFUNCTION("""COMPUTED_VALUE"""),2026.0)</f>
        <v>2026</v>
      </c>
      <c r="D1491" s="2">
        <f>IFERROR(__xludf.DUMMYFUNCTION("""COMPUTED_VALUE"""),46072.0)</f>
        <v>46072</v>
      </c>
      <c r="E1491" s="2" t="str">
        <f>IFERROR(__xludf.DUMMYFUNCTION("""COMPUTED_VALUE"""),"VF")</f>
        <v>VF</v>
      </c>
      <c r="F1491" s="2">
        <f>IFERROR(__xludf.DUMMYFUNCTION("""COMPUTED_VALUE"""),1.0)</f>
        <v>1</v>
      </c>
      <c r="G1491" s="2" t="str">
        <f>IFERROR(__xludf.DUMMYFUNCTION("""COMPUTED_VALUE"""),"PR053")</f>
        <v>PR053</v>
      </c>
      <c r="H1491" s="2" t="str">
        <f>IFERROR(__xludf.DUMMYFUNCTION("""COMPUTED_VALUE"""),"VD043")</f>
        <v>VD043</v>
      </c>
      <c r="I1491" s="2">
        <f>IFERROR(__xludf.DUMMYFUNCTION("""COMPUTED_VALUE"""),5.0)</f>
        <v>5</v>
      </c>
      <c r="J1491" s="2">
        <f>IFERROR(__xludf.DUMMYFUNCTION("""COMPUTED_VALUE"""),254.49)</f>
        <v>254.49</v>
      </c>
      <c r="K1491" s="2">
        <f>IFERROR(__xludf.DUMMYFUNCTION("""COMPUTED_VALUE"""),254.49)</f>
        <v>254.49</v>
      </c>
    </row>
    <row r="1492">
      <c r="A1492" s="2">
        <f>IFERROR(__xludf.DUMMYFUNCTION("""COMPUTED_VALUE"""),1000.0)</f>
        <v>1000</v>
      </c>
      <c r="B1492" s="2">
        <f>IFERROR(__xludf.DUMMYFUNCTION("""COMPUTED_VALUE"""),184538.0)</f>
        <v>184538</v>
      </c>
      <c r="C1492" s="2">
        <f>IFERROR(__xludf.DUMMYFUNCTION("""COMPUTED_VALUE"""),2026.0)</f>
        <v>2026</v>
      </c>
      <c r="D1492" s="2">
        <f>IFERROR(__xludf.DUMMYFUNCTION("""COMPUTED_VALUE"""),46071.0)</f>
        <v>46071</v>
      </c>
      <c r="E1492" s="2" t="str">
        <f>IFERROR(__xludf.DUMMYFUNCTION("""COMPUTED_VALUE"""),"VF")</f>
        <v>VF</v>
      </c>
      <c r="F1492" s="2">
        <f>IFERROR(__xludf.DUMMYFUNCTION("""COMPUTED_VALUE"""),2.0)</f>
        <v>2</v>
      </c>
      <c r="G1492" s="2" t="str">
        <f>IFERROR(__xludf.DUMMYFUNCTION("""COMPUTED_VALUE"""),"PR057")</f>
        <v>PR057</v>
      </c>
      <c r="H1492" s="2" t="str">
        <f>IFERROR(__xludf.DUMMYFUNCTION("""COMPUTED_VALUE"""),"VD034")</f>
        <v>VD034</v>
      </c>
      <c r="I1492" s="2">
        <f>IFERROR(__xludf.DUMMYFUNCTION("""COMPUTED_VALUE"""),2.0)</f>
        <v>2</v>
      </c>
      <c r="J1492" s="2">
        <f>IFERROR(__xludf.DUMMYFUNCTION("""COMPUTED_VALUE"""),194.18)</f>
        <v>194.18</v>
      </c>
      <c r="K1492" s="2">
        <f>IFERROR(__xludf.DUMMYFUNCTION("""COMPUTED_VALUE"""),194.18)</f>
        <v>194.18</v>
      </c>
    </row>
    <row r="1493">
      <c r="A1493" s="2">
        <f>IFERROR(__xludf.DUMMYFUNCTION("""COMPUTED_VALUE"""),1000.0)</f>
        <v>1000</v>
      </c>
      <c r="B1493" s="2">
        <f>IFERROR(__xludf.DUMMYFUNCTION("""COMPUTED_VALUE"""),184538.0)</f>
        <v>184538</v>
      </c>
      <c r="C1493" s="2">
        <f>IFERROR(__xludf.DUMMYFUNCTION("""COMPUTED_VALUE"""),2026.0)</f>
        <v>2026</v>
      </c>
      <c r="D1493" s="2">
        <f>IFERROR(__xludf.DUMMYFUNCTION("""COMPUTED_VALUE"""),46071.0)</f>
        <v>46071</v>
      </c>
      <c r="E1493" s="2" t="str">
        <f>IFERROR(__xludf.DUMMYFUNCTION("""COMPUTED_VALUE"""),"VF")</f>
        <v>VF</v>
      </c>
      <c r="F1493" s="2">
        <f>IFERROR(__xludf.DUMMYFUNCTION("""COMPUTED_VALUE"""),3.0)</f>
        <v>3</v>
      </c>
      <c r="G1493" s="2" t="str">
        <f>IFERROR(__xludf.DUMMYFUNCTION("""COMPUTED_VALUE"""),"PR031")</f>
        <v>PR031</v>
      </c>
      <c r="H1493" s="2" t="str">
        <f>IFERROR(__xludf.DUMMYFUNCTION("""COMPUTED_VALUE"""),"VD046")</f>
        <v>VD046</v>
      </c>
      <c r="I1493" s="2">
        <f>IFERROR(__xludf.DUMMYFUNCTION("""COMPUTED_VALUE"""),5.0)</f>
        <v>5</v>
      </c>
      <c r="J1493" s="2">
        <f>IFERROR(__xludf.DUMMYFUNCTION("""COMPUTED_VALUE"""),1323.0)</f>
        <v>1323</v>
      </c>
      <c r="K1493" s="2">
        <f>IFERROR(__xludf.DUMMYFUNCTION("""COMPUTED_VALUE"""),1323.0)</f>
        <v>1323</v>
      </c>
    </row>
    <row r="1494">
      <c r="A1494" s="2">
        <f>IFERROR(__xludf.DUMMYFUNCTION("""COMPUTED_VALUE"""),1000.0)</f>
        <v>1000</v>
      </c>
      <c r="B1494" s="2">
        <f>IFERROR(__xludf.DUMMYFUNCTION("""COMPUTED_VALUE"""),184539.0)</f>
        <v>184539</v>
      </c>
      <c r="C1494" s="2">
        <f>IFERROR(__xludf.DUMMYFUNCTION("""COMPUTED_VALUE"""),2026.0)</f>
        <v>2026</v>
      </c>
      <c r="D1494" s="2">
        <f>IFERROR(__xludf.DUMMYFUNCTION("""COMPUTED_VALUE"""),46071.0)</f>
        <v>46071</v>
      </c>
      <c r="E1494" s="2" t="str">
        <f>IFERROR(__xludf.DUMMYFUNCTION("""COMPUTED_VALUE"""),"VF")</f>
        <v>VF</v>
      </c>
      <c r="F1494" s="2">
        <f>IFERROR(__xludf.DUMMYFUNCTION("""COMPUTED_VALUE"""),1.0)</f>
        <v>1</v>
      </c>
      <c r="G1494" s="2" t="str">
        <f>IFERROR(__xludf.DUMMYFUNCTION("""COMPUTED_VALUE"""),"PR025")</f>
        <v>PR025</v>
      </c>
      <c r="H1494" s="2" t="str">
        <f>IFERROR(__xludf.DUMMYFUNCTION("""COMPUTED_VALUE"""),"VD033")</f>
        <v>VD033</v>
      </c>
      <c r="I1494" s="2">
        <f>IFERROR(__xludf.DUMMYFUNCTION("""COMPUTED_VALUE"""),10.0)</f>
        <v>10</v>
      </c>
      <c r="J1494" s="2">
        <f>IFERROR(__xludf.DUMMYFUNCTION("""COMPUTED_VALUE"""),3088.97)</f>
        <v>3088.97</v>
      </c>
      <c r="K1494" s="2">
        <f>IFERROR(__xludf.DUMMYFUNCTION("""COMPUTED_VALUE"""),3088.97)</f>
        <v>3088.97</v>
      </c>
    </row>
    <row r="1495">
      <c r="A1495" s="2">
        <f>IFERROR(__xludf.DUMMYFUNCTION("""COMPUTED_VALUE"""),1000.0)</f>
        <v>1000</v>
      </c>
      <c r="B1495" s="2">
        <f>IFERROR(__xludf.DUMMYFUNCTION("""COMPUTED_VALUE"""),184540.0)</f>
        <v>184540</v>
      </c>
      <c r="C1495" s="2">
        <f>IFERROR(__xludf.DUMMYFUNCTION("""COMPUTED_VALUE"""),2026.0)</f>
        <v>2026</v>
      </c>
      <c r="D1495" s="2">
        <f>IFERROR(__xludf.DUMMYFUNCTION("""COMPUTED_VALUE"""),46071.0)</f>
        <v>46071</v>
      </c>
      <c r="E1495" s="2" t="str">
        <f>IFERROR(__xludf.DUMMYFUNCTION("""COMPUTED_VALUE"""),"VF")</f>
        <v>VF</v>
      </c>
      <c r="F1495" s="2">
        <f>IFERROR(__xludf.DUMMYFUNCTION("""COMPUTED_VALUE"""),1.0)</f>
        <v>1</v>
      </c>
      <c r="G1495" s="2" t="str">
        <f>IFERROR(__xludf.DUMMYFUNCTION("""COMPUTED_VALUE"""),"PR052")</f>
        <v>PR052</v>
      </c>
      <c r="H1495" s="2" t="str">
        <f>IFERROR(__xludf.DUMMYFUNCTION("""COMPUTED_VALUE"""),"VD011")</f>
        <v>VD011</v>
      </c>
      <c r="I1495" s="2">
        <f>IFERROR(__xludf.DUMMYFUNCTION("""COMPUTED_VALUE"""),4.0)</f>
        <v>4</v>
      </c>
      <c r="J1495" s="2">
        <f>IFERROR(__xludf.DUMMYFUNCTION("""COMPUTED_VALUE"""),213.57)</f>
        <v>213.57</v>
      </c>
      <c r="K1495" s="2">
        <f>IFERROR(__xludf.DUMMYFUNCTION("""COMPUTED_VALUE"""),213.57)</f>
        <v>213.57</v>
      </c>
    </row>
    <row r="1496">
      <c r="A1496" s="2">
        <f>IFERROR(__xludf.DUMMYFUNCTION("""COMPUTED_VALUE"""),1000.0)</f>
        <v>1000</v>
      </c>
      <c r="B1496" s="2">
        <f>IFERROR(__xludf.DUMMYFUNCTION("""COMPUTED_VALUE"""),184541.0)</f>
        <v>184541</v>
      </c>
      <c r="C1496" s="2">
        <f>IFERROR(__xludf.DUMMYFUNCTION("""COMPUTED_VALUE"""),2026.0)</f>
        <v>2026</v>
      </c>
      <c r="D1496" s="2">
        <f>IFERROR(__xludf.DUMMYFUNCTION("""COMPUTED_VALUE"""),46070.0)</f>
        <v>46070</v>
      </c>
      <c r="E1496" s="2" t="str">
        <f>IFERROR(__xludf.DUMMYFUNCTION("""COMPUTED_VALUE"""),"VF")</f>
        <v>VF</v>
      </c>
      <c r="F1496" s="2">
        <f>IFERROR(__xludf.DUMMYFUNCTION("""COMPUTED_VALUE"""),1.0)</f>
        <v>1</v>
      </c>
      <c r="G1496" s="2" t="str">
        <f>IFERROR(__xludf.DUMMYFUNCTION("""COMPUTED_VALUE"""),"PR001")</f>
        <v>PR001</v>
      </c>
      <c r="H1496" s="2" t="str">
        <f>IFERROR(__xludf.DUMMYFUNCTION("""COMPUTED_VALUE"""),"VD037")</f>
        <v>VD037</v>
      </c>
      <c r="I1496" s="2">
        <f>IFERROR(__xludf.DUMMYFUNCTION("""COMPUTED_VALUE"""),6.0)</f>
        <v>6</v>
      </c>
      <c r="J1496" s="2">
        <f>IFERROR(__xludf.DUMMYFUNCTION("""COMPUTED_VALUE"""),399.35)</f>
        <v>399.35</v>
      </c>
      <c r="K1496" s="2">
        <f>IFERROR(__xludf.DUMMYFUNCTION("""COMPUTED_VALUE"""),399.35)</f>
        <v>399.35</v>
      </c>
    </row>
    <row r="1497">
      <c r="A1497" s="2">
        <f>IFERROR(__xludf.DUMMYFUNCTION("""COMPUTED_VALUE"""),2000.0)</f>
        <v>2000</v>
      </c>
      <c r="B1497" s="2">
        <f>IFERROR(__xludf.DUMMYFUNCTION("""COMPUTED_VALUE"""),184542.0)</f>
        <v>184542</v>
      </c>
      <c r="C1497" s="2">
        <f>IFERROR(__xludf.DUMMYFUNCTION("""COMPUTED_VALUE"""),2026.0)</f>
        <v>2026</v>
      </c>
      <c r="D1497" s="2">
        <f>IFERROR(__xludf.DUMMYFUNCTION("""COMPUTED_VALUE"""),46070.0)</f>
        <v>46070</v>
      </c>
      <c r="E1497" s="2" t="str">
        <f>IFERROR(__xludf.DUMMYFUNCTION("""COMPUTED_VALUE"""),"VF")</f>
        <v>VF</v>
      </c>
      <c r="F1497" s="2">
        <f>IFERROR(__xludf.DUMMYFUNCTION("""COMPUTED_VALUE"""),1.0)</f>
        <v>1</v>
      </c>
      <c r="G1497" s="2" t="str">
        <f>IFERROR(__xludf.DUMMYFUNCTION("""COMPUTED_VALUE"""),"PR004")</f>
        <v>PR004</v>
      </c>
      <c r="H1497" s="2" t="str">
        <f>IFERROR(__xludf.DUMMYFUNCTION("""COMPUTED_VALUE"""),"VD041")</f>
        <v>VD041</v>
      </c>
      <c r="I1497" s="2">
        <f>IFERROR(__xludf.DUMMYFUNCTION("""COMPUTED_VALUE"""),18.0)</f>
        <v>18</v>
      </c>
      <c r="J1497" s="2">
        <f>IFERROR(__xludf.DUMMYFUNCTION("""COMPUTED_VALUE"""),2871.0)</f>
        <v>2871</v>
      </c>
      <c r="K1497" s="2">
        <f>IFERROR(__xludf.DUMMYFUNCTION("""COMPUTED_VALUE"""),2871.0)</f>
        <v>2871</v>
      </c>
    </row>
    <row r="1498">
      <c r="A1498" s="2">
        <f>IFERROR(__xludf.DUMMYFUNCTION("""COMPUTED_VALUE"""),1000.0)</f>
        <v>1000</v>
      </c>
      <c r="B1498" s="2">
        <f>IFERROR(__xludf.DUMMYFUNCTION("""COMPUTED_VALUE"""),184543.0)</f>
        <v>184543</v>
      </c>
      <c r="C1498" s="2">
        <f>IFERROR(__xludf.DUMMYFUNCTION("""COMPUTED_VALUE"""),2026.0)</f>
        <v>2026</v>
      </c>
      <c r="D1498" s="2">
        <f>IFERROR(__xludf.DUMMYFUNCTION("""COMPUTED_VALUE"""),46070.0)</f>
        <v>46070</v>
      </c>
      <c r="E1498" s="2" t="str">
        <f>IFERROR(__xludf.DUMMYFUNCTION("""COMPUTED_VALUE"""),"VF")</f>
        <v>VF</v>
      </c>
      <c r="F1498" s="2">
        <f>IFERROR(__xludf.DUMMYFUNCTION("""COMPUTED_VALUE"""),1.0)</f>
        <v>1</v>
      </c>
      <c r="G1498" s="2" t="str">
        <f>IFERROR(__xludf.DUMMYFUNCTION("""COMPUTED_VALUE"""),"PR038")</f>
        <v>PR038</v>
      </c>
      <c r="H1498" s="2" t="str">
        <f>IFERROR(__xludf.DUMMYFUNCTION("""COMPUTED_VALUE"""),"VD010")</f>
        <v>VD010</v>
      </c>
      <c r="I1498" s="2">
        <f>IFERROR(__xludf.DUMMYFUNCTION("""COMPUTED_VALUE"""),5.0)</f>
        <v>5</v>
      </c>
      <c r="J1498" s="2">
        <f>IFERROR(__xludf.DUMMYFUNCTION("""COMPUTED_VALUE"""),714.5)</f>
        <v>714.5</v>
      </c>
      <c r="K1498" s="2">
        <f>IFERROR(__xludf.DUMMYFUNCTION("""COMPUTED_VALUE"""),714.5)</f>
        <v>714.5</v>
      </c>
    </row>
    <row r="1499">
      <c r="A1499" s="2">
        <f>IFERROR(__xludf.DUMMYFUNCTION("""COMPUTED_VALUE"""),1000.0)</f>
        <v>1000</v>
      </c>
      <c r="B1499" s="2">
        <f>IFERROR(__xludf.DUMMYFUNCTION("""COMPUTED_VALUE"""),184543.0)</f>
        <v>184543</v>
      </c>
      <c r="C1499" s="2">
        <f>IFERROR(__xludf.DUMMYFUNCTION("""COMPUTED_VALUE"""),2026.0)</f>
        <v>2026</v>
      </c>
      <c r="D1499" s="2">
        <f>IFERROR(__xludf.DUMMYFUNCTION("""COMPUTED_VALUE"""),46069.0)</f>
        <v>46069</v>
      </c>
      <c r="E1499" s="2" t="str">
        <f>IFERROR(__xludf.DUMMYFUNCTION("""COMPUTED_VALUE"""),"VF")</f>
        <v>VF</v>
      </c>
      <c r="F1499" s="2">
        <f>IFERROR(__xludf.DUMMYFUNCTION("""COMPUTED_VALUE"""),2.0)</f>
        <v>2</v>
      </c>
      <c r="G1499" s="2" t="str">
        <f>IFERROR(__xludf.DUMMYFUNCTION("""COMPUTED_VALUE"""),"PR007")</f>
        <v>PR007</v>
      </c>
      <c r="H1499" s="2" t="str">
        <f>IFERROR(__xludf.DUMMYFUNCTION("""COMPUTED_VALUE"""),"VD011")</f>
        <v>VD011</v>
      </c>
      <c r="I1499" s="2">
        <f>IFERROR(__xludf.DUMMYFUNCTION("""COMPUTED_VALUE"""),2.0)</f>
        <v>2</v>
      </c>
      <c r="J1499" s="2">
        <f>IFERROR(__xludf.DUMMYFUNCTION("""COMPUTED_VALUE"""),180.39)</f>
        <v>180.39</v>
      </c>
      <c r="K1499" s="2">
        <f>IFERROR(__xludf.DUMMYFUNCTION("""COMPUTED_VALUE"""),180.39)</f>
        <v>180.39</v>
      </c>
    </row>
    <row r="1500">
      <c r="A1500" s="2">
        <f>IFERROR(__xludf.DUMMYFUNCTION("""COMPUTED_VALUE"""),1000.0)</f>
        <v>1000</v>
      </c>
      <c r="B1500" s="2">
        <f>IFERROR(__xludf.DUMMYFUNCTION("""COMPUTED_VALUE"""),184544.0)</f>
        <v>184544</v>
      </c>
      <c r="C1500" s="2">
        <f>IFERROR(__xludf.DUMMYFUNCTION("""COMPUTED_VALUE"""),2026.0)</f>
        <v>2026</v>
      </c>
      <c r="D1500" s="2">
        <f>IFERROR(__xludf.DUMMYFUNCTION("""COMPUTED_VALUE"""),46069.0)</f>
        <v>46069</v>
      </c>
      <c r="E1500" s="2" t="str">
        <f>IFERROR(__xludf.DUMMYFUNCTION("""COMPUTED_VALUE"""),"VF")</f>
        <v>VF</v>
      </c>
      <c r="F1500" s="2">
        <f>IFERROR(__xludf.DUMMYFUNCTION("""COMPUTED_VALUE"""),1.0)</f>
        <v>1</v>
      </c>
      <c r="G1500" s="2" t="str">
        <f>IFERROR(__xludf.DUMMYFUNCTION("""COMPUTED_VALUE"""),"PR018")</f>
        <v>PR018</v>
      </c>
      <c r="H1500" s="2" t="str">
        <f>IFERROR(__xludf.DUMMYFUNCTION("""COMPUTED_VALUE"""),"VD036")</f>
        <v>VD036</v>
      </c>
      <c r="I1500" s="2">
        <f>IFERROR(__xludf.DUMMYFUNCTION("""COMPUTED_VALUE"""),10.0)</f>
        <v>10</v>
      </c>
      <c r="J1500" s="2">
        <f>IFERROR(__xludf.DUMMYFUNCTION("""COMPUTED_VALUE"""),355.32)</f>
        <v>355.32</v>
      </c>
      <c r="K1500" s="2">
        <f>IFERROR(__xludf.DUMMYFUNCTION("""COMPUTED_VALUE"""),355.32)</f>
        <v>355.32</v>
      </c>
    </row>
    <row r="1501">
      <c r="A1501" s="2">
        <f>IFERROR(__xludf.DUMMYFUNCTION("""COMPUTED_VALUE"""),1000.0)</f>
        <v>1000</v>
      </c>
      <c r="B1501" s="2">
        <f>IFERROR(__xludf.DUMMYFUNCTION("""COMPUTED_VALUE"""),184545.0)</f>
        <v>184545</v>
      </c>
      <c r="C1501" s="2">
        <f>IFERROR(__xludf.DUMMYFUNCTION("""COMPUTED_VALUE"""),2026.0)</f>
        <v>2026</v>
      </c>
      <c r="D1501" s="2">
        <f>IFERROR(__xludf.DUMMYFUNCTION("""COMPUTED_VALUE"""),46069.0)</f>
        <v>46069</v>
      </c>
      <c r="E1501" s="2" t="str">
        <f>IFERROR(__xludf.DUMMYFUNCTION("""COMPUTED_VALUE"""),"VF")</f>
        <v>VF</v>
      </c>
      <c r="F1501" s="2">
        <f>IFERROR(__xludf.DUMMYFUNCTION("""COMPUTED_VALUE"""),1.0)</f>
        <v>1</v>
      </c>
      <c r="G1501" s="2" t="str">
        <f>IFERROR(__xludf.DUMMYFUNCTION("""COMPUTED_VALUE"""),"PR039")</f>
        <v>PR039</v>
      </c>
      <c r="H1501" s="2" t="str">
        <f>IFERROR(__xludf.DUMMYFUNCTION("""COMPUTED_VALUE"""),"VD026")</f>
        <v>VD026</v>
      </c>
      <c r="I1501" s="2">
        <f>IFERROR(__xludf.DUMMYFUNCTION("""COMPUTED_VALUE"""),10.0)</f>
        <v>10</v>
      </c>
      <c r="J1501" s="2">
        <f>IFERROR(__xludf.DUMMYFUNCTION("""COMPUTED_VALUE"""),1518.4)</f>
        <v>1518.4</v>
      </c>
      <c r="K1501" s="2">
        <f>IFERROR(__xludf.DUMMYFUNCTION("""COMPUTED_VALUE"""),1518.4)</f>
        <v>1518.4</v>
      </c>
    </row>
    <row r="1502">
      <c r="A1502" s="2">
        <f>IFERROR(__xludf.DUMMYFUNCTION("""COMPUTED_VALUE"""),1000.0)</f>
        <v>1000</v>
      </c>
      <c r="B1502" s="2">
        <f>IFERROR(__xludf.DUMMYFUNCTION("""COMPUTED_VALUE"""),184546.0)</f>
        <v>184546</v>
      </c>
      <c r="C1502" s="2">
        <f>IFERROR(__xludf.DUMMYFUNCTION("""COMPUTED_VALUE"""),2026.0)</f>
        <v>2026</v>
      </c>
      <c r="D1502" s="2">
        <f>IFERROR(__xludf.DUMMYFUNCTION("""COMPUTED_VALUE"""),46068.0)</f>
        <v>46068</v>
      </c>
      <c r="E1502" s="2" t="str">
        <f>IFERROR(__xludf.DUMMYFUNCTION("""COMPUTED_VALUE"""),"VF")</f>
        <v>VF</v>
      </c>
      <c r="F1502" s="2">
        <f>IFERROR(__xludf.DUMMYFUNCTION("""COMPUTED_VALUE"""),1.0)</f>
        <v>1</v>
      </c>
      <c r="G1502" s="2" t="str">
        <f>IFERROR(__xludf.DUMMYFUNCTION("""COMPUTED_VALUE"""),"PR022")</f>
        <v>PR022</v>
      </c>
      <c r="H1502" s="2" t="str">
        <f>IFERROR(__xludf.DUMMYFUNCTION("""COMPUTED_VALUE"""),"VD041")</f>
        <v>VD041</v>
      </c>
      <c r="I1502" s="2">
        <f>IFERROR(__xludf.DUMMYFUNCTION("""COMPUTED_VALUE"""),9.0)</f>
        <v>9</v>
      </c>
      <c r="J1502" s="2">
        <f>IFERROR(__xludf.DUMMYFUNCTION("""COMPUTED_VALUE"""),2808.0)</f>
        <v>2808</v>
      </c>
      <c r="K1502" s="2">
        <f>IFERROR(__xludf.DUMMYFUNCTION("""COMPUTED_VALUE"""),2808.0)</f>
        <v>2808</v>
      </c>
    </row>
    <row r="1503">
      <c r="A1503" s="2">
        <f>IFERROR(__xludf.DUMMYFUNCTION("""COMPUTED_VALUE"""),1000.0)</f>
        <v>1000</v>
      </c>
      <c r="B1503" s="2">
        <f>IFERROR(__xludf.DUMMYFUNCTION("""COMPUTED_VALUE"""),184547.0)</f>
        <v>184547</v>
      </c>
      <c r="C1503" s="2">
        <f>IFERROR(__xludf.DUMMYFUNCTION("""COMPUTED_VALUE"""),2026.0)</f>
        <v>2026</v>
      </c>
      <c r="D1503" s="2">
        <f>IFERROR(__xludf.DUMMYFUNCTION("""COMPUTED_VALUE"""),46068.0)</f>
        <v>46068</v>
      </c>
      <c r="E1503" s="2" t="str">
        <f>IFERROR(__xludf.DUMMYFUNCTION("""COMPUTED_VALUE"""),"VF")</f>
        <v>VF</v>
      </c>
      <c r="F1503" s="2">
        <f>IFERROR(__xludf.DUMMYFUNCTION("""COMPUTED_VALUE"""),1.0)</f>
        <v>1</v>
      </c>
      <c r="G1503" s="2" t="str">
        <f>IFERROR(__xludf.DUMMYFUNCTION("""COMPUTED_VALUE"""),"PR007")</f>
        <v>PR007</v>
      </c>
      <c r="H1503" s="2" t="str">
        <f>IFERROR(__xludf.DUMMYFUNCTION("""COMPUTED_VALUE"""),"VD020")</f>
        <v>VD020</v>
      </c>
      <c r="I1503" s="2">
        <f>IFERROR(__xludf.DUMMYFUNCTION("""COMPUTED_VALUE"""),18.0)</f>
        <v>18</v>
      </c>
      <c r="J1503" s="2">
        <f>IFERROR(__xludf.DUMMYFUNCTION("""COMPUTED_VALUE"""),1623.51)</f>
        <v>1623.51</v>
      </c>
      <c r="K1503" s="2">
        <f>IFERROR(__xludf.DUMMYFUNCTION("""COMPUTED_VALUE"""),1623.51)</f>
        <v>1623.51</v>
      </c>
    </row>
    <row r="1504">
      <c r="A1504" s="2">
        <f>IFERROR(__xludf.DUMMYFUNCTION("""COMPUTED_VALUE"""),2000.0)</f>
        <v>2000</v>
      </c>
      <c r="B1504" s="2">
        <f>IFERROR(__xludf.DUMMYFUNCTION("""COMPUTED_VALUE"""),184547.0)</f>
        <v>184547</v>
      </c>
      <c r="C1504" s="2">
        <f>IFERROR(__xludf.DUMMYFUNCTION("""COMPUTED_VALUE"""),2026.0)</f>
        <v>2026</v>
      </c>
      <c r="D1504" s="2">
        <f>IFERROR(__xludf.DUMMYFUNCTION("""COMPUTED_VALUE"""),46068.0)</f>
        <v>46068</v>
      </c>
      <c r="E1504" s="2" t="str">
        <f>IFERROR(__xludf.DUMMYFUNCTION("""COMPUTED_VALUE"""),"VF")</f>
        <v>VF</v>
      </c>
      <c r="F1504" s="2">
        <f>IFERROR(__xludf.DUMMYFUNCTION("""COMPUTED_VALUE"""),2.0)</f>
        <v>2</v>
      </c>
      <c r="G1504" s="2" t="str">
        <f>IFERROR(__xludf.DUMMYFUNCTION("""COMPUTED_VALUE"""),"PR059")</f>
        <v>PR059</v>
      </c>
      <c r="H1504" s="2" t="str">
        <f>IFERROR(__xludf.DUMMYFUNCTION("""COMPUTED_VALUE"""),"VD036")</f>
        <v>VD036</v>
      </c>
      <c r="I1504" s="2">
        <f>IFERROR(__xludf.DUMMYFUNCTION("""COMPUTED_VALUE"""),8.0)</f>
        <v>8</v>
      </c>
      <c r="J1504" s="2">
        <f>IFERROR(__xludf.DUMMYFUNCTION("""COMPUTED_VALUE"""),1512.0)</f>
        <v>1512</v>
      </c>
      <c r="K1504" s="2">
        <f>IFERROR(__xludf.DUMMYFUNCTION("""COMPUTED_VALUE"""),1512.0)</f>
        <v>1512</v>
      </c>
    </row>
    <row r="1505">
      <c r="A1505" s="2">
        <f>IFERROR(__xludf.DUMMYFUNCTION("""COMPUTED_VALUE"""),1000.0)</f>
        <v>1000</v>
      </c>
      <c r="B1505" s="2">
        <f>IFERROR(__xludf.DUMMYFUNCTION("""COMPUTED_VALUE"""),184547.0)</f>
        <v>184547</v>
      </c>
      <c r="C1505" s="2">
        <f>IFERROR(__xludf.DUMMYFUNCTION("""COMPUTED_VALUE"""),2026.0)</f>
        <v>2026</v>
      </c>
      <c r="D1505" s="2">
        <f>IFERROR(__xludf.DUMMYFUNCTION("""COMPUTED_VALUE"""),46068.0)</f>
        <v>46068</v>
      </c>
      <c r="E1505" s="2" t="str">
        <f>IFERROR(__xludf.DUMMYFUNCTION("""COMPUTED_VALUE"""),"VF")</f>
        <v>VF</v>
      </c>
      <c r="F1505" s="2">
        <f>IFERROR(__xludf.DUMMYFUNCTION("""COMPUTED_VALUE"""),3.0)</f>
        <v>3</v>
      </c>
      <c r="G1505" s="2" t="str">
        <f>IFERROR(__xludf.DUMMYFUNCTION("""COMPUTED_VALUE"""),"PR006")</f>
        <v>PR006</v>
      </c>
      <c r="H1505" s="2" t="str">
        <f>IFERROR(__xludf.DUMMYFUNCTION("""COMPUTED_VALUE"""),"VD038")</f>
        <v>VD038</v>
      </c>
      <c r="I1505" s="2">
        <f>IFERROR(__xludf.DUMMYFUNCTION("""COMPUTED_VALUE"""),12.0)</f>
        <v>12</v>
      </c>
      <c r="J1505" s="2">
        <f>IFERROR(__xludf.DUMMYFUNCTION("""COMPUTED_VALUE"""),526.68)</f>
        <v>526.68</v>
      </c>
      <c r="K1505" s="2">
        <f>IFERROR(__xludf.DUMMYFUNCTION("""COMPUTED_VALUE"""),526.68)</f>
        <v>526.68</v>
      </c>
    </row>
    <row r="1506">
      <c r="A1506" s="2">
        <f>IFERROR(__xludf.DUMMYFUNCTION("""COMPUTED_VALUE"""),1000.0)</f>
        <v>1000</v>
      </c>
      <c r="B1506" s="2">
        <f>IFERROR(__xludf.DUMMYFUNCTION("""COMPUTED_VALUE"""),184547.0)</f>
        <v>184547</v>
      </c>
      <c r="C1506" s="2">
        <f>IFERROR(__xludf.DUMMYFUNCTION("""COMPUTED_VALUE"""),2026.0)</f>
        <v>2026</v>
      </c>
      <c r="D1506" s="2">
        <f>IFERROR(__xludf.DUMMYFUNCTION("""COMPUTED_VALUE"""),46067.0)</f>
        <v>46067</v>
      </c>
      <c r="E1506" s="2" t="str">
        <f>IFERROR(__xludf.DUMMYFUNCTION("""COMPUTED_VALUE"""),"VF")</f>
        <v>VF</v>
      </c>
      <c r="F1506" s="2">
        <f>IFERROR(__xludf.DUMMYFUNCTION("""COMPUTED_VALUE"""),4.0)</f>
        <v>4</v>
      </c>
      <c r="G1506" s="2" t="str">
        <f>IFERROR(__xludf.DUMMYFUNCTION("""COMPUTED_VALUE"""),"PR017")</f>
        <v>PR017</v>
      </c>
      <c r="H1506" s="2" t="str">
        <f>IFERROR(__xludf.DUMMYFUNCTION("""COMPUTED_VALUE"""),"VD013")</f>
        <v>VD013</v>
      </c>
      <c r="I1506" s="2">
        <f>IFERROR(__xludf.DUMMYFUNCTION("""COMPUTED_VALUE"""),9.0)</f>
        <v>9</v>
      </c>
      <c r="J1506" s="2">
        <f>IFERROR(__xludf.DUMMYFUNCTION("""COMPUTED_VALUE"""),285.25)</f>
        <v>285.25</v>
      </c>
      <c r="K1506" s="2">
        <f>IFERROR(__xludf.DUMMYFUNCTION("""COMPUTED_VALUE"""),285.25)</f>
        <v>285.25</v>
      </c>
    </row>
    <row r="1507">
      <c r="A1507" s="2">
        <f>IFERROR(__xludf.DUMMYFUNCTION("""COMPUTED_VALUE"""),1000.0)</f>
        <v>1000</v>
      </c>
      <c r="B1507" s="2">
        <f>IFERROR(__xludf.DUMMYFUNCTION("""COMPUTED_VALUE"""),184548.0)</f>
        <v>184548</v>
      </c>
      <c r="C1507" s="2">
        <f>IFERROR(__xludf.DUMMYFUNCTION("""COMPUTED_VALUE"""),2026.0)</f>
        <v>2026</v>
      </c>
      <c r="D1507" s="2">
        <f>IFERROR(__xludf.DUMMYFUNCTION("""COMPUTED_VALUE"""),46067.0)</f>
        <v>46067</v>
      </c>
      <c r="E1507" s="2" t="str">
        <f>IFERROR(__xludf.DUMMYFUNCTION("""COMPUTED_VALUE"""),"VF")</f>
        <v>VF</v>
      </c>
      <c r="F1507" s="2">
        <f>IFERROR(__xludf.DUMMYFUNCTION("""COMPUTED_VALUE"""),1.0)</f>
        <v>1</v>
      </c>
      <c r="G1507" s="2" t="str">
        <f>IFERROR(__xludf.DUMMYFUNCTION("""COMPUTED_VALUE"""),"PR015")</f>
        <v>PR015</v>
      </c>
      <c r="H1507" s="2" t="str">
        <f>IFERROR(__xludf.DUMMYFUNCTION("""COMPUTED_VALUE"""),"VD032")</f>
        <v>VD032</v>
      </c>
      <c r="I1507" s="2">
        <f>IFERROR(__xludf.DUMMYFUNCTION("""COMPUTED_VALUE"""),3.0)</f>
        <v>3</v>
      </c>
      <c r="J1507" s="2">
        <f>IFERROR(__xludf.DUMMYFUNCTION("""COMPUTED_VALUE"""),140.25)</f>
        <v>140.25</v>
      </c>
      <c r="K1507" s="2">
        <f>IFERROR(__xludf.DUMMYFUNCTION("""COMPUTED_VALUE"""),140.25)</f>
        <v>140.25</v>
      </c>
    </row>
    <row r="1508">
      <c r="A1508" s="2">
        <f>IFERROR(__xludf.DUMMYFUNCTION("""COMPUTED_VALUE"""),1000.0)</f>
        <v>1000</v>
      </c>
      <c r="B1508" s="2">
        <f>IFERROR(__xludf.DUMMYFUNCTION("""COMPUTED_VALUE"""),184548.0)</f>
        <v>184548</v>
      </c>
      <c r="C1508" s="2">
        <f>IFERROR(__xludf.DUMMYFUNCTION("""COMPUTED_VALUE"""),2026.0)</f>
        <v>2026</v>
      </c>
      <c r="D1508" s="2">
        <f>IFERROR(__xludf.DUMMYFUNCTION("""COMPUTED_VALUE"""),46066.0)</f>
        <v>46066</v>
      </c>
      <c r="E1508" s="2" t="str">
        <f>IFERROR(__xludf.DUMMYFUNCTION("""COMPUTED_VALUE"""),"VF")</f>
        <v>VF</v>
      </c>
      <c r="F1508" s="2">
        <f>IFERROR(__xludf.DUMMYFUNCTION("""COMPUTED_VALUE"""),2.0)</f>
        <v>2</v>
      </c>
      <c r="G1508" s="2" t="str">
        <f>IFERROR(__xludf.DUMMYFUNCTION("""COMPUTED_VALUE"""),"PR051")</f>
        <v>PR051</v>
      </c>
      <c r="H1508" s="2" t="str">
        <f>IFERROR(__xludf.DUMMYFUNCTION("""COMPUTED_VALUE"""),"VD041")</f>
        <v>VD041</v>
      </c>
      <c r="I1508" s="2">
        <f>IFERROR(__xludf.DUMMYFUNCTION("""COMPUTED_VALUE"""),12.0)</f>
        <v>12</v>
      </c>
      <c r="J1508" s="2">
        <f>IFERROR(__xludf.DUMMYFUNCTION("""COMPUTED_VALUE"""),418.49)</f>
        <v>418.49</v>
      </c>
      <c r="K1508" s="2">
        <f>IFERROR(__xludf.DUMMYFUNCTION("""COMPUTED_VALUE"""),418.49)</f>
        <v>418.49</v>
      </c>
    </row>
    <row r="1509">
      <c r="A1509" s="2">
        <f>IFERROR(__xludf.DUMMYFUNCTION("""COMPUTED_VALUE"""),1000.0)</f>
        <v>1000</v>
      </c>
      <c r="B1509" s="2">
        <f>IFERROR(__xludf.DUMMYFUNCTION("""COMPUTED_VALUE"""),184548.0)</f>
        <v>184548</v>
      </c>
      <c r="C1509" s="2">
        <f>IFERROR(__xludf.DUMMYFUNCTION("""COMPUTED_VALUE"""),2026.0)</f>
        <v>2026</v>
      </c>
      <c r="D1509" s="2">
        <f>IFERROR(__xludf.DUMMYFUNCTION("""COMPUTED_VALUE"""),46066.0)</f>
        <v>46066</v>
      </c>
      <c r="E1509" s="2" t="str">
        <f>IFERROR(__xludf.DUMMYFUNCTION("""COMPUTED_VALUE"""),"VF")</f>
        <v>VF</v>
      </c>
      <c r="F1509" s="2">
        <f>IFERROR(__xludf.DUMMYFUNCTION("""COMPUTED_VALUE"""),3.0)</f>
        <v>3</v>
      </c>
      <c r="G1509" s="2" t="str">
        <f>IFERROR(__xludf.DUMMYFUNCTION("""COMPUTED_VALUE"""),"PR028")</f>
        <v>PR028</v>
      </c>
      <c r="H1509" s="2" t="str">
        <f>IFERROR(__xludf.DUMMYFUNCTION("""COMPUTED_VALUE"""),"VD011")</f>
        <v>VD011</v>
      </c>
      <c r="I1509" s="2">
        <f>IFERROR(__xludf.DUMMYFUNCTION("""COMPUTED_VALUE"""),16.0)</f>
        <v>16</v>
      </c>
      <c r="J1509" s="2">
        <f>IFERROR(__xludf.DUMMYFUNCTION("""COMPUTED_VALUE"""),4238.3)</f>
        <v>4238.3</v>
      </c>
      <c r="K1509" s="2">
        <f>IFERROR(__xludf.DUMMYFUNCTION("""COMPUTED_VALUE"""),4238.3)</f>
        <v>4238.3</v>
      </c>
    </row>
    <row r="1510">
      <c r="A1510" s="2">
        <f>IFERROR(__xludf.DUMMYFUNCTION("""COMPUTED_VALUE"""),1000.0)</f>
        <v>1000</v>
      </c>
      <c r="B1510" s="2">
        <f>IFERROR(__xludf.DUMMYFUNCTION("""COMPUTED_VALUE"""),184548.0)</f>
        <v>184548</v>
      </c>
      <c r="C1510" s="2">
        <f>IFERROR(__xludf.DUMMYFUNCTION("""COMPUTED_VALUE"""),2026.0)</f>
        <v>2026</v>
      </c>
      <c r="D1510" s="2">
        <f>IFERROR(__xludf.DUMMYFUNCTION("""COMPUTED_VALUE"""),46066.0)</f>
        <v>46066</v>
      </c>
      <c r="E1510" s="2" t="str">
        <f>IFERROR(__xludf.DUMMYFUNCTION("""COMPUTED_VALUE"""),"VF")</f>
        <v>VF</v>
      </c>
      <c r="F1510" s="2">
        <f>IFERROR(__xludf.DUMMYFUNCTION("""COMPUTED_VALUE"""),4.0)</f>
        <v>4</v>
      </c>
      <c r="G1510" s="2" t="str">
        <f>IFERROR(__xludf.DUMMYFUNCTION("""COMPUTED_VALUE"""),"PR052")</f>
        <v>PR052</v>
      </c>
      <c r="H1510" s="2" t="str">
        <f>IFERROR(__xludf.DUMMYFUNCTION("""COMPUTED_VALUE"""),"VD043")</f>
        <v>VD043</v>
      </c>
      <c r="I1510" s="2">
        <f>IFERROR(__xludf.DUMMYFUNCTION("""COMPUTED_VALUE"""),6.0)</f>
        <v>6</v>
      </c>
      <c r="J1510" s="2">
        <f>IFERROR(__xludf.DUMMYFUNCTION("""COMPUTED_VALUE"""),329.34)</f>
        <v>329.34</v>
      </c>
      <c r="K1510" s="2">
        <f>IFERROR(__xludf.DUMMYFUNCTION("""COMPUTED_VALUE"""),329.34)</f>
        <v>329.34</v>
      </c>
    </row>
    <row r="1511">
      <c r="A1511" s="2">
        <f>IFERROR(__xludf.DUMMYFUNCTION("""COMPUTED_VALUE"""),1000.0)</f>
        <v>1000</v>
      </c>
      <c r="B1511" s="2">
        <f>IFERROR(__xludf.DUMMYFUNCTION("""COMPUTED_VALUE"""),184548.0)</f>
        <v>184548</v>
      </c>
      <c r="C1511" s="2">
        <f>IFERROR(__xludf.DUMMYFUNCTION("""COMPUTED_VALUE"""),2026.0)</f>
        <v>2026</v>
      </c>
      <c r="D1511" s="2">
        <f>IFERROR(__xludf.DUMMYFUNCTION("""COMPUTED_VALUE"""),46066.0)</f>
        <v>46066</v>
      </c>
      <c r="E1511" s="2" t="str">
        <f>IFERROR(__xludf.DUMMYFUNCTION("""COMPUTED_VALUE"""),"VF")</f>
        <v>VF</v>
      </c>
      <c r="F1511" s="2">
        <f>IFERROR(__xludf.DUMMYFUNCTION("""COMPUTED_VALUE"""),5.0)</f>
        <v>5</v>
      </c>
      <c r="G1511" s="2" t="str">
        <f>IFERROR(__xludf.DUMMYFUNCTION("""COMPUTED_VALUE"""),"PR026")</f>
        <v>PR026</v>
      </c>
      <c r="H1511" s="2" t="str">
        <f>IFERROR(__xludf.DUMMYFUNCTION("""COMPUTED_VALUE"""),"VD045")</f>
        <v>VD045</v>
      </c>
      <c r="I1511" s="2">
        <f>IFERROR(__xludf.DUMMYFUNCTION("""COMPUTED_VALUE"""),4.0)</f>
        <v>4</v>
      </c>
      <c r="J1511" s="2">
        <f>IFERROR(__xludf.DUMMYFUNCTION("""COMPUTED_VALUE"""),1511.57)</f>
        <v>1511.57</v>
      </c>
      <c r="K1511" s="2">
        <f>IFERROR(__xludf.DUMMYFUNCTION("""COMPUTED_VALUE"""),1511.57)</f>
        <v>1511.57</v>
      </c>
    </row>
    <row r="1512">
      <c r="A1512" s="2">
        <f>IFERROR(__xludf.DUMMYFUNCTION("""COMPUTED_VALUE"""),1000.0)</f>
        <v>1000</v>
      </c>
      <c r="B1512" s="2">
        <f>IFERROR(__xludf.DUMMYFUNCTION("""COMPUTED_VALUE"""),184548.0)</f>
        <v>184548</v>
      </c>
      <c r="C1512" s="2">
        <f>IFERROR(__xludf.DUMMYFUNCTION("""COMPUTED_VALUE"""),2026.0)</f>
        <v>2026</v>
      </c>
      <c r="D1512" s="2">
        <f>IFERROR(__xludf.DUMMYFUNCTION("""COMPUTED_VALUE"""),46066.0)</f>
        <v>46066</v>
      </c>
      <c r="E1512" s="2" t="str">
        <f>IFERROR(__xludf.DUMMYFUNCTION("""COMPUTED_VALUE"""),"VF")</f>
        <v>VF</v>
      </c>
      <c r="F1512" s="2">
        <f>IFERROR(__xludf.DUMMYFUNCTION("""COMPUTED_VALUE"""),6.0)</f>
        <v>6</v>
      </c>
      <c r="G1512" s="2" t="str">
        <f>IFERROR(__xludf.DUMMYFUNCTION("""COMPUTED_VALUE"""),"PR007")</f>
        <v>PR007</v>
      </c>
      <c r="H1512" s="2" t="str">
        <f>IFERROR(__xludf.DUMMYFUNCTION("""COMPUTED_VALUE"""),"VD043")</f>
        <v>VD043</v>
      </c>
      <c r="I1512" s="2">
        <f>IFERROR(__xludf.DUMMYFUNCTION("""COMPUTED_VALUE"""),20.0)</f>
        <v>20</v>
      </c>
      <c r="J1512" s="2">
        <f>IFERROR(__xludf.DUMMYFUNCTION("""COMPUTED_VALUE"""),1735.18)</f>
        <v>1735.18</v>
      </c>
      <c r="K1512" s="2">
        <f>IFERROR(__xludf.DUMMYFUNCTION("""COMPUTED_VALUE"""),1735.18)</f>
        <v>1735.18</v>
      </c>
    </row>
    <row r="1513">
      <c r="A1513" s="2">
        <f>IFERROR(__xludf.DUMMYFUNCTION("""COMPUTED_VALUE"""),1000.0)</f>
        <v>1000</v>
      </c>
      <c r="B1513" s="2">
        <f>IFERROR(__xludf.DUMMYFUNCTION("""COMPUTED_VALUE"""),184549.0)</f>
        <v>184549</v>
      </c>
      <c r="C1513" s="2">
        <f>IFERROR(__xludf.DUMMYFUNCTION("""COMPUTED_VALUE"""),2026.0)</f>
        <v>2026</v>
      </c>
      <c r="D1513" s="2">
        <f>IFERROR(__xludf.DUMMYFUNCTION("""COMPUTED_VALUE"""),46066.0)</f>
        <v>46066</v>
      </c>
      <c r="E1513" s="2" t="str">
        <f>IFERROR(__xludf.DUMMYFUNCTION("""COMPUTED_VALUE"""),"VF")</f>
        <v>VF</v>
      </c>
      <c r="F1513" s="2">
        <f>IFERROR(__xludf.DUMMYFUNCTION("""COMPUTED_VALUE"""),1.0)</f>
        <v>1</v>
      </c>
      <c r="G1513" s="2" t="str">
        <f>IFERROR(__xludf.DUMMYFUNCTION("""COMPUTED_VALUE"""),"PR031")</f>
        <v>PR031</v>
      </c>
      <c r="H1513" s="2" t="str">
        <f>IFERROR(__xludf.DUMMYFUNCTION("""COMPUTED_VALUE"""),"VD026")</f>
        <v>VD026</v>
      </c>
      <c r="I1513" s="2">
        <f>IFERROR(__xludf.DUMMYFUNCTION("""COMPUTED_VALUE"""),16.0)</f>
        <v>16</v>
      </c>
      <c r="J1513" s="2">
        <f>IFERROR(__xludf.DUMMYFUNCTION("""COMPUTED_VALUE"""),4194.4)</f>
        <v>4194.4</v>
      </c>
      <c r="K1513" s="2">
        <f>IFERROR(__xludf.DUMMYFUNCTION("""COMPUTED_VALUE"""),4194.4)</f>
        <v>4194.4</v>
      </c>
    </row>
    <row r="1514">
      <c r="A1514" s="2">
        <f>IFERROR(__xludf.DUMMYFUNCTION("""COMPUTED_VALUE"""),1000.0)</f>
        <v>1000</v>
      </c>
      <c r="B1514" s="2">
        <f>IFERROR(__xludf.DUMMYFUNCTION("""COMPUTED_VALUE"""),184549.0)</f>
        <v>184549</v>
      </c>
      <c r="C1514" s="2">
        <f>IFERROR(__xludf.DUMMYFUNCTION("""COMPUTED_VALUE"""),2026.0)</f>
        <v>2026</v>
      </c>
      <c r="D1514" s="2">
        <f>IFERROR(__xludf.DUMMYFUNCTION("""COMPUTED_VALUE"""),46066.0)</f>
        <v>46066</v>
      </c>
      <c r="E1514" s="2" t="str">
        <f>IFERROR(__xludf.DUMMYFUNCTION("""COMPUTED_VALUE"""),"VF")</f>
        <v>VF</v>
      </c>
      <c r="F1514" s="2">
        <f>IFERROR(__xludf.DUMMYFUNCTION("""COMPUTED_VALUE"""),2.0)</f>
        <v>2</v>
      </c>
      <c r="G1514" s="2" t="str">
        <f>IFERROR(__xludf.DUMMYFUNCTION("""COMPUTED_VALUE"""),"PR002")</f>
        <v>PR002</v>
      </c>
      <c r="H1514" s="2" t="str">
        <f>IFERROR(__xludf.DUMMYFUNCTION("""COMPUTED_VALUE"""),"VD030")</f>
        <v>VD030</v>
      </c>
      <c r="I1514" s="2">
        <f>IFERROR(__xludf.DUMMYFUNCTION("""COMPUTED_VALUE"""),16.0)</f>
        <v>16</v>
      </c>
      <c r="J1514" s="2">
        <f>IFERROR(__xludf.DUMMYFUNCTION("""COMPUTED_VALUE"""),1118.4)</f>
        <v>1118.4</v>
      </c>
      <c r="K1514" s="2">
        <f>IFERROR(__xludf.DUMMYFUNCTION("""COMPUTED_VALUE"""),1118.4)</f>
        <v>1118.4</v>
      </c>
    </row>
    <row r="1515">
      <c r="A1515" s="2">
        <f>IFERROR(__xludf.DUMMYFUNCTION("""COMPUTED_VALUE"""),1000.0)</f>
        <v>1000</v>
      </c>
      <c r="B1515" s="2">
        <f>IFERROR(__xludf.DUMMYFUNCTION("""COMPUTED_VALUE"""),184549.0)</f>
        <v>184549</v>
      </c>
      <c r="C1515" s="2">
        <f>IFERROR(__xludf.DUMMYFUNCTION("""COMPUTED_VALUE"""),2026.0)</f>
        <v>2026</v>
      </c>
      <c r="D1515" s="2">
        <f>IFERROR(__xludf.DUMMYFUNCTION("""COMPUTED_VALUE"""),46066.0)</f>
        <v>46066</v>
      </c>
      <c r="E1515" s="2" t="str">
        <f>IFERROR(__xludf.DUMMYFUNCTION("""COMPUTED_VALUE"""),"VF")</f>
        <v>VF</v>
      </c>
      <c r="F1515" s="2">
        <f>IFERROR(__xludf.DUMMYFUNCTION("""COMPUTED_VALUE"""),3.0)</f>
        <v>3</v>
      </c>
      <c r="G1515" s="2" t="str">
        <f>IFERROR(__xludf.DUMMYFUNCTION("""COMPUTED_VALUE"""),"PR028")</f>
        <v>PR028</v>
      </c>
      <c r="H1515" s="2" t="str">
        <f>IFERROR(__xludf.DUMMYFUNCTION("""COMPUTED_VALUE"""),"VD023")</f>
        <v>VD023</v>
      </c>
      <c r="I1515" s="2">
        <f>IFERROR(__xludf.DUMMYFUNCTION("""COMPUTED_VALUE"""),7.0)</f>
        <v>7</v>
      </c>
      <c r="J1515" s="2">
        <f>IFERROR(__xludf.DUMMYFUNCTION("""COMPUTED_VALUE"""),1819.27)</f>
        <v>1819.27</v>
      </c>
      <c r="K1515" s="2">
        <f>IFERROR(__xludf.DUMMYFUNCTION("""COMPUTED_VALUE"""),1819.27)</f>
        <v>1819.27</v>
      </c>
    </row>
    <row r="1516">
      <c r="A1516" s="2">
        <f>IFERROR(__xludf.DUMMYFUNCTION("""COMPUTED_VALUE"""),1000.0)</f>
        <v>1000</v>
      </c>
      <c r="B1516" s="2">
        <f>IFERROR(__xludf.DUMMYFUNCTION("""COMPUTED_VALUE"""),184550.0)</f>
        <v>184550</v>
      </c>
      <c r="C1516" s="2">
        <f>IFERROR(__xludf.DUMMYFUNCTION("""COMPUTED_VALUE"""),2026.0)</f>
        <v>2026</v>
      </c>
      <c r="D1516" s="2">
        <f>IFERROR(__xludf.DUMMYFUNCTION("""COMPUTED_VALUE"""),46066.0)</f>
        <v>46066</v>
      </c>
      <c r="E1516" s="2" t="str">
        <f>IFERROR(__xludf.DUMMYFUNCTION("""COMPUTED_VALUE"""),"VF")</f>
        <v>VF</v>
      </c>
      <c r="F1516" s="2">
        <f>IFERROR(__xludf.DUMMYFUNCTION("""COMPUTED_VALUE"""),1.0)</f>
        <v>1</v>
      </c>
      <c r="G1516" s="2" t="str">
        <f>IFERROR(__xludf.DUMMYFUNCTION("""COMPUTED_VALUE"""),"PR042")</f>
        <v>PR042</v>
      </c>
      <c r="H1516" s="2" t="str">
        <f>IFERROR(__xludf.DUMMYFUNCTION("""COMPUTED_VALUE"""),"VD042")</f>
        <v>VD042</v>
      </c>
      <c r="I1516" s="2">
        <f>IFERROR(__xludf.DUMMYFUNCTION("""COMPUTED_VALUE"""),3.0)</f>
        <v>3</v>
      </c>
      <c r="J1516" s="2">
        <f>IFERROR(__xludf.DUMMYFUNCTION("""COMPUTED_VALUE"""),179.52)</f>
        <v>179.52</v>
      </c>
      <c r="K1516" s="2">
        <f>IFERROR(__xludf.DUMMYFUNCTION("""COMPUTED_VALUE"""),179.52)</f>
        <v>179.52</v>
      </c>
    </row>
    <row r="1517">
      <c r="A1517" s="2">
        <f>IFERROR(__xludf.DUMMYFUNCTION("""COMPUTED_VALUE"""),1000.0)</f>
        <v>1000</v>
      </c>
      <c r="B1517" s="2">
        <f>IFERROR(__xludf.DUMMYFUNCTION("""COMPUTED_VALUE"""),184551.0)</f>
        <v>184551</v>
      </c>
      <c r="C1517" s="2">
        <f>IFERROR(__xludf.DUMMYFUNCTION("""COMPUTED_VALUE"""),2026.0)</f>
        <v>2026</v>
      </c>
      <c r="D1517" s="2">
        <f>IFERROR(__xludf.DUMMYFUNCTION("""COMPUTED_VALUE"""),46066.0)</f>
        <v>46066</v>
      </c>
      <c r="E1517" s="2" t="str">
        <f>IFERROR(__xludf.DUMMYFUNCTION("""COMPUTED_VALUE"""),"VF")</f>
        <v>VF</v>
      </c>
      <c r="F1517" s="2">
        <f>IFERROR(__xludf.DUMMYFUNCTION("""COMPUTED_VALUE"""),1.0)</f>
        <v>1</v>
      </c>
      <c r="G1517" s="2" t="str">
        <f>IFERROR(__xludf.DUMMYFUNCTION("""COMPUTED_VALUE"""),"PR016")</f>
        <v>PR016</v>
      </c>
      <c r="H1517" s="2" t="str">
        <f>IFERROR(__xludf.DUMMYFUNCTION("""COMPUTED_VALUE"""),"VD028")</f>
        <v>VD028</v>
      </c>
      <c r="I1517" s="2">
        <f>IFERROR(__xludf.DUMMYFUNCTION("""COMPUTED_VALUE"""),20.0)</f>
        <v>20</v>
      </c>
      <c r="J1517" s="2">
        <f>IFERROR(__xludf.DUMMYFUNCTION("""COMPUTED_VALUE"""),554.26)</f>
        <v>554.26</v>
      </c>
      <c r="K1517" s="2">
        <f>IFERROR(__xludf.DUMMYFUNCTION("""COMPUTED_VALUE"""),554.26)</f>
        <v>554.26</v>
      </c>
    </row>
    <row r="1518">
      <c r="A1518" s="2">
        <f>IFERROR(__xludf.DUMMYFUNCTION("""COMPUTED_VALUE"""),1000.0)</f>
        <v>1000</v>
      </c>
      <c r="B1518" s="2">
        <f>IFERROR(__xludf.DUMMYFUNCTION("""COMPUTED_VALUE"""),184551.0)</f>
        <v>184551</v>
      </c>
      <c r="C1518" s="2">
        <f>IFERROR(__xludf.DUMMYFUNCTION("""COMPUTED_VALUE"""),2026.0)</f>
        <v>2026</v>
      </c>
      <c r="D1518" s="2">
        <f>IFERROR(__xludf.DUMMYFUNCTION("""COMPUTED_VALUE"""),46066.0)</f>
        <v>46066</v>
      </c>
      <c r="E1518" s="2" t="str">
        <f>IFERROR(__xludf.DUMMYFUNCTION("""COMPUTED_VALUE"""),"VF")</f>
        <v>VF</v>
      </c>
      <c r="F1518" s="2">
        <f>IFERROR(__xludf.DUMMYFUNCTION("""COMPUTED_VALUE"""),2.0)</f>
        <v>2</v>
      </c>
      <c r="G1518" s="2" t="str">
        <f>IFERROR(__xludf.DUMMYFUNCTION("""COMPUTED_VALUE"""),"PR029")</f>
        <v>PR029</v>
      </c>
      <c r="H1518" s="2" t="str">
        <f>IFERROR(__xludf.DUMMYFUNCTION("""COMPUTED_VALUE"""),"VD032")</f>
        <v>VD032</v>
      </c>
      <c r="I1518" s="2">
        <f>IFERROR(__xludf.DUMMYFUNCTION("""COMPUTED_VALUE"""),14.0)</f>
        <v>14</v>
      </c>
      <c r="J1518" s="2">
        <f>IFERROR(__xludf.DUMMYFUNCTION("""COMPUTED_VALUE"""),3677.1)</f>
        <v>3677.1</v>
      </c>
      <c r="K1518" s="2">
        <f>IFERROR(__xludf.DUMMYFUNCTION("""COMPUTED_VALUE"""),3677.1)</f>
        <v>3677.1</v>
      </c>
    </row>
    <row r="1519">
      <c r="A1519" s="2">
        <f>IFERROR(__xludf.DUMMYFUNCTION("""COMPUTED_VALUE"""),1000.0)</f>
        <v>1000</v>
      </c>
      <c r="B1519" s="2">
        <f>IFERROR(__xludf.DUMMYFUNCTION("""COMPUTED_VALUE"""),184551.0)</f>
        <v>184551</v>
      </c>
      <c r="C1519" s="2">
        <f>IFERROR(__xludf.DUMMYFUNCTION("""COMPUTED_VALUE"""),2026.0)</f>
        <v>2026</v>
      </c>
      <c r="D1519" s="2">
        <f>IFERROR(__xludf.DUMMYFUNCTION("""COMPUTED_VALUE"""),46066.0)</f>
        <v>46066</v>
      </c>
      <c r="E1519" s="2" t="str">
        <f>IFERROR(__xludf.DUMMYFUNCTION("""COMPUTED_VALUE"""),"VF")</f>
        <v>VF</v>
      </c>
      <c r="F1519" s="2">
        <f>IFERROR(__xludf.DUMMYFUNCTION("""COMPUTED_VALUE"""),3.0)</f>
        <v>3</v>
      </c>
      <c r="G1519" s="2" t="str">
        <f>IFERROR(__xludf.DUMMYFUNCTION("""COMPUTED_VALUE"""),"PR005")</f>
        <v>PR005</v>
      </c>
      <c r="H1519" s="2" t="str">
        <f>IFERROR(__xludf.DUMMYFUNCTION("""COMPUTED_VALUE"""),"VD043")</f>
        <v>VD043</v>
      </c>
      <c r="I1519" s="2">
        <f>IFERROR(__xludf.DUMMYFUNCTION("""COMPUTED_VALUE"""),6.0)</f>
        <v>6</v>
      </c>
      <c r="J1519" s="2">
        <f>IFERROR(__xludf.DUMMYFUNCTION("""COMPUTED_VALUE"""),1590.59)</f>
        <v>1590.59</v>
      </c>
      <c r="K1519" s="2">
        <f>IFERROR(__xludf.DUMMYFUNCTION("""COMPUTED_VALUE"""),1590.59)</f>
        <v>1590.59</v>
      </c>
    </row>
    <row r="1520">
      <c r="A1520" s="2">
        <f>IFERROR(__xludf.DUMMYFUNCTION("""COMPUTED_VALUE"""),1000.0)</f>
        <v>1000</v>
      </c>
      <c r="B1520" s="2">
        <f>IFERROR(__xludf.DUMMYFUNCTION("""COMPUTED_VALUE"""),184552.0)</f>
        <v>184552</v>
      </c>
      <c r="C1520" s="2">
        <f>IFERROR(__xludf.DUMMYFUNCTION("""COMPUTED_VALUE"""),2026.0)</f>
        <v>2026</v>
      </c>
      <c r="D1520" s="2">
        <f>IFERROR(__xludf.DUMMYFUNCTION("""COMPUTED_VALUE"""),46066.0)</f>
        <v>46066</v>
      </c>
      <c r="E1520" s="2" t="str">
        <f>IFERROR(__xludf.DUMMYFUNCTION("""COMPUTED_VALUE"""),"VF")</f>
        <v>VF</v>
      </c>
      <c r="F1520" s="2">
        <f>IFERROR(__xludf.DUMMYFUNCTION("""COMPUTED_VALUE"""),1.0)</f>
        <v>1</v>
      </c>
      <c r="G1520" s="2" t="str">
        <f>IFERROR(__xludf.DUMMYFUNCTION("""COMPUTED_VALUE"""),"PR036")</f>
        <v>PR036</v>
      </c>
      <c r="H1520" s="2" t="str">
        <f>IFERROR(__xludf.DUMMYFUNCTION("""COMPUTED_VALUE"""),"VD016")</f>
        <v>VD016</v>
      </c>
      <c r="I1520" s="2">
        <f>IFERROR(__xludf.DUMMYFUNCTION("""COMPUTED_VALUE"""),9.0)</f>
        <v>9</v>
      </c>
      <c r="J1520" s="2">
        <f>IFERROR(__xludf.DUMMYFUNCTION("""COMPUTED_VALUE"""),866.75)</f>
        <v>866.75</v>
      </c>
      <c r="K1520" s="2">
        <f>IFERROR(__xludf.DUMMYFUNCTION("""COMPUTED_VALUE"""),866.75)</f>
        <v>866.75</v>
      </c>
    </row>
    <row r="1521">
      <c r="A1521" s="2">
        <f>IFERROR(__xludf.DUMMYFUNCTION("""COMPUTED_VALUE"""),1000.0)</f>
        <v>1000</v>
      </c>
      <c r="B1521" s="2">
        <f>IFERROR(__xludf.DUMMYFUNCTION("""COMPUTED_VALUE"""),184552.0)</f>
        <v>184552</v>
      </c>
      <c r="C1521" s="2">
        <f>IFERROR(__xludf.DUMMYFUNCTION("""COMPUTED_VALUE"""),2026.0)</f>
        <v>2026</v>
      </c>
      <c r="D1521" s="2">
        <f>IFERROR(__xludf.DUMMYFUNCTION("""COMPUTED_VALUE"""),46065.0)</f>
        <v>46065</v>
      </c>
      <c r="E1521" s="2" t="str">
        <f>IFERROR(__xludf.DUMMYFUNCTION("""COMPUTED_VALUE"""),"VF")</f>
        <v>VF</v>
      </c>
      <c r="F1521" s="2">
        <f>IFERROR(__xludf.DUMMYFUNCTION("""COMPUTED_VALUE"""),2.0)</f>
        <v>2</v>
      </c>
      <c r="G1521" s="2" t="str">
        <f>IFERROR(__xludf.DUMMYFUNCTION("""COMPUTED_VALUE"""),"PR011")</f>
        <v>PR011</v>
      </c>
      <c r="H1521" s="2" t="str">
        <f>IFERROR(__xludf.DUMMYFUNCTION("""COMPUTED_VALUE"""),"VD024")</f>
        <v>VD024</v>
      </c>
      <c r="I1521" s="2">
        <f>IFERROR(__xludf.DUMMYFUNCTION("""COMPUTED_VALUE"""),8.0)</f>
        <v>8</v>
      </c>
      <c r="J1521" s="2">
        <f>IFERROR(__xludf.DUMMYFUNCTION("""COMPUTED_VALUE"""),390.21)</f>
        <v>390.21</v>
      </c>
      <c r="K1521" s="2">
        <f>IFERROR(__xludf.DUMMYFUNCTION("""COMPUTED_VALUE"""),390.21)</f>
        <v>390.21</v>
      </c>
    </row>
    <row r="1522">
      <c r="A1522" s="2">
        <f>IFERROR(__xludf.DUMMYFUNCTION("""COMPUTED_VALUE"""),1000.0)</f>
        <v>1000</v>
      </c>
      <c r="B1522" s="2">
        <f>IFERROR(__xludf.DUMMYFUNCTION("""COMPUTED_VALUE"""),184553.0)</f>
        <v>184553</v>
      </c>
      <c r="C1522" s="2">
        <f>IFERROR(__xludf.DUMMYFUNCTION("""COMPUTED_VALUE"""),2026.0)</f>
        <v>2026</v>
      </c>
      <c r="D1522" s="2">
        <f>IFERROR(__xludf.DUMMYFUNCTION("""COMPUTED_VALUE"""),46065.0)</f>
        <v>46065</v>
      </c>
      <c r="E1522" s="2" t="str">
        <f>IFERROR(__xludf.DUMMYFUNCTION("""COMPUTED_VALUE"""),"VF")</f>
        <v>VF</v>
      </c>
      <c r="F1522" s="2">
        <f>IFERROR(__xludf.DUMMYFUNCTION("""COMPUTED_VALUE"""),1.0)</f>
        <v>1</v>
      </c>
      <c r="G1522" s="2" t="str">
        <f>IFERROR(__xludf.DUMMYFUNCTION("""COMPUTED_VALUE"""),"PR042")</f>
        <v>PR042</v>
      </c>
      <c r="H1522" s="2" t="str">
        <f>IFERROR(__xludf.DUMMYFUNCTION("""COMPUTED_VALUE"""),"VD029")</f>
        <v>VD029</v>
      </c>
      <c r="I1522" s="2">
        <f>IFERROR(__xludf.DUMMYFUNCTION("""COMPUTED_VALUE"""),7.0)</f>
        <v>7</v>
      </c>
      <c r="J1522" s="2">
        <f>IFERROR(__xludf.DUMMYFUNCTION("""COMPUTED_VALUE"""),391.99)</f>
        <v>391.99</v>
      </c>
      <c r="K1522" s="2">
        <f>IFERROR(__xludf.DUMMYFUNCTION("""COMPUTED_VALUE"""),391.99)</f>
        <v>391.99</v>
      </c>
    </row>
    <row r="1523">
      <c r="A1523" s="2">
        <f>IFERROR(__xludf.DUMMYFUNCTION("""COMPUTED_VALUE"""),1000.0)</f>
        <v>1000</v>
      </c>
      <c r="B1523" s="2">
        <f>IFERROR(__xludf.DUMMYFUNCTION("""COMPUTED_VALUE"""),184554.0)</f>
        <v>184554</v>
      </c>
      <c r="C1523" s="2">
        <f>IFERROR(__xludf.DUMMYFUNCTION("""COMPUTED_VALUE"""),2026.0)</f>
        <v>2026</v>
      </c>
      <c r="D1523" s="2">
        <f>IFERROR(__xludf.DUMMYFUNCTION("""COMPUTED_VALUE"""),46065.0)</f>
        <v>46065</v>
      </c>
      <c r="E1523" s="2" t="str">
        <f>IFERROR(__xludf.DUMMYFUNCTION("""COMPUTED_VALUE"""),"VF")</f>
        <v>VF</v>
      </c>
      <c r="F1523" s="2">
        <f>IFERROR(__xludf.DUMMYFUNCTION("""COMPUTED_VALUE"""),1.0)</f>
        <v>1</v>
      </c>
      <c r="G1523" s="2" t="str">
        <f>IFERROR(__xludf.DUMMYFUNCTION("""COMPUTED_VALUE"""),"PR024")</f>
        <v>PR024</v>
      </c>
      <c r="H1523" s="2" t="str">
        <f>IFERROR(__xludf.DUMMYFUNCTION("""COMPUTED_VALUE"""),"VD036")</f>
        <v>VD036</v>
      </c>
      <c r="I1523" s="2">
        <f>IFERROR(__xludf.DUMMYFUNCTION("""COMPUTED_VALUE"""),5.0)</f>
        <v>5</v>
      </c>
      <c r="J1523" s="2">
        <f>IFERROR(__xludf.DUMMYFUNCTION("""COMPUTED_VALUE"""),1377.47)</f>
        <v>1377.47</v>
      </c>
      <c r="K1523" s="2">
        <f>IFERROR(__xludf.DUMMYFUNCTION("""COMPUTED_VALUE"""),1377.47)</f>
        <v>1377.47</v>
      </c>
    </row>
    <row r="1524">
      <c r="A1524" s="2">
        <f>IFERROR(__xludf.DUMMYFUNCTION("""COMPUTED_VALUE"""),1000.0)</f>
        <v>1000</v>
      </c>
      <c r="B1524" s="2">
        <f>IFERROR(__xludf.DUMMYFUNCTION("""COMPUTED_VALUE"""),184554.0)</f>
        <v>184554</v>
      </c>
      <c r="C1524" s="2">
        <f>IFERROR(__xludf.DUMMYFUNCTION("""COMPUTED_VALUE"""),2026.0)</f>
        <v>2026</v>
      </c>
      <c r="D1524" s="2">
        <f>IFERROR(__xludf.DUMMYFUNCTION("""COMPUTED_VALUE"""),46065.0)</f>
        <v>46065</v>
      </c>
      <c r="E1524" s="2" t="str">
        <f>IFERROR(__xludf.DUMMYFUNCTION("""COMPUTED_VALUE"""),"VF")</f>
        <v>VF</v>
      </c>
      <c r="F1524" s="2">
        <f>IFERROR(__xludf.DUMMYFUNCTION("""COMPUTED_VALUE"""),2.0)</f>
        <v>2</v>
      </c>
      <c r="G1524" s="2" t="str">
        <f>IFERROR(__xludf.DUMMYFUNCTION("""COMPUTED_VALUE"""),"PR055")</f>
        <v>PR055</v>
      </c>
      <c r="H1524" s="2" t="str">
        <f>IFERROR(__xludf.DUMMYFUNCTION("""COMPUTED_VALUE"""),"VD042")</f>
        <v>VD042</v>
      </c>
      <c r="I1524" s="2">
        <f>IFERROR(__xludf.DUMMYFUNCTION("""COMPUTED_VALUE"""),10.0)</f>
        <v>10</v>
      </c>
      <c r="J1524" s="2">
        <f>IFERROR(__xludf.DUMMYFUNCTION("""COMPUTED_VALUE"""),899.0)</f>
        <v>899</v>
      </c>
      <c r="K1524" s="2">
        <f>IFERROR(__xludf.DUMMYFUNCTION("""COMPUTED_VALUE"""),899.0)</f>
        <v>899</v>
      </c>
    </row>
    <row r="1525">
      <c r="A1525" s="2">
        <f>IFERROR(__xludf.DUMMYFUNCTION("""COMPUTED_VALUE"""),1000.0)</f>
        <v>1000</v>
      </c>
      <c r="B1525" s="2">
        <f>IFERROR(__xludf.DUMMYFUNCTION("""COMPUTED_VALUE"""),184554.0)</f>
        <v>184554</v>
      </c>
      <c r="C1525" s="2">
        <f>IFERROR(__xludf.DUMMYFUNCTION("""COMPUTED_VALUE"""),2026.0)</f>
        <v>2026</v>
      </c>
      <c r="D1525" s="2">
        <f>IFERROR(__xludf.DUMMYFUNCTION("""COMPUTED_VALUE"""),46065.0)</f>
        <v>46065</v>
      </c>
      <c r="E1525" s="2" t="str">
        <f>IFERROR(__xludf.DUMMYFUNCTION("""COMPUTED_VALUE"""),"VF")</f>
        <v>VF</v>
      </c>
      <c r="F1525" s="2">
        <f>IFERROR(__xludf.DUMMYFUNCTION("""COMPUTED_VALUE"""),3.0)</f>
        <v>3</v>
      </c>
      <c r="G1525" s="2" t="str">
        <f>IFERROR(__xludf.DUMMYFUNCTION("""COMPUTED_VALUE"""),"PR031")</f>
        <v>PR031</v>
      </c>
      <c r="H1525" s="2" t="str">
        <f>IFERROR(__xludf.DUMMYFUNCTION("""COMPUTED_VALUE"""),"VD039")</f>
        <v>VD039</v>
      </c>
      <c r="I1525" s="2">
        <f>IFERROR(__xludf.DUMMYFUNCTION("""COMPUTED_VALUE"""),7.0)</f>
        <v>7</v>
      </c>
      <c r="J1525" s="2">
        <f>IFERROR(__xludf.DUMMYFUNCTION("""COMPUTED_VALUE"""),1835.05)</f>
        <v>1835.05</v>
      </c>
      <c r="K1525" s="2">
        <f>IFERROR(__xludf.DUMMYFUNCTION("""COMPUTED_VALUE"""),1835.05)</f>
        <v>1835.05</v>
      </c>
    </row>
    <row r="1526">
      <c r="A1526" s="2">
        <f>IFERROR(__xludf.DUMMYFUNCTION("""COMPUTED_VALUE"""),1000.0)</f>
        <v>1000</v>
      </c>
      <c r="B1526" s="2">
        <f>IFERROR(__xludf.DUMMYFUNCTION("""COMPUTED_VALUE"""),184554.0)</f>
        <v>184554</v>
      </c>
      <c r="C1526" s="2">
        <f>IFERROR(__xludf.DUMMYFUNCTION("""COMPUTED_VALUE"""),2026.0)</f>
        <v>2026</v>
      </c>
      <c r="D1526" s="2">
        <f>IFERROR(__xludf.DUMMYFUNCTION("""COMPUTED_VALUE"""),46065.0)</f>
        <v>46065</v>
      </c>
      <c r="E1526" s="2" t="str">
        <f>IFERROR(__xludf.DUMMYFUNCTION("""COMPUTED_VALUE"""),"VF")</f>
        <v>VF</v>
      </c>
      <c r="F1526" s="2">
        <f>IFERROR(__xludf.DUMMYFUNCTION("""COMPUTED_VALUE"""),4.0)</f>
        <v>4</v>
      </c>
      <c r="G1526" s="2" t="str">
        <f>IFERROR(__xludf.DUMMYFUNCTION("""COMPUTED_VALUE"""),"PR051")</f>
        <v>PR051</v>
      </c>
      <c r="H1526" s="2" t="str">
        <f>IFERROR(__xludf.DUMMYFUNCTION("""COMPUTED_VALUE"""),"VD011")</f>
        <v>VD011</v>
      </c>
      <c r="I1526" s="2">
        <f>IFERROR(__xludf.DUMMYFUNCTION("""COMPUTED_VALUE"""),4.0)</f>
        <v>4</v>
      </c>
      <c r="J1526" s="2">
        <f>IFERROR(__xludf.DUMMYFUNCTION("""COMPUTED_VALUE"""),131.6)</f>
        <v>131.6</v>
      </c>
      <c r="K1526" s="2">
        <f>IFERROR(__xludf.DUMMYFUNCTION("""COMPUTED_VALUE"""),131.6)</f>
        <v>131.6</v>
      </c>
    </row>
    <row r="1527">
      <c r="A1527" s="2">
        <f>IFERROR(__xludf.DUMMYFUNCTION("""COMPUTED_VALUE"""),1000.0)</f>
        <v>1000</v>
      </c>
      <c r="B1527" s="2">
        <f>IFERROR(__xludf.DUMMYFUNCTION("""COMPUTED_VALUE"""),184555.0)</f>
        <v>184555</v>
      </c>
      <c r="C1527" s="2">
        <f>IFERROR(__xludf.DUMMYFUNCTION("""COMPUTED_VALUE"""),2026.0)</f>
        <v>2026</v>
      </c>
      <c r="D1527" s="2">
        <f>IFERROR(__xludf.DUMMYFUNCTION("""COMPUTED_VALUE"""),46065.0)</f>
        <v>46065</v>
      </c>
      <c r="E1527" s="2" t="str">
        <f>IFERROR(__xludf.DUMMYFUNCTION("""COMPUTED_VALUE"""),"VF")</f>
        <v>VF</v>
      </c>
      <c r="F1527" s="2">
        <f>IFERROR(__xludf.DUMMYFUNCTION("""COMPUTED_VALUE"""),1.0)</f>
        <v>1</v>
      </c>
      <c r="G1527" s="2" t="str">
        <f>IFERROR(__xludf.DUMMYFUNCTION("""COMPUTED_VALUE"""),"PR007")</f>
        <v>PR007</v>
      </c>
      <c r="H1527" s="2" t="str">
        <f>IFERROR(__xludf.DUMMYFUNCTION("""COMPUTED_VALUE"""),"VD021")</f>
        <v>VD021</v>
      </c>
      <c r="I1527" s="2">
        <f>IFERROR(__xludf.DUMMYFUNCTION("""COMPUTED_VALUE"""),2.0)</f>
        <v>2</v>
      </c>
      <c r="J1527" s="2">
        <f>IFERROR(__xludf.DUMMYFUNCTION("""COMPUTED_VALUE"""),171.8)</f>
        <v>171.8</v>
      </c>
      <c r="K1527" s="2">
        <f>IFERROR(__xludf.DUMMYFUNCTION("""COMPUTED_VALUE"""),171.8)</f>
        <v>171.8</v>
      </c>
    </row>
    <row r="1528">
      <c r="A1528" s="2">
        <f>IFERROR(__xludf.DUMMYFUNCTION("""COMPUTED_VALUE"""),1000.0)</f>
        <v>1000</v>
      </c>
      <c r="B1528" s="2">
        <f>IFERROR(__xludf.DUMMYFUNCTION("""COMPUTED_VALUE"""),184556.0)</f>
        <v>184556</v>
      </c>
      <c r="C1528" s="2">
        <f>IFERROR(__xludf.DUMMYFUNCTION("""COMPUTED_VALUE"""),2026.0)</f>
        <v>2026</v>
      </c>
      <c r="D1528" s="2">
        <f>IFERROR(__xludf.DUMMYFUNCTION("""COMPUTED_VALUE"""),46064.0)</f>
        <v>46064</v>
      </c>
      <c r="E1528" s="2" t="str">
        <f>IFERROR(__xludf.DUMMYFUNCTION("""COMPUTED_VALUE"""),"VF")</f>
        <v>VF</v>
      </c>
      <c r="F1528" s="2">
        <f>IFERROR(__xludf.DUMMYFUNCTION("""COMPUTED_VALUE"""),1.0)</f>
        <v>1</v>
      </c>
      <c r="G1528" s="2" t="str">
        <f>IFERROR(__xludf.DUMMYFUNCTION("""COMPUTED_VALUE"""),"PR018")</f>
        <v>PR018</v>
      </c>
      <c r="H1528" s="2" t="str">
        <f>IFERROR(__xludf.DUMMYFUNCTION("""COMPUTED_VALUE"""),"VD016")</f>
        <v>VD016</v>
      </c>
      <c r="I1528" s="2">
        <f>IFERROR(__xludf.DUMMYFUNCTION("""COMPUTED_VALUE"""),8.0)</f>
        <v>8</v>
      </c>
      <c r="J1528" s="2">
        <f>IFERROR(__xludf.DUMMYFUNCTION("""COMPUTED_VALUE"""),286.89)</f>
        <v>286.89</v>
      </c>
      <c r="K1528" s="2">
        <f>IFERROR(__xludf.DUMMYFUNCTION("""COMPUTED_VALUE"""),286.89)</f>
        <v>286.89</v>
      </c>
    </row>
    <row r="1529">
      <c r="A1529" s="2">
        <f>IFERROR(__xludf.DUMMYFUNCTION("""COMPUTED_VALUE"""),1000.0)</f>
        <v>1000</v>
      </c>
      <c r="B1529" s="2">
        <f>IFERROR(__xludf.DUMMYFUNCTION("""COMPUTED_VALUE"""),184557.0)</f>
        <v>184557</v>
      </c>
      <c r="C1529" s="2">
        <f>IFERROR(__xludf.DUMMYFUNCTION("""COMPUTED_VALUE"""),2026.0)</f>
        <v>2026</v>
      </c>
      <c r="D1529" s="2">
        <f>IFERROR(__xludf.DUMMYFUNCTION("""COMPUTED_VALUE"""),46064.0)</f>
        <v>46064</v>
      </c>
      <c r="E1529" s="2" t="str">
        <f>IFERROR(__xludf.DUMMYFUNCTION("""COMPUTED_VALUE"""),"VF")</f>
        <v>VF</v>
      </c>
      <c r="F1529" s="2">
        <f>IFERROR(__xludf.DUMMYFUNCTION("""COMPUTED_VALUE"""),1.0)</f>
        <v>1</v>
      </c>
      <c r="G1529" s="2" t="str">
        <f>IFERROR(__xludf.DUMMYFUNCTION("""COMPUTED_VALUE"""),"PR014")</f>
        <v>PR014</v>
      </c>
      <c r="H1529" s="2" t="str">
        <f>IFERROR(__xludf.DUMMYFUNCTION("""COMPUTED_VALUE"""),"VD045")</f>
        <v>VD045</v>
      </c>
      <c r="I1529" s="2">
        <f>IFERROR(__xludf.DUMMYFUNCTION("""COMPUTED_VALUE"""),3.0)</f>
        <v>3</v>
      </c>
      <c r="J1529" s="2">
        <f>IFERROR(__xludf.DUMMYFUNCTION("""COMPUTED_VALUE"""),129.28)</f>
        <v>129.28</v>
      </c>
      <c r="K1529" s="2">
        <f>IFERROR(__xludf.DUMMYFUNCTION("""COMPUTED_VALUE"""),129.28)</f>
        <v>129.28</v>
      </c>
    </row>
    <row r="1530">
      <c r="A1530" s="2">
        <f>IFERROR(__xludf.DUMMYFUNCTION("""COMPUTED_VALUE"""),1000.0)</f>
        <v>1000</v>
      </c>
      <c r="B1530" s="2">
        <f>IFERROR(__xludf.DUMMYFUNCTION("""COMPUTED_VALUE"""),184558.0)</f>
        <v>184558</v>
      </c>
      <c r="C1530" s="2">
        <f>IFERROR(__xludf.DUMMYFUNCTION("""COMPUTED_VALUE"""),2026.0)</f>
        <v>2026</v>
      </c>
      <c r="D1530" s="2">
        <f>IFERROR(__xludf.DUMMYFUNCTION("""COMPUTED_VALUE"""),46064.0)</f>
        <v>46064</v>
      </c>
      <c r="E1530" s="2" t="str">
        <f>IFERROR(__xludf.DUMMYFUNCTION("""COMPUTED_VALUE"""),"VF")</f>
        <v>VF</v>
      </c>
      <c r="F1530" s="2">
        <f>IFERROR(__xludf.DUMMYFUNCTION("""COMPUTED_VALUE"""),1.0)</f>
        <v>1</v>
      </c>
      <c r="G1530" s="2" t="str">
        <f>IFERROR(__xludf.DUMMYFUNCTION("""COMPUTED_VALUE"""),"PR024")</f>
        <v>PR024</v>
      </c>
      <c r="H1530" s="2" t="str">
        <f>IFERROR(__xludf.DUMMYFUNCTION("""COMPUTED_VALUE"""),"VD041")</f>
        <v>VD041</v>
      </c>
      <c r="I1530" s="2">
        <f>IFERROR(__xludf.DUMMYFUNCTION("""COMPUTED_VALUE"""),10.0)</f>
        <v>10</v>
      </c>
      <c r="J1530" s="2">
        <f>IFERROR(__xludf.DUMMYFUNCTION("""COMPUTED_VALUE"""),2754.94)</f>
        <v>2754.94</v>
      </c>
      <c r="K1530" s="2">
        <f>IFERROR(__xludf.DUMMYFUNCTION("""COMPUTED_VALUE"""),2754.94)</f>
        <v>2754.94</v>
      </c>
    </row>
    <row r="1531">
      <c r="A1531" s="2">
        <f>IFERROR(__xludf.DUMMYFUNCTION("""COMPUTED_VALUE"""),1000.0)</f>
        <v>1000</v>
      </c>
      <c r="B1531" s="2">
        <f>IFERROR(__xludf.DUMMYFUNCTION("""COMPUTED_VALUE"""),184558.0)</f>
        <v>184558</v>
      </c>
      <c r="C1531" s="2">
        <f>IFERROR(__xludf.DUMMYFUNCTION("""COMPUTED_VALUE"""),2026.0)</f>
        <v>2026</v>
      </c>
      <c r="D1531" s="2">
        <f>IFERROR(__xludf.DUMMYFUNCTION("""COMPUTED_VALUE"""),46064.0)</f>
        <v>46064</v>
      </c>
      <c r="E1531" s="2" t="str">
        <f>IFERROR(__xludf.DUMMYFUNCTION("""COMPUTED_VALUE"""),"VF")</f>
        <v>VF</v>
      </c>
      <c r="F1531" s="2">
        <f>IFERROR(__xludf.DUMMYFUNCTION("""COMPUTED_VALUE"""),2.0)</f>
        <v>2</v>
      </c>
      <c r="G1531" s="2" t="str">
        <f>IFERROR(__xludf.DUMMYFUNCTION("""COMPUTED_VALUE"""),"PR031")</f>
        <v>PR031</v>
      </c>
      <c r="H1531" s="2" t="str">
        <f>IFERROR(__xludf.DUMMYFUNCTION("""COMPUTED_VALUE"""),"VD049")</f>
        <v>VD049</v>
      </c>
      <c r="I1531" s="2">
        <f>IFERROR(__xludf.DUMMYFUNCTION("""COMPUTED_VALUE"""),10.0)</f>
        <v>10</v>
      </c>
      <c r="J1531" s="2">
        <f>IFERROR(__xludf.DUMMYFUNCTION("""COMPUTED_VALUE"""),2646.0)</f>
        <v>2646</v>
      </c>
      <c r="K1531" s="2">
        <f>IFERROR(__xludf.DUMMYFUNCTION("""COMPUTED_VALUE"""),2646.0)</f>
        <v>2646</v>
      </c>
    </row>
    <row r="1532">
      <c r="A1532" s="2">
        <f>IFERROR(__xludf.DUMMYFUNCTION("""COMPUTED_VALUE"""),1000.0)</f>
        <v>1000</v>
      </c>
      <c r="B1532" s="2">
        <f>IFERROR(__xludf.DUMMYFUNCTION("""COMPUTED_VALUE"""),184559.0)</f>
        <v>184559</v>
      </c>
      <c r="C1532" s="2">
        <f>IFERROR(__xludf.DUMMYFUNCTION("""COMPUTED_VALUE"""),2026.0)</f>
        <v>2026</v>
      </c>
      <c r="D1532" s="2">
        <f>IFERROR(__xludf.DUMMYFUNCTION("""COMPUTED_VALUE"""),46063.0)</f>
        <v>46063</v>
      </c>
      <c r="E1532" s="2" t="str">
        <f>IFERROR(__xludf.DUMMYFUNCTION("""COMPUTED_VALUE"""),"VF")</f>
        <v>VF</v>
      </c>
      <c r="F1532" s="2">
        <f>IFERROR(__xludf.DUMMYFUNCTION("""COMPUTED_VALUE"""),1.0)</f>
        <v>1</v>
      </c>
      <c r="G1532" s="2" t="str">
        <f>IFERROR(__xludf.DUMMYFUNCTION("""COMPUTED_VALUE"""),"PR021")</f>
        <v>PR021</v>
      </c>
      <c r="H1532" s="2" t="str">
        <f>IFERROR(__xludf.DUMMYFUNCTION("""COMPUTED_VALUE"""),"VD021")</f>
        <v>VD021</v>
      </c>
      <c r="I1532" s="2">
        <f>IFERROR(__xludf.DUMMYFUNCTION("""COMPUTED_VALUE"""),2.0)</f>
        <v>2</v>
      </c>
      <c r="J1532" s="2">
        <f>IFERROR(__xludf.DUMMYFUNCTION("""COMPUTED_VALUE"""),623.97)</f>
        <v>623.97</v>
      </c>
      <c r="K1532" s="2">
        <f>IFERROR(__xludf.DUMMYFUNCTION("""COMPUTED_VALUE"""),623.97)</f>
        <v>623.97</v>
      </c>
    </row>
    <row r="1533">
      <c r="A1533" s="2">
        <f>IFERROR(__xludf.DUMMYFUNCTION("""COMPUTED_VALUE"""),2000.0)</f>
        <v>2000</v>
      </c>
      <c r="B1533" s="2">
        <f>IFERROR(__xludf.DUMMYFUNCTION("""COMPUTED_VALUE"""),184559.0)</f>
        <v>184559</v>
      </c>
      <c r="C1533" s="2">
        <f>IFERROR(__xludf.DUMMYFUNCTION("""COMPUTED_VALUE"""),2026.0)</f>
        <v>2026</v>
      </c>
      <c r="D1533" s="2">
        <f>IFERROR(__xludf.DUMMYFUNCTION("""COMPUTED_VALUE"""),46063.0)</f>
        <v>46063</v>
      </c>
      <c r="E1533" s="2" t="str">
        <f>IFERROR(__xludf.DUMMYFUNCTION("""COMPUTED_VALUE"""),"VF")</f>
        <v>VF</v>
      </c>
      <c r="F1533" s="2">
        <f>IFERROR(__xludf.DUMMYFUNCTION("""COMPUTED_VALUE"""),2.0)</f>
        <v>2</v>
      </c>
      <c r="G1533" s="2" t="str">
        <f>IFERROR(__xludf.DUMMYFUNCTION("""COMPUTED_VALUE"""),"PR012")</f>
        <v>PR012</v>
      </c>
      <c r="H1533" s="2" t="str">
        <f>IFERROR(__xludf.DUMMYFUNCTION("""COMPUTED_VALUE"""),"VD046")</f>
        <v>VD046</v>
      </c>
      <c r="I1533" s="2">
        <f>IFERROR(__xludf.DUMMYFUNCTION("""COMPUTED_VALUE"""),4.0)</f>
        <v>4</v>
      </c>
      <c r="J1533" s="2">
        <f>IFERROR(__xludf.DUMMYFUNCTION("""COMPUTED_VALUE"""),215.16)</f>
        <v>215.16</v>
      </c>
      <c r="K1533" s="2">
        <f>IFERROR(__xludf.DUMMYFUNCTION("""COMPUTED_VALUE"""),215.16)</f>
        <v>215.16</v>
      </c>
    </row>
    <row r="1534">
      <c r="A1534" s="2">
        <f>IFERROR(__xludf.DUMMYFUNCTION("""COMPUTED_VALUE"""),1000.0)</f>
        <v>1000</v>
      </c>
      <c r="B1534" s="2">
        <f>IFERROR(__xludf.DUMMYFUNCTION("""COMPUTED_VALUE"""),184559.0)</f>
        <v>184559</v>
      </c>
      <c r="C1534" s="2">
        <f>IFERROR(__xludf.DUMMYFUNCTION("""COMPUTED_VALUE"""),2026.0)</f>
        <v>2026</v>
      </c>
      <c r="D1534" s="2">
        <f>IFERROR(__xludf.DUMMYFUNCTION("""COMPUTED_VALUE"""),46062.0)</f>
        <v>46062</v>
      </c>
      <c r="E1534" s="2" t="str">
        <f>IFERROR(__xludf.DUMMYFUNCTION("""COMPUTED_VALUE"""),"VF")</f>
        <v>VF</v>
      </c>
      <c r="F1534" s="2">
        <f>IFERROR(__xludf.DUMMYFUNCTION("""COMPUTED_VALUE"""),3.0)</f>
        <v>3</v>
      </c>
      <c r="G1534" s="2" t="str">
        <f>IFERROR(__xludf.DUMMYFUNCTION("""COMPUTED_VALUE"""),"PR037")</f>
        <v>PR037</v>
      </c>
      <c r="H1534" s="2" t="str">
        <f>IFERROR(__xludf.DUMMYFUNCTION("""COMPUTED_VALUE"""),"VD027")</f>
        <v>VD027</v>
      </c>
      <c r="I1534" s="2">
        <f>IFERROR(__xludf.DUMMYFUNCTION("""COMPUTED_VALUE"""),10.0)</f>
        <v>10</v>
      </c>
      <c r="J1534" s="2">
        <f>IFERROR(__xludf.DUMMYFUNCTION("""COMPUTED_VALUE"""),1442.0)</f>
        <v>1442</v>
      </c>
      <c r="K1534" s="2">
        <f>IFERROR(__xludf.DUMMYFUNCTION("""COMPUTED_VALUE"""),1442.0)</f>
        <v>1442</v>
      </c>
    </row>
    <row r="1535">
      <c r="A1535" s="2">
        <f>IFERROR(__xludf.DUMMYFUNCTION("""COMPUTED_VALUE"""),1000.0)</f>
        <v>1000</v>
      </c>
      <c r="B1535" s="2">
        <f>IFERROR(__xludf.DUMMYFUNCTION("""COMPUTED_VALUE"""),184559.0)</f>
        <v>184559</v>
      </c>
      <c r="C1535" s="2">
        <f>IFERROR(__xludf.DUMMYFUNCTION("""COMPUTED_VALUE"""),2026.0)</f>
        <v>2026</v>
      </c>
      <c r="D1535" s="2">
        <f>IFERROR(__xludf.DUMMYFUNCTION("""COMPUTED_VALUE"""),46062.0)</f>
        <v>46062</v>
      </c>
      <c r="E1535" s="2" t="str">
        <f>IFERROR(__xludf.DUMMYFUNCTION("""COMPUTED_VALUE"""),"VF")</f>
        <v>VF</v>
      </c>
      <c r="F1535" s="2">
        <f>IFERROR(__xludf.DUMMYFUNCTION("""COMPUTED_VALUE"""),4.0)</f>
        <v>4</v>
      </c>
      <c r="G1535" s="2" t="str">
        <f>IFERROR(__xludf.DUMMYFUNCTION("""COMPUTED_VALUE"""),"PR051")</f>
        <v>PR051</v>
      </c>
      <c r="H1535" s="2" t="str">
        <f>IFERROR(__xludf.DUMMYFUNCTION("""COMPUTED_VALUE"""),"VD017")</f>
        <v>VD017</v>
      </c>
      <c r="I1535" s="2">
        <f>IFERROR(__xludf.DUMMYFUNCTION("""COMPUTED_VALUE"""),8.0)</f>
        <v>8</v>
      </c>
      <c r="J1535" s="2">
        <f>IFERROR(__xludf.DUMMYFUNCTION("""COMPUTED_VALUE"""),276.36)</f>
        <v>276.36</v>
      </c>
      <c r="K1535" s="2">
        <f>IFERROR(__xludf.DUMMYFUNCTION("""COMPUTED_VALUE"""),276.36)</f>
        <v>276.36</v>
      </c>
    </row>
    <row r="1536">
      <c r="A1536" s="2">
        <f>IFERROR(__xludf.DUMMYFUNCTION("""COMPUTED_VALUE"""),1000.0)</f>
        <v>1000</v>
      </c>
      <c r="B1536" s="2">
        <f>IFERROR(__xludf.DUMMYFUNCTION("""COMPUTED_VALUE"""),184560.0)</f>
        <v>184560</v>
      </c>
      <c r="C1536" s="2">
        <f>IFERROR(__xludf.DUMMYFUNCTION("""COMPUTED_VALUE"""),2026.0)</f>
        <v>2026</v>
      </c>
      <c r="D1536" s="2">
        <f>IFERROR(__xludf.DUMMYFUNCTION("""COMPUTED_VALUE"""),46062.0)</f>
        <v>46062</v>
      </c>
      <c r="E1536" s="2" t="str">
        <f>IFERROR(__xludf.DUMMYFUNCTION("""COMPUTED_VALUE"""),"VF")</f>
        <v>VF</v>
      </c>
      <c r="F1536" s="2">
        <f>IFERROR(__xludf.DUMMYFUNCTION("""COMPUTED_VALUE"""),1.0)</f>
        <v>1</v>
      </c>
      <c r="G1536" s="2" t="str">
        <f>IFERROR(__xludf.DUMMYFUNCTION("""COMPUTED_VALUE"""),"PR016")</f>
        <v>PR016</v>
      </c>
      <c r="H1536" s="2" t="str">
        <f>IFERROR(__xludf.DUMMYFUNCTION("""COMPUTED_VALUE"""),"VD033")</f>
        <v>VD033</v>
      </c>
      <c r="I1536" s="2">
        <f>IFERROR(__xludf.DUMMYFUNCTION("""COMPUTED_VALUE"""),14.0)</f>
        <v>14</v>
      </c>
      <c r="J1536" s="2">
        <f>IFERROR(__xludf.DUMMYFUNCTION("""COMPUTED_VALUE"""),362.6)</f>
        <v>362.6</v>
      </c>
      <c r="K1536" s="2">
        <f>IFERROR(__xludf.DUMMYFUNCTION("""COMPUTED_VALUE"""),362.6)</f>
        <v>362.6</v>
      </c>
    </row>
    <row r="1537">
      <c r="A1537" s="2">
        <f>IFERROR(__xludf.DUMMYFUNCTION("""COMPUTED_VALUE"""),1000.0)</f>
        <v>1000</v>
      </c>
      <c r="B1537" s="2">
        <f>IFERROR(__xludf.DUMMYFUNCTION("""COMPUTED_VALUE"""),184560.0)</f>
        <v>184560</v>
      </c>
      <c r="C1537" s="2">
        <f>IFERROR(__xludf.DUMMYFUNCTION("""COMPUTED_VALUE"""),2026.0)</f>
        <v>2026</v>
      </c>
      <c r="D1537" s="2">
        <f>IFERROR(__xludf.DUMMYFUNCTION("""COMPUTED_VALUE"""),46062.0)</f>
        <v>46062</v>
      </c>
      <c r="E1537" s="2" t="str">
        <f>IFERROR(__xludf.DUMMYFUNCTION("""COMPUTED_VALUE"""),"VF")</f>
        <v>VF</v>
      </c>
      <c r="F1537" s="2">
        <f>IFERROR(__xludf.DUMMYFUNCTION("""COMPUTED_VALUE"""),2.0)</f>
        <v>2</v>
      </c>
      <c r="G1537" s="2" t="str">
        <f>IFERROR(__xludf.DUMMYFUNCTION("""COMPUTED_VALUE"""),"PR019")</f>
        <v>PR019</v>
      </c>
      <c r="H1537" s="2" t="str">
        <f>IFERROR(__xludf.DUMMYFUNCTION("""COMPUTED_VALUE"""),"VD031")</f>
        <v>VD031</v>
      </c>
      <c r="I1537" s="2">
        <f>IFERROR(__xludf.DUMMYFUNCTION("""COMPUTED_VALUE"""),20.0)</f>
        <v>20</v>
      </c>
      <c r="J1537" s="2">
        <f>IFERROR(__xludf.DUMMYFUNCTION("""COMPUTED_VALUE"""),1097.8)</f>
        <v>1097.8</v>
      </c>
      <c r="K1537" s="2">
        <f>IFERROR(__xludf.DUMMYFUNCTION("""COMPUTED_VALUE"""),1097.8)</f>
        <v>1097.8</v>
      </c>
    </row>
    <row r="1538">
      <c r="A1538" s="2">
        <f>IFERROR(__xludf.DUMMYFUNCTION("""COMPUTED_VALUE"""),1000.0)</f>
        <v>1000</v>
      </c>
      <c r="B1538" s="2">
        <f>IFERROR(__xludf.DUMMYFUNCTION("""COMPUTED_VALUE"""),184560.0)</f>
        <v>184560</v>
      </c>
      <c r="C1538" s="2">
        <f>IFERROR(__xludf.DUMMYFUNCTION("""COMPUTED_VALUE"""),2026.0)</f>
        <v>2026</v>
      </c>
      <c r="D1538" s="2">
        <f>IFERROR(__xludf.DUMMYFUNCTION("""COMPUTED_VALUE"""),46061.0)</f>
        <v>46061</v>
      </c>
      <c r="E1538" s="2" t="str">
        <f>IFERROR(__xludf.DUMMYFUNCTION("""COMPUTED_VALUE"""),"VF")</f>
        <v>VF</v>
      </c>
      <c r="F1538" s="2">
        <f>IFERROR(__xludf.DUMMYFUNCTION("""COMPUTED_VALUE"""),3.0)</f>
        <v>3</v>
      </c>
      <c r="G1538" s="2" t="str">
        <f>IFERROR(__xludf.DUMMYFUNCTION("""COMPUTED_VALUE"""),"PR018")</f>
        <v>PR018</v>
      </c>
      <c r="H1538" s="2" t="str">
        <f>IFERROR(__xludf.DUMMYFUNCTION("""COMPUTED_VALUE"""),"VD029")</f>
        <v>VD029</v>
      </c>
      <c r="I1538" s="2">
        <f>IFERROR(__xludf.DUMMYFUNCTION("""COMPUTED_VALUE"""),6.0)</f>
        <v>6</v>
      </c>
      <c r="J1538" s="2">
        <f>IFERROR(__xludf.DUMMYFUNCTION("""COMPUTED_VALUE"""),217.14)</f>
        <v>217.14</v>
      </c>
      <c r="K1538" s="2">
        <f>IFERROR(__xludf.DUMMYFUNCTION("""COMPUTED_VALUE"""),217.14)</f>
        <v>217.14</v>
      </c>
    </row>
    <row r="1539">
      <c r="A1539" s="2">
        <f>IFERROR(__xludf.DUMMYFUNCTION("""COMPUTED_VALUE"""),1000.0)</f>
        <v>1000</v>
      </c>
      <c r="B1539" s="2">
        <f>IFERROR(__xludf.DUMMYFUNCTION("""COMPUTED_VALUE"""),184560.0)</f>
        <v>184560</v>
      </c>
      <c r="C1539" s="2">
        <f>IFERROR(__xludf.DUMMYFUNCTION("""COMPUTED_VALUE"""),2026.0)</f>
        <v>2026</v>
      </c>
      <c r="D1539" s="2">
        <f>IFERROR(__xludf.DUMMYFUNCTION("""COMPUTED_VALUE"""),46061.0)</f>
        <v>46061</v>
      </c>
      <c r="E1539" s="2" t="str">
        <f>IFERROR(__xludf.DUMMYFUNCTION("""COMPUTED_VALUE"""),"VF")</f>
        <v>VF</v>
      </c>
      <c r="F1539" s="2">
        <f>IFERROR(__xludf.DUMMYFUNCTION("""COMPUTED_VALUE"""),4.0)</f>
        <v>4</v>
      </c>
      <c r="G1539" s="2" t="str">
        <f>IFERROR(__xludf.DUMMYFUNCTION("""COMPUTED_VALUE"""),"PR045")</f>
        <v>PR045</v>
      </c>
      <c r="H1539" s="2" t="str">
        <f>IFERROR(__xludf.DUMMYFUNCTION("""COMPUTED_VALUE"""),"VD021")</f>
        <v>VD021</v>
      </c>
      <c r="I1539" s="2">
        <f>IFERROR(__xludf.DUMMYFUNCTION("""COMPUTED_VALUE"""),20.0)</f>
        <v>20</v>
      </c>
      <c r="J1539" s="2">
        <f>IFERROR(__xludf.DUMMYFUNCTION("""COMPUTED_VALUE"""),1479.0)</f>
        <v>1479</v>
      </c>
      <c r="K1539" s="2">
        <f>IFERROR(__xludf.DUMMYFUNCTION("""COMPUTED_VALUE"""),1479.0)</f>
        <v>1479</v>
      </c>
    </row>
    <row r="1540">
      <c r="A1540" s="2">
        <f>IFERROR(__xludf.DUMMYFUNCTION("""COMPUTED_VALUE"""),1000.0)</f>
        <v>1000</v>
      </c>
      <c r="B1540" s="2">
        <f>IFERROR(__xludf.DUMMYFUNCTION("""COMPUTED_VALUE"""),184561.0)</f>
        <v>184561</v>
      </c>
      <c r="C1540" s="2">
        <f>IFERROR(__xludf.DUMMYFUNCTION("""COMPUTED_VALUE"""),2026.0)</f>
        <v>2026</v>
      </c>
      <c r="D1540" s="2">
        <f>IFERROR(__xludf.DUMMYFUNCTION("""COMPUTED_VALUE"""),46061.0)</f>
        <v>46061</v>
      </c>
      <c r="E1540" s="2" t="str">
        <f>IFERROR(__xludf.DUMMYFUNCTION("""COMPUTED_VALUE"""),"VF")</f>
        <v>VF</v>
      </c>
      <c r="F1540" s="2">
        <f>IFERROR(__xludf.DUMMYFUNCTION("""COMPUTED_VALUE"""),1.0)</f>
        <v>1</v>
      </c>
      <c r="G1540" s="2" t="str">
        <f>IFERROR(__xludf.DUMMYFUNCTION("""COMPUTED_VALUE"""),"PR020")</f>
        <v>PR020</v>
      </c>
      <c r="H1540" s="2" t="str">
        <f>IFERROR(__xludf.DUMMYFUNCTION("""COMPUTED_VALUE"""),"VD013")</f>
        <v>VD013</v>
      </c>
      <c r="I1540" s="2">
        <f>IFERROR(__xludf.DUMMYFUNCTION("""COMPUTED_VALUE"""),12.0)</f>
        <v>12</v>
      </c>
      <c r="J1540" s="2">
        <f>IFERROR(__xludf.DUMMYFUNCTION("""COMPUTED_VALUE"""),3598.8)</f>
        <v>3598.8</v>
      </c>
      <c r="K1540" s="2">
        <f>IFERROR(__xludf.DUMMYFUNCTION("""COMPUTED_VALUE"""),3598.8)</f>
        <v>3598.8</v>
      </c>
    </row>
    <row r="1541">
      <c r="A1541" s="2">
        <f>IFERROR(__xludf.DUMMYFUNCTION("""COMPUTED_VALUE"""),1000.0)</f>
        <v>1000</v>
      </c>
      <c r="B1541" s="2">
        <f>IFERROR(__xludf.DUMMYFUNCTION("""COMPUTED_VALUE"""),184562.0)</f>
        <v>184562</v>
      </c>
      <c r="C1541" s="2">
        <f>IFERROR(__xludf.DUMMYFUNCTION("""COMPUTED_VALUE"""),2026.0)</f>
        <v>2026</v>
      </c>
      <c r="D1541" s="2">
        <f>IFERROR(__xludf.DUMMYFUNCTION("""COMPUTED_VALUE"""),46061.0)</f>
        <v>46061</v>
      </c>
      <c r="E1541" s="2" t="str">
        <f>IFERROR(__xludf.DUMMYFUNCTION("""COMPUTED_VALUE"""),"VF")</f>
        <v>VF</v>
      </c>
      <c r="F1541" s="2">
        <f>IFERROR(__xludf.DUMMYFUNCTION("""COMPUTED_VALUE"""),1.0)</f>
        <v>1</v>
      </c>
      <c r="G1541" s="2" t="str">
        <f>IFERROR(__xludf.DUMMYFUNCTION("""COMPUTED_VALUE"""),"PR049")</f>
        <v>PR049</v>
      </c>
      <c r="H1541" s="2" t="str">
        <f>IFERROR(__xludf.DUMMYFUNCTION("""COMPUTED_VALUE"""),"VD022")</f>
        <v>VD022</v>
      </c>
      <c r="I1541" s="2">
        <f>IFERROR(__xludf.DUMMYFUNCTION("""COMPUTED_VALUE"""),14.0)</f>
        <v>14</v>
      </c>
      <c r="J1541" s="2">
        <f>IFERROR(__xludf.DUMMYFUNCTION("""COMPUTED_VALUE"""),483.63)</f>
        <v>483.63</v>
      </c>
      <c r="K1541" s="2">
        <f>IFERROR(__xludf.DUMMYFUNCTION("""COMPUTED_VALUE"""),483.63)</f>
        <v>483.63</v>
      </c>
    </row>
    <row r="1542">
      <c r="A1542" s="2">
        <f>IFERROR(__xludf.DUMMYFUNCTION("""COMPUTED_VALUE"""),1000.0)</f>
        <v>1000</v>
      </c>
      <c r="B1542" s="2">
        <f>IFERROR(__xludf.DUMMYFUNCTION("""COMPUTED_VALUE"""),184563.0)</f>
        <v>184563</v>
      </c>
      <c r="C1542" s="2">
        <f>IFERROR(__xludf.DUMMYFUNCTION("""COMPUTED_VALUE"""),2026.0)</f>
        <v>2026</v>
      </c>
      <c r="D1542" s="2">
        <f>IFERROR(__xludf.DUMMYFUNCTION("""COMPUTED_VALUE"""),46061.0)</f>
        <v>46061</v>
      </c>
      <c r="E1542" s="2" t="str">
        <f>IFERROR(__xludf.DUMMYFUNCTION("""COMPUTED_VALUE"""),"VF")</f>
        <v>VF</v>
      </c>
      <c r="F1542" s="2">
        <f>IFERROR(__xludf.DUMMYFUNCTION("""COMPUTED_VALUE"""),1.0)</f>
        <v>1</v>
      </c>
      <c r="G1542" s="2" t="str">
        <f>IFERROR(__xludf.DUMMYFUNCTION("""COMPUTED_VALUE"""),"PR048")</f>
        <v>PR048</v>
      </c>
      <c r="H1542" s="2" t="str">
        <f>IFERROR(__xludf.DUMMYFUNCTION("""COMPUTED_VALUE"""),"VD026")</f>
        <v>VD026</v>
      </c>
      <c r="I1542" s="2">
        <f>IFERROR(__xludf.DUMMYFUNCTION("""COMPUTED_VALUE"""),1.0)</f>
        <v>1</v>
      </c>
      <c r="J1542" s="2">
        <f>IFERROR(__xludf.DUMMYFUNCTION("""COMPUTED_VALUE"""),304.4)</f>
        <v>304.4</v>
      </c>
      <c r="K1542" s="2">
        <f>IFERROR(__xludf.DUMMYFUNCTION("""COMPUTED_VALUE"""),304.4)</f>
        <v>304.4</v>
      </c>
    </row>
    <row r="1543">
      <c r="A1543" s="2">
        <f>IFERROR(__xludf.DUMMYFUNCTION("""COMPUTED_VALUE"""),2000.0)</f>
        <v>2000</v>
      </c>
      <c r="B1543" s="2">
        <f>IFERROR(__xludf.DUMMYFUNCTION("""COMPUTED_VALUE"""),184564.0)</f>
        <v>184564</v>
      </c>
      <c r="C1543" s="2">
        <f>IFERROR(__xludf.DUMMYFUNCTION("""COMPUTED_VALUE"""),2026.0)</f>
        <v>2026</v>
      </c>
      <c r="D1543" s="2">
        <f>IFERROR(__xludf.DUMMYFUNCTION("""COMPUTED_VALUE"""),46061.0)</f>
        <v>46061</v>
      </c>
      <c r="E1543" s="2" t="str">
        <f>IFERROR(__xludf.DUMMYFUNCTION("""COMPUTED_VALUE"""),"VF")</f>
        <v>VF</v>
      </c>
      <c r="F1543" s="2">
        <f>IFERROR(__xludf.DUMMYFUNCTION("""COMPUTED_VALUE"""),1.0)</f>
        <v>1</v>
      </c>
      <c r="G1543" s="2" t="str">
        <f>IFERROR(__xludf.DUMMYFUNCTION("""COMPUTED_VALUE"""),"PR060")</f>
        <v>PR060</v>
      </c>
      <c r="H1543" s="2" t="str">
        <f>IFERROR(__xludf.DUMMYFUNCTION("""COMPUTED_VALUE"""),"VD033")</f>
        <v>VD033</v>
      </c>
      <c r="I1543" s="2">
        <f>IFERROR(__xludf.DUMMYFUNCTION("""COMPUTED_VALUE"""),8.0)</f>
        <v>8</v>
      </c>
      <c r="J1543" s="2">
        <f>IFERROR(__xludf.DUMMYFUNCTION("""COMPUTED_VALUE"""),1526.4)</f>
        <v>1526.4</v>
      </c>
      <c r="K1543" s="2">
        <f>IFERROR(__xludf.DUMMYFUNCTION("""COMPUTED_VALUE"""),1526.4)</f>
        <v>1526.4</v>
      </c>
    </row>
    <row r="1544">
      <c r="A1544" s="2">
        <f>IFERROR(__xludf.DUMMYFUNCTION("""COMPUTED_VALUE"""),1000.0)</f>
        <v>1000</v>
      </c>
      <c r="B1544" s="2">
        <f>IFERROR(__xludf.DUMMYFUNCTION("""COMPUTED_VALUE"""),184565.0)</f>
        <v>184565</v>
      </c>
      <c r="C1544" s="2">
        <f>IFERROR(__xludf.DUMMYFUNCTION("""COMPUTED_VALUE"""),2026.0)</f>
        <v>2026</v>
      </c>
      <c r="D1544" s="2">
        <f>IFERROR(__xludf.DUMMYFUNCTION("""COMPUTED_VALUE"""),46061.0)</f>
        <v>46061</v>
      </c>
      <c r="E1544" s="2" t="str">
        <f>IFERROR(__xludf.DUMMYFUNCTION("""COMPUTED_VALUE"""),"VF")</f>
        <v>VF</v>
      </c>
      <c r="F1544" s="2">
        <f>IFERROR(__xludf.DUMMYFUNCTION("""COMPUTED_VALUE"""),1.0)</f>
        <v>1</v>
      </c>
      <c r="G1544" s="2" t="str">
        <f>IFERROR(__xludf.DUMMYFUNCTION("""COMPUTED_VALUE"""),"PR021")</f>
        <v>PR021</v>
      </c>
      <c r="H1544" s="2" t="str">
        <f>IFERROR(__xludf.DUMMYFUNCTION("""COMPUTED_VALUE"""),"VD016")</f>
        <v>VD016</v>
      </c>
      <c r="I1544" s="2">
        <f>IFERROR(__xludf.DUMMYFUNCTION("""COMPUTED_VALUE"""),18.0)</f>
        <v>18</v>
      </c>
      <c r="J1544" s="2">
        <f>IFERROR(__xludf.DUMMYFUNCTION("""COMPUTED_VALUE"""),5561.24)</f>
        <v>5561.24</v>
      </c>
      <c r="K1544" s="2">
        <f>IFERROR(__xludf.DUMMYFUNCTION("""COMPUTED_VALUE"""),5561.24)</f>
        <v>5561.24</v>
      </c>
    </row>
    <row r="1545">
      <c r="A1545" s="2">
        <f>IFERROR(__xludf.DUMMYFUNCTION("""COMPUTED_VALUE"""),1000.0)</f>
        <v>1000</v>
      </c>
      <c r="B1545" s="2">
        <f>IFERROR(__xludf.DUMMYFUNCTION("""COMPUTED_VALUE"""),184566.0)</f>
        <v>184566</v>
      </c>
      <c r="C1545" s="2">
        <f>IFERROR(__xludf.DUMMYFUNCTION("""COMPUTED_VALUE"""),2026.0)</f>
        <v>2026</v>
      </c>
      <c r="D1545" s="2">
        <f>IFERROR(__xludf.DUMMYFUNCTION("""COMPUTED_VALUE"""),46061.0)</f>
        <v>46061</v>
      </c>
      <c r="E1545" s="2" t="str">
        <f>IFERROR(__xludf.DUMMYFUNCTION("""COMPUTED_VALUE"""),"VF")</f>
        <v>VF</v>
      </c>
      <c r="F1545" s="2">
        <f>IFERROR(__xludf.DUMMYFUNCTION("""COMPUTED_VALUE"""),1.0)</f>
        <v>1</v>
      </c>
      <c r="G1545" s="2" t="str">
        <f>IFERROR(__xludf.DUMMYFUNCTION("""COMPUTED_VALUE"""),"PR035")</f>
        <v>PR035</v>
      </c>
      <c r="H1545" s="2" t="str">
        <f>IFERROR(__xludf.DUMMYFUNCTION("""COMPUTED_VALUE"""),"VD049")</f>
        <v>VD049</v>
      </c>
      <c r="I1545" s="2">
        <f>IFERROR(__xludf.DUMMYFUNCTION("""COMPUTED_VALUE"""),16.0)</f>
        <v>16</v>
      </c>
      <c r="J1545" s="2">
        <f>IFERROR(__xludf.DUMMYFUNCTION("""COMPUTED_VALUE"""),1564.77)</f>
        <v>1564.77</v>
      </c>
      <c r="K1545" s="2">
        <f>IFERROR(__xludf.DUMMYFUNCTION("""COMPUTED_VALUE"""),1564.77)</f>
        <v>1564.77</v>
      </c>
    </row>
    <row r="1546">
      <c r="A1546" s="2">
        <f>IFERROR(__xludf.DUMMYFUNCTION("""COMPUTED_VALUE"""),1000.0)</f>
        <v>1000</v>
      </c>
      <c r="B1546" s="2">
        <f>IFERROR(__xludf.DUMMYFUNCTION("""COMPUTED_VALUE"""),184567.0)</f>
        <v>184567</v>
      </c>
      <c r="C1546" s="2">
        <f>IFERROR(__xludf.DUMMYFUNCTION("""COMPUTED_VALUE"""),2026.0)</f>
        <v>2026</v>
      </c>
      <c r="D1546" s="2">
        <f>IFERROR(__xludf.DUMMYFUNCTION("""COMPUTED_VALUE"""),46061.0)</f>
        <v>46061</v>
      </c>
      <c r="E1546" s="2" t="str">
        <f>IFERROR(__xludf.DUMMYFUNCTION("""COMPUTED_VALUE"""),"VF")</f>
        <v>VF</v>
      </c>
      <c r="F1546" s="2">
        <f>IFERROR(__xludf.DUMMYFUNCTION("""COMPUTED_VALUE"""),1.0)</f>
        <v>1</v>
      </c>
      <c r="G1546" s="2" t="str">
        <f>IFERROR(__xludf.DUMMYFUNCTION("""COMPUTED_VALUE"""),"PR012")</f>
        <v>PR012</v>
      </c>
      <c r="H1546" s="2" t="str">
        <f>IFERROR(__xludf.DUMMYFUNCTION("""COMPUTED_VALUE"""),"VD036")</f>
        <v>VD036</v>
      </c>
      <c r="I1546" s="2">
        <f>IFERROR(__xludf.DUMMYFUNCTION("""COMPUTED_VALUE"""),2.0)</f>
        <v>2</v>
      </c>
      <c r="J1546" s="2">
        <f>IFERROR(__xludf.DUMMYFUNCTION("""COMPUTED_VALUE"""),98.78)</f>
        <v>98.78</v>
      </c>
      <c r="K1546" s="2">
        <f>IFERROR(__xludf.DUMMYFUNCTION("""COMPUTED_VALUE"""),98.78)</f>
        <v>98.78</v>
      </c>
    </row>
    <row r="1547">
      <c r="A1547" s="2">
        <f>IFERROR(__xludf.DUMMYFUNCTION("""COMPUTED_VALUE"""),1000.0)</f>
        <v>1000</v>
      </c>
      <c r="B1547" s="2">
        <f>IFERROR(__xludf.DUMMYFUNCTION("""COMPUTED_VALUE"""),184567.0)</f>
        <v>184567</v>
      </c>
      <c r="C1547" s="2">
        <f>IFERROR(__xludf.DUMMYFUNCTION("""COMPUTED_VALUE"""),2026.0)</f>
        <v>2026</v>
      </c>
      <c r="D1547" s="2">
        <f>IFERROR(__xludf.DUMMYFUNCTION("""COMPUTED_VALUE"""),46060.0)</f>
        <v>46060</v>
      </c>
      <c r="E1547" s="2" t="str">
        <f>IFERROR(__xludf.DUMMYFUNCTION("""COMPUTED_VALUE"""),"VF")</f>
        <v>VF</v>
      </c>
      <c r="F1547" s="2">
        <f>IFERROR(__xludf.DUMMYFUNCTION("""COMPUTED_VALUE"""),2.0)</f>
        <v>2</v>
      </c>
      <c r="G1547" s="2" t="str">
        <f>IFERROR(__xludf.DUMMYFUNCTION("""COMPUTED_VALUE"""),"PR018")</f>
        <v>PR018</v>
      </c>
      <c r="H1547" s="2" t="str">
        <f>IFERROR(__xludf.DUMMYFUNCTION("""COMPUTED_VALUE"""),"VD046")</f>
        <v>VD046</v>
      </c>
      <c r="I1547" s="2">
        <f>IFERROR(__xludf.DUMMYFUNCTION("""COMPUTED_VALUE"""),2.0)</f>
        <v>2</v>
      </c>
      <c r="J1547" s="2">
        <f>IFERROR(__xludf.DUMMYFUNCTION("""COMPUTED_VALUE"""),66.46)</f>
        <v>66.46</v>
      </c>
      <c r="K1547" s="2">
        <f>IFERROR(__xludf.DUMMYFUNCTION("""COMPUTED_VALUE"""),66.46)</f>
        <v>66.46</v>
      </c>
    </row>
    <row r="1548">
      <c r="A1548" s="2">
        <f>IFERROR(__xludf.DUMMYFUNCTION("""COMPUTED_VALUE"""),1000.0)</f>
        <v>1000</v>
      </c>
      <c r="B1548" s="2">
        <f>IFERROR(__xludf.DUMMYFUNCTION("""COMPUTED_VALUE"""),184568.0)</f>
        <v>184568</v>
      </c>
      <c r="C1548" s="2">
        <f>IFERROR(__xludf.DUMMYFUNCTION("""COMPUTED_VALUE"""),2026.0)</f>
        <v>2026</v>
      </c>
      <c r="D1548" s="2">
        <f>IFERROR(__xludf.DUMMYFUNCTION("""COMPUTED_VALUE"""),46060.0)</f>
        <v>46060</v>
      </c>
      <c r="E1548" s="2" t="str">
        <f>IFERROR(__xludf.DUMMYFUNCTION("""COMPUTED_VALUE"""),"VF")</f>
        <v>VF</v>
      </c>
      <c r="F1548" s="2">
        <f>IFERROR(__xludf.DUMMYFUNCTION("""COMPUTED_VALUE"""),1.0)</f>
        <v>1</v>
      </c>
      <c r="G1548" s="2" t="str">
        <f>IFERROR(__xludf.DUMMYFUNCTION("""COMPUTED_VALUE"""),"PR057")</f>
        <v>PR057</v>
      </c>
      <c r="H1548" s="2" t="str">
        <f>IFERROR(__xludf.DUMMYFUNCTION("""COMPUTED_VALUE"""),"VD042")</f>
        <v>VD042</v>
      </c>
      <c r="I1548" s="2">
        <f>IFERROR(__xludf.DUMMYFUNCTION("""COMPUTED_VALUE"""),6.0)</f>
        <v>6</v>
      </c>
      <c r="J1548" s="2">
        <f>IFERROR(__xludf.DUMMYFUNCTION("""COMPUTED_VALUE"""),577.16)</f>
        <v>577.16</v>
      </c>
      <c r="K1548" s="2">
        <f>IFERROR(__xludf.DUMMYFUNCTION("""COMPUTED_VALUE"""),577.16)</f>
        <v>577.16</v>
      </c>
    </row>
    <row r="1549">
      <c r="A1549" s="2">
        <f>IFERROR(__xludf.DUMMYFUNCTION("""COMPUTED_VALUE"""),1000.0)</f>
        <v>1000</v>
      </c>
      <c r="B1549" s="2">
        <f>IFERROR(__xludf.DUMMYFUNCTION("""COMPUTED_VALUE"""),184569.0)</f>
        <v>184569</v>
      </c>
      <c r="C1549" s="2">
        <f>IFERROR(__xludf.DUMMYFUNCTION("""COMPUTED_VALUE"""),2026.0)</f>
        <v>2026</v>
      </c>
      <c r="D1549" s="2">
        <f>IFERROR(__xludf.DUMMYFUNCTION("""COMPUTED_VALUE"""),46060.0)</f>
        <v>46060</v>
      </c>
      <c r="E1549" s="2" t="str">
        <f>IFERROR(__xludf.DUMMYFUNCTION("""COMPUTED_VALUE"""),"VF")</f>
        <v>VF</v>
      </c>
      <c r="F1549" s="2">
        <f>IFERROR(__xludf.DUMMYFUNCTION("""COMPUTED_VALUE"""),1.0)</f>
        <v>1</v>
      </c>
      <c r="G1549" s="2" t="str">
        <f>IFERROR(__xludf.DUMMYFUNCTION("""COMPUTED_VALUE"""),"PR018")</f>
        <v>PR018</v>
      </c>
      <c r="H1549" s="2" t="str">
        <f>IFERROR(__xludf.DUMMYFUNCTION("""COMPUTED_VALUE"""),"VD046")</f>
        <v>VD046</v>
      </c>
      <c r="I1549" s="2">
        <f>IFERROR(__xludf.DUMMYFUNCTION("""COMPUTED_VALUE"""),2.0)</f>
        <v>2</v>
      </c>
      <c r="J1549" s="2">
        <f>IFERROR(__xludf.DUMMYFUNCTION("""COMPUTED_VALUE"""),71.06)</f>
        <v>71.06</v>
      </c>
      <c r="K1549" s="2">
        <f>IFERROR(__xludf.DUMMYFUNCTION("""COMPUTED_VALUE"""),71.06)</f>
        <v>71.06</v>
      </c>
    </row>
    <row r="1550">
      <c r="A1550" s="2">
        <f>IFERROR(__xludf.DUMMYFUNCTION("""COMPUTED_VALUE"""),1000.0)</f>
        <v>1000</v>
      </c>
      <c r="B1550" s="2">
        <f>IFERROR(__xludf.DUMMYFUNCTION("""COMPUTED_VALUE"""),184569.0)</f>
        <v>184569</v>
      </c>
      <c r="C1550" s="2">
        <f>IFERROR(__xludf.DUMMYFUNCTION("""COMPUTED_VALUE"""),2026.0)</f>
        <v>2026</v>
      </c>
      <c r="D1550" s="2">
        <f>IFERROR(__xludf.DUMMYFUNCTION("""COMPUTED_VALUE"""),46060.0)</f>
        <v>46060</v>
      </c>
      <c r="E1550" s="2" t="str">
        <f>IFERROR(__xludf.DUMMYFUNCTION("""COMPUTED_VALUE"""),"VF")</f>
        <v>VF</v>
      </c>
      <c r="F1550" s="2">
        <f>IFERROR(__xludf.DUMMYFUNCTION("""COMPUTED_VALUE"""),2.0)</f>
        <v>2</v>
      </c>
      <c r="G1550" s="2" t="str">
        <f>IFERROR(__xludf.DUMMYFUNCTION("""COMPUTED_VALUE"""),"PR053")</f>
        <v>PR053</v>
      </c>
      <c r="H1550" s="2" t="str">
        <f>IFERROR(__xludf.DUMMYFUNCTION("""COMPUTED_VALUE"""),"VD039")</f>
        <v>VD039</v>
      </c>
      <c r="I1550" s="2">
        <f>IFERROR(__xludf.DUMMYFUNCTION("""COMPUTED_VALUE"""),14.0)</f>
        <v>14</v>
      </c>
      <c r="J1550" s="2">
        <f>IFERROR(__xludf.DUMMYFUNCTION("""COMPUTED_VALUE"""),761.47)</f>
        <v>761.47</v>
      </c>
      <c r="K1550" s="2">
        <f>IFERROR(__xludf.DUMMYFUNCTION("""COMPUTED_VALUE"""),761.47)</f>
        <v>761.47</v>
      </c>
    </row>
    <row r="1551">
      <c r="A1551" s="2">
        <f>IFERROR(__xludf.DUMMYFUNCTION("""COMPUTED_VALUE"""),1000.0)</f>
        <v>1000</v>
      </c>
      <c r="B1551" s="2">
        <f>IFERROR(__xludf.DUMMYFUNCTION("""COMPUTED_VALUE"""),184570.0)</f>
        <v>184570</v>
      </c>
      <c r="C1551" s="2">
        <f>IFERROR(__xludf.DUMMYFUNCTION("""COMPUTED_VALUE"""),2026.0)</f>
        <v>2026</v>
      </c>
      <c r="D1551" s="2">
        <f>IFERROR(__xludf.DUMMYFUNCTION("""COMPUTED_VALUE"""),46060.0)</f>
        <v>46060</v>
      </c>
      <c r="E1551" s="2" t="str">
        <f>IFERROR(__xludf.DUMMYFUNCTION("""COMPUTED_VALUE"""),"VF")</f>
        <v>VF</v>
      </c>
      <c r="F1551" s="2">
        <f>IFERROR(__xludf.DUMMYFUNCTION("""COMPUTED_VALUE"""),1.0)</f>
        <v>1</v>
      </c>
      <c r="G1551" s="2" t="str">
        <f>IFERROR(__xludf.DUMMYFUNCTION("""COMPUTED_VALUE"""),"PR053")</f>
        <v>PR053</v>
      </c>
      <c r="H1551" s="2" t="str">
        <f>IFERROR(__xludf.DUMMYFUNCTION("""COMPUTED_VALUE"""),"VD029")</f>
        <v>VD029</v>
      </c>
      <c r="I1551" s="2">
        <f>IFERROR(__xludf.DUMMYFUNCTION("""COMPUTED_VALUE"""),9.0)</f>
        <v>9</v>
      </c>
      <c r="J1551" s="2">
        <f>IFERROR(__xludf.DUMMYFUNCTION("""COMPUTED_VALUE"""),480.54)</f>
        <v>480.54</v>
      </c>
      <c r="K1551" s="2">
        <f>IFERROR(__xludf.DUMMYFUNCTION("""COMPUTED_VALUE"""),480.54)</f>
        <v>480.54</v>
      </c>
    </row>
    <row r="1552">
      <c r="A1552" s="2">
        <f>IFERROR(__xludf.DUMMYFUNCTION("""COMPUTED_VALUE"""),1000.0)</f>
        <v>1000</v>
      </c>
      <c r="B1552" s="2">
        <f>IFERROR(__xludf.DUMMYFUNCTION("""COMPUTED_VALUE"""),184571.0)</f>
        <v>184571</v>
      </c>
      <c r="C1552" s="2">
        <f>IFERROR(__xludf.DUMMYFUNCTION("""COMPUTED_VALUE"""),2026.0)</f>
        <v>2026</v>
      </c>
      <c r="D1552" s="2">
        <f>IFERROR(__xludf.DUMMYFUNCTION("""COMPUTED_VALUE"""),46060.0)</f>
        <v>46060</v>
      </c>
      <c r="E1552" s="2" t="str">
        <f>IFERROR(__xludf.DUMMYFUNCTION("""COMPUTED_VALUE"""),"VF")</f>
        <v>VF</v>
      </c>
      <c r="F1552" s="2">
        <f>IFERROR(__xludf.DUMMYFUNCTION("""COMPUTED_VALUE"""),1.0)</f>
        <v>1</v>
      </c>
      <c r="G1552" s="2" t="str">
        <f>IFERROR(__xludf.DUMMYFUNCTION("""COMPUTED_VALUE"""),"PR004")</f>
        <v>PR004</v>
      </c>
      <c r="H1552" s="2" t="str">
        <f>IFERROR(__xludf.DUMMYFUNCTION("""COMPUTED_VALUE"""),"VD049")</f>
        <v>VD049</v>
      </c>
      <c r="I1552" s="2">
        <f>IFERROR(__xludf.DUMMYFUNCTION("""COMPUTED_VALUE"""),2.0)</f>
        <v>2</v>
      </c>
      <c r="J1552" s="2">
        <f>IFERROR(__xludf.DUMMYFUNCTION("""COMPUTED_VALUE"""),307.4)</f>
        <v>307.4</v>
      </c>
      <c r="K1552" s="2">
        <f>IFERROR(__xludf.DUMMYFUNCTION("""COMPUTED_VALUE"""),307.4)</f>
        <v>307.4</v>
      </c>
    </row>
    <row r="1553">
      <c r="A1553" s="2">
        <f>IFERROR(__xludf.DUMMYFUNCTION("""COMPUTED_VALUE"""),2000.0)</f>
        <v>2000</v>
      </c>
      <c r="B1553" s="2">
        <f>IFERROR(__xludf.DUMMYFUNCTION("""COMPUTED_VALUE"""),184571.0)</f>
        <v>184571</v>
      </c>
      <c r="C1553" s="2">
        <f>IFERROR(__xludf.DUMMYFUNCTION("""COMPUTED_VALUE"""),2026.0)</f>
        <v>2026</v>
      </c>
      <c r="D1553" s="2">
        <f>IFERROR(__xludf.DUMMYFUNCTION("""COMPUTED_VALUE"""),46060.0)</f>
        <v>46060</v>
      </c>
      <c r="E1553" s="2" t="str">
        <f>IFERROR(__xludf.DUMMYFUNCTION("""COMPUTED_VALUE"""),"VF")</f>
        <v>VF</v>
      </c>
      <c r="F1553" s="2">
        <f>IFERROR(__xludf.DUMMYFUNCTION("""COMPUTED_VALUE"""),2.0)</f>
        <v>2</v>
      </c>
      <c r="G1553" s="2" t="str">
        <f>IFERROR(__xludf.DUMMYFUNCTION("""COMPUTED_VALUE"""),"PR005")</f>
        <v>PR005</v>
      </c>
      <c r="H1553" s="2" t="str">
        <f>IFERROR(__xludf.DUMMYFUNCTION("""COMPUTED_VALUE"""),"VD036")</f>
        <v>VD036</v>
      </c>
      <c r="I1553" s="2">
        <f>IFERROR(__xludf.DUMMYFUNCTION("""COMPUTED_VALUE"""),4.0)</f>
        <v>4</v>
      </c>
      <c r="J1553" s="2">
        <f>IFERROR(__xludf.DUMMYFUNCTION("""COMPUTED_VALUE"""),1050.0)</f>
        <v>1050</v>
      </c>
      <c r="K1553" s="2">
        <f>IFERROR(__xludf.DUMMYFUNCTION("""COMPUTED_VALUE"""),1050.0)</f>
        <v>1050</v>
      </c>
    </row>
    <row r="1554">
      <c r="A1554" s="2">
        <f>IFERROR(__xludf.DUMMYFUNCTION("""COMPUTED_VALUE"""),1000.0)</f>
        <v>1000</v>
      </c>
      <c r="B1554" s="2">
        <f>IFERROR(__xludf.DUMMYFUNCTION("""COMPUTED_VALUE"""),184572.0)</f>
        <v>184572</v>
      </c>
      <c r="C1554" s="2">
        <f>IFERROR(__xludf.DUMMYFUNCTION("""COMPUTED_VALUE"""),2026.0)</f>
        <v>2026</v>
      </c>
      <c r="D1554" s="2">
        <f>IFERROR(__xludf.DUMMYFUNCTION("""COMPUTED_VALUE"""),46060.0)</f>
        <v>46060</v>
      </c>
      <c r="E1554" s="2" t="str">
        <f>IFERROR(__xludf.DUMMYFUNCTION("""COMPUTED_VALUE"""),"VF")</f>
        <v>VF</v>
      </c>
      <c r="F1554" s="2">
        <f>IFERROR(__xludf.DUMMYFUNCTION("""COMPUTED_VALUE"""),1.0)</f>
        <v>1</v>
      </c>
      <c r="G1554" s="2" t="str">
        <f>IFERROR(__xludf.DUMMYFUNCTION("""COMPUTED_VALUE"""),"PR030")</f>
        <v>PR030</v>
      </c>
      <c r="H1554" s="2" t="str">
        <f>IFERROR(__xludf.DUMMYFUNCTION("""COMPUTED_VALUE"""),"VD018")</f>
        <v>VD018</v>
      </c>
      <c r="I1554" s="2">
        <f>IFERROR(__xludf.DUMMYFUNCTION("""COMPUTED_VALUE"""),5.0)</f>
        <v>5</v>
      </c>
      <c r="J1554" s="2">
        <f>IFERROR(__xludf.DUMMYFUNCTION("""COMPUTED_VALUE"""),1403.46)</f>
        <v>1403.46</v>
      </c>
      <c r="K1554" s="2">
        <f>IFERROR(__xludf.DUMMYFUNCTION("""COMPUTED_VALUE"""),1403.46)</f>
        <v>1403.46</v>
      </c>
    </row>
    <row r="1555">
      <c r="A1555" s="2">
        <f>IFERROR(__xludf.DUMMYFUNCTION("""COMPUTED_VALUE"""),2000.0)</f>
        <v>2000</v>
      </c>
      <c r="B1555" s="2">
        <f>IFERROR(__xludf.DUMMYFUNCTION("""COMPUTED_VALUE"""),184573.0)</f>
        <v>184573</v>
      </c>
      <c r="C1555" s="2">
        <f>IFERROR(__xludf.DUMMYFUNCTION("""COMPUTED_VALUE"""),2026.0)</f>
        <v>2026</v>
      </c>
      <c r="D1555" s="2">
        <f>IFERROR(__xludf.DUMMYFUNCTION("""COMPUTED_VALUE"""),46060.0)</f>
        <v>46060</v>
      </c>
      <c r="E1555" s="2" t="str">
        <f>IFERROR(__xludf.DUMMYFUNCTION("""COMPUTED_VALUE"""),"VF")</f>
        <v>VF</v>
      </c>
      <c r="F1555" s="2">
        <f>IFERROR(__xludf.DUMMYFUNCTION("""COMPUTED_VALUE"""),1.0)</f>
        <v>1</v>
      </c>
      <c r="G1555" s="2" t="str">
        <f>IFERROR(__xludf.DUMMYFUNCTION("""COMPUTED_VALUE"""),"PR013")</f>
        <v>PR013</v>
      </c>
      <c r="H1555" s="2" t="str">
        <f>IFERROR(__xludf.DUMMYFUNCTION("""COMPUTED_VALUE"""),"VD015")</f>
        <v>VD015</v>
      </c>
      <c r="I1555" s="2">
        <f>IFERROR(__xludf.DUMMYFUNCTION("""COMPUTED_VALUE"""),6.0)</f>
        <v>6</v>
      </c>
      <c r="J1555" s="2">
        <f>IFERROR(__xludf.DUMMYFUNCTION("""COMPUTED_VALUE"""),258.55)</f>
        <v>258.55</v>
      </c>
      <c r="K1555" s="2">
        <f>IFERROR(__xludf.DUMMYFUNCTION("""COMPUTED_VALUE"""),258.55)</f>
        <v>258.55</v>
      </c>
    </row>
    <row r="1556">
      <c r="A1556" s="2">
        <f>IFERROR(__xludf.DUMMYFUNCTION("""COMPUTED_VALUE"""),1000.0)</f>
        <v>1000</v>
      </c>
      <c r="B1556" s="2">
        <f>IFERROR(__xludf.DUMMYFUNCTION("""COMPUTED_VALUE"""),184574.0)</f>
        <v>184574</v>
      </c>
      <c r="C1556" s="2">
        <f>IFERROR(__xludf.DUMMYFUNCTION("""COMPUTED_VALUE"""),2026.0)</f>
        <v>2026</v>
      </c>
      <c r="D1556" s="2">
        <f>IFERROR(__xludf.DUMMYFUNCTION("""COMPUTED_VALUE"""),46060.0)</f>
        <v>46060</v>
      </c>
      <c r="E1556" s="2" t="str">
        <f>IFERROR(__xludf.DUMMYFUNCTION("""COMPUTED_VALUE"""),"VF")</f>
        <v>VF</v>
      </c>
      <c r="F1556" s="2">
        <f>IFERROR(__xludf.DUMMYFUNCTION("""COMPUTED_VALUE"""),1.0)</f>
        <v>1</v>
      </c>
      <c r="G1556" s="2" t="str">
        <f>IFERROR(__xludf.DUMMYFUNCTION("""COMPUTED_VALUE"""),"PR007")</f>
        <v>PR007</v>
      </c>
      <c r="H1556" s="2" t="str">
        <f>IFERROR(__xludf.DUMMYFUNCTION("""COMPUTED_VALUE"""),"VD029")</f>
        <v>VD029</v>
      </c>
      <c r="I1556" s="2">
        <f>IFERROR(__xludf.DUMMYFUNCTION("""COMPUTED_VALUE"""),9.0)</f>
        <v>9</v>
      </c>
      <c r="J1556" s="2">
        <f>IFERROR(__xludf.DUMMYFUNCTION("""COMPUTED_VALUE"""),811.76)</f>
        <v>811.76</v>
      </c>
      <c r="K1556" s="2">
        <f>IFERROR(__xludf.DUMMYFUNCTION("""COMPUTED_VALUE"""),811.76)</f>
        <v>811.76</v>
      </c>
    </row>
    <row r="1557">
      <c r="A1557" s="2">
        <f>IFERROR(__xludf.DUMMYFUNCTION("""COMPUTED_VALUE"""),1000.0)</f>
        <v>1000</v>
      </c>
      <c r="B1557" s="2">
        <f>IFERROR(__xludf.DUMMYFUNCTION("""COMPUTED_VALUE"""),184575.0)</f>
        <v>184575</v>
      </c>
      <c r="C1557" s="2">
        <f>IFERROR(__xludf.DUMMYFUNCTION("""COMPUTED_VALUE"""),2026.0)</f>
        <v>2026</v>
      </c>
      <c r="D1557" s="2">
        <f>IFERROR(__xludf.DUMMYFUNCTION("""COMPUTED_VALUE"""),46060.0)</f>
        <v>46060</v>
      </c>
      <c r="E1557" s="2" t="str">
        <f>IFERROR(__xludf.DUMMYFUNCTION("""COMPUTED_VALUE"""),"VF")</f>
        <v>VF</v>
      </c>
      <c r="F1557" s="2">
        <f>IFERROR(__xludf.DUMMYFUNCTION("""COMPUTED_VALUE"""),1.0)</f>
        <v>1</v>
      </c>
      <c r="G1557" s="2" t="str">
        <f>IFERROR(__xludf.DUMMYFUNCTION("""COMPUTED_VALUE"""),"PR035")</f>
        <v>PR035</v>
      </c>
      <c r="H1557" s="2" t="str">
        <f>IFERROR(__xludf.DUMMYFUNCTION("""COMPUTED_VALUE"""),"VD040")</f>
        <v>VD040</v>
      </c>
      <c r="I1557" s="2">
        <f>IFERROR(__xludf.DUMMYFUNCTION("""COMPUTED_VALUE"""),3.0)</f>
        <v>3</v>
      </c>
      <c r="J1557" s="2">
        <f>IFERROR(__xludf.DUMMYFUNCTION("""COMPUTED_VALUE"""),279.68)</f>
        <v>279.68</v>
      </c>
      <c r="K1557" s="2">
        <f>IFERROR(__xludf.DUMMYFUNCTION("""COMPUTED_VALUE"""),279.68)</f>
        <v>279.68</v>
      </c>
    </row>
    <row r="1558">
      <c r="A1558" s="2">
        <f>IFERROR(__xludf.DUMMYFUNCTION("""COMPUTED_VALUE"""),1000.0)</f>
        <v>1000</v>
      </c>
      <c r="B1558" s="2">
        <f>IFERROR(__xludf.DUMMYFUNCTION("""COMPUTED_VALUE"""),184575.0)</f>
        <v>184575</v>
      </c>
      <c r="C1558" s="2">
        <f>IFERROR(__xludf.DUMMYFUNCTION("""COMPUTED_VALUE"""),2026.0)</f>
        <v>2026</v>
      </c>
      <c r="D1558" s="2">
        <f>IFERROR(__xludf.DUMMYFUNCTION("""COMPUTED_VALUE"""),46059.0)</f>
        <v>46059</v>
      </c>
      <c r="E1558" s="2" t="str">
        <f>IFERROR(__xludf.DUMMYFUNCTION("""COMPUTED_VALUE"""),"VF")</f>
        <v>VF</v>
      </c>
      <c r="F1558" s="2">
        <f>IFERROR(__xludf.DUMMYFUNCTION("""COMPUTED_VALUE"""),2.0)</f>
        <v>2</v>
      </c>
      <c r="G1558" s="2" t="str">
        <f>IFERROR(__xludf.DUMMYFUNCTION("""COMPUTED_VALUE"""),"PR030")</f>
        <v>PR030</v>
      </c>
      <c r="H1558" s="2" t="str">
        <f>IFERROR(__xludf.DUMMYFUNCTION("""COMPUTED_VALUE"""),"VD010")</f>
        <v>VD010</v>
      </c>
      <c r="I1558" s="2">
        <f>IFERROR(__xludf.DUMMYFUNCTION("""COMPUTED_VALUE"""),20.0)</f>
        <v>20</v>
      </c>
      <c r="J1558" s="2">
        <f>IFERROR(__xludf.DUMMYFUNCTION("""COMPUTED_VALUE"""),5301.96)</f>
        <v>5301.96</v>
      </c>
      <c r="K1558" s="2">
        <f>IFERROR(__xludf.DUMMYFUNCTION("""COMPUTED_VALUE"""),5301.96)</f>
        <v>5301.96</v>
      </c>
    </row>
    <row r="1559">
      <c r="A1559" s="2">
        <f>IFERROR(__xludf.DUMMYFUNCTION("""COMPUTED_VALUE"""),1000.0)</f>
        <v>1000</v>
      </c>
      <c r="B1559" s="2">
        <f>IFERROR(__xludf.DUMMYFUNCTION("""COMPUTED_VALUE"""),184576.0)</f>
        <v>184576</v>
      </c>
      <c r="C1559" s="2">
        <f>IFERROR(__xludf.DUMMYFUNCTION("""COMPUTED_VALUE"""),2026.0)</f>
        <v>2026</v>
      </c>
      <c r="D1559" s="2">
        <f>IFERROR(__xludf.DUMMYFUNCTION("""COMPUTED_VALUE"""),46059.0)</f>
        <v>46059</v>
      </c>
      <c r="E1559" s="2" t="str">
        <f>IFERROR(__xludf.DUMMYFUNCTION("""COMPUTED_VALUE"""),"VF")</f>
        <v>VF</v>
      </c>
      <c r="F1559" s="2">
        <f>IFERROR(__xludf.DUMMYFUNCTION("""COMPUTED_VALUE"""),1.0)</f>
        <v>1</v>
      </c>
      <c r="G1559" s="2" t="str">
        <f>IFERROR(__xludf.DUMMYFUNCTION("""COMPUTED_VALUE"""),"PR018")</f>
        <v>PR018</v>
      </c>
      <c r="H1559" s="2" t="str">
        <f>IFERROR(__xludf.DUMMYFUNCTION("""COMPUTED_VALUE"""),"VD046")</f>
        <v>VD046</v>
      </c>
      <c r="I1559" s="2">
        <f>IFERROR(__xludf.DUMMYFUNCTION("""COMPUTED_VALUE"""),14.0)</f>
        <v>14</v>
      </c>
      <c r="J1559" s="2">
        <f>IFERROR(__xludf.DUMMYFUNCTION("""COMPUTED_VALUE"""),474.42)</f>
        <v>474.42</v>
      </c>
      <c r="K1559" s="2">
        <f>IFERROR(__xludf.DUMMYFUNCTION("""COMPUTED_VALUE"""),474.42)</f>
        <v>474.42</v>
      </c>
    </row>
    <row r="1560">
      <c r="A1560" s="2">
        <f>IFERROR(__xludf.DUMMYFUNCTION("""COMPUTED_VALUE"""),1000.0)</f>
        <v>1000</v>
      </c>
      <c r="B1560" s="2">
        <f>IFERROR(__xludf.DUMMYFUNCTION("""COMPUTED_VALUE"""),184577.0)</f>
        <v>184577</v>
      </c>
      <c r="C1560" s="2">
        <f>IFERROR(__xludf.DUMMYFUNCTION("""COMPUTED_VALUE"""),2026.0)</f>
        <v>2026</v>
      </c>
      <c r="D1560" s="2">
        <f>IFERROR(__xludf.DUMMYFUNCTION("""COMPUTED_VALUE"""),46059.0)</f>
        <v>46059</v>
      </c>
      <c r="E1560" s="2" t="str">
        <f>IFERROR(__xludf.DUMMYFUNCTION("""COMPUTED_VALUE"""),"VF")</f>
        <v>VF</v>
      </c>
      <c r="F1560" s="2">
        <f>IFERROR(__xludf.DUMMYFUNCTION("""COMPUTED_VALUE"""),1.0)</f>
        <v>1</v>
      </c>
      <c r="G1560" s="2" t="str">
        <f>IFERROR(__xludf.DUMMYFUNCTION("""COMPUTED_VALUE"""),"PR016")</f>
        <v>PR016</v>
      </c>
      <c r="H1560" s="2" t="str">
        <f>IFERROR(__xludf.DUMMYFUNCTION("""COMPUTED_VALUE"""),"VD044")</f>
        <v>VD044</v>
      </c>
      <c r="I1560" s="2">
        <f>IFERROR(__xludf.DUMMYFUNCTION("""COMPUTED_VALUE"""),16.0)</f>
        <v>16</v>
      </c>
      <c r="J1560" s="2">
        <f>IFERROR(__xludf.DUMMYFUNCTION("""COMPUTED_VALUE"""),430.98)</f>
        <v>430.98</v>
      </c>
      <c r="K1560" s="2">
        <f>IFERROR(__xludf.DUMMYFUNCTION("""COMPUTED_VALUE"""),430.98)</f>
        <v>430.98</v>
      </c>
    </row>
    <row r="1561">
      <c r="A1561" s="2">
        <f>IFERROR(__xludf.DUMMYFUNCTION("""COMPUTED_VALUE"""),1000.0)</f>
        <v>1000</v>
      </c>
      <c r="B1561" s="2">
        <f>IFERROR(__xludf.DUMMYFUNCTION("""COMPUTED_VALUE"""),184578.0)</f>
        <v>184578</v>
      </c>
      <c r="C1561" s="2">
        <f>IFERROR(__xludf.DUMMYFUNCTION("""COMPUTED_VALUE"""),2026.0)</f>
        <v>2026</v>
      </c>
      <c r="D1561" s="2">
        <f>IFERROR(__xludf.DUMMYFUNCTION("""COMPUTED_VALUE"""),46059.0)</f>
        <v>46059</v>
      </c>
      <c r="E1561" s="2" t="str">
        <f>IFERROR(__xludf.DUMMYFUNCTION("""COMPUTED_VALUE"""),"VF")</f>
        <v>VF</v>
      </c>
      <c r="F1561" s="2">
        <f>IFERROR(__xludf.DUMMYFUNCTION("""COMPUTED_VALUE"""),1.0)</f>
        <v>1</v>
      </c>
      <c r="G1561" s="2" t="str">
        <f>IFERROR(__xludf.DUMMYFUNCTION("""COMPUTED_VALUE"""),"PR030")</f>
        <v>PR030</v>
      </c>
      <c r="H1561" s="2" t="str">
        <f>IFERROR(__xludf.DUMMYFUNCTION("""COMPUTED_VALUE"""),"VD032")</f>
        <v>VD032</v>
      </c>
      <c r="I1561" s="2">
        <f>IFERROR(__xludf.DUMMYFUNCTION("""COMPUTED_VALUE"""),16.0)</f>
        <v>16</v>
      </c>
      <c r="J1561" s="2">
        <f>IFERROR(__xludf.DUMMYFUNCTION("""COMPUTED_VALUE"""),4574.24)</f>
        <v>4574.24</v>
      </c>
      <c r="K1561" s="2">
        <f>IFERROR(__xludf.DUMMYFUNCTION("""COMPUTED_VALUE"""),4574.24)</f>
        <v>4574.24</v>
      </c>
    </row>
    <row r="1562">
      <c r="A1562" s="2">
        <f>IFERROR(__xludf.DUMMYFUNCTION("""COMPUTED_VALUE"""),1000.0)</f>
        <v>1000</v>
      </c>
      <c r="B1562" s="2">
        <f>IFERROR(__xludf.DUMMYFUNCTION("""COMPUTED_VALUE"""),184579.0)</f>
        <v>184579</v>
      </c>
      <c r="C1562" s="2">
        <f>IFERROR(__xludf.DUMMYFUNCTION("""COMPUTED_VALUE"""),2026.0)</f>
        <v>2026</v>
      </c>
      <c r="D1562" s="2">
        <f>IFERROR(__xludf.DUMMYFUNCTION("""COMPUTED_VALUE"""),46059.0)</f>
        <v>46059</v>
      </c>
      <c r="E1562" s="2" t="str">
        <f>IFERROR(__xludf.DUMMYFUNCTION("""COMPUTED_VALUE"""),"VF")</f>
        <v>VF</v>
      </c>
      <c r="F1562" s="2">
        <f>IFERROR(__xludf.DUMMYFUNCTION("""COMPUTED_VALUE"""),1.0)</f>
        <v>1</v>
      </c>
      <c r="G1562" s="2" t="str">
        <f>IFERROR(__xludf.DUMMYFUNCTION("""COMPUTED_VALUE"""),"PR056")</f>
        <v>PR056</v>
      </c>
      <c r="H1562" s="2" t="str">
        <f>IFERROR(__xludf.DUMMYFUNCTION("""COMPUTED_VALUE"""),"VD018")</f>
        <v>VD018</v>
      </c>
      <c r="I1562" s="2">
        <f>IFERROR(__xludf.DUMMYFUNCTION("""COMPUTED_VALUE"""),20.0)</f>
        <v>20</v>
      </c>
      <c r="J1562" s="2">
        <f>IFERROR(__xludf.DUMMYFUNCTION("""COMPUTED_VALUE"""),1833.96)</f>
        <v>1833.96</v>
      </c>
      <c r="K1562" s="2">
        <f>IFERROR(__xludf.DUMMYFUNCTION("""COMPUTED_VALUE"""),1833.96)</f>
        <v>1833.96</v>
      </c>
    </row>
    <row r="1563">
      <c r="A1563" s="2">
        <f>IFERROR(__xludf.DUMMYFUNCTION("""COMPUTED_VALUE"""),1000.0)</f>
        <v>1000</v>
      </c>
      <c r="B1563" s="2">
        <f>IFERROR(__xludf.DUMMYFUNCTION("""COMPUTED_VALUE"""),184579.0)</f>
        <v>184579</v>
      </c>
      <c r="C1563" s="2">
        <f>IFERROR(__xludf.DUMMYFUNCTION("""COMPUTED_VALUE"""),2026.0)</f>
        <v>2026</v>
      </c>
      <c r="D1563" s="2">
        <f>IFERROR(__xludf.DUMMYFUNCTION("""COMPUTED_VALUE"""),46059.0)</f>
        <v>46059</v>
      </c>
      <c r="E1563" s="2" t="str">
        <f>IFERROR(__xludf.DUMMYFUNCTION("""COMPUTED_VALUE"""),"VF")</f>
        <v>VF</v>
      </c>
      <c r="F1563" s="2">
        <f>IFERROR(__xludf.DUMMYFUNCTION("""COMPUTED_VALUE"""),2.0)</f>
        <v>2</v>
      </c>
      <c r="G1563" s="2" t="str">
        <f>IFERROR(__xludf.DUMMYFUNCTION("""COMPUTED_VALUE"""),"PR037")</f>
        <v>PR037</v>
      </c>
      <c r="H1563" s="2" t="str">
        <f>IFERROR(__xludf.DUMMYFUNCTION("""COMPUTED_VALUE"""),"VD048")</f>
        <v>VD048</v>
      </c>
      <c r="I1563" s="2">
        <f>IFERROR(__xludf.DUMMYFUNCTION("""COMPUTED_VALUE"""),12.0)</f>
        <v>12</v>
      </c>
      <c r="J1563" s="2">
        <f>IFERROR(__xludf.DUMMYFUNCTION("""COMPUTED_VALUE"""),1764.0)</f>
        <v>1764</v>
      </c>
      <c r="K1563" s="2">
        <f>IFERROR(__xludf.DUMMYFUNCTION("""COMPUTED_VALUE"""),1764.0)</f>
        <v>1764</v>
      </c>
    </row>
    <row r="1564">
      <c r="A1564" s="2">
        <f>IFERROR(__xludf.DUMMYFUNCTION("""COMPUTED_VALUE"""),1000.0)</f>
        <v>1000</v>
      </c>
      <c r="B1564" s="2">
        <f>IFERROR(__xludf.DUMMYFUNCTION("""COMPUTED_VALUE"""),184580.0)</f>
        <v>184580</v>
      </c>
      <c r="C1564" s="2">
        <f>IFERROR(__xludf.DUMMYFUNCTION("""COMPUTED_VALUE"""),2026.0)</f>
        <v>2026</v>
      </c>
      <c r="D1564" s="2">
        <f>IFERROR(__xludf.DUMMYFUNCTION("""COMPUTED_VALUE"""),46059.0)</f>
        <v>46059</v>
      </c>
      <c r="E1564" s="2" t="str">
        <f>IFERROR(__xludf.DUMMYFUNCTION("""COMPUTED_VALUE"""),"VF")</f>
        <v>VF</v>
      </c>
      <c r="F1564" s="2">
        <f>IFERROR(__xludf.DUMMYFUNCTION("""COMPUTED_VALUE"""),1.0)</f>
        <v>1</v>
      </c>
      <c r="G1564" s="2" t="str">
        <f>IFERROR(__xludf.DUMMYFUNCTION("""COMPUTED_VALUE"""),"PR031")</f>
        <v>PR031</v>
      </c>
      <c r="H1564" s="2" t="str">
        <f>IFERROR(__xludf.DUMMYFUNCTION("""COMPUTED_VALUE"""),"VD032")</f>
        <v>VD032</v>
      </c>
      <c r="I1564" s="2">
        <f>IFERROR(__xludf.DUMMYFUNCTION("""COMPUTED_VALUE"""),14.0)</f>
        <v>14</v>
      </c>
      <c r="J1564" s="2">
        <f>IFERROR(__xludf.DUMMYFUNCTION("""COMPUTED_VALUE"""),3430.0)</f>
        <v>3430</v>
      </c>
      <c r="K1564" s="2">
        <f>IFERROR(__xludf.DUMMYFUNCTION("""COMPUTED_VALUE"""),3430.0)</f>
        <v>3430</v>
      </c>
    </row>
    <row r="1565">
      <c r="A1565" s="2">
        <f>IFERROR(__xludf.DUMMYFUNCTION("""COMPUTED_VALUE"""),2000.0)</f>
        <v>2000</v>
      </c>
      <c r="B1565" s="2">
        <f>IFERROR(__xludf.DUMMYFUNCTION("""COMPUTED_VALUE"""),184580.0)</f>
        <v>184580</v>
      </c>
      <c r="C1565" s="2">
        <f>IFERROR(__xludf.DUMMYFUNCTION("""COMPUTED_VALUE"""),2026.0)</f>
        <v>2026</v>
      </c>
      <c r="D1565" s="2">
        <f>IFERROR(__xludf.DUMMYFUNCTION("""COMPUTED_VALUE"""),46058.0)</f>
        <v>46058</v>
      </c>
      <c r="E1565" s="2" t="str">
        <f>IFERROR(__xludf.DUMMYFUNCTION("""COMPUTED_VALUE"""),"VF")</f>
        <v>VF</v>
      </c>
      <c r="F1565" s="2">
        <f>IFERROR(__xludf.DUMMYFUNCTION("""COMPUTED_VALUE"""),2.0)</f>
        <v>2</v>
      </c>
      <c r="G1565" s="2" t="str">
        <f>IFERROR(__xludf.DUMMYFUNCTION("""COMPUTED_VALUE"""),"PR016")</f>
        <v>PR016</v>
      </c>
      <c r="H1565" s="2" t="str">
        <f>IFERROR(__xludf.DUMMYFUNCTION("""COMPUTED_VALUE"""),"VD027")</f>
        <v>VD027</v>
      </c>
      <c r="I1565" s="2">
        <f>IFERROR(__xludf.DUMMYFUNCTION("""COMPUTED_VALUE"""),6.0)</f>
        <v>6</v>
      </c>
      <c r="J1565" s="2">
        <f>IFERROR(__xludf.DUMMYFUNCTION("""COMPUTED_VALUE"""),170.94)</f>
        <v>170.94</v>
      </c>
      <c r="K1565" s="2">
        <f>IFERROR(__xludf.DUMMYFUNCTION("""COMPUTED_VALUE"""),170.94)</f>
        <v>170.94</v>
      </c>
    </row>
    <row r="1566">
      <c r="A1566" s="2">
        <f>IFERROR(__xludf.DUMMYFUNCTION("""COMPUTED_VALUE"""),1000.0)</f>
        <v>1000</v>
      </c>
      <c r="B1566" s="2">
        <f>IFERROR(__xludf.DUMMYFUNCTION("""COMPUTED_VALUE"""),184581.0)</f>
        <v>184581</v>
      </c>
      <c r="C1566" s="2">
        <f>IFERROR(__xludf.DUMMYFUNCTION("""COMPUTED_VALUE"""),2026.0)</f>
        <v>2026</v>
      </c>
      <c r="D1566" s="2">
        <f>IFERROR(__xludf.DUMMYFUNCTION("""COMPUTED_VALUE"""),46058.0)</f>
        <v>46058</v>
      </c>
      <c r="E1566" s="2" t="str">
        <f>IFERROR(__xludf.DUMMYFUNCTION("""COMPUTED_VALUE"""),"VF")</f>
        <v>VF</v>
      </c>
      <c r="F1566" s="2">
        <f>IFERROR(__xludf.DUMMYFUNCTION("""COMPUTED_VALUE"""),1.0)</f>
        <v>1</v>
      </c>
      <c r="G1566" s="2" t="str">
        <f>IFERROR(__xludf.DUMMYFUNCTION("""COMPUTED_VALUE"""),"PR054")</f>
        <v>PR054</v>
      </c>
      <c r="H1566" s="2" t="str">
        <f>IFERROR(__xludf.DUMMYFUNCTION("""COMPUTED_VALUE"""),"VD032")</f>
        <v>VD032</v>
      </c>
      <c r="I1566" s="2">
        <f>IFERROR(__xludf.DUMMYFUNCTION("""COMPUTED_VALUE"""),6.0)</f>
        <v>6</v>
      </c>
      <c r="J1566" s="2">
        <f>IFERROR(__xludf.DUMMYFUNCTION("""COMPUTED_VALUE"""),329.34)</f>
        <v>329.34</v>
      </c>
      <c r="K1566" s="2">
        <f>IFERROR(__xludf.DUMMYFUNCTION("""COMPUTED_VALUE"""),329.34)</f>
        <v>329.34</v>
      </c>
    </row>
    <row r="1567">
      <c r="A1567" s="2">
        <f>IFERROR(__xludf.DUMMYFUNCTION("""COMPUTED_VALUE"""),1000.0)</f>
        <v>1000</v>
      </c>
      <c r="B1567" s="2">
        <f>IFERROR(__xludf.DUMMYFUNCTION("""COMPUTED_VALUE"""),184582.0)</f>
        <v>184582</v>
      </c>
      <c r="C1567" s="2">
        <f>IFERROR(__xludf.DUMMYFUNCTION("""COMPUTED_VALUE"""),2026.0)</f>
        <v>2026</v>
      </c>
      <c r="D1567" s="2">
        <f>IFERROR(__xludf.DUMMYFUNCTION("""COMPUTED_VALUE"""),46057.0)</f>
        <v>46057</v>
      </c>
      <c r="E1567" s="2" t="str">
        <f>IFERROR(__xludf.DUMMYFUNCTION("""COMPUTED_VALUE"""),"VF")</f>
        <v>VF</v>
      </c>
      <c r="F1567" s="2">
        <f>IFERROR(__xludf.DUMMYFUNCTION("""COMPUTED_VALUE"""),1.0)</f>
        <v>1</v>
      </c>
      <c r="G1567" s="2" t="str">
        <f>IFERROR(__xludf.DUMMYFUNCTION("""COMPUTED_VALUE"""),"PR035")</f>
        <v>PR035</v>
      </c>
      <c r="H1567" s="2" t="str">
        <f>IFERROR(__xludf.DUMMYFUNCTION("""COMPUTED_VALUE"""),"VD038")</f>
        <v>VD038</v>
      </c>
      <c r="I1567" s="2">
        <f>IFERROR(__xludf.DUMMYFUNCTION("""COMPUTED_VALUE"""),2.0)</f>
        <v>2</v>
      </c>
      <c r="J1567" s="2">
        <f>IFERROR(__xludf.DUMMYFUNCTION("""COMPUTED_VALUE"""),190.11)</f>
        <v>190.11</v>
      </c>
      <c r="K1567" s="2">
        <f>IFERROR(__xludf.DUMMYFUNCTION("""COMPUTED_VALUE"""),190.11)</f>
        <v>190.11</v>
      </c>
    </row>
    <row r="1568">
      <c r="A1568" s="2">
        <f>IFERROR(__xludf.DUMMYFUNCTION("""COMPUTED_VALUE"""),1000.0)</f>
        <v>1000</v>
      </c>
      <c r="B1568" s="2">
        <f>IFERROR(__xludf.DUMMYFUNCTION("""COMPUTED_VALUE"""),184582.0)</f>
        <v>184582</v>
      </c>
      <c r="C1568" s="2">
        <f>IFERROR(__xludf.DUMMYFUNCTION("""COMPUTED_VALUE"""),2026.0)</f>
        <v>2026</v>
      </c>
      <c r="D1568" s="2">
        <f>IFERROR(__xludf.DUMMYFUNCTION("""COMPUTED_VALUE"""),46057.0)</f>
        <v>46057</v>
      </c>
      <c r="E1568" s="2" t="str">
        <f>IFERROR(__xludf.DUMMYFUNCTION("""COMPUTED_VALUE"""),"VF")</f>
        <v>VF</v>
      </c>
      <c r="F1568" s="2">
        <f>IFERROR(__xludf.DUMMYFUNCTION("""COMPUTED_VALUE"""),2.0)</f>
        <v>2</v>
      </c>
      <c r="G1568" s="2" t="str">
        <f>IFERROR(__xludf.DUMMYFUNCTION("""COMPUTED_VALUE"""),"PR014")</f>
        <v>PR014</v>
      </c>
      <c r="H1568" s="2" t="str">
        <f>IFERROR(__xludf.DUMMYFUNCTION("""COMPUTED_VALUE"""),"VD016")</f>
        <v>VD016</v>
      </c>
      <c r="I1568" s="2">
        <f>IFERROR(__xludf.DUMMYFUNCTION("""COMPUTED_VALUE"""),1.0)</f>
        <v>1</v>
      </c>
      <c r="J1568" s="2">
        <f>IFERROR(__xludf.DUMMYFUNCTION("""COMPUTED_VALUE"""),42.29)</f>
        <v>42.29</v>
      </c>
      <c r="K1568" s="2">
        <f>IFERROR(__xludf.DUMMYFUNCTION("""COMPUTED_VALUE"""),42.29)</f>
        <v>42.29</v>
      </c>
    </row>
    <row r="1569">
      <c r="A1569" s="2">
        <f>IFERROR(__xludf.DUMMYFUNCTION("""COMPUTED_VALUE"""),1000.0)</f>
        <v>1000</v>
      </c>
      <c r="B1569" s="2">
        <f>IFERROR(__xludf.DUMMYFUNCTION("""COMPUTED_VALUE"""),184583.0)</f>
        <v>184583</v>
      </c>
      <c r="C1569" s="2">
        <f>IFERROR(__xludf.DUMMYFUNCTION("""COMPUTED_VALUE"""),2026.0)</f>
        <v>2026</v>
      </c>
      <c r="D1569" s="2">
        <f>IFERROR(__xludf.DUMMYFUNCTION("""COMPUTED_VALUE"""),46057.0)</f>
        <v>46057</v>
      </c>
      <c r="E1569" s="2" t="str">
        <f>IFERROR(__xludf.DUMMYFUNCTION("""COMPUTED_VALUE"""),"VF")</f>
        <v>VF</v>
      </c>
      <c r="F1569" s="2">
        <f>IFERROR(__xludf.DUMMYFUNCTION("""COMPUTED_VALUE"""),1.0)</f>
        <v>1</v>
      </c>
      <c r="G1569" s="2" t="str">
        <f>IFERROR(__xludf.DUMMYFUNCTION("""COMPUTED_VALUE"""),"PR009")</f>
        <v>PR009</v>
      </c>
      <c r="H1569" s="2" t="str">
        <f>IFERROR(__xludf.DUMMYFUNCTION("""COMPUTED_VALUE"""),"VD031")</f>
        <v>VD031</v>
      </c>
      <c r="I1569" s="2">
        <f>IFERROR(__xludf.DUMMYFUNCTION("""COMPUTED_VALUE"""),16.0)</f>
        <v>16</v>
      </c>
      <c r="J1569" s="2">
        <f>IFERROR(__xludf.DUMMYFUNCTION("""COMPUTED_VALUE"""),1516.13)</f>
        <v>1516.13</v>
      </c>
      <c r="K1569" s="2">
        <f>IFERROR(__xludf.DUMMYFUNCTION("""COMPUTED_VALUE"""),1516.13)</f>
        <v>1516.13</v>
      </c>
    </row>
    <row r="1570">
      <c r="A1570" s="2">
        <f>IFERROR(__xludf.DUMMYFUNCTION("""COMPUTED_VALUE"""),1000.0)</f>
        <v>1000</v>
      </c>
      <c r="B1570" s="2">
        <f>IFERROR(__xludf.DUMMYFUNCTION("""COMPUTED_VALUE"""),184584.0)</f>
        <v>184584</v>
      </c>
      <c r="C1570" s="2">
        <f>IFERROR(__xludf.DUMMYFUNCTION("""COMPUTED_VALUE"""),2026.0)</f>
        <v>2026</v>
      </c>
      <c r="D1570" s="2">
        <f>IFERROR(__xludf.DUMMYFUNCTION("""COMPUTED_VALUE"""),46056.0)</f>
        <v>46056</v>
      </c>
      <c r="E1570" s="2" t="str">
        <f>IFERROR(__xludf.DUMMYFUNCTION("""COMPUTED_VALUE"""),"VF")</f>
        <v>VF</v>
      </c>
      <c r="F1570" s="2">
        <f>IFERROR(__xludf.DUMMYFUNCTION("""COMPUTED_VALUE"""),1.0)</f>
        <v>1</v>
      </c>
      <c r="G1570" s="2" t="str">
        <f>IFERROR(__xludf.DUMMYFUNCTION("""COMPUTED_VALUE"""),"PR053")</f>
        <v>PR053</v>
      </c>
      <c r="H1570" s="2" t="str">
        <f>IFERROR(__xludf.DUMMYFUNCTION("""COMPUTED_VALUE"""),"VD036")</f>
        <v>VD036</v>
      </c>
      <c r="I1570" s="2">
        <f>IFERROR(__xludf.DUMMYFUNCTION("""COMPUTED_VALUE"""),18.0)</f>
        <v>18</v>
      </c>
      <c r="J1570" s="2">
        <f>IFERROR(__xludf.DUMMYFUNCTION("""COMPUTED_VALUE"""),961.07)</f>
        <v>961.07</v>
      </c>
      <c r="K1570" s="2">
        <f>IFERROR(__xludf.DUMMYFUNCTION("""COMPUTED_VALUE"""),961.07)</f>
        <v>961.07</v>
      </c>
    </row>
    <row r="1571">
      <c r="A1571" s="2">
        <f>IFERROR(__xludf.DUMMYFUNCTION("""COMPUTED_VALUE"""),1000.0)</f>
        <v>1000</v>
      </c>
      <c r="B1571" s="2">
        <f>IFERROR(__xludf.DUMMYFUNCTION("""COMPUTED_VALUE"""),184585.0)</f>
        <v>184585</v>
      </c>
      <c r="C1571" s="2">
        <f>IFERROR(__xludf.DUMMYFUNCTION("""COMPUTED_VALUE"""),2026.0)</f>
        <v>2026</v>
      </c>
      <c r="D1571" s="2">
        <f>IFERROR(__xludf.DUMMYFUNCTION("""COMPUTED_VALUE"""),46056.0)</f>
        <v>46056</v>
      </c>
      <c r="E1571" s="2" t="str">
        <f>IFERROR(__xludf.DUMMYFUNCTION("""COMPUTED_VALUE"""),"VF")</f>
        <v>VF</v>
      </c>
      <c r="F1571" s="2">
        <f>IFERROR(__xludf.DUMMYFUNCTION("""COMPUTED_VALUE"""),1.0)</f>
        <v>1</v>
      </c>
      <c r="G1571" s="2" t="str">
        <f>IFERROR(__xludf.DUMMYFUNCTION("""COMPUTED_VALUE"""),"PR051")</f>
        <v>PR051</v>
      </c>
      <c r="H1571" s="2" t="str">
        <f>IFERROR(__xludf.DUMMYFUNCTION("""COMPUTED_VALUE"""),"VD038")</f>
        <v>VD038</v>
      </c>
      <c r="I1571" s="2">
        <f>IFERROR(__xludf.DUMMYFUNCTION("""COMPUTED_VALUE"""),8.0)</f>
        <v>8</v>
      </c>
      <c r="J1571" s="2">
        <f>IFERROR(__xludf.DUMMYFUNCTION("""COMPUTED_VALUE"""),271.1)</f>
        <v>271.1</v>
      </c>
      <c r="K1571" s="2">
        <f>IFERROR(__xludf.DUMMYFUNCTION("""COMPUTED_VALUE"""),271.1)</f>
        <v>271.1</v>
      </c>
    </row>
    <row r="1572">
      <c r="A1572" s="2">
        <f>IFERROR(__xludf.DUMMYFUNCTION("""COMPUTED_VALUE"""),1000.0)</f>
        <v>1000</v>
      </c>
      <c r="B1572" s="2">
        <f>IFERROR(__xludf.DUMMYFUNCTION("""COMPUTED_VALUE"""),184585.0)</f>
        <v>184585</v>
      </c>
      <c r="C1572" s="2">
        <f>IFERROR(__xludf.DUMMYFUNCTION("""COMPUTED_VALUE"""),2026.0)</f>
        <v>2026</v>
      </c>
      <c r="D1572" s="2">
        <f>IFERROR(__xludf.DUMMYFUNCTION("""COMPUTED_VALUE"""),46056.0)</f>
        <v>46056</v>
      </c>
      <c r="E1572" s="2" t="str">
        <f>IFERROR(__xludf.DUMMYFUNCTION("""COMPUTED_VALUE"""),"VF")</f>
        <v>VF</v>
      </c>
      <c r="F1572" s="2">
        <f>IFERROR(__xludf.DUMMYFUNCTION("""COMPUTED_VALUE"""),2.0)</f>
        <v>2</v>
      </c>
      <c r="G1572" s="2" t="str">
        <f>IFERROR(__xludf.DUMMYFUNCTION("""COMPUTED_VALUE"""),"PR006")</f>
        <v>PR006</v>
      </c>
      <c r="H1572" s="2" t="str">
        <f>IFERROR(__xludf.DUMMYFUNCTION("""COMPUTED_VALUE"""),"VD035")</f>
        <v>VD035</v>
      </c>
      <c r="I1572" s="2">
        <f>IFERROR(__xludf.DUMMYFUNCTION("""COMPUTED_VALUE"""),5.0)</f>
        <v>5</v>
      </c>
      <c r="J1572" s="2">
        <f>IFERROR(__xludf.DUMMYFUNCTION("""COMPUTED_VALUE"""),215.46)</f>
        <v>215.46</v>
      </c>
      <c r="K1572" s="2">
        <f>IFERROR(__xludf.DUMMYFUNCTION("""COMPUTED_VALUE"""),215.46)</f>
        <v>215.46</v>
      </c>
    </row>
    <row r="1573">
      <c r="A1573" s="2">
        <f>IFERROR(__xludf.DUMMYFUNCTION("""COMPUTED_VALUE"""),1000.0)</f>
        <v>1000</v>
      </c>
      <c r="B1573" s="2">
        <f>IFERROR(__xludf.DUMMYFUNCTION("""COMPUTED_VALUE"""),184586.0)</f>
        <v>184586</v>
      </c>
      <c r="C1573" s="2">
        <f>IFERROR(__xludf.DUMMYFUNCTION("""COMPUTED_VALUE"""),2026.0)</f>
        <v>2026</v>
      </c>
      <c r="D1573" s="2">
        <f>IFERROR(__xludf.DUMMYFUNCTION("""COMPUTED_VALUE"""),46056.0)</f>
        <v>46056</v>
      </c>
      <c r="E1573" s="2" t="str">
        <f>IFERROR(__xludf.DUMMYFUNCTION("""COMPUTED_VALUE"""),"VF")</f>
        <v>VF</v>
      </c>
      <c r="F1573" s="2">
        <f>IFERROR(__xludf.DUMMYFUNCTION("""COMPUTED_VALUE"""),1.0)</f>
        <v>1</v>
      </c>
      <c r="G1573" s="2" t="str">
        <f>IFERROR(__xludf.DUMMYFUNCTION("""COMPUTED_VALUE"""),"PR046")</f>
        <v>PR046</v>
      </c>
      <c r="H1573" s="2" t="str">
        <f>IFERROR(__xludf.DUMMYFUNCTION("""COMPUTED_VALUE"""),"VD040")</f>
        <v>VD040</v>
      </c>
      <c r="I1573" s="2">
        <f>IFERROR(__xludf.DUMMYFUNCTION("""COMPUTED_VALUE"""),2.0)</f>
        <v>2</v>
      </c>
      <c r="J1573" s="2">
        <f>IFERROR(__xludf.DUMMYFUNCTION("""COMPUTED_VALUE"""),614.59)</f>
        <v>614.59</v>
      </c>
      <c r="K1573" s="2">
        <f>IFERROR(__xludf.DUMMYFUNCTION("""COMPUTED_VALUE"""),614.59)</f>
        <v>614.59</v>
      </c>
    </row>
    <row r="1574">
      <c r="A1574" s="2">
        <f>IFERROR(__xludf.DUMMYFUNCTION("""COMPUTED_VALUE"""),1000.0)</f>
        <v>1000</v>
      </c>
      <c r="B1574" s="2">
        <f>IFERROR(__xludf.DUMMYFUNCTION("""COMPUTED_VALUE"""),184587.0)</f>
        <v>184587</v>
      </c>
      <c r="C1574" s="2">
        <f>IFERROR(__xludf.DUMMYFUNCTION("""COMPUTED_VALUE"""),2026.0)</f>
        <v>2026</v>
      </c>
      <c r="D1574" s="2">
        <f>IFERROR(__xludf.DUMMYFUNCTION("""COMPUTED_VALUE"""),46056.0)</f>
        <v>46056</v>
      </c>
      <c r="E1574" s="2" t="str">
        <f>IFERROR(__xludf.DUMMYFUNCTION("""COMPUTED_VALUE"""),"VF")</f>
        <v>VF</v>
      </c>
      <c r="F1574" s="2">
        <f>IFERROR(__xludf.DUMMYFUNCTION("""COMPUTED_VALUE"""),1.0)</f>
        <v>1</v>
      </c>
      <c r="G1574" s="2" t="str">
        <f>IFERROR(__xludf.DUMMYFUNCTION("""COMPUTED_VALUE"""),"PR001")</f>
        <v>PR001</v>
      </c>
      <c r="H1574" s="2" t="str">
        <f>IFERROR(__xludf.DUMMYFUNCTION("""COMPUTED_VALUE"""),"VD020")</f>
        <v>VD020</v>
      </c>
      <c r="I1574" s="2">
        <f>IFERROR(__xludf.DUMMYFUNCTION("""COMPUTED_VALUE"""),12.0)</f>
        <v>12</v>
      </c>
      <c r="J1574" s="2">
        <f>IFERROR(__xludf.DUMMYFUNCTION("""COMPUTED_VALUE"""),806.62)</f>
        <v>806.62</v>
      </c>
      <c r="K1574" s="2">
        <f>IFERROR(__xludf.DUMMYFUNCTION("""COMPUTED_VALUE"""),806.62)</f>
        <v>806.62</v>
      </c>
    </row>
    <row r="1575">
      <c r="A1575" s="2">
        <f>IFERROR(__xludf.DUMMYFUNCTION("""COMPUTED_VALUE"""),1000.0)</f>
        <v>1000</v>
      </c>
      <c r="B1575" s="2">
        <f>IFERROR(__xludf.DUMMYFUNCTION("""COMPUTED_VALUE"""),184587.0)</f>
        <v>184587</v>
      </c>
      <c r="C1575" s="2">
        <f>IFERROR(__xludf.DUMMYFUNCTION("""COMPUTED_VALUE"""),2026.0)</f>
        <v>2026</v>
      </c>
      <c r="D1575" s="2">
        <f>IFERROR(__xludf.DUMMYFUNCTION("""COMPUTED_VALUE"""),46056.0)</f>
        <v>46056</v>
      </c>
      <c r="E1575" s="2" t="str">
        <f>IFERROR(__xludf.DUMMYFUNCTION("""COMPUTED_VALUE"""),"VF")</f>
        <v>VF</v>
      </c>
      <c r="F1575" s="2">
        <f>IFERROR(__xludf.DUMMYFUNCTION("""COMPUTED_VALUE"""),2.0)</f>
        <v>2</v>
      </c>
      <c r="G1575" s="2" t="str">
        <f>IFERROR(__xludf.DUMMYFUNCTION("""COMPUTED_VALUE"""),"PR022")</f>
        <v>PR022</v>
      </c>
      <c r="H1575" s="2" t="str">
        <f>IFERROR(__xludf.DUMMYFUNCTION("""COMPUTED_VALUE"""),"VD036")</f>
        <v>VD036</v>
      </c>
      <c r="I1575" s="2">
        <f>IFERROR(__xludf.DUMMYFUNCTION("""COMPUTED_VALUE"""),4.0)</f>
        <v>4</v>
      </c>
      <c r="J1575" s="2">
        <f>IFERROR(__xludf.DUMMYFUNCTION("""COMPUTED_VALUE"""),1212.0)</f>
        <v>1212</v>
      </c>
      <c r="K1575" s="2">
        <f>IFERROR(__xludf.DUMMYFUNCTION("""COMPUTED_VALUE"""),1212.0)</f>
        <v>1212</v>
      </c>
    </row>
    <row r="1576">
      <c r="A1576" s="2">
        <f>IFERROR(__xludf.DUMMYFUNCTION("""COMPUTED_VALUE"""),1000.0)</f>
        <v>1000</v>
      </c>
      <c r="B1576" s="2">
        <f>IFERROR(__xludf.DUMMYFUNCTION("""COMPUTED_VALUE"""),184588.0)</f>
        <v>184588</v>
      </c>
      <c r="C1576" s="2">
        <f>IFERROR(__xludf.DUMMYFUNCTION("""COMPUTED_VALUE"""),2026.0)</f>
        <v>2026</v>
      </c>
      <c r="D1576" s="2">
        <f>IFERROR(__xludf.DUMMYFUNCTION("""COMPUTED_VALUE"""),46056.0)</f>
        <v>46056</v>
      </c>
      <c r="E1576" s="2" t="str">
        <f>IFERROR(__xludf.DUMMYFUNCTION("""COMPUTED_VALUE"""),"VF")</f>
        <v>VF</v>
      </c>
      <c r="F1576" s="2">
        <f>IFERROR(__xludf.DUMMYFUNCTION("""COMPUTED_VALUE"""),1.0)</f>
        <v>1</v>
      </c>
      <c r="G1576" s="2" t="str">
        <f>IFERROR(__xludf.DUMMYFUNCTION("""COMPUTED_VALUE"""),"PR012")</f>
        <v>PR012</v>
      </c>
      <c r="H1576" s="2" t="str">
        <f>IFERROR(__xludf.DUMMYFUNCTION("""COMPUTED_VALUE"""),"VD036")</f>
        <v>VD036</v>
      </c>
      <c r="I1576" s="2">
        <f>IFERROR(__xludf.DUMMYFUNCTION("""COMPUTED_VALUE"""),20.0)</f>
        <v>20</v>
      </c>
      <c r="J1576" s="2">
        <f>IFERROR(__xludf.DUMMYFUNCTION("""COMPUTED_VALUE"""),987.78)</f>
        <v>987.78</v>
      </c>
      <c r="K1576" s="2">
        <f>IFERROR(__xludf.DUMMYFUNCTION("""COMPUTED_VALUE"""),987.78)</f>
        <v>987.78</v>
      </c>
    </row>
    <row r="1577">
      <c r="A1577" s="2">
        <f>IFERROR(__xludf.DUMMYFUNCTION("""COMPUTED_VALUE"""),1000.0)</f>
        <v>1000</v>
      </c>
      <c r="B1577" s="2">
        <f>IFERROR(__xludf.DUMMYFUNCTION("""COMPUTED_VALUE"""),184589.0)</f>
        <v>184589</v>
      </c>
      <c r="C1577" s="2">
        <f>IFERROR(__xludf.DUMMYFUNCTION("""COMPUTED_VALUE"""),2026.0)</f>
        <v>2026</v>
      </c>
      <c r="D1577" s="2">
        <f>IFERROR(__xludf.DUMMYFUNCTION("""COMPUTED_VALUE"""),46056.0)</f>
        <v>46056</v>
      </c>
      <c r="E1577" s="2" t="str">
        <f>IFERROR(__xludf.DUMMYFUNCTION("""COMPUTED_VALUE"""),"VF")</f>
        <v>VF</v>
      </c>
      <c r="F1577" s="2">
        <f>IFERROR(__xludf.DUMMYFUNCTION("""COMPUTED_VALUE"""),1.0)</f>
        <v>1</v>
      </c>
      <c r="G1577" s="2" t="str">
        <f>IFERROR(__xludf.DUMMYFUNCTION("""COMPUTED_VALUE"""),"PR031")</f>
        <v>PR031</v>
      </c>
      <c r="H1577" s="2" t="str">
        <f>IFERROR(__xludf.DUMMYFUNCTION("""COMPUTED_VALUE"""),"VD044")</f>
        <v>VD044</v>
      </c>
      <c r="I1577" s="2">
        <f>IFERROR(__xludf.DUMMYFUNCTION("""COMPUTED_VALUE"""),4.0)</f>
        <v>4</v>
      </c>
      <c r="J1577" s="2">
        <f>IFERROR(__xludf.DUMMYFUNCTION("""COMPUTED_VALUE"""),1038.8)</f>
        <v>1038.8</v>
      </c>
      <c r="K1577" s="2">
        <f>IFERROR(__xludf.DUMMYFUNCTION("""COMPUTED_VALUE"""),1038.8)</f>
        <v>1038.8</v>
      </c>
    </row>
    <row r="1578">
      <c r="A1578" s="2">
        <f>IFERROR(__xludf.DUMMYFUNCTION("""COMPUTED_VALUE"""),1000.0)</f>
        <v>1000</v>
      </c>
      <c r="B1578" s="2">
        <f>IFERROR(__xludf.DUMMYFUNCTION("""COMPUTED_VALUE"""),184590.0)</f>
        <v>184590</v>
      </c>
      <c r="C1578" s="2">
        <f>IFERROR(__xludf.DUMMYFUNCTION("""COMPUTED_VALUE"""),2026.0)</f>
        <v>2026</v>
      </c>
      <c r="D1578" s="2">
        <f>IFERROR(__xludf.DUMMYFUNCTION("""COMPUTED_VALUE"""),46056.0)</f>
        <v>46056</v>
      </c>
      <c r="E1578" s="2" t="str">
        <f>IFERROR(__xludf.DUMMYFUNCTION("""COMPUTED_VALUE"""),"VF")</f>
        <v>VF</v>
      </c>
      <c r="F1578" s="2">
        <f>IFERROR(__xludf.DUMMYFUNCTION("""COMPUTED_VALUE"""),1.0)</f>
        <v>1</v>
      </c>
      <c r="G1578" s="2" t="str">
        <f>IFERROR(__xludf.DUMMYFUNCTION("""COMPUTED_VALUE"""),"PR052")</f>
        <v>PR052</v>
      </c>
      <c r="H1578" s="2" t="str">
        <f>IFERROR(__xludf.DUMMYFUNCTION("""COMPUTED_VALUE"""),"VD044")</f>
        <v>VD044</v>
      </c>
      <c r="I1578" s="2">
        <f>IFERROR(__xludf.DUMMYFUNCTION("""COMPUTED_VALUE"""),16.0)</f>
        <v>16</v>
      </c>
      <c r="J1578" s="2">
        <f>IFERROR(__xludf.DUMMYFUNCTION("""COMPUTED_VALUE"""),814.37)</f>
        <v>814.37</v>
      </c>
      <c r="K1578" s="2">
        <f>IFERROR(__xludf.DUMMYFUNCTION("""COMPUTED_VALUE"""),814.37)</f>
        <v>814.37</v>
      </c>
    </row>
    <row r="1579">
      <c r="A1579" s="2">
        <f>IFERROR(__xludf.DUMMYFUNCTION("""COMPUTED_VALUE"""),1000.0)</f>
        <v>1000</v>
      </c>
      <c r="B1579" s="2">
        <f>IFERROR(__xludf.DUMMYFUNCTION("""COMPUTED_VALUE"""),184591.0)</f>
        <v>184591</v>
      </c>
      <c r="C1579" s="2">
        <f>IFERROR(__xludf.DUMMYFUNCTION("""COMPUTED_VALUE"""),2026.0)</f>
        <v>2026</v>
      </c>
      <c r="D1579" s="2">
        <f>IFERROR(__xludf.DUMMYFUNCTION("""COMPUTED_VALUE"""),46056.0)</f>
        <v>46056</v>
      </c>
      <c r="E1579" s="2" t="str">
        <f>IFERROR(__xludf.DUMMYFUNCTION("""COMPUTED_VALUE"""),"VF")</f>
        <v>VF</v>
      </c>
      <c r="F1579" s="2">
        <f>IFERROR(__xludf.DUMMYFUNCTION("""COMPUTED_VALUE"""),1.0)</f>
        <v>1</v>
      </c>
      <c r="G1579" s="2" t="str">
        <f>IFERROR(__xludf.DUMMYFUNCTION("""COMPUTED_VALUE"""),"PR005")</f>
        <v>PR005</v>
      </c>
      <c r="H1579" s="2" t="str">
        <f>IFERROR(__xludf.DUMMYFUNCTION("""COMPUTED_VALUE"""),"VD027")</f>
        <v>VD027</v>
      </c>
      <c r="I1579" s="2">
        <f>IFERROR(__xludf.DUMMYFUNCTION("""COMPUTED_VALUE"""),3.0)</f>
        <v>3</v>
      </c>
      <c r="J1579" s="2">
        <f>IFERROR(__xludf.DUMMYFUNCTION("""COMPUTED_VALUE"""),810.89)</f>
        <v>810.89</v>
      </c>
      <c r="K1579" s="2">
        <f>IFERROR(__xludf.DUMMYFUNCTION("""COMPUTED_VALUE"""),810.89)</f>
        <v>810.89</v>
      </c>
    </row>
    <row r="1580">
      <c r="A1580" s="2">
        <f>IFERROR(__xludf.DUMMYFUNCTION("""COMPUTED_VALUE"""),2000.0)</f>
        <v>2000</v>
      </c>
      <c r="B1580" s="2">
        <f>IFERROR(__xludf.DUMMYFUNCTION("""COMPUTED_VALUE"""),184592.0)</f>
        <v>184592</v>
      </c>
      <c r="C1580" s="2">
        <f>IFERROR(__xludf.DUMMYFUNCTION("""COMPUTED_VALUE"""),2026.0)</f>
        <v>2026</v>
      </c>
      <c r="D1580" s="2">
        <f>IFERROR(__xludf.DUMMYFUNCTION("""COMPUTED_VALUE"""),46056.0)</f>
        <v>46056</v>
      </c>
      <c r="E1580" s="2" t="str">
        <f>IFERROR(__xludf.DUMMYFUNCTION("""COMPUTED_VALUE"""),"VF")</f>
        <v>VF</v>
      </c>
      <c r="F1580" s="2">
        <f>IFERROR(__xludf.DUMMYFUNCTION("""COMPUTED_VALUE"""),1.0)</f>
        <v>1</v>
      </c>
      <c r="G1580" s="2" t="str">
        <f>IFERROR(__xludf.DUMMYFUNCTION("""COMPUTED_VALUE"""),"PR037")</f>
        <v>PR037</v>
      </c>
      <c r="H1580" s="2" t="str">
        <f>IFERROR(__xludf.DUMMYFUNCTION("""COMPUTED_VALUE"""),"VD045")</f>
        <v>VD045</v>
      </c>
      <c r="I1580" s="2">
        <f>IFERROR(__xludf.DUMMYFUNCTION("""COMPUTED_VALUE"""),9.0)</f>
        <v>9</v>
      </c>
      <c r="J1580" s="2">
        <f>IFERROR(__xludf.DUMMYFUNCTION("""COMPUTED_VALUE"""),1386.0)</f>
        <v>1386</v>
      </c>
      <c r="K1580" s="2">
        <f>IFERROR(__xludf.DUMMYFUNCTION("""COMPUTED_VALUE"""),1386.0)</f>
        <v>1386</v>
      </c>
    </row>
    <row r="1581">
      <c r="A1581" s="2">
        <f>IFERROR(__xludf.DUMMYFUNCTION("""COMPUTED_VALUE"""),1000.0)</f>
        <v>1000</v>
      </c>
      <c r="B1581" s="2">
        <f>IFERROR(__xludf.DUMMYFUNCTION("""COMPUTED_VALUE"""),184592.0)</f>
        <v>184592</v>
      </c>
      <c r="C1581" s="2">
        <f>IFERROR(__xludf.DUMMYFUNCTION("""COMPUTED_VALUE"""),2026.0)</f>
        <v>2026</v>
      </c>
      <c r="D1581" s="2">
        <f>IFERROR(__xludf.DUMMYFUNCTION("""COMPUTED_VALUE"""),46055.0)</f>
        <v>46055</v>
      </c>
      <c r="E1581" s="2" t="str">
        <f>IFERROR(__xludf.DUMMYFUNCTION("""COMPUTED_VALUE"""),"VF")</f>
        <v>VF</v>
      </c>
      <c r="F1581" s="2">
        <f>IFERROR(__xludf.DUMMYFUNCTION("""COMPUTED_VALUE"""),2.0)</f>
        <v>2</v>
      </c>
      <c r="G1581" s="2" t="str">
        <f>IFERROR(__xludf.DUMMYFUNCTION("""COMPUTED_VALUE"""),"PR014")</f>
        <v>PR014</v>
      </c>
      <c r="H1581" s="2" t="str">
        <f>IFERROR(__xludf.DUMMYFUNCTION("""COMPUTED_VALUE"""),"VD036")</f>
        <v>VD036</v>
      </c>
      <c r="I1581" s="2">
        <f>IFERROR(__xludf.DUMMYFUNCTION("""COMPUTED_VALUE"""),10.0)</f>
        <v>10</v>
      </c>
      <c r="J1581" s="2">
        <f>IFERROR(__xludf.DUMMYFUNCTION("""COMPUTED_VALUE"""),414.96)</f>
        <v>414.96</v>
      </c>
      <c r="K1581" s="2">
        <f>IFERROR(__xludf.DUMMYFUNCTION("""COMPUTED_VALUE"""),414.96)</f>
        <v>414.96</v>
      </c>
    </row>
    <row r="1582">
      <c r="A1582" s="2">
        <f>IFERROR(__xludf.DUMMYFUNCTION("""COMPUTED_VALUE"""),1000.0)</f>
        <v>1000</v>
      </c>
      <c r="B1582" s="2">
        <f>IFERROR(__xludf.DUMMYFUNCTION("""COMPUTED_VALUE"""),184593.0)</f>
        <v>184593</v>
      </c>
      <c r="C1582" s="2">
        <f>IFERROR(__xludf.DUMMYFUNCTION("""COMPUTED_VALUE"""),2026.0)</f>
        <v>2026</v>
      </c>
      <c r="D1582" s="2">
        <f>IFERROR(__xludf.DUMMYFUNCTION("""COMPUTED_VALUE"""),46055.0)</f>
        <v>46055</v>
      </c>
      <c r="E1582" s="2" t="str">
        <f>IFERROR(__xludf.DUMMYFUNCTION("""COMPUTED_VALUE"""),"VF")</f>
        <v>VF</v>
      </c>
      <c r="F1582" s="2">
        <f>IFERROR(__xludf.DUMMYFUNCTION("""COMPUTED_VALUE"""),1.0)</f>
        <v>1</v>
      </c>
      <c r="G1582" s="2" t="str">
        <f>IFERROR(__xludf.DUMMYFUNCTION("""COMPUTED_VALUE"""),"PR013")</f>
        <v>PR013</v>
      </c>
      <c r="H1582" s="2" t="str">
        <f>IFERROR(__xludf.DUMMYFUNCTION("""COMPUTED_VALUE"""),"VD036")</f>
        <v>VD036</v>
      </c>
      <c r="I1582" s="2">
        <f>IFERROR(__xludf.DUMMYFUNCTION("""COMPUTED_VALUE"""),16.0)</f>
        <v>16</v>
      </c>
      <c r="J1582" s="2">
        <f>IFERROR(__xludf.DUMMYFUNCTION("""COMPUTED_VALUE"""),670.32)</f>
        <v>670.32</v>
      </c>
      <c r="K1582" s="2">
        <f>IFERROR(__xludf.DUMMYFUNCTION("""COMPUTED_VALUE"""),670.32)</f>
        <v>670.32</v>
      </c>
    </row>
    <row r="1583">
      <c r="A1583" s="2">
        <f>IFERROR(__xludf.DUMMYFUNCTION("""COMPUTED_VALUE"""),2000.0)</f>
        <v>2000</v>
      </c>
      <c r="B1583" s="2">
        <f>IFERROR(__xludf.DUMMYFUNCTION("""COMPUTED_VALUE"""),184593.0)</f>
        <v>184593</v>
      </c>
      <c r="C1583" s="2">
        <f>IFERROR(__xludf.DUMMYFUNCTION("""COMPUTED_VALUE"""),2026.0)</f>
        <v>2026</v>
      </c>
      <c r="D1583" s="2">
        <f>IFERROR(__xludf.DUMMYFUNCTION("""COMPUTED_VALUE"""),46055.0)</f>
        <v>46055</v>
      </c>
      <c r="E1583" s="2" t="str">
        <f>IFERROR(__xludf.DUMMYFUNCTION("""COMPUTED_VALUE"""),"VF")</f>
        <v>VF</v>
      </c>
      <c r="F1583" s="2">
        <f>IFERROR(__xludf.DUMMYFUNCTION("""COMPUTED_VALUE"""),2.0)</f>
        <v>2</v>
      </c>
      <c r="G1583" s="2" t="str">
        <f>IFERROR(__xludf.DUMMYFUNCTION("""COMPUTED_VALUE"""),"PR001")</f>
        <v>PR001</v>
      </c>
      <c r="H1583" s="2" t="str">
        <f>IFERROR(__xludf.DUMMYFUNCTION("""COMPUTED_VALUE"""),"VD030")</f>
        <v>VD030</v>
      </c>
      <c r="I1583" s="2">
        <f>IFERROR(__xludf.DUMMYFUNCTION("""COMPUTED_VALUE"""),20.0)</f>
        <v>20</v>
      </c>
      <c r="J1583" s="2">
        <f>IFERROR(__xludf.DUMMYFUNCTION("""COMPUTED_VALUE"""),1423.44)</f>
        <v>1423.44</v>
      </c>
      <c r="K1583" s="2">
        <f>IFERROR(__xludf.DUMMYFUNCTION("""COMPUTED_VALUE"""),1423.44)</f>
        <v>1423.44</v>
      </c>
    </row>
    <row r="1584">
      <c r="A1584" s="2">
        <f>IFERROR(__xludf.DUMMYFUNCTION("""COMPUTED_VALUE"""),1000.0)</f>
        <v>1000</v>
      </c>
      <c r="B1584" s="2">
        <f>IFERROR(__xludf.DUMMYFUNCTION("""COMPUTED_VALUE"""),184594.0)</f>
        <v>184594</v>
      </c>
      <c r="C1584" s="2">
        <f>IFERROR(__xludf.DUMMYFUNCTION("""COMPUTED_VALUE"""),2026.0)</f>
        <v>2026</v>
      </c>
      <c r="D1584" s="2">
        <f>IFERROR(__xludf.DUMMYFUNCTION("""COMPUTED_VALUE"""),46055.0)</f>
        <v>46055</v>
      </c>
      <c r="E1584" s="2" t="str">
        <f>IFERROR(__xludf.DUMMYFUNCTION("""COMPUTED_VALUE"""),"VF")</f>
        <v>VF</v>
      </c>
      <c r="F1584" s="2">
        <f>IFERROR(__xludf.DUMMYFUNCTION("""COMPUTED_VALUE"""),1.0)</f>
        <v>1</v>
      </c>
      <c r="G1584" s="2" t="str">
        <f>IFERROR(__xludf.DUMMYFUNCTION("""COMPUTED_VALUE"""),"PR029")</f>
        <v>PR029</v>
      </c>
      <c r="H1584" s="2" t="str">
        <f>IFERROR(__xludf.DUMMYFUNCTION("""COMPUTED_VALUE"""),"VD024")</f>
        <v>VD024</v>
      </c>
      <c r="I1584" s="2">
        <f>IFERROR(__xludf.DUMMYFUNCTION("""COMPUTED_VALUE"""),4.0)</f>
        <v>4</v>
      </c>
      <c r="J1584" s="2">
        <f>IFERROR(__xludf.DUMMYFUNCTION("""COMPUTED_VALUE"""),1060.8)</f>
        <v>1060.8</v>
      </c>
      <c r="K1584" s="2">
        <f>IFERROR(__xludf.DUMMYFUNCTION("""COMPUTED_VALUE"""),1060.8)</f>
        <v>1060.8</v>
      </c>
    </row>
    <row r="1585">
      <c r="A1585" s="2">
        <f>IFERROR(__xludf.DUMMYFUNCTION("""COMPUTED_VALUE"""),1000.0)</f>
        <v>1000</v>
      </c>
      <c r="B1585" s="2">
        <f>IFERROR(__xludf.DUMMYFUNCTION("""COMPUTED_VALUE"""),184595.0)</f>
        <v>184595</v>
      </c>
      <c r="C1585" s="2">
        <f>IFERROR(__xludf.DUMMYFUNCTION("""COMPUTED_VALUE"""),2026.0)</f>
        <v>2026</v>
      </c>
      <c r="D1585" s="2">
        <f>IFERROR(__xludf.DUMMYFUNCTION("""COMPUTED_VALUE"""),46054.0)</f>
        <v>46054</v>
      </c>
      <c r="E1585" s="2" t="str">
        <f>IFERROR(__xludf.DUMMYFUNCTION("""COMPUTED_VALUE"""),"VF")</f>
        <v>VF</v>
      </c>
      <c r="F1585" s="2">
        <f>IFERROR(__xludf.DUMMYFUNCTION("""COMPUTED_VALUE"""),1.0)</f>
        <v>1</v>
      </c>
      <c r="G1585" s="2" t="str">
        <f>IFERROR(__xludf.DUMMYFUNCTION("""COMPUTED_VALUE"""),"PR008")</f>
        <v>PR008</v>
      </c>
      <c r="H1585" s="2" t="str">
        <f>IFERROR(__xludf.DUMMYFUNCTION("""COMPUTED_VALUE"""),"VD014")</f>
        <v>VD014</v>
      </c>
      <c r="I1585" s="2">
        <f>IFERROR(__xludf.DUMMYFUNCTION("""COMPUTED_VALUE"""),10.0)</f>
        <v>10</v>
      </c>
      <c r="J1585" s="2">
        <f>IFERROR(__xludf.DUMMYFUNCTION("""COMPUTED_VALUE"""),899.0)</f>
        <v>899</v>
      </c>
      <c r="K1585" s="2">
        <f>IFERROR(__xludf.DUMMYFUNCTION("""COMPUTED_VALUE"""),899.0)</f>
        <v>899</v>
      </c>
    </row>
    <row r="1586">
      <c r="A1586" s="2">
        <f>IFERROR(__xludf.DUMMYFUNCTION("""COMPUTED_VALUE"""),1000.0)</f>
        <v>1000</v>
      </c>
      <c r="B1586" s="2">
        <f>IFERROR(__xludf.DUMMYFUNCTION("""COMPUTED_VALUE"""),184596.0)</f>
        <v>184596</v>
      </c>
      <c r="C1586" s="2">
        <f>IFERROR(__xludf.DUMMYFUNCTION("""COMPUTED_VALUE"""),2026.0)</f>
        <v>2026</v>
      </c>
      <c r="D1586" s="2">
        <f>IFERROR(__xludf.DUMMYFUNCTION("""COMPUTED_VALUE"""),46054.0)</f>
        <v>46054</v>
      </c>
      <c r="E1586" s="2" t="str">
        <f>IFERROR(__xludf.DUMMYFUNCTION("""COMPUTED_VALUE"""),"VF")</f>
        <v>VF</v>
      </c>
      <c r="F1586" s="2">
        <f>IFERROR(__xludf.DUMMYFUNCTION("""COMPUTED_VALUE"""),1.0)</f>
        <v>1</v>
      </c>
      <c r="G1586" s="2" t="str">
        <f>IFERROR(__xludf.DUMMYFUNCTION("""COMPUTED_VALUE"""),"PR004")</f>
        <v>PR004</v>
      </c>
      <c r="H1586" s="2" t="str">
        <f>IFERROR(__xludf.DUMMYFUNCTION("""COMPUTED_VALUE"""),"VD042")</f>
        <v>VD042</v>
      </c>
      <c r="I1586" s="2">
        <f>IFERROR(__xludf.DUMMYFUNCTION("""COMPUTED_VALUE"""),2.0)</f>
        <v>2</v>
      </c>
      <c r="J1586" s="2">
        <f>IFERROR(__xludf.DUMMYFUNCTION("""COMPUTED_VALUE"""),301.6)</f>
        <v>301.6</v>
      </c>
      <c r="K1586" s="2">
        <f>IFERROR(__xludf.DUMMYFUNCTION("""COMPUTED_VALUE"""),301.6)</f>
        <v>301.6</v>
      </c>
    </row>
    <row r="1587">
      <c r="A1587" s="2">
        <f>IFERROR(__xludf.DUMMYFUNCTION("""COMPUTED_VALUE"""),1000.0)</f>
        <v>1000</v>
      </c>
      <c r="B1587" s="2">
        <f>IFERROR(__xludf.DUMMYFUNCTION("""COMPUTED_VALUE"""),184596.0)</f>
        <v>184596</v>
      </c>
      <c r="C1587" s="2">
        <f>IFERROR(__xludf.DUMMYFUNCTION("""COMPUTED_VALUE"""),2026.0)</f>
        <v>2026</v>
      </c>
      <c r="D1587" s="2">
        <f>IFERROR(__xludf.DUMMYFUNCTION("""COMPUTED_VALUE"""),46054.0)</f>
        <v>46054</v>
      </c>
      <c r="E1587" s="2" t="str">
        <f>IFERROR(__xludf.DUMMYFUNCTION("""COMPUTED_VALUE"""),"VF")</f>
        <v>VF</v>
      </c>
      <c r="F1587" s="2">
        <f>IFERROR(__xludf.DUMMYFUNCTION("""COMPUTED_VALUE"""),2.0)</f>
        <v>2</v>
      </c>
      <c r="G1587" s="2" t="str">
        <f>IFERROR(__xludf.DUMMYFUNCTION("""COMPUTED_VALUE"""),"PR007")</f>
        <v>PR007</v>
      </c>
      <c r="H1587" s="2" t="str">
        <f>IFERROR(__xludf.DUMMYFUNCTION("""COMPUTED_VALUE"""),"VD045")</f>
        <v>VD045</v>
      </c>
      <c r="I1587" s="2">
        <f>IFERROR(__xludf.DUMMYFUNCTION("""COMPUTED_VALUE"""),14.0)</f>
        <v>14</v>
      </c>
      <c r="J1587" s="2">
        <f>IFERROR(__xludf.DUMMYFUNCTION("""COMPUTED_VALUE"""),1226.65)</f>
        <v>1226.65</v>
      </c>
      <c r="K1587" s="2">
        <f>IFERROR(__xludf.DUMMYFUNCTION("""COMPUTED_VALUE"""),1226.65)</f>
        <v>1226.65</v>
      </c>
    </row>
    <row r="1588">
      <c r="A1588" s="2">
        <f>IFERROR(__xludf.DUMMYFUNCTION("""COMPUTED_VALUE"""),1000.0)</f>
        <v>1000</v>
      </c>
      <c r="B1588" s="2">
        <f>IFERROR(__xludf.DUMMYFUNCTION("""COMPUTED_VALUE"""),184597.0)</f>
        <v>184597</v>
      </c>
      <c r="C1588" s="2">
        <f>IFERROR(__xludf.DUMMYFUNCTION("""COMPUTED_VALUE"""),2026.0)</f>
        <v>2026</v>
      </c>
      <c r="D1588" s="2">
        <f>IFERROR(__xludf.DUMMYFUNCTION("""COMPUTED_VALUE"""),46054.0)</f>
        <v>46054</v>
      </c>
      <c r="E1588" s="2" t="str">
        <f>IFERROR(__xludf.DUMMYFUNCTION("""COMPUTED_VALUE"""),"VF")</f>
        <v>VF</v>
      </c>
      <c r="F1588" s="2">
        <f>IFERROR(__xludf.DUMMYFUNCTION("""COMPUTED_VALUE"""),1.0)</f>
        <v>1</v>
      </c>
      <c r="G1588" s="2" t="str">
        <f>IFERROR(__xludf.DUMMYFUNCTION("""COMPUTED_VALUE"""),"PR060")</f>
        <v>PR060</v>
      </c>
      <c r="H1588" s="2" t="str">
        <f>IFERROR(__xludf.DUMMYFUNCTION("""COMPUTED_VALUE"""),"VD011")</f>
        <v>VD011</v>
      </c>
      <c r="I1588" s="2">
        <f>IFERROR(__xludf.DUMMYFUNCTION("""COMPUTED_VALUE"""),10.0)</f>
        <v>10</v>
      </c>
      <c r="J1588" s="2">
        <f>IFERROR(__xludf.DUMMYFUNCTION("""COMPUTED_VALUE"""),1926.0)</f>
        <v>1926</v>
      </c>
      <c r="K1588" s="2">
        <f>IFERROR(__xludf.DUMMYFUNCTION("""COMPUTED_VALUE"""),1926.0)</f>
        <v>1926</v>
      </c>
    </row>
    <row r="1589">
      <c r="A1589" s="2">
        <f>IFERROR(__xludf.DUMMYFUNCTION("""COMPUTED_VALUE"""),1000.0)</f>
        <v>1000</v>
      </c>
      <c r="B1589" s="2">
        <f>IFERROR(__xludf.DUMMYFUNCTION("""COMPUTED_VALUE"""),184598.0)</f>
        <v>184598</v>
      </c>
      <c r="C1589" s="2">
        <f>IFERROR(__xludf.DUMMYFUNCTION("""COMPUTED_VALUE"""),2026.0)</f>
        <v>2026</v>
      </c>
      <c r="D1589" s="2">
        <f>IFERROR(__xludf.DUMMYFUNCTION("""COMPUTED_VALUE"""),46054.0)</f>
        <v>46054</v>
      </c>
      <c r="E1589" s="2" t="str">
        <f>IFERROR(__xludf.DUMMYFUNCTION("""COMPUTED_VALUE"""),"VF")</f>
        <v>VF</v>
      </c>
      <c r="F1589" s="2">
        <f>IFERROR(__xludf.DUMMYFUNCTION("""COMPUTED_VALUE"""),1.0)</f>
        <v>1</v>
      </c>
      <c r="G1589" s="2" t="str">
        <f>IFERROR(__xludf.DUMMYFUNCTION("""COMPUTED_VALUE"""),"PR057")</f>
        <v>PR057</v>
      </c>
      <c r="H1589" s="2" t="str">
        <f>IFERROR(__xludf.DUMMYFUNCTION("""COMPUTED_VALUE"""),"VD036")</f>
        <v>VD036</v>
      </c>
      <c r="I1589" s="2">
        <f>IFERROR(__xludf.DUMMYFUNCTION("""COMPUTED_VALUE"""),10.0)</f>
        <v>10</v>
      </c>
      <c r="J1589" s="2">
        <f>IFERROR(__xludf.DUMMYFUNCTION("""COMPUTED_VALUE"""),979.91)</f>
        <v>979.91</v>
      </c>
      <c r="K1589" s="2">
        <f>IFERROR(__xludf.DUMMYFUNCTION("""COMPUTED_VALUE"""),979.91)</f>
        <v>979.91</v>
      </c>
    </row>
    <row r="1590">
      <c r="A1590" s="2">
        <f>IFERROR(__xludf.DUMMYFUNCTION("""COMPUTED_VALUE"""),1000.0)</f>
        <v>1000</v>
      </c>
      <c r="B1590" s="2">
        <f>IFERROR(__xludf.DUMMYFUNCTION("""COMPUTED_VALUE"""),184599.0)</f>
        <v>184599</v>
      </c>
      <c r="C1590" s="2">
        <f>IFERROR(__xludf.DUMMYFUNCTION("""COMPUTED_VALUE"""),2026.0)</f>
        <v>2026</v>
      </c>
      <c r="D1590" s="2">
        <f>IFERROR(__xludf.DUMMYFUNCTION("""COMPUTED_VALUE"""),46053.0)</f>
        <v>46053</v>
      </c>
      <c r="E1590" s="2" t="str">
        <f>IFERROR(__xludf.DUMMYFUNCTION("""COMPUTED_VALUE"""),"VF")</f>
        <v>VF</v>
      </c>
      <c r="F1590" s="2">
        <f>IFERROR(__xludf.DUMMYFUNCTION("""COMPUTED_VALUE"""),1.0)</f>
        <v>1</v>
      </c>
      <c r="G1590" s="2" t="str">
        <f>IFERROR(__xludf.DUMMYFUNCTION("""COMPUTED_VALUE"""),"PR036")</f>
        <v>PR036</v>
      </c>
      <c r="H1590" s="2" t="str">
        <f>IFERROR(__xludf.DUMMYFUNCTION("""COMPUTED_VALUE"""),"VD017")</f>
        <v>VD017</v>
      </c>
      <c r="I1590" s="2">
        <f>IFERROR(__xludf.DUMMYFUNCTION("""COMPUTED_VALUE"""),10.0)</f>
        <v>10</v>
      </c>
      <c r="J1590" s="2">
        <f>IFERROR(__xludf.DUMMYFUNCTION("""COMPUTED_VALUE"""),981.75)</f>
        <v>981.75</v>
      </c>
      <c r="K1590" s="2">
        <f>IFERROR(__xludf.DUMMYFUNCTION("""COMPUTED_VALUE"""),981.75)</f>
        <v>981.75</v>
      </c>
    </row>
    <row r="1591">
      <c r="A1591" s="2">
        <f>IFERROR(__xludf.DUMMYFUNCTION("""COMPUTED_VALUE"""),1000.0)</f>
        <v>1000</v>
      </c>
      <c r="B1591" s="2">
        <f>IFERROR(__xludf.DUMMYFUNCTION("""COMPUTED_VALUE"""),184599.0)</f>
        <v>184599</v>
      </c>
      <c r="C1591" s="2">
        <f>IFERROR(__xludf.DUMMYFUNCTION("""COMPUTED_VALUE"""),2026.0)</f>
        <v>2026</v>
      </c>
      <c r="D1591" s="2">
        <f>IFERROR(__xludf.DUMMYFUNCTION("""COMPUTED_VALUE"""),46053.0)</f>
        <v>46053</v>
      </c>
      <c r="E1591" s="2" t="str">
        <f>IFERROR(__xludf.DUMMYFUNCTION("""COMPUTED_VALUE"""),"VF")</f>
        <v>VF</v>
      </c>
      <c r="F1591" s="2">
        <f>IFERROR(__xludf.DUMMYFUNCTION("""COMPUTED_VALUE"""),2.0)</f>
        <v>2</v>
      </c>
      <c r="G1591" s="2" t="str">
        <f>IFERROR(__xludf.DUMMYFUNCTION("""COMPUTED_VALUE"""),"PR045")</f>
        <v>PR045</v>
      </c>
      <c r="H1591" s="2" t="str">
        <f>IFERROR(__xludf.DUMMYFUNCTION("""COMPUTED_VALUE"""),"VD019")</f>
        <v>VD019</v>
      </c>
      <c r="I1591" s="2">
        <f>IFERROR(__xludf.DUMMYFUNCTION("""COMPUTED_VALUE"""),4.0)</f>
        <v>4</v>
      </c>
      <c r="J1591" s="2">
        <f>IFERROR(__xludf.DUMMYFUNCTION("""COMPUTED_VALUE"""),292.9)</f>
        <v>292.9</v>
      </c>
      <c r="K1591" s="2">
        <f>IFERROR(__xludf.DUMMYFUNCTION("""COMPUTED_VALUE"""),292.9)</f>
        <v>292.9</v>
      </c>
    </row>
    <row r="1592">
      <c r="A1592" s="2">
        <f>IFERROR(__xludf.DUMMYFUNCTION("""COMPUTED_VALUE"""),1000.0)</f>
        <v>1000</v>
      </c>
      <c r="B1592" s="2">
        <f>IFERROR(__xludf.DUMMYFUNCTION("""COMPUTED_VALUE"""),184600.0)</f>
        <v>184600</v>
      </c>
      <c r="C1592" s="2">
        <f>IFERROR(__xludf.DUMMYFUNCTION("""COMPUTED_VALUE"""),2026.0)</f>
        <v>2026</v>
      </c>
      <c r="D1592" s="2">
        <f>IFERROR(__xludf.DUMMYFUNCTION("""COMPUTED_VALUE"""),46053.0)</f>
        <v>46053</v>
      </c>
      <c r="E1592" s="2" t="str">
        <f>IFERROR(__xludf.DUMMYFUNCTION("""COMPUTED_VALUE"""),"VF")</f>
        <v>VF</v>
      </c>
      <c r="F1592" s="2">
        <f>IFERROR(__xludf.DUMMYFUNCTION("""COMPUTED_VALUE"""),1.0)</f>
        <v>1</v>
      </c>
      <c r="G1592" s="2" t="str">
        <f>IFERROR(__xludf.DUMMYFUNCTION("""COMPUTED_VALUE"""),"PR058")</f>
        <v>PR058</v>
      </c>
      <c r="H1592" s="2" t="str">
        <f>IFERROR(__xludf.DUMMYFUNCTION("""COMPUTED_VALUE"""),"VD029")</f>
        <v>VD029</v>
      </c>
      <c r="I1592" s="2">
        <f>IFERROR(__xludf.DUMMYFUNCTION("""COMPUTED_VALUE"""),18.0)</f>
        <v>18</v>
      </c>
      <c r="J1592" s="2">
        <f>IFERROR(__xludf.DUMMYFUNCTION("""COMPUTED_VALUE"""),3434.4)</f>
        <v>3434.4</v>
      </c>
      <c r="K1592" s="2">
        <f>IFERROR(__xludf.DUMMYFUNCTION("""COMPUTED_VALUE"""),3434.4)</f>
        <v>3434.4</v>
      </c>
    </row>
    <row r="1593">
      <c r="A1593" s="2">
        <f>IFERROR(__xludf.DUMMYFUNCTION("""COMPUTED_VALUE"""),1000.0)</f>
        <v>1000</v>
      </c>
      <c r="B1593" s="2">
        <f>IFERROR(__xludf.DUMMYFUNCTION("""COMPUTED_VALUE"""),184600.0)</f>
        <v>184600</v>
      </c>
      <c r="C1593" s="2">
        <f>IFERROR(__xludf.DUMMYFUNCTION("""COMPUTED_VALUE"""),2026.0)</f>
        <v>2026</v>
      </c>
      <c r="D1593" s="2">
        <f>IFERROR(__xludf.DUMMYFUNCTION("""COMPUTED_VALUE"""),46053.0)</f>
        <v>46053</v>
      </c>
      <c r="E1593" s="2" t="str">
        <f>IFERROR(__xludf.DUMMYFUNCTION("""COMPUTED_VALUE"""),"VF")</f>
        <v>VF</v>
      </c>
      <c r="F1593" s="2">
        <f>IFERROR(__xludf.DUMMYFUNCTION("""COMPUTED_VALUE"""),2.0)</f>
        <v>2</v>
      </c>
      <c r="G1593" s="2" t="str">
        <f>IFERROR(__xludf.DUMMYFUNCTION("""COMPUTED_VALUE"""),"PR010")</f>
        <v>PR010</v>
      </c>
      <c r="H1593" s="2" t="str">
        <f>IFERROR(__xludf.DUMMYFUNCTION("""COMPUTED_VALUE"""),"VD046")</f>
        <v>VD046</v>
      </c>
      <c r="I1593" s="2">
        <f>IFERROR(__xludf.DUMMYFUNCTION("""COMPUTED_VALUE"""),14.0)</f>
        <v>14</v>
      </c>
      <c r="J1593" s="2">
        <f>IFERROR(__xludf.DUMMYFUNCTION("""COMPUTED_VALUE"""),666.32)</f>
        <v>666.32</v>
      </c>
      <c r="K1593" s="2">
        <f>IFERROR(__xludf.DUMMYFUNCTION("""COMPUTED_VALUE"""),666.32)</f>
        <v>666.32</v>
      </c>
    </row>
    <row r="1594">
      <c r="A1594" s="2">
        <f>IFERROR(__xludf.DUMMYFUNCTION("""COMPUTED_VALUE"""),1000.0)</f>
        <v>1000</v>
      </c>
      <c r="B1594" s="2">
        <f>IFERROR(__xludf.DUMMYFUNCTION("""COMPUTED_VALUE"""),184601.0)</f>
        <v>184601</v>
      </c>
      <c r="C1594" s="2">
        <f>IFERROR(__xludf.DUMMYFUNCTION("""COMPUTED_VALUE"""),2026.0)</f>
        <v>2026</v>
      </c>
      <c r="D1594" s="2">
        <f>IFERROR(__xludf.DUMMYFUNCTION("""COMPUTED_VALUE"""),46052.0)</f>
        <v>46052</v>
      </c>
      <c r="E1594" s="2" t="str">
        <f>IFERROR(__xludf.DUMMYFUNCTION("""COMPUTED_VALUE"""),"VF")</f>
        <v>VF</v>
      </c>
      <c r="F1594" s="2">
        <f>IFERROR(__xludf.DUMMYFUNCTION("""COMPUTED_VALUE"""),1.0)</f>
        <v>1</v>
      </c>
      <c r="G1594" s="2" t="str">
        <f>IFERROR(__xludf.DUMMYFUNCTION("""COMPUTED_VALUE"""),"PR036")</f>
        <v>PR036</v>
      </c>
      <c r="H1594" s="2" t="str">
        <f>IFERROR(__xludf.DUMMYFUNCTION("""COMPUTED_VALUE"""),"VD017")</f>
        <v>VD017</v>
      </c>
      <c r="I1594" s="2">
        <f>IFERROR(__xludf.DUMMYFUNCTION("""COMPUTED_VALUE"""),5.0)</f>
        <v>5</v>
      </c>
      <c r="J1594" s="2">
        <f>IFERROR(__xludf.DUMMYFUNCTION("""COMPUTED_VALUE"""),486.2)</f>
        <v>486.2</v>
      </c>
      <c r="K1594" s="2">
        <f>IFERROR(__xludf.DUMMYFUNCTION("""COMPUTED_VALUE"""),486.2)</f>
        <v>486.2</v>
      </c>
    </row>
    <row r="1595">
      <c r="A1595" s="2">
        <f>IFERROR(__xludf.DUMMYFUNCTION("""COMPUTED_VALUE"""),1000.0)</f>
        <v>1000</v>
      </c>
      <c r="B1595" s="2">
        <f>IFERROR(__xludf.DUMMYFUNCTION("""COMPUTED_VALUE"""),184602.0)</f>
        <v>184602</v>
      </c>
      <c r="C1595" s="2">
        <f>IFERROR(__xludf.DUMMYFUNCTION("""COMPUTED_VALUE"""),2026.0)</f>
        <v>2026</v>
      </c>
      <c r="D1595" s="2">
        <f>IFERROR(__xludf.DUMMYFUNCTION("""COMPUTED_VALUE"""),46052.0)</f>
        <v>46052</v>
      </c>
      <c r="E1595" s="2" t="str">
        <f>IFERROR(__xludf.DUMMYFUNCTION("""COMPUTED_VALUE"""),"VF")</f>
        <v>VF</v>
      </c>
      <c r="F1595" s="2">
        <f>IFERROR(__xludf.DUMMYFUNCTION("""COMPUTED_VALUE"""),1.0)</f>
        <v>1</v>
      </c>
      <c r="G1595" s="2" t="str">
        <f>IFERROR(__xludf.DUMMYFUNCTION("""COMPUTED_VALUE"""),"PR014")</f>
        <v>PR014</v>
      </c>
      <c r="H1595" s="2" t="str">
        <f>IFERROR(__xludf.DUMMYFUNCTION("""COMPUTED_VALUE"""),"VD048")</f>
        <v>VD048</v>
      </c>
      <c r="I1595" s="2">
        <f>IFERROR(__xludf.DUMMYFUNCTION("""COMPUTED_VALUE"""),4.0)</f>
        <v>4</v>
      </c>
      <c r="J1595" s="2">
        <f>IFERROR(__xludf.DUMMYFUNCTION("""COMPUTED_VALUE"""),172.37)</f>
        <v>172.37</v>
      </c>
      <c r="K1595" s="2">
        <f>IFERROR(__xludf.DUMMYFUNCTION("""COMPUTED_VALUE"""),172.37)</f>
        <v>172.37</v>
      </c>
    </row>
    <row r="1596">
      <c r="A1596" s="2">
        <f>IFERROR(__xludf.DUMMYFUNCTION("""COMPUTED_VALUE"""),1000.0)</f>
        <v>1000</v>
      </c>
      <c r="B1596" s="2">
        <f>IFERROR(__xludf.DUMMYFUNCTION("""COMPUTED_VALUE"""),184603.0)</f>
        <v>184603</v>
      </c>
      <c r="C1596" s="2">
        <f>IFERROR(__xludf.DUMMYFUNCTION("""COMPUTED_VALUE"""),2026.0)</f>
        <v>2026</v>
      </c>
      <c r="D1596" s="2">
        <f>IFERROR(__xludf.DUMMYFUNCTION("""COMPUTED_VALUE"""),46052.0)</f>
        <v>46052</v>
      </c>
      <c r="E1596" s="2" t="str">
        <f>IFERROR(__xludf.DUMMYFUNCTION("""COMPUTED_VALUE"""),"VF")</f>
        <v>VF</v>
      </c>
      <c r="F1596" s="2">
        <f>IFERROR(__xludf.DUMMYFUNCTION("""COMPUTED_VALUE"""),1.0)</f>
        <v>1</v>
      </c>
      <c r="G1596" s="2" t="str">
        <f>IFERROR(__xludf.DUMMYFUNCTION("""COMPUTED_VALUE"""),"PR041")</f>
        <v>PR041</v>
      </c>
      <c r="H1596" s="2" t="str">
        <f>IFERROR(__xludf.DUMMYFUNCTION("""COMPUTED_VALUE"""),"VD042")</f>
        <v>VD042</v>
      </c>
      <c r="I1596" s="2">
        <f>IFERROR(__xludf.DUMMYFUNCTION("""COMPUTED_VALUE"""),2.0)</f>
        <v>2</v>
      </c>
      <c r="J1596" s="2">
        <f>IFERROR(__xludf.DUMMYFUNCTION("""COMPUTED_VALUE"""),120.78)</f>
        <v>120.78</v>
      </c>
      <c r="K1596" s="2">
        <f>IFERROR(__xludf.DUMMYFUNCTION("""COMPUTED_VALUE"""),120.78)</f>
        <v>120.78</v>
      </c>
    </row>
    <row r="1597">
      <c r="A1597" s="2">
        <f>IFERROR(__xludf.DUMMYFUNCTION("""COMPUTED_VALUE"""),1000.0)</f>
        <v>1000</v>
      </c>
      <c r="B1597" s="2">
        <f>IFERROR(__xludf.DUMMYFUNCTION("""COMPUTED_VALUE"""),184604.0)</f>
        <v>184604</v>
      </c>
      <c r="C1597" s="2">
        <f>IFERROR(__xludf.DUMMYFUNCTION("""COMPUTED_VALUE"""),2026.0)</f>
        <v>2026</v>
      </c>
      <c r="D1597" s="2">
        <f>IFERROR(__xludf.DUMMYFUNCTION("""COMPUTED_VALUE"""),46052.0)</f>
        <v>46052</v>
      </c>
      <c r="E1597" s="2" t="str">
        <f>IFERROR(__xludf.DUMMYFUNCTION("""COMPUTED_VALUE"""),"VF")</f>
        <v>VF</v>
      </c>
      <c r="F1597" s="2">
        <f>IFERROR(__xludf.DUMMYFUNCTION("""COMPUTED_VALUE"""),1.0)</f>
        <v>1</v>
      </c>
      <c r="G1597" s="2" t="str">
        <f>IFERROR(__xludf.DUMMYFUNCTION("""COMPUTED_VALUE"""),"PR019")</f>
        <v>PR019</v>
      </c>
      <c r="H1597" s="2" t="str">
        <f>IFERROR(__xludf.DUMMYFUNCTION("""COMPUTED_VALUE"""),"VD034")</f>
        <v>VD034</v>
      </c>
      <c r="I1597" s="2">
        <f>IFERROR(__xludf.DUMMYFUNCTION("""COMPUTED_VALUE"""),7.0)</f>
        <v>7</v>
      </c>
      <c r="J1597" s="2">
        <f>IFERROR(__xludf.DUMMYFUNCTION("""COMPUTED_VALUE"""),373.75)</f>
        <v>373.75</v>
      </c>
      <c r="K1597" s="2">
        <f>IFERROR(__xludf.DUMMYFUNCTION("""COMPUTED_VALUE"""),373.75)</f>
        <v>373.75</v>
      </c>
    </row>
    <row r="1598">
      <c r="A1598" s="2">
        <f>IFERROR(__xludf.DUMMYFUNCTION("""COMPUTED_VALUE"""),1000.0)</f>
        <v>1000</v>
      </c>
      <c r="B1598" s="2">
        <f>IFERROR(__xludf.DUMMYFUNCTION("""COMPUTED_VALUE"""),184605.0)</f>
        <v>184605</v>
      </c>
      <c r="C1598" s="2">
        <f>IFERROR(__xludf.DUMMYFUNCTION("""COMPUTED_VALUE"""),2026.0)</f>
        <v>2026</v>
      </c>
      <c r="D1598" s="2">
        <f>IFERROR(__xludf.DUMMYFUNCTION("""COMPUTED_VALUE"""),46052.0)</f>
        <v>46052</v>
      </c>
      <c r="E1598" s="2" t="str">
        <f>IFERROR(__xludf.DUMMYFUNCTION("""COMPUTED_VALUE"""),"VF")</f>
        <v>VF</v>
      </c>
      <c r="F1598" s="2">
        <f>IFERROR(__xludf.DUMMYFUNCTION("""COMPUTED_VALUE"""),1.0)</f>
        <v>1</v>
      </c>
      <c r="G1598" s="2" t="str">
        <f>IFERROR(__xludf.DUMMYFUNCTION("""COMPUTED_VALUE"""),"PR024")</f>
        <v>PR024</v>
      </c>
      <c r="H1598" s="2" t="str">
        <f>IFERROR(__xludf.DUMMYFUNCTION("""COMPUTED_VALUE"""),"VD048")</f>
        <v>VD048</v>
      </c>
      <c r="I1598" s="2">
        <f>IFERROR(__xludf.DUMMYFUNCTION("""COMPUTED_VALUE"""),3.0)</f>
        <v>3</v>
      </c>
      <c r="J1598" s="2">
        <f>IFERROR(__xludf.DUMMYFUNCTION("""COMPUTED_VALUE"""),795.29)</f>
        <v>795.29</v>
      </c>
      <c r="K1598" s="2">
        <f>IFERROR(__xludf.DUMMYFUNCTION("""COMPUTED_VALUE"""),795.29)</f>
        <v>795.29</v>
      </c>
    </row>
    <row r="1599">
      <c r="A1599" s="2">
        <f>IFERROR(__xludf.DUMMYFUNCTION("""COMPUTED_VALUE"""),1000.0)</f>
        <v>1000</v>
      </c>
      <c r="B1599" s="2">
        <f>IFERROR(__xludf.DUMMYFUNCTION("""COMPUTED_VALUE"""),184606.0)</f>
        <v>184606</v>
      </c>
      <c r="C1599" s="2">
        <f>IFERROR(__xludf.DUMMYFUNCTION("""COMPUTED_VALUE"""),2026.0)</f>
        <v>2026</v>
      </c>
      <c r="D1599" s="2">
        <f>IFERROR(__xludf.DUMMYFUNCTION("""COMPUTED_VALUE"""),46051.0)</f>
        <v>46051</v>
      </c>
      <c r="E1599" s="2" t="str">
        <f>IFERROR(__xludf.DUMMYFUNCTION("""COMPUTED_VALUE"""),"VF")</f>
        <v>VF</v>
      </c>
      <c r="F1599" s="2">
        <f>IFERROR(__xludf.DUMMYFUNCTION("""COMPUTED_VALUE"""),1.0)</f>
        <v>1</v>
      </c>
      <c r="G1599" s="2" t="str">
        <f>IFERROR(__xludf.DUMMYFUNCTION("""COMPUTED_VALUE"""),"PR044")</f>
        <v>PR044</v>
      </c>
      <c r="H1599" s="2" t="str">
        <f>IFERROR(__xludf.DUMMYFUNCTION("""COMPUTED_VALUE"""),"VD046")</f>
        <v>VD046</v>
      </c>
      <c r="I1599" s="2">
        <f>IFERROR(__xludf.DUMMYFUNCTION("""COMPUTED_VALUE"""),14.0)</f>
        <v>14</v>
      </c>
      <c r="J1599" s="2">
        <f>IFERROR(__xludf.DUMMYFUNCTION("""COMPUTED_VALUE"""),1055.6)</f>
        <v>1055.6</v>
      </c>
      <c r="K1599" s="2">
        <f>IFERROR(__xludf.DUMMYFUNCTION("""COMPUTED_VALUE"""),1055.6)</f>
        <v>1055.6</v>
      </c>
    </row>
    <row r="1600">
      <c r="A1600" s="2">
        <f>IFERROR(__xludf.DUMMYFUNCTION("""COMPUTED_VALUE"""),1000.0)</f>
        <v>1000</v>
      </c>
      <c r="B1600" s="2">
        <f>IFERROR(__xludf.DUMMYFUNCTION("""COMPUTED_VALUE"""),184607.0)</f>
        <v>184607</v>
      </c>
      <c r="C1600" s="2">
        <f>IFERROR(__xludf.DUMMYFUNCTION("""COMPUTED_VALUE"""),2026.0)</f>
        <v>2026</v>
      </c>
      <c r="D1600" s="2">
        <f>IFERROR(__xludf.DUMMYFUNCTION("""COMPUTED_VALUE"""),46051.0)</f>
        <v>46051</v>
      </c>
      <c r="E1600" s="2" t="str">
        <f>IFERROR(__xludf.DUMMYFUNCTION("""COMPUTED_VALUE"""),"VF")</f>
        <v>VF</v>
      </c>
      <c r="F1600" s="2">
        <f>IFERROR(__xludf.DUMMYFUNCTION("""COMPUTED_VALUE"""),1.0)</f>
        <v>1</v>
      </c>
      <c r="G1600" s="2" t="str">
        <f>IFERROR(__xludf.DUMMYFUNCTION("""COMPUTED_VALUE"""),"PR042")</f>
        <v>PR042</v>
      </c>
      <c r="H1600" s="2" t="str">
        <f>IFERROR(__xludf.DUMMYFUNCTION("""COMPUTED_VALUE"""),"VD048")</f>
        <v>VD048</v>
      </c>
      <c r="I1600" s="2">
        <f>IFERROR(__xludf.DUMMYFUNCTION("""COMPUTED_VALUE"""),7.0)</f>
        <v>7</v>
      </c>
      <c r="J1600" s="2">
        <f>IFERROR(__xludf.DUMMYFUNCTION("""COMPUTED_VALUE"""),399.67)</f>
        <v>399.67</v>
      </c>
      <c r="K1600" s="2">
        <f>IFERROR(__xludf.DUMMYFUNCTION("""COMPUTED_VALUE"""),399.67)</f>
        <v>399.67</v>
      </c>
    </row>
    <row r="1601">
      <c r="A1601" s="2">
        <f>IFERROR(__xludf.DUMMYFUNCTION("""COMPUTED_VALUE"""),2000.0)</f>
        <v>2000</v>
      </c>
      <c r="B1601" s="2">
        <f>IFERROR(__xludf.DUMMYFUNCTION("""COMPUTED_VALUE"""),184607.0)</f>
        <v>184607</v>
      </c>
      <c r="C1601" s="2">
        <f>IFERROR(__xludf.DUMMYFUNCTION("""COMPUTED_VALUE"""),2026.0)</f>
        <v>2026</v>
      </c>
      <c r="D1601" s="2">
        <f>IFERROR(__xludf.DUMMYFUNCTION("""COMPUTED_VALUE"""),46051.0)</f>
        <v>46051</v>
      </c>
      <c r="E1601" s="2" t="str">
        <f>IFERROR(__xludf.DUMMYFUNCTION("""COMPUTED_VALUE"""),"VF")</f>
        <v>VF</v>
      </c>
      <c r="F1601" s="2">
        <f>IFERROR(__xludf.DUMMYFUNCTION("""COMPUTED_VALUE"""),2.0)</f>
        <v>2</v>
      </c>
      <c r="G1601" s="2" t="str">
        <f>IFERROR(__xludf.DUMMYFUNCTION("""COMPUTED_VALUE"""),"PR014")</f>
        <v>PR014</v>
      </c>
      <c r="H1601" s="2" t="str">
        <f>IFERROR(__xludf.DUMMYFUNCTION("""COMPUTED_VALUE"""),"VD017")</f>
        <v>VD017</v>
      </c>
      <c r="I1601" s="2">
        <f>IFERROR(__xludf.DUMMYFUNCTION("""COMPUTED_VALUE"""),10.0)</f>
        <v>10</v>
      </c>
      <c r="J1601" s="2">
        <f>IFERROR(__xludf.DUMMYFUNCTION("""COMPUTED_VALUE"""),438.9)</f>
        <v>438.9</v>
      </c>
      <c r="K1601" s="2">
        <f>IFERROR(__xludf.DUMMYFUNCTION("""COMPUTED_VALUE"""),438.9)</f>
        <v>438.9</v>
      </c>
    </row>
    <row r="1602">
      <c r="A1602" s="2">
        <f>IFERROR(__xludf.DUMMYFUNCTION("""COMPUTED_VALUE"""),1000.0)</f>
        <v>1000</v>
      </c>
      <c r="B1602" s="2">
        <f>IFERROR(__xludf.DUMMYFUNCTION("""COMPUTED_VALUE"""),184608.0)</f>
        <v>184608</v>
      </c>
      <c r="C1602" s="2">
        <f>IFERROR(__xludf.DUMMYFUNCTION("""COMPUTED_VALUE"""),2026.0)</f>
        <v>2026</v>
      </c>
      <c r="D1602" s="2">
        <f>IFERROR(__xludf.DUMMYFUNCTION("""COMPUTED_VALUE"""),46051.0)</f>
        <v>46051</v>
      </c>
      <c r="E1602" s="2" t="str">
        <f>IFERROR(__xludf.DUMMYFUNCTION("""COMPUTED_VALUE"""),"VF")</f>
        <v>VF</v>
      </c>
      <c r="F1602" s="2">
        <f>IFERROR(__xludf.DUMMYFUNCTION("""COMPUTED_VALUE"""),1.0)</f>
        <v>1</v>
      </c>
      <c r="G1602" s="2" t="str">
        <f>IFERROR(__xludf.DUMMYFUNCTION("""COMPUTED_VALUE"""),"PR015")</f>
        <v>PR015</v>
      </c>
      <c r="H1602" s="2" t="str">
        <f>IFERROR(__xludf.DUMMYFUNCTION("""COMPUTED_VALUE"""),"VD022")</f>
        <v>VD022</v>
      </c>
      <c r="I1602" s="2">
        <f>IFERROR(__xludf.DUMMYFUNCTION("""COMPUTED_VALUE"""),6.0)</f>
        <v>6</v>
      </c>
      <c r="J1602" s="2">
        <f>IFERROR(__xludf.DUMMYFUNCTION("""COMPUTED_VALUE"""),262.65)</f>
        <v>262.65</v>
      </c>
      <c r="K1602" s="2">
        <f>IFERROR(__xludf.DUMMYFUNCTION("""COMPUTED_VALUE"""),262.65)</f>
        <v>262.65</v>
      </c>
    </row>
    <row r="1603">
      <c r="A1603" s="2">
        <f>IFERROR(__xludf.DUMMYFUNCTION("""COMPUTED_VALUE"""),1000.0)</f>
        <v>1000</v>
      </c>
      <c r="B1603" s="2">
        <f>IFERROR(__xludf.DUMMYFUNCTION("""COMPUTED_VALUE"""),184609.0)</f>
        <v>184609</v>
      </c>
      <c r="C1603" s="2">
        <f>IFERROR(__xludf.DUMMYFUNCTION("""COMPUTED_VALUE"""),2026.0)</f>
        <v>2026</v>
      </c>
      <c r="D1603" s="2">
        <f>IFERROR(__xludf.DUMMYFUNCTION("""COMPUTED_VALUE"""),46051.0)</f>
        <v>46051</v>
      </c>
      <c r="E1603" s="2" t="str">
        <f>IFERROR(__xludf.DUMMYFUNCTION("""COMPUTED_VALUE"""),"VF")</f>
        <v>VF</v>
      </c>
      <c r="F1603" s="2">
        <f>IFERROR(__xludf.DUMMYFUNCTION("""COMPUTED_VALUE"""),1.0)</f>
        <v>1</v>
      </c>
      <c r="G1603" s="2" t="str">
        <f>IFERROR(__xludf.DUMMYFUNCTION("""COMPUTED_VALUE"""),"PR025")</f>
        <v>PR025</v>
      </c>
      <c r="H1603" s="2" t="str">
        <f>IFERROR(__xludf.DUMMYFUNCTION("""COMPUTED_VALUE"""),"VD034")</f>
        <v>VD034</v>
      </c>
      <c r="I1603" s="2">
        <f>IFERROR(__xludf.DUMMYFUNCTION("""COMPUTED_VALUE"""),4.0)</f>
        <v>4</v>
      </c>
      <c r="J1603" s="2">
        <f>IFERROR(__xludf.DUMMYFUNCTION("""COMPUTED_VALUE"""),1295.57)</f>
        <v>1295.57</v>
      </c>
      <c r="K1603" s="2">
        <f>IFERROR(__xludf.DUMMYFUNCTION("""COMPUTED_VALUE"""),1295.57)</f>
        <v>1295.57</v>
      </c>
    </row>
    <row r="1604">
      <c r="A1604" s="2">
        <f>IFERROR(__xludf.DUMMYFUNCTION("""COMPUTED_VALUE"""),1000.0)</f>
        <v>1000</v>
      </c>
      <c r="B1604" s="2">
        <f>IFERROR(__xludf.DUMMYFUNCTION("""COMPUTED_VALUE"""),184610.0)</f>
        <v>184610</v>
      </c>
      <c r="C1604" s="2">
        <f>IFERROR(__xludf.DUMMYFUNCTION("""COMPUTED_VALUE"""),2026.0)</f>
        <v>2026</v>
      </c>
      <c r="D1604" s="2">
        <f>IFERROR(__xludf.DUMMYFUNCTION("""COMPUTED_VALUE"""),46051.0)</f>
        <v>46051</v>
      </c>
      <c r="E1604" s="2" t="str">
        <f>IFERROR(__xludf.DUMMYFUNCTION("""COMPUTED_VALUE"""),"VF")</f>
        <v>VF</v>
      </c>
      <c r="F1604" s="2">
        <f>IFERROR(__xludf.DUMMYFUNCTION("""COMPUTED_VALUE"""),1.0)</f>
        <v>1</v>
      </c>
      <c r="G1604" s="2" t="str">
        <f>IFERROR(__xludf.DUMMYFUNCTION("""COMPUTED_VALUE"""),"PR001")</f>
        <v>PR001</v>
      </c>
      <c r="H1604" s="2" t="str">
        <f>IFERROR(__xludf.DUMMYFUNCTION("""COMPUTED_VALUE"""),"VD022")</f>
        <v>VD022</v>
      </c>
      <c r="I1604" s="2">
        <f>IFERROR(__xludf.DUMMYFUNCTION("""COMPUTED_VALUE"""),9.0)</f>
        <v>9</v>
      </c>
      <c r="J1604" s="2">
        <f>IFERROR(__xludf.DUMMYFUNCTION("""COMPUTED_VALUE"""),640.55)</f>
        <v>640.55</v>
      </c>
      <c r="K1604" s="2">
        <f>IFERROR(__xludf.DUMMYFUNCTION("""COMPUTED_VALUE"""),640.55)</f>
        <v>640.55</v>
      </c>
    </row>
    <row r="1605">
      <c r="A1605" s="2">
        <f>IFERROR(__xludf.DUMMYFUNCTION("""COMPUTED_VALUE"""),1000.0)</f>
        <v>1000</v>
      </c>
      <c r="B1605" s="2">
        <f>IFERROR(__xludf.DUMMYFUNCTION("""COMPUTED_VALUE"""),184611.0)</f>
        <v>184611</v>
      </c>
      <c r="C1605" s="2">
        <f>IFERROR(__xludf.DUMMYFUNCTION("""COMPUTED_VALUE"""),2026.0)</f>
        <v>2026</v>
      </c>
      <c r="D1605" s="2">
        <f>IFERROR(__xludf.DUMMYFUNCTION("""COMPUTED_VALUE"""),46051.0)</f>
        <v>46051</v>
      </c>
      <c r="E1605" s="2" t="str">
        <f>IFERROR(__xludf.DUMMYFUNCTION("""COMPUTED_VALUE"""),"VF")</f>
        <v>VF</v>
      </c>
      <c r="F1605" s="2">
        <f>IFERROR(__xludf.DUMMYFUNCTION("""COMPUTED_VALUE"""),1.0)</f>
        <v>1</v>
      </c>
      <c r="G1605" s="2" t="str">
        <f>IFERROR(__xludf.DUMMYFUNCTION("""COMPUTED_VALUE"""),"PR013")</f>
        <v>PR013</v>
      </c>
      <c r="H1605" s="2" t="str">
        <f>IFERROR(__xludf.DUMMYFUNCTION("""COMPUTED_VALUE"""),"VD019")</f>
        <v>VD019</v>
      </c>
      <c r="I1605" s="2">
        <f>IFERROR(__xludf.DUMMYFUNCTION("""COMPUTED_VALUE"""),20.0)</f>
        <v>20</v>
      </c>
      <c r="J1605" s="2">
        <f>IFERROR(__xludf.DUMMYFUNCTION("""COMPUTED_VALUE"""),869.82)</f>
        <v>869.82</v>
      </c>
      <c r="K1605" s="2">
        <f>IFERROR(__xludf.DUMMYFUNCTION("""COMPUTED_VALUE"""),869.82)</f>
        <v>869.82</v>
      </c>
    </row>
    <row r="1606">
      <c r="A1606" s="2">
        <f>IFERROR(__xludf.DUMMYFUNCTION("""COMPUTED_VALUE"""),1000.0)</f>
        <v>1000</v>
      </c>
      <c r="B1606" s="2">
        <f>IFERROR(__xludf.DUMMYFUNCTION("""COMPUTED_VALUE"""),184612.0)</f>
        <v>184612</v>
      </c>
      <c r="C1606" s="2">
        <f>IFERROR(__xludf.DUMMYFUNCTION("""COMPUTED_VALUE"""),2026.0)</f>
        <v>2026</v>
      </c>
      <c r="D1606" s="2">
        <f>IFERROR(__xludf.DUMMYFUNCTION("""COMPUTED_VALUE"""),46051.0)</f>
        <v>46051</v>
      </c>
      <c r="E1606" s="2" t="str">
        <f>IFERROR(__xludf.DUMMYFUNCTION("""COMPUTED_VALUE"""),"VF")</f>
        <v>VF</v>
      </c>
      <c r="F1606" s="2">
        <f>IFERROR(__xludf.DUMMYFUNCTION("""COMPUTED_VALUE"""),1.0)</f>
        <v>1</v>
      </c>
      <c r="G1606" s="2" t="str">
        <f>IFERROR(__xludf.DUMMYFUNCTION("""COMPUTED_VALUE"""),"PR058")</f>
        <v>PR058</v>
      </c>
      <c r="H1606" s="2" t="str">
        <f>IFERROR(__xludf.DUMMYFUNCTION("""COMPUTED_VALUE"""),"VD042")</f>
        <v>VD042</v>
      </c>
      <c r="I1606" s="2">
        <f>IFERROR(__xludf.DUMMYFUNCTION("""COMPUTED_VALUE"""),3.0)</f>
        <v>3</v>
      </c>
      <c r="J1606" s="2">
        <f>IFERROR(__xludf.DUMMYFUNCTION("""COMPUTED_VALUE"""),577.8)</f>
        <v>577.8</v>
      </c>
      <c r="K1606" s="2">
        <f>IFERROR(__xludf.DUMMYFUNCTION("""COMPUTED_VALUE"""),577.8)</f>
        <v>577.8</v>
      </c>
    </row>
    <row r="1607">
      <c r="A1607" s="2">
        <f>IFERROR(__xludf.DUMMYFUNCTION("""COMPUTED_VALUE"""),2000.0)</f>
        <v>2000</v>
      </c>
      <c r="B1607" s="2">
        <f>IFERROR(__xludf.DUMMYFUNCTION("""COMPUTED_VALUE"""),184613.0)</f>
        <v>184613</v>
      </c>
      <c r="C1607" s="2">
        <f>IFERROR(__xludf.DUMMYFUNCTION("""COMPUTED_VALUE"""),2026.0)</f>
        <v>2026</v>
      </c>
      <c r="D1607" s="2">
        <f>IFERROR(__xludf.DUMMYFUNCTION("""COMPUTED_VALUE"""),46051.0)</f>
        <v>46051</v>
      </c>
      <c r="E1607" s="2" t="str">
        <f>IFERROR(__xludf.DUMMYFUNCTION("""COMPUTED_VALUE"""),"VF")</f>
        <v>VF</v>
      </c>
      <c r="F1607" s="2">
        <f>IFERROR(__xludf.DUMMYFUNCTION("""COMPUTED_VALUE"""),1.0)</f>
        <v>1</v>
      </c>
      <c r="G1607" s="2" t="str">
        <f>IFERROR(__xludf.DUMMYFUNCTION("""COMPUTED_VALUE"""),"PR053")</f>
        <v>PR053</v>
      </c>
      <c r="H1607" s="2" t="str">
        <f>IFERROR(__xludf.DUMMYFUNCTION("""COMPUTED_VALUE"""),"VD022")</f>
        <v>VD022</v>
      </c>
      <c r="I1607" s="2">
        <f>IFERROR(__xludf.DUMMYFUNCTION("""COMPUTED_VALUE"""),4.0)</f>
        <v>4</v>
      </c>
      <c r="J1607" s="2">
        <f>IFERROR(__xludf.DUMMYFUNCTION("""COMPUTED_VALUE"""),217.56)</f>
        <v>217.56</v>
      </c>
      <c r="K1607" s="2">
        <f>IFERROR(__xludf.DUMMYFUNCTION("""COMPUTED_VALUE"""),217.56)</f>
        <v>217.56</v>
      </c>
    </row>
    <row r="1608">
      <c r="A1608" s="2">
        <f>IFERROR(__xludf.DUMMYFUNCTION("""COMPUTED_VALUE"""),1000.0)</f>
        <v>1000</v>
      </c>
      <c r="B1608" s="2">
        <f>IFERROR(__xludf.DUMMYFUNCTION("""COMPUTED_VALUE"""),184614.0)</f>
        <v>184614</v>
      </c>
      <c r="C1608" s="2">
        <f>IFERROR(__xludf.DUMMYFUNCTION("""COMPUTED_VALUE"""),2026.0)</f>
        <v>2026</v>
      </c>
      <c r="D1608" s="2">
        <f>IFERROR(__xludf.DUMMYFUNCTION("""COMPUTED_VALUE"""),46051.0)</f>
        <v>46051</v>
      </c>
      <c r="E1608" s="2" t="str">
        <f>IFERROR(__xludf.DUMMYFUNCTION("""COMPUTED_VALUE"""),"VF")</f>
        <v>VF</v>
      </c>
      <c r="F1608" s="2">
        <f>IFERROR(__xludf.DUMMYFUNCTION("""COMPUTED_VALUE"""),1.0)</f>
        <v>1</v>
      </c>
      <c r="G1608" s="2" t="str">
        <f>IFERROR(__xludf.DUMMYFUNCTION("""COMPUTED_VALUE"""),"PR047")</f>
        <v>PR047</v>
      </c>
      <c r="H1608" s="2" t="str">
        <f>IFERROR(__xludf.DUMMYFUNCTION("""COMPUTED_VALUE"""),"VD025")</f>
        <v>VD025</v>
      </c>
      <c r="I1608" s="2">
        <f>IFERROR(__xludf.DUMMYFUNCTION("""COMPUTED_VALUE"""),2.0)</f>
        <v>2</v>
      </c>
      <c r="J1608" s="2">
        <f>IFERROR(__xludf.DUMMYFUNCTION("""COMPUTED_VALUE"""),631.98)</f>
        <v>631.98</v>
      </c>
      <c r="K1608" s="2">
        <f>IFERROR(__xludf.DUMMYFUNCTION("""COMPUTED_VALUE"""),631.98)</f>
        <v>631.98</v>
      </c>
    </row>
    <row r="1609">
      <c r="A1609" s="2">
        <f>IFERROR(__xludf.DUMMYFUNCTION("""COMPUTED_VALUE"""),1000.0)</f>
        <v>1000</v>
      </c>
      <c r="B1609" s="2">
        <f>IFERROR(__xludf.DUMMYFUNCTION("""COMPUTED_VALUE"""),184615.0)</f>
        <v>184615</v>
      </c>
      <c r="C1609" s="2">
        <f>IFERROR(__xludf.DUMMYFUNCTION("""COMPUTED_VALUE"""),2026.0)</f>
        <v>2026</v>
      </c>
      <c r="D1609" s="2">
        <f>IFERROR(__xludf.DUMMYFUNCTION("""COMPUTED_VALUE"""),46051.0)</f>
        <v>46051</v>
      </c>
      <c r="E1609" s="2" t="str">
        <f>IFERROR(__xludf.DUMMYFUNCTION("""COMPUTED_VALUE"""),"VF")</f>
        <v>VF</v>
      </c>
      <c r="F1609" s="2">
        <f>IFERROR(__xludf.DUMMYFUNCTION("""COMPUTED_VALUE"""),1.0)</f>
        <v>1</v>
      </c>
      <c r="G1609" s="2" t="str">
        <f>IFERROR(__xludf.DUMMYFUNCTION("""COMPUTED_VALUE"""),"PR044")</f>
        <v>PR044</v>
      </c>
      <c r="H1609" s="2" t="str">
        <f>IFERROR(__xludf.DUMMYFUNCTION("""COMPUTED_VALUE"""),"VD026")</f>
        <v>VD026</v>
      </c>
      <c r="I1609" s="2">
        <f>IFERROR(__xludf.DUMMYFUNCTION("""COMPUTED_VALUE"""),7.0)</f>
        <v>7</v>
      </c>
      <c r="J1609" s="2">
        <f>IFERROR(__xludf.DUMMYFUNCTION("""COMPUTED_VALUE"""),522.73)</f>
        <v>522.73</v>
      </c>
      <c r="K1609" s="2">
        <f>IFERROR(__xludf.DUMMYFUNCTION("""COMPUTED_VALUE"""),522.73)</f>
        <v>522.73</v>
      </c>
    </row>
    <row r="1610">
      <c r="A1610" s="2">
        <f>IFERROR(__xludf.DUMMYFUNCTION("""COMPUTED_VALUE"""),1000.0)</f>
        <v>1000</v>
      </c>
      <c r="B1610" s="2">
        <f>IFERROR(__xludf.DUMMYFUNCTION("""COMPUTED_VALUE"""),184616.0)</f>
        <v>184616</v>
      </c>
      <c r="C1610" s="2">
        <f>IFERROR(__xludf.DUMMYFUNCTION("""COMPUTED_VALUE"""),2026.0)</f>
        <v>2026</v>
      </c>
      <c r="D1610" s="2">
        <f>IFERROR(__xludf.DUMMYFUNCTION("""COMPUTED_VALUE"""),46051.0)</f>
        <v>46051</v>
      </c>
      <c r="E1610" s="2" t="str">
        <f>IFERROR(__xludf.DUMMYFUNCTION("""COMPUTED_VALUE"""),"VF")</f>
        <v>VF</v>
      </c>
      <c r="F1610" s="2">
        <f>IFERROR(__xludf.DUMMYFUNCTION("""COMPUTED_VALUE"""),1.0)</f>
        <v>1</v>
      </c>
      <c r="G1610" s="2" t="str">
        <f>IFERROR(__xludf.DUMMYFUNCTION("""COMPUTED_VALUE"""),"PR050")</f>
        <v>PR050</v>
      </c>
      <c r="H1610" s="2" t="str">
        <f>IFERROR(__xludf.DUMMYFUNCTION("""COMPUTED_VALUE"""),"VD039")</f>
        <v>VD039</v>
      </c>
      <c r="I1610" s="2">
        <f>IFERROR(__xludf.DUMMYFUNCTION("""COMPUTED_VALUE"""),12.0)</f>
        <v>12</v>
      </c>
      <c r="J1610" s="2">
        <f>IFERROR(__xludf.DUMMYFUNCTION("""COMPUTED_VALUE"""),410.59)</f>
        <v>410.59</v>
      </c>
      <c r="K1610" s="2">
        <f>IFERROR(__xludf.DUMMYFUNCTION("""COMPUTED_VALUE"""),410.59)</f>
        <v>410.59</v>
      </c>
    </row>
    <row r="1611">
      <c r="A1611" s="2">
        <f>IFERROR(__xludf.DUMMYFUNCTION("""COMPUTED_VALUE"""),1000.0)</f>
        <v>1000</v>
      </c>
      <c r="B1611" s="2">
        <f>IFERROR(__xludf.DUMMYFUNCTION("""COMPUTED_VALUE"""),184616.0)</f>
        <v>184616</v>
      </c>
      <c r="C1611" s="2">
        <f>IFERROR(__xludf.DUMMYFUNCTION("""COMPUTED_VALUE"""),2026.0)</f>
        <v>2026</v>
      </c>
      <c r="D1611" s="2">
        <f>IFERROR(__xludf.DUMMYFUNCTION("""COMPUTED_VALUE"""),46051.0)</f>
        <v>46051</v>
      </c>
      <c r="E1611" s="2" t="str">
        <f>IFERROR(__xludf.DUMMYFUNCTION("""COMPUTED_VALUE"""),"VF")</f>
        <v>VF</v>
      </c>
      <c r="F1611" s="2">
        <f>IFERROR(__xludf.DUMMYFUNCTION("""COMPUTED_VALUE"""),2.0)</f>
        <v>2</v>
      </c>
      <c r="G1611" s="2" t="str">
        <f>IFERROR(__xludf.DUMMYFUNCTION("""COMPUTED_VALUE"""),"PR042")</f>
        <v>PR042</v>
      </c>
      <c r="H1611" s="2" t="str">
        <f>IFERROR(__xludf.DUMMYFUNCTION("""COMPUTED_VALUE"""),"VD040")</f>
        <v>VD040</v>
      </c>
      <c r="I1611" s="2">
        <f>IFERROR(__xludf.DUMMYFUNCTION("""COMPUTED_VALUE"""),8.0)</f>
        <v>8</v>
      </c>
      <c r="J1611" s="2">
        <f>IFERROR(__xludf.DUMMYFUNCTION("""COMPUTED_VALUE"""),447.98)</f>
        <v>447.98</v>
      </c>
      <c r="K1611" s="2">
        <f>IFERROR(__xludf.DUMMYFUNCTION("""COMPUTED_VALUE"""),447.98)</f>
        <v>447.98</v>
      </c>
    </row>
    <row r="1612">
      <c r="A1612" s="2">
        <f>IFERROR(__xludf.DUMMYFUNCTION("""COMPUTED_VALUE"""),2000.0)</f>
        <v>2000</v>
      </c>
      <c r="B1612" s="2">
        <f>IFERROR(__xludf.DUMMYFUNCTION("""COMPUTED_VALUE"""),184616.0)</f>
        <v>184616</v>
      </c>
      <c r="C1612" s="2">
        <f>IFERROR(__xludf.DUMMYFUNCTION("""COMPUTED_VALUE"""),2026.0)</f>
        <v>2026</v>
      </c>
      <c r="D1612" s="2">
        <f>IFERROR(__xludf.DUMMYFUNCTION("""COMPUTED_VALUE"""),46050.0)</f>
        <v>46050</v>
      </c>
      <c r="E1612" s="2" t="str">
        <f>IFERROR(__xludf.DUMMYFUNCTION("""COMPUTED_VALUE"""),"VF")</f>
        <v>VF</v>
      </c>
      <c r="F1612" s="2">
        <f>IFERROR(__xludf.DUMMYFUNCTION("""COMPUTED_VALUE"""),3.0)</f>
        <v>3</v>
      </c>
      <c r="G1612" s="2" t="str">
        <f>IFERROR(__xludf.DUMMYFUNCTION("""COMPUTED_VALUE"""),"PR003")</f>
        <v>PR003</v>
      </c>
      <c r="H1612" s="2" t="str">
        <f>IFERROR(__xludf.DUMMYFUNCTION("""COMPUTED_VALUE"""),"VD038")</f>
        <v>VD038</v>
      </c>
      <c r="I1612" s="2">
        <f>IFERROR(__xludf.DUMMYFUNCTION("""COMPUTED_VALUE"""),2.0)</f>
        <v>2</v>
      </c>
      <c r="J1612" s="2">
        <f>IFERROR(__xludf.DUMMYFUNCTION("""COMPUTED_VALUE"""),143.22)</f>
        <v>143.22</v>
      </c>
      <c r="K1612" s="2">
        <f>IFERROR(__xludf.DUMMYFUNCTION("""COMPUTED_VALUE"""),143.22)</f>
        <v>143.22</v>
      </c>
    </row>
    <row r="1613">
      <c r="A1613" s="2">
        <f>IFERROR(__xludf.DUMMYFUNCTION("""COMPUTED_VALUE"""),1000.0)</f>
        <v>1000</v>
      </c>
      <c r="B1613" s="2">
        <f>IFERROR(__xludf.DUMMYFUNCTION("""COMPUTED_VALUE"""),184617.0)</f>
        <v>184617</v>
      </c>
      <c r="C1613" s="2">
        <f>IFERROR(__xludf.DUMMYFUNCTION("""COMPUTED_VALUE"""),2026.0)</f>
        <v>2026</v>
      </c>
      <c r="D1613" s="2">
        <f>IFERROR(__xludf.DUMMYFUNCTION("""COMPUTED_VALUE"""),46050.0)</f>
        <v>46050</v>
      </c>
      <c r="E1613" s="2" t="str">
        <f>IFERROR(__xludf.DUMMYFUNCTION("""COMPUTED_VALUE"""),"VF")</f>
        <v>VF</v>
      </c>
      <c r="F1613" s="2">
        <f>IFERROR(__xludf.DUMMYFUNCTION("""COMPUTED_VALUE"""),1.0)</f>
        <v>1</v>
      </c>
      <c r="G1613" s="2" t="str">
        <f>IFERROR(__xludf.DUMMYFUNCTION("""COMPUTED_VALUE"""),"PR010")</f>
        <v>PR010</v>
      </c>
      <c r="H1613" s="2" t="str">
        <f>IFERROR(__xludf.DUMMYFUNCTION("""COMPUTED_VALUE"""),"VD025")</f>
        <v>VD025</v>
      </c>
      <c r="I1613" s="2">
        <f>IFERROR(__xludf.DUMMYFUNCTION("""COMPUTED_VALUE"""),6.0)</f>
        <v>6</v>
      </c>
      <c r="J1613" s="2">
        <f>IFERROR(__xludf.DUMMYFUNCTION("""COMPUTED_VALUE"""),274.79)</f>
        <v>274.79</v>
      </c>
      <c r="K1613" s="2">
        <f>IFERROR(__xludf.DUMMYFUNCTION("""COMPUTED_VALUE"""),274.79)</f>
        <v>274.79</v>
      </c>
    </row>
    <row r="1614">
      <c r="A1614" s="2">
        <f>IFERROR(__xludf.DUMMYFUNCTION("""COMPUTED_VALUE"""),1000.0)</f>
        <v>1000</v>
      </c>
      <c r="B1614" s="2">
        <f>IFERROR(__xludf.DUMMYFUNCTION("""COMPUTED_VALUE"""),184618.0)</f>
        <v>184618</v>
      </c>
      <c r="C1614" s="2">
        <f>IFERROR(__xludf.DUMMYFUNCTION("""COMPUTED_VALUE"""),2026.0)</f>
        <v>2026</v>
      </c>
      <c r="D1614" s="2">
        <f>IFERROR(__xludf.DUMMYFUNCTION("""COMPUTED_VALUE"""),46050.0)</f>
        <v>46050</v>
      </c>
      <c r="E1614" s="2" t="str">
        <f>IFERROR(__xludf.DUMMYFUNCTION("""COMPUTED_VALUE"""),"VF")</f>
        <v>VF</v>
      </c>
      <c r="F1614" s="2">
        <f>IFERROR(__xludf.DUMMYFUNCTION("""COMPUTED_VALUE"""),1.0)</f>
        <v>1</v>
      </c>
      <c r="G1614" s="2" t="str">
        <f>IFERROR(__xludf.DUMMYFUNCTION("""COMPUTED_VALUE"""),"PR043")</f>
        <v>PR043</v>
      </c>
      <c r="H1614" s="2" t="str">
        <f>IFERROR(__xludf.DUMMYFUNCTION("""COMPUTED_VALUE"""),"VD013")</f>
        <v>VD013</v>
      </c>
      <c r="I1614" s="2">
        <f>IFERROR(__xludf.DUMMYFUNCTION("""COMPUTED_VALUE"""),6.0)</f>
        <v>6</v>
      </c>
      <c r="J1614" s="2">
        <f>IFERROR(__xludf.DUMMYFUNCTION("""COMPUTED_VALUE"""),439.35)</f>
        <v>439.35</v>
      </c>
      <c r="K1614" s="2">
        <f>IFERROR(__xludf.DUMMYFUNCTION("""COMPUTED_VALUE"""),439.35)</f>
        <v>439.35</v>
      </c>
    </row>
    <row r="1615">
      <c r="A1615" s="2">
        <f>IFERROR(__xludf.DUMMYFUNCTION("""COMPUTED_VALUE"""),1000.0)</f>
        <v>1000</v>
      </c>
      <c r="B1615" s="2">
        <f>IFERROR(__xludf.DUMMYFUNCTION("""COMPUTED_VALUE"""),184619.0)</f>
        <v>184619</v>
      </c>
      <c r="C1615" s="2">
        <f>IFERROR(__xludf.DUMMYFUNCTION("""COMPUTED_VALUE"""),2026.0)</f>
        <v>2026</v>
      </c>
      <c r="D1615" s="2">
        <f>IFERROR(__xludf.DUMMYFUNCTION("""COMPUTED_VALUE"""),46049.0)</f>
        <v>46049</v>
      </c>
      <c r="E1615" s="2" t="str">
        <f>IFERROR(__xludf.DUMMYFUNCTION("""COMPUTED_VALUE"""),"VF")</f>
        <v>VF</v>
      </c>
      <c r="F1615" s="2">
        <f>IFERROR(__xludf.DUMMYFUNCTION("""COMPUTED_VALUE"""),1.0)</f>
        <v>1</v>
      </c>
      <c r="G1615" s="2" t="str">
        <f>IFERROR(__xludf.DUMMYFUNCTION("""COMPUTED_VALUE"""),"PR012")</f>
        <v>PR012</v>
      </c>
      <c r="H1615" s="2" t="str">
        <f>IFERROR(__xludf.DUMMYFUNCTION("""COMPUTED_VALUE"""),"VD035")</f>
        <v>VD035</v>
      </c>
      <c r="I1615" s="2">
        <f>IFERROR(__xludf.DUMMYFUNCTION("""COMPUTED_VALUE"""),6.0)</f>
        <v>6</v>
      </c>
      <c r="J1615" s="2">
        <f>IFERROR(__xludf.DUMMYFUNCTION("""COMPUTED_VALUE"""),293.4)</f>
        <v>293.4</v>
      </c>
      <c r="K1615" s="2">
        <f>IFERROR(__xludf.DUMMYFUNCTION("""COMPUTED_VALUE"""),293.4)</f>
        <v>293.4</v>
      </c>
    </row>
    <row r="1616">
      <c r="A1616" s="2">
        <f>IFERROR(__xludf.DUMMYFUNCTION("""COMPUTED_VALUE"""),1000.0)</f>
        <v>1000</v>
      </c>
      <c r="B1616" s="2">
        <f>IFERROR(__xludf.DUMMYFUNCTION("""COMPUTED_VALUE"""),184620.0)</f>
        <v>184620</v>
      </c>
      <c r="C1616" s="2">
        <f>IFERROR(__xludf.DUMMYFUNCTION("""COMPUTED_VALUE"""),2026.0)</f>
        <v>2026</v>
      </c>
      <c r="D1616" s="2">
        <f>IFERROR(__xludf.DUMMYFUNCTION("""COMPUTED_VALUE"""),46049.0)</f>
        <v>46049</v>
      </c>
      <c r="E1616" s="2" t="str">
        <f>IFERROR(__xludf.DUMMYFUNCTION("""COMPUTED_VALUE"""),"VF")</f>
        <v>VF</v>
      </c>
      <c r="F1616" s="2">
        <f>IFERROR(__xludf.DUMMYFUNCTION("""COMPUTED_VALUE"""),1.0)</f>
        <v>1</v>
      </c>
      <c r="G1616" s="2" t="str">
        <f>IFERROR(__xludf.DUMMYFUNCTION("""COMPUTED_VALUE"""),"PR007")</f>
        <v>PR007</v>
      </c>
      <c r="H1616" s="2" t="str">
        <f>IFERROR(__xludf.DUMMYFUNCTION("""COMPUTED_VALUE"""),"VD017")</f>
        <v>VD017</v>
      </c>
      <c r="I1616" s="2">
        <f>IFERROR(__xludf.DUMMYFUNCTION("""COMPUTED_VALUE"""),12.0)</f>
        <v>12</v>
      </c>
      <c r="J1616" s="2">
        <f>IFERROR(__xludf.DUMMYFUNCTION("""COMPUTED_VALUE"""),1123.57)</f>
        <v>1123.57</v>
      </c>
      <c r="K1616" s="2">
        <f>IFERROR(__xludf.DUMMYFUNCTION("""COMPUTED_VALUE"""),1123.57)</f>
        <v>1123.57</v>
      </c>
    </row>
    <row r="1617">
      <c r="A1617" s="2">
        <f>IFERROR(__xludf.DUMMYFUNCTION("""COMPUTED_VALUE"""),1000.0)</f>
        <v>1000</v>
      </c>
      <c r="B1617" s="2">
        <f>IFERROR(__xludf.DUMMYFUNCTION("""COMPUTED_VALUE"""),184621.0)</f>
        <v>184621</v>
      </c>
      <c r="C1617" s="2">
        <f>IFERROR(__xludf.DUMMYFUNCTION("""COMPUTED_VALUE"""),2026.0)</f>
        <v>2026</v>
      </c>
      <c r="D1617" s="2">
        <f>IFERROR(__xludf.DUMMYFUNCTION("""COMPUTED_VALUE"""),46049.0)</f>
        <v>46049</v>
      </c>
      <c r="E1617" s="2" t="str">
        <f>IFERROR(__xludf.DUMMYFUNCTION("""COMPUTED_VALUE"""),"VF")</f>
        <v>VF</v>
      </c>
      <c r="F1617" s="2">
        <f>IFERROR(__xludf.DUMMYFUNCTION("""COMPUTED_VALUE"""),1.0)</f>
        <v>1</v>
      </c>
      <c r="G1617" s="2" t="str">
        <f>IFERROR(__xludf.DUMMYFUNCTION("""COMPUTED_VALUE"""),"PR042")</f>
        <v>PR042</v>
      </c>
      <c r="H1617" s="2" t="str">
        <f>IFERROR(__xludf.DUMMYFUNCTION("""COMPUTED_VALUE"""),"VD021")</f>
        <v>VD021</v>
      </c>
      <c r="I1617" s="2">
        <f>IFERROR(__xludf.DUMMYFUNCTION("""COMPUTED_VALUE"""),14.0)</f>
        <v>14</v>
      </c>
      <c r="J1617" s="2">
        <f>IFERROR(__xludf.DUMMYFUNCTION("""COMPUTED_VALUE"""),791.66)</f>
        <v>791.66</v>
      </c>
      <c r="K1617" s="2">
        <f>IFERROR(__xludf.DUMMYFUNCTION("""COMPUTED_VALUE"""),791.66)</f>
        <v>791.66</v>
      </c>
    </row>
    <row r="1618">
      <c r="A1618" s="2">
        <f>IFERROR(__xludf.DUMMYFUNCTION("""COMPUTED_VALUE"""),1000.0)</f>
        <v>1000</v>
      </c>
      <c r="B1618" s="2">
        <f>IFERROR(__xludf.DUMMYFUNCTION("""COMPUTED_VALUE"""),184622.0)</f>
        <v>184622</v>
      </c>
      <c r="C1618" s="2">
        <f>IFERROR(__xludf.DUMMYFUNCTION("""COMPUTED_VALUE"""),2026.0)</f>
        <v>2026</v>
      </c>
      <c r="D1618" s="2">
        <f>IFERROR(__xludf.DUMMYFUNCTION("""COMPUTED_VALUE"""),46049.0)</f>
        <v>46049</v>
      </c>
      <c r="E1618" s="2" t="str">
        <f>IFERROR(__xludf.DUMMYFUNCTION("""COMPUTED_VALUE"""),"VF")</f>
        <v>VF</v>
      </c>
      <c r="F1618" s="2">
        <f>IFERROR(__xludf.DUMMYFUNCTION("""COMPUTED_VALUE"""),1.0)</f>
        <v>1</v>
      </c>
      <c r="G1618" s="2" t="str">
        <f>IFERROR(__xludf.DUMMYFUNCTION("""COMPUTED_VALUE"""),"PR035")</f>
        <v>PR035</v>
      </c>
      <c r="H1618" s="2" t="str">
        <f>IFERROR(__xludf.DUMMYFUNCTION("""COMPUTED_VALUE"""),"VD033")</f>
        <v>VD033</v>
      </c>
      <c r="I1618" s="2">
        <f>IFERROR(__xludf.DUMMYFUNCTION("""COMPUTED_VALUE"""),4.0)</f>
        <v>4</v>
      </c>
      <c r="J1618" s="2">
        <f>IFERROR(__xludf.DUMMYFUNCTION("""COMPUTED_VALUE"""),391.19)</f>
        <v>391.19</v>
      </c>
      <c r="K1618" s="2">
        <f>IFERROR(__xludf.DUMMYFUNCTION("""COMPUTED_VALUE"""),391.19)</f>
        <v>391.19</v>
      </c>
    </row>
    <row r="1619">
      <c r="A1619" s="2">
        <f>IFERROR(__xludf.DUMMYFUNCTION("""COMPUTED_VALUE"""),1000.0)</f>
        <v>1000</v>
      </c>
      <c r="B1619" s="2">
        <f>IFERROR(__xludf.DUMMYFUNCTION("""COMPUTED_VALUE"""),184622.0)</f>
        <v>184622</v>
      </c>
      <c r="C1619" s="2">
        <f>IFERROR(__xludf.DUMMYFUNCTION("""COMPUTED_VALUE"""),2026.0)</f>
        <v>2026</v>
      </c>
      <c r="D1619" s="2">
        <f>IFERROR(__xludf.DUMMYFUNCTION("""COMPUTED_VALUE"""),46049.0)</f>
        <v>46049</v>
      </c>
      <c r="E1619" s="2" t="str">
        <f>IFERROR(__xludf.DUMMYFUNCTION("""COMPUTED_VALUE"""),"VF")</f>
        <v>VF</v>
      </c>
      <c r="F1619" s="2">
        <f>IFERROR(__xludf.DUMMYFUNCTION("""COMPUTED_VALUE"""),2.0)</f>
        <v>2</v>
      </c>
      <c r="G1619" s="2" t="str">
        <f>IFERROR(__xludf.DUMMYFUNCTION("""COMPUTED_VALUE"""),"PR040")</f>
        <v>PR040</v>
      </c>
      <c r="H1619" s="2" t="str">
        <f>IFERROR(__xludf.DUMMYFUNCTION("""COMPUTED_VALUE"""),"VD027")</f>
        <v>VD027</v>
      </c>
      <c r="I1619" s="2">
        <f>IFERROR(__xludf.DUMMYFUNCTION("""COMPUTED_VALUE"""),16.0)</f>
        <v>16</v>
      </c>
      <c r="J1619" s="2">
        <f>IFERROR(__xludf.DUMMYFUNCTION("""COMPUTED_VALUE"""),1176.0)</f>
        <v>1176</v>
      </c>
      <c r="K1619" s="2">
        <f>IFERROR(__xludf.DUMMYFUNCTION("""COMPUTED_VALUE"""),1176.0)</f>
        <v>1176</v>
      </c>
    </row>
    <row r="1620">
      <c r="A1620" s="2">
        <f>IFERROR(__xludf.DUMMYFUNCTION("""COMPUTED_VALUE"""),1000.0)</f>
        <v>1000</v>
      </c>
      <c r="B1620" s="2">
        <f>IFERROR(__xludf.DUMMYFUNCTION("""COMPUTED_VALUE"""),184623.0)</f>
        <v>184623</v>
      </c>
      <c r="C1620" s="2">
        <f>IFERROR(__xludf.DUMMYFUNCTION("""COMPUTED_VALUE"""),2026.0)</f>
        <v>2026</v>
      </c>
      <c r="D1620" s="2">
        <f>IFERROR(__xludf.DUMMYFUNCTION("""COMPUTED_VALUE"""),46049.0)</f>
        <v>46049</v>
      </c>
      <c r="E1620" s="2" t="str">
        <f>IFERROR(__xludf.DUMMYFUNCTION("""COMPUTED_VALUE"""),"VF")</f>
        <v>VF</v>
      </c>
      <c r="F1620" s="2">
        <f>IFERROR(__xludf.DUMMYFUNCTION("""COMPUTED_VALUE"""),1.0)</f>
        <v>1</v>
      </c>
      <c r="G1620" s="2" t="str">
        <f>IFERROR(__xludf.DUMMYFUNCTION("""COMPUTED_VALUE"""),"PR027")</f>
        <v>PR027</v>
      </c>
      <c r="H1620" s="2" t="str">
        <f>IFERROR(__xludf.DUMMYFUNCTION("""COMPUTED_VALUE"""),"VD022")</f>
        <v>VD022</v>
      </c>
      <c r="I1620" s="2">
        <f>IFERROR(__xludf.DUMMYFUNCTION("""COMPUTED_VALUE"""),6.0)</f>
        <v>6</v>
      </c>
      <c r="J1620" s="2">
        <f>IFERROR(__xludf.DUMMYFUNCTION("""COMPUTED_VALUE"""),763.2)</f>
        <v>763.2</v>
      </c>
      <c r="K1620" s="2">
        <f>IFERROR(__xludf.DUMMYFUNCTION("""COMPUTED_VALUE"""),763.2)</f>
        <v>763.2</v>
      </c>
    </row>
    <row r="1621">
      <c r="A1621" s="2">
        <f>IFERROR(__xludf.DUMMYFUNCTION("""COMPUTED_VALUE"""),1000.0)</f>
        <v>1000</v>
      </c>
      <c r="B1621" s="2">
        <f>IFERROR(__xludf.DUMMYFUNCTION("""COMPUTED_VALUE"""),184624.0)</f>
        <v>184624</v>
      </c>
      <c r="C1621" s="2">
        <f>IFERROR(__xludf.DUMMYFUNCTION("""COMPUTED_VALUE"""),2026.0)</f>
        <v>2026</v>
      </c>
      <c r="D1621" s="2">
        <f>IFERROR(__xludf.DUMMYFUNCTION("""COMPUTED_VALUE"""),46049.0)</f>
        <v>46049</v>
      </c>
      <c r="E1621" s="2" t="str">
        <f>IFERROR(__xludf.DUMMYFUNCTION("""COMPUTED_VALUE"""),"VF")</f>
        <v>VF</v>
      </c>
      <c r="F1621" s="2">
        <f>IFERROR(__xludf.DUMMYFUNCTION("""COMPUTED_VALUE"""),1.0)</f>
        <v>1</v>
      </c>
      <c r="G1621" s="2" t="str">
        <f>IFERROR(__xludf.DUMMYFUNCTION("""COMPUTED_VALUE"""),"PR006")</f>
        <v>PR006</v>
      </c>
      <c r="H1621" s="2" t="str">
        <f>IFERROR(__xludf.DUMMYFUNCTION("""COMPUTED_VALUE"""),"VD020")</f>
        <v>VD020</v>
      </c>
      <c r="I1621" s="2">
        <f>IFERROR(__xludf.DUMMYFUNCTION("""COMPUTED_VALUE"""),7.0)</f>
        <v>7</v>
      </c>
      <c r="J1621" s="2">
        <f>IFERROR(__xludf.DUMMYFUNCTION("""COMPUTED_VALUE"""),279.3)</f>
        <v>279.3</v>
      </c>
      <c r="K1621" s="2">
        <f>IFERROR(__xludf.DUMMYFUNCTION("""COMPUTED_VALUE"""),279.3)</f>
        <v>279.3</v>
      </c>
    </row>
    <row r="1622">
      <c r="A1622" s="2">
        <f>IFERROR(__xludf.DUMMYFUNCTION("""COMPUTED_VALUE"""),1000.0)</f>
        <v>1000</v>
      </c>
      <c r="B1622" s="2">
        <f>IFERROR(__xludf.DUMMYFUNCTION("""COMPUTED_VALUE"""),184625.0)</f>
        <v>184625</v>
      </c>
      <c r="C1622" s="2">
        <f>IFERROR(__xludf.DUMMYFUNCTION("""COMPUTED_VALUE"""),2026.0)</f>
        <v>2026</v>
      </c>
      <c r="D1622" s="2">
        <f>IFERROR(__xludf.DUMMYFUNCTION("""COMPUTED_VALUE"""),46048.0)</f>
        <v>46048</v>
      </c>
      <c r="E1622" s="2" t="str">
        <f>IFERROR(__xludf.DUMMYFUNCTION("""COMPUTED_VALUE"""),"VF")</f>
        <v>VF</v>
      </c>
      <c r="F1622" s="2">
        <f>IFERROR(__xludf.DUMMYFUNCTION("""COMPUTED_VALUE"""),1.0)</f>
        <v>1</v>
      </c>
      <c r="G1622" s="2" t="str">
        <f>IFERROR(__xludf.DUMMYFUNCTION("""COMPUTED_VALUE"""),"PR005")</f>
        <v>PR005</v>
      </c>
      <c r="H1622" s="2" t="str">
        <f>IFERROR(__xludf.DUMMYFUNCTION("""COMPUTED_VALUE"""),"VD018")</f>
        <v>VD018</v>
      </c>
      <c r="I1622" s="2">
        <f>IFERROR(__xludf.DUMMYFUNCTION("""COMPUTED_VALUE"""),18.0)</f>
        <v>18</v>
      </c>
      <c r="J1622" s="2">
        <f>IFERROR(__xludf.DUMMYFUNCTION("""COMPUTED_VALUE"""),4958.89)</f>
        <v>4958.89</v>
      </c>
      <c r="K1622" s="2">
        <f>IFERROR(__xludf.DUMMYFUNCTION("""COMPUTED_VALUE"""),4958.89)</f>
        <v>4958.89</v>
      </c>
    </row>
    <row r="1623">
      <c r="A1623" s="2">
        <f>IFERROR(__xludf.DUMMYFUNCTION("""COMPUTED_VALUE"""),1000.0)</f>
        <v>1000</v>
      </c>
      <c r="B1623" s="2">
        <f>IFERROR(__xludf.DUMMYFUNCTION("""COMPUTED_VALUE"""),184625.0)</f>
        <v>184625</v>
      </c>
      <c r="C1623" s="2">
        <f>IFERROR(__xludf.DUMMYFUNCTION("""COMPUTED_VALUE"""),2026.0)</f>
        <v>2026</v>
      </c>
      <c r="D1623" s="2">
        <f>IFERROR(__xludf.DUMMYFUNCTION("""COMPUTED_VALUE"""),46048.0)</f>
        <v>46048</v>
      </c>
      <c r="E1623" s="2" t="str">
        <f>IFERROR(__xludf.DUMMYFUNCTION("""COMPUTED_VALUE"""),"VF")</f>
        <v>VF</v>
      </c>
      <c r="F1623" s="2">
        <f>IFERROR(__xludf.DUMMYFUNCTION("""COMPUTED_VALUE"""),2.0)</f>
        <v>2</v>
      </c>
      <c r="G1623" s="2" t="str">
        <f>IFERROR(__xludf.DUMMYFUNCTION("""COMPUTED_VALUE"""),"PR046")</f>
        <v>PR046</v>
      </c>
      <c r="H1623" s="2" t="str">
        <f>IFERROR(__xludf.DUMMYFUNCTION("""COMPUTED_VALUE"""),"VD034")</f>
        <v>VD034</v>
      </c>
      <c r="I1623" s="2">
        <f>IFERROR(__xludf.DUMMYFUNCTION("""COMPUTED_VALUE"""),20.0)</f>
        <v>20</v>
      </c>
      <c r="J1623" s="2">
        <f>IFERROR(__xludf.DUMMYFUNCTION("""COMPUTED_VALUE"""),6261.84)</f>
        <v>6261.84</v>
      </c>
      <c r="K1623" s="2">
        <f>IFERROR(__xludf.DUMMYFUNCTION("""COMPUTED_VALUE"""),6261.84)</f>
        <v>6261.84</v>
      </c>
    </row>
    <row r="1624">
      <c r="A1624" s="2">
        <f>IFERROR(__xludf.DUMMYFUNCTION("""COMPUTED_VALUE"""),1000.0)</f>
        <v>1000</v>
      </c>
      <c r="B1624" s="2">
        <f>IFERROR(__xludf.DUMMYFUNCTION("""COMPUTED_VALUE"""),184626.0)</f>
        <v>184626</v>
      </c>
      <c r="C1624" s="2">
        <f>IFERROR(__xludf.DUMMYFUNCTION("""COMPUTED_VALUE"""),2026.0)</f>
        <v>2026</v>
      </c>
      <c r="D1624" s="2">
        <f>IFERROR(__xludf.DUMMYFUNCTION("""COMPUTED_VALUE"""),46048.0)</f>
        <v>46048</v>
      </c>
      <c r="E1624" s="2" t="str">
        <f>IFERROR(__xludf.DUMMYFUNCTION("""COMPUTED_VALUE"""),"VF")</f>
        <v>VF</v>
      </c>
      <c r="F1624" s="2">
        <f>IFERROR(__xludf.DUMMYFUNCTION("""COMPUTED_VALUE"""),1.0)</f>
        <v>1</v>
      </c>
      <c r="G1624" s="2" t="str">
        <f>IFERROR(__xludf.DUMMYFUNCTION("""COMPUTED_VALUE"""),"PR001")</f>
        <v>PR001</v>
      </c>
      <c r="H1624" s="2" t="str">
        <f>IFERROR(__xludf.DUMMYFUNCTION("""COMPUTED_VALUE"""),"VD041")</f>
        <v>VD041</v>
      </c>
      <c r="I1624" s="2">
        <f>IFERROR(__xludf.DUMMYFUNCTION("""COMPUTED_VALUE"""),10.0)</f>
        <v>10</v>
      </c>
      <c r="J1624" s="2">
        <f>IFERROR(__xludf.DUMMYFUNCTION("""COMPUTED_VALUE"""),705.13)</f>
        <v>705.13</v>
      </c>
      <c r="K1624" s="2">
        <f>IFERROR(__xludf.DUMMYFUNCTION("""COMPUTED_VALUE"""),705.13)</f>
        <v>705.13</v>
      </c>
    </row>
    <row r="1625">
      <c r="A1625" s="2">
        <f>IFERROR(__xludf.DUMMYFUNCTION("""COMPUTED_VALUE"""),1000.0)</f>
        <v>1000</v>
      </c>
      <c r="B1625" s="2">
        <f>IFERROR(__xludf.DUMMYFUNCTION("""COMPUTED_VALUE"""),184626.0)</f>
        <v>184626</v>
      </c>
      <c r="C1625" s="2">
        <f>IFERROR(__xludf.DUMMYFUNCTION("""COMPUTED_VALUE"""),2026.0)</f>
        <v>2026</v>
      </c>
      <c r="D1625" s="2">
        <f>IFERROR(__xludf.DUMMYFUNCTION("""COMPUTED_VALUE"""),46048.0)</f>
        <v>46048</v>
      </c>
      <c r="E1625" s="2" t="str">
        <f>IFERROR(__xludf.DUMMYFUNCTION("""COMPUTED_VALUE"""),"VF")</f>
        <v>VF</v>
      </c>
      <c r="F1625" s="2">
        <f>IFERROR(__xludf.DUMMYFUNCTION("""COMPUTED_VALUE"""),2.0)</f>
        <v>2</v>
      </c>
      <c r="G1625" s="2" t="str">
        <f>IFERROR(__xludf.DUMMYFUNCTION("""COMPUTED_VALUE"""),"PR037")</f>
        <v>PR037</v>
      </c>
      <c r="H1625" s="2" t="str">
        <f>IFERROR(__xludf.DUMMYFUNCTION("""COMPUTED_VALUE"""),"VD028")</f>
        <v>VD028</v>
      </c>
      <c r="I1625" s="2">
        <f>IFERROR(__xludf.DUMMYFUNCTION("""COMPUTED_VALUE"""),12.0)</f>
        <v>12</v>
      </c>
      <c r="J1625" s="2">
        <f>IFERROR(__xludf.DUMMYFUNCTION("""COMPUTED_VALUE"""),1680.0)</f>
        <v>1680</v>
      </c>
      <c r="K1625" s="2">
        <f>IFERROR(__xludf.DUMMYFUNCTION("""COMPUTED_VALUE"""),1680.0)</f>
        <v>1680</v>
      </c>
    </row>
    <row r="1626">
      <c r="A1626" s="2">
        <f>IFERROR(__xludf.DUMMYFUNCTION("""COMPUTED_VALUE"""),1000.0)</f>
        <v>1000</v>
      </c>
      <c r="B1626" s="2">
        <f>IFERROR(__xludf.DUMMYFUNCTION("""COMPUTED_VALUE"""),184627.0)</f>
        <v>184627</v>
      </c>
      <c r="C1626" s="2">
        <f>IFERROR(__xludf.DUMMYFUNCTION("""COMPUTED_VALUE"""),2026.0)</f>
        <v>2026</v>
      </c>
      <c r="D1626" s="2">
        <f>IFERROR(__xludf.DUMMYFUNCTION("""COMPUTED_VALUE"""),46048.0)</f>
        <v>46048</v>
      </c>
      <c r="E1626" s="2" t="str">
        <f>IFERROR(__xludf.DUMMYFUNCTION("""COMPUTED_VALUE"""),"VF")</f>
        <v>VF</v>
      </c>
      <c r="F1626" s="2">
        <f>IFERROR(__xludf.DUMMYFUNCTION("""COMPUTED_VALUE"""),1.0)</f>
        <v>1</v>
      </c>
      <c r="G1626" s="2" t="str">
        <f>IFERROR(__xludf.DUMMYFUNCTION("""COMPUTED_VALUE"""),"PR036")</f>
        <v>PR036</v>
      </c>
      <c r="H1626" s="2" t="str">
        <f>IFERROR(__xludf.DUMMYFUNCTION("""COMPUTED_VALUE"""),"VD038")</f>
        <v>VD038</v>
      </c>
      <c r="I1626" s="2">
        <f>IFERROR(__xludf.DUMMYFUNCTION("""COMPUTED_VALUE"""),4.0)</f>
        <v>4</v>
      </c>
      <c r="J1626" s="2">
        <f>IFERROR(__xludf.DUMMYFUNCTION("""COMPUTED_VALUE"""),388.96)</f>
        <v>388.96</v>
      </c>
      <c r="K1626" s="2">
        <f>IFERROR(__xludf.DUMMYFUNCTION("""COMPUTED_VALUE"""),388.96)</f>
        <v>388.96</v>
      </c>
    </row>
    <row r="1627">
      <c r="A1627" s="2">
        <f>IFERROR(__xludf.DUMMYFUNCTION("""COMPUTED_VALUE"""),1000.0)</f>
        <v>1000</v>
      </c>
      <c r="B1627" s="2">
        <f>IFERROR(__xludf.DUMMYFUNCTION("""COMPUTED_VALUE"""),184628.0)</f>
        <v>184628</v>
      </c>
      <c r="C1627" s="2">
        <f>IFERROR(__xludf.DUMMYFUNCTION("""COMPUTED_VALUE"""),2026.0)</f>
        <v>2026</v>
      </c>
      <c r="D1627" s="2">
        <f>IFERROR(__xludf.DUMMYFUNCTION("""COMPUTED_VALUE"""),46048.0)</f>
        <v>46048</v>
      </c>
      <c r="E1627" s="2" t="str">
        <f>IFERROR(__xludf.DUMMYFUNCTION("""COMPUTED_VALUE"""),"VF")</f>
        <v>VF</v>
      </c>
      <c r="F1627" s="2">
        <f>IFERROR(__xludf.DUMMYFUNCTION("""COMPUTED_VALUE"""),1.0)</f>
        <v>1</v>
      </c>
      <c r="G1627" s="2" t="str">
        <f>IFERROR(__xludf.DUMMYFUNCTION("""COMPUTED_VALUE"""),"PR035")</f>
        <v>PR035</v>
      </c>
      <c r="H1627" s="2" t="str">
        <f>IFERROR(__xludf.DUMMYFUNCTION("""COMPUTED_VALUE"""),"VD018")</f>
        <v>VD018</v>
      </c>
      <c r="I1627" s="2">
        <f>IFERROR(__xludf.DUMMYFUNCTION("""COMPUTED_VALUE"""),6.0)</f>
        <v>6</v>
      </c>
      <c r="J1627" s="2">
        <f>IFERROR(__xludf.DUMMYFUNCTION("""COMPUTED_VALUE"""),548.4)</f>
        <v>548.4</v>
      </c>
      <c r="K1627" s="2">
        <f>IFERROR(__xludf.DUMMYFUNCTION("""COMPUTED_VALUE"""),548.4)</f>
        <v>548.4</v>
      </c>
    </row>
    <row r="1628">
      <c r="A1628" s="2">
        <f>IFERROR(__xludf.DUMMYFUNCTION("""COMPUTED_VALUE"""),1000.0)</f>
        <v>1000</v>
      </c>
      <c r="B1628" s="2">
        <f>IFERROR(__xludf.DUMMYFUNCTION("""COMPUTED_VALUE"""),184629.0)</f>
        <v>184629</v>
      </c>
      <c r="C1628" s="2">
        <f>IFERROR(__xludf.DUMMYFUNCTION("""COMPUTED_VALUE"""),2026.0)</f>
        <v>2026</v>
      </c>
      <c r="D1628" s="2">
        <f>IFERROR(__xludf.DUMMYFUNCTION("""COMPUTED_VALUE"""),46047.0)</f>
        <v>46047</v>
      </c>
      <c r="E1628" s="2" t="str">
        <f>IFERROR(__xludf.DUMMYFUNCTION("""COMPUTED_VALUE"""),"VF")</f>
        <v>VF</v>
      </c>
      <c r="F1628" s="2">
        <f>IFERROR(__xludf.DUMMYFUNCTION("""COMPUTED_VALUE"""),1.0)</f>
        <v>1</v>
      </c>
      <c r="G1628" s="2" t="str">
        <f>IFERROR(__xludf.DUMMYFUNCTION("""COMPUTED_VALUE"""),"PR057")</f>
        <v>PR057</v>
      </c>
      <c r="H1628" s="2" t="str">
        <f>IFERROR(__xludf.DUMMYFUNCTION("""COMPUTED_VALUE"""),"VD014")</f>
        <v>VD014</v>
      </c>
      <c r="I1628" s="2">
        <f>IFERROR(__xludf.DUMMYFUNCTION("""COMPUTED_VALUE"""),3.0)</f>
        <v>3</v>
      </c>
      <c r="J1628" s="2">
        <f>IFERROR(__xludf.DUMMYFUNCTION("""COMPUTED_VALUE"""),285.88)</f>
        <v>285.88</v>
      </c>
      <c r="K1628" s="2">
        <f>IFERROR(__xludf.DUMMYFUNCTION("""COMPUTED_VALUE"""),285.88)</f>
        <v>285.88</v>
      </c>
    </row>
    <row r="1629">
      <c r="A1629" s="2">
        <f>IFERROR(__xludf.DUMMYFUNCTION("""COMPUTED_VALUE"""),2000.0)</f>
        <v>2000</v>
      </c>
      <c r="B1629" s="2">
        <f>IFERROR(__xludf.DUMMYFUNCTION("""COMPUTED_VALUE"""),184630.0)</f>
        <v>184630</v>
      </c>
      <c r="C1629" s="2">
        <f>IFERROR(__xludf.DUMMYFUNCTION("""COMPUTED_VALUE"""),2026.0)</f>
        <v>2026</v>
      </c>
      <c r="D1629" s="2">
        <f>IFERROR(__xludf.DUMMYFUNCTION("""COMPUTED_VALUE"""),46047.0)</f>
        <v>46047</v>
      </c>
      <c r="E1629" s="2" t="str">
        <f>IFERROR(__xludf.DUMMYFUNCTION("""COMPUTED_VALUE"""),"VF")</f>
        <v>VF</v>
      </c>
      <c r="F1629" s="2">
        <f>IFERROR(__xludf.DUMMYFUNCTION("""COMPUTED_VALUE"""),1.0)</f>
        <v>1</v>
      </c>
      <c r="G1629" s="2" t="str">
        <f>IFERROR(__xludf.DUMMYFUNCTION("""COMPUTED_VALUE"""),"PR033")</f>
        <v>PR033</v>
      </c>
      <c r="H1629" s="2" t="str">
        <f>IFERROR(__xludf.DUMMYFUNCTION("""COMPUTED_VALUE"""),"VD043")</f>
        <v>VD043</v>
      </c>
      <c r="I1629" s="2">
        <f>IFERROR(__xludf.DUMMYFUNCTION("""COMPUTED_VALUE"""),20.0)</f>
        <v>20</v>
      </c>
      <c r="J1629" s="2">
        <f>IFERROR(__xludf.DUMMYFUNCTION("""COMPUTED_VALUE"""),5717.8)</f>
        <v>5717.8</v>
      </c>
      <c r="K1629" s="2">
        <f>IFERROR(__xludf.DUMMYFUNCTION("""COMPUTED_VALUE"""),5717.8)</f>
        <v>5717.8</v>
      </c>
    </row>
    <row r="1630">
      <c r="A1630" s="2">
        <f>IFERROR(__xludf.DUMMYFUNCTION("""COMPUTED_VALUE"""),1000.0)</f>
        <v>1000</v>
      </c>
      <c r="B1630" s="2">
        <f>IFERROR(__xludf.DUMMYFUNCTION("""COMPUTED_VALUE"""),184631.0)</f>
        <v>184631</v>
      </c>
      <c r="C1630" s="2">
        <f>IFERROR(__xludf.DUMMYFUNCTION("""COMPUTED_VALUE"""),2026.0)</f>
        <v>2026</v>
      </c>
      <c r="D1630" s="2">
        <f>IFERROR(__xludf.DUMMYFUNCTION("""COMPUTED_VALUE"""),46047.0)</f>
        <v>46047</v>
      </c>
      <c r="E1630" s="2" t="str">
        <f>IFERROR(__xludf.DUMMYFUNCTION("""COMPUTED_VALUE"""),"VF")</f>
        <v>VF</v>
      </c>
      <c r="F1630" s="2">
        <f>IFERROR(__xludf.DUMMYFUNCTION("""COMPUTED_VALUE"""),1.0)</f>
        <v>1</v>
      </c>
      <c r="G1630" s="2" t="str">
        <f>IFERROR(__xludf.DUMMYFUNCTION("""COMPUTED_VALUE"""),"PR041")</f>
        <v>PR041</v>
      </c>
      <c r="H1630" s="2" t="str">
        <f>IFERROR(__xludf.DUMMYFUNCTION("""COMPUTED_VALUE"""),"VD022")</f>
        <v>VD022</v>
      </c>
      <c r="I1630" s="2">
        <f>IFERROR(__xludf.DUMMYFUNCTION("""COMPUTED_VALUE"""),6.0)</f>
        <v>6</v>
      </c>
      <c r="J1630" s="2">
        <f>IFERROR(__xludf.DUMMYFUNCTION("""COMPUTED_VALUE"""),345.87)</f>
        <v>345.87</v>
      </c>
      <c r="K1630" s="2">
        <f>IFERROR(__xludf.DUMMYFUNCTION("""COMPUTED_VALUE"""),345.87)</f>
        <v>345.87</v>
      </c>
    </row>
    <row r="1631">
      <c r="A1631" s="2">
        <f>IFERROR(__xludf.DUMMYFUNCTION("""COMPUTED_VALUE"""),1000.0)</f>
        <v>1000</v>
      </c>
      <c r="B1631" s="2">
        <f>IFERROR(__xludf.DUMMYFUNCTION("""COMPUTED_VALUE"""),184632.0)</f>
        <v>184632</v>
      </c>
      <c r="C1631" s="2">
        <f>IFERROR(__xludf.DUMMYFUNCTION("""COMPUTED_VALUE"""),2026.0)</f>
        <v>2026</v>
      </c>
      <c r="D1631" s="2">
        <f>IFERROR(__xludf.DUMMYFUNCTION("""COMPUTED_VALUE"""),46046.0)</f>
        <v>46046</v>
      </c>
      <c r="E1631" s="2" t="str">
        <f>IFERROR(__xludf.DUMMYFUNCTION("""COMPUTED_VALUE"""),"VF")</f>
        <v>VF</v>
      </c>
      <c r="F1631" s="2">
        <f>IFERROR(__xludf.DUMMYFUNCTION("""COMPUTED_VALUE"""),1.0)</f>
        <v>1</v>
      </c>
      <c r="G1631" s="2" t="str">
        <f>IFERROR(__xludf.DUMMYFUNCTION("""COMPUTED_VALUE"""),"PR010")</f>
        <v>PR010</v>
      </c>
      <c r="H1631" s="2" t="str">
        <f>IFERROR(__xludf.DUMMYFUNCTION("""COMPUTED_VALUE"""),"VD030")</f>
        <v>VD030</v>
      </c>
      <c r="I1631" s="2">
        <f>IFERROR(__xludf.DUMMYFUNCTION("""COMPUTED_VALUE"""),4.0)</f>
        <v>4</v>
      </c>
      <c r="J1631" s="2">
        <f>IFERROR(__xludf.DUMMYFUNCTION("""COMPUTED_VALUE"""),183.19)</f>
        <v>183.19</v>
      </c>
      <c r="K1631" s="2">
        <f>IFERROR(__xludf.DUMMYFUNCTION("""COMPUTED_VALUE"""),183.19)</f>
        <v>183.19</v>
      </c>
    </row>
    <row r="1632">
      <c r="A1632" s="2">
        <f>IFERROR(__xludf.DUMMYFUNCTION("""COMPUTED_VALUE"""),1000.0)</f>
        <v>1000</v>
      </c>
      <c r="B1632" s="2">
        <f>IFERROR(__xludf.DUMMYFUNCTION("""COMPUTED_VALUE"""),184633.0)</f>
        <v>184633</v>
      </c>
      <c r="C1632" s="2">
        <f>IFERROR(__xludf.DUMMYFUNCTION("""COMPUTED_VALUE"""),2026.0)</f>
        <v>2026</v>
      </c>
      <c r="D1632" s="2">
        <f>IFERROR(__xludf.DUMMYFUNCTION("""COMPUTED_VALUE"""),46046.0)</f>
        <v>46046</v>
      </c>
      <c r="E1632" s="2" t="str">
        <f>IFERROR(__xludf.DUMMYFUNCTION("""COMPUTED_VALUE"""),"VF")</f>
        <v>VF</v>
      </c>
      <c r="F1632" s="2">
        <f>IFERROR(__xludf.DUMMYFUNCTION("""COMPUTED_VALUE"""),1.0)</f>
        <v>1</v>
      </c>
      <c r="G1632" s="2" t="str">
        <f>IFERROR(__xludf.DUMMYFUNCTION("""COMPUTED_VALUE"""),"PR026")</f>
        <v>PR026</v>
      </c>
      <c r="H1632" s="2" t="str">
        <f>IFERROR(__xludf.DUMMYFUNCTION("""COMPUTED_VALUE"""),"VD010")</f>
        <v>VD010</v>
      </c>
      <c r="I1632" s="2">
        <f>IFERROR(__xludf.DUMMYFUNCTION("""COMPUTED_VALUE"""),16.0)</f>
        <v>16</v>
      </c>
      <c r="J1632" s="2">
        <f>IFERROR(__xludf.DUMMYFUNCTION("""COMPUTED_VALUE"""),6102.26)</f>
        <v>6102.26</v>
      </c>
      <c r="K1632" s="2">
        <f>IFERROR(__xludf.DUMMYFUNCTION("""COMPUTED_VALUE"""),6102.26)</f>
        <v>6102.26</v>
      </c>
    </row>
    <row r="1633">
      <c r="A1633" s="2">
        <f>IFERROR(__xludf.DUMMYFUNCTION("""COMPUTED_VALUE"""),1000.0)</f>
        <v>1000</v>
      </c>
      <c r="B1633" s="2">
        <f>IFERROR(__xludf.DUMMYFUNCTION("""COMPUTED_VALUE"""),184634.0)</f>
        <v>184634</v>
      </c>
      <c r="C1633" s="2">
        <f>IFERROR(__xludf.DUMMYFUNCTION("""COMPUTED_VALUE"""),2026.0)</f>
        <v>2026</v>
      </c>
      <c r="D1633" s="2">
        <f>IFERROR(__xludf.DUMMYFUNCTION("""COMPUTED_VALUE"""),46045.0)</f>
        <v>46045</v>
      </c>
      <c r="E1633" s="2" t="str">
        <f>IFERROR(__xludf.DUMMYFUNCTION("""COMPUTED_VALUE"""),"VF")</f>
        <v>VF</v>
      </c>
      <c r="F1633" s="2">
        <f>IFERROR(__xludf.DUMMYFUNCTION("""COMPUTED_VALUE"""),1.0)</f>
        <v>1</v>
      </c>
      <c r="G1633" s="2" t="str">
        <f>IFERROR(__xludf.DUMMYFUNCTION("""COMPUTED_VALUE"""),"PR052")</f>
        <v>PR052</v>
      </c>
      <c r="H1633" s="2" t="str">
        <f>IFERROR(__xludf.DUMMYFUNCTION("""COMPUTED_VALUE"""),"VD043")</f>
        <v>VD043</v>
      </c>
      <c r="I1633" s="2">
        <f>IFERROR(__xludf.DUMMYFUNCTION("""COMPUTED_VALUE"""),1.0)</f>
        <v>1</v>
      </c>
      <c r="J1633" s="2">
        <f>IFERROR(__xludf.DUMMYFUNCTION("""COMPUTED_VALUE"""),54.89)</f>
        <v>54.89</v>
      </c>
      <c r="K1633" s="2">
        <f>IFERROR(__xludf.DUMMYFUNCTION("""COMPUTED_VALUE"""),54.89)</f>
        <v>54.89</v>
      </c>
    </row>
    <row r="1634">
      <c r="A1634" s="2">
        <f>IFERROR(__xludf.DUMMYFUNCTION("""COMPUTED_VALUE"""),1000.0)</f>
        <v>1000</v>
      </c>
      <c r="B1634" s="2">
        <f>IFERROR(__xludf.DUMMYFUNCTION("""COMPUTED_VALUE"""),184635.0)</f>
        <v>184635</v>
      </c>
      <c r="C1634" s="2">
        <f>IFERROR(__xludf.DUMMYFUNCTION("""COMPUTED_VALUE"""),2026.0)</f>
        <v>2026</v>
      </c>
      <c r="D1634" s="2">
        <f>IFERROR(__xludf.DUMMYFUNCTION("""COMPUTED_VALUE"""),46045.0)</f>
        <v>46045</v>
      </c>
      <c r="E1634" s="2" t="str">
        <f>IFERROR(__xludf.DUMMYFUNCTION("""COMPUTED_VALUE"""),"VF")</f>
        <v>VF</v>
      </c>
      <c r="F1634" s="2">
        <f>IFERROR(__xludf.DUMMYFUNCTION("""COMPUTED_VALUE"""),1.0)</f>
        <v>1</v>
      </c>
      <c r="G1634" s="2" t="str">
        <f>IFERROR(__xludf.DUMMYFUNCTION("""COMPUTED_VALUE"""),"PR015")</f>
        <v>PR015</v>
      </c>
      <c r="H1634" s="2" t="str">
        <f>IFERROR(__xludf.DUMMYFUNCTION("""COMPUTED_VALUE"""),"VD041")</f>
        <v>VD041</v>
      </c>
      <c r="I1634" s="2">
        <f>IFERROR(__xludf.DUMMYFUNCTION("""COMPUTED_VALUE"""),4.0)</f>
        <v>4</v>
      </c>
      <c r="J1634" s="2">
        <f>IFERROR(__xludf.DUMMYFUNCTION("""COMPUTED_VALUE"""),187.0)</f>
        <v>187</v>
      </c>
      <c r="K1634" s="2">
        <f>IFERROR(__xludf.DUMMYFUNCTION("""COMPUTED_VALUE"""),187.0)</f>
        <v>187</v>
      </c>
    </row>
    <row r="1635">
      <c r="A1635" s="2">
        <f>IFERROR(__xludf.DUMMYFUNCTION("""COMPUTED_VALUE"""),2000.0)</f>
        <v>2000</v>
      </c>
      <c r="B1635" s="2">
        <f>IFERROR(__xludf.DUMMYFUNCTION("""COMPUTED_VALUE"""),184636.0)</f>
        <v>184636</v>
      </c>
      <c r="C1635" s="2">
        <f>IFERROR(__xludf.DUMMYFUNCTION("""COMPUTED_VALUE"""),2026.0)</f>
        <v>2026</v>
      </c>
      <c r="D1635" s="2">
        <f>IFERROR(__xludf.DUMMYFUNCTION("""COMPUTED_VALUE"""),46044.0)</f>
        <v>46044</v>
      </c>
      <c r="E1635" s="2" t="str">
        <f>IFERROR(__xludf.DUMMYFUNCTION("""COMPUTED_VALUE"""),"VF")</f>
        <v>VF</v>
      </c>
      <c r="F1635" s="2">
        <f>IFERROR(__xludf.DUMMYFUNCTION("""COMPUTED_VALUE"""),1.0)</f>
        <v>1</v>
      </c>
      <c r="G1635" s="2" t="str">
        <f>IFERROR(__xludf.DUMMYFUNCTION("""COMPUTED_VALUE"""),"PR034")</f>
        <v>PR034</v>
      </c>
      <c r="H1635" s="2" t="str">
        <f>IFERROR(__xludf.DUMMYFUNCTION("""COMPUTED_VALUE"""),"VD020")</f>
        <v>VD020</v>
      </c>
      <c r="I1635" s="2">
        <f>IFERROR(__xludf.DUMMYFUNCTION("""COMPUTED_VALUE"""),3.0)</f>
        <v>3</v>
      </c>
      <c r="J1635" s="2">
        <f>IFERROR(__xludf.DUMMYFUNCTION("""COMPUTED_VALUE"""),272.4)</f>
        <v>272.4</v>
      </c>
      <c r="K1635" s="2">
        <f>IFERROR(__xludf.DUMMYFUNCTION("""COMPUTED_VALUE"""),272.4)</f>
        <v>272.4</v>
      </c>
    </row>
    <row r="1636">
      <c r="A1636" s="2">
        <f>IFERROR(__xludf.DUMMYFUNCTION("""COMPUTED_VALUE"""),1000.0)</f>
        <v>1000</v>
      </c>
      <c r="B1636" s="2">
        <f>IFERROR(__xludf.DUMMYFUNCTION("""COMPUTED_VALUE"""),184637.0)</f>
        <v>184637</v>
      </c>
      <c r="C1636" s="2">
        <f>IFERROR(__xludf.DUMMYFUNCTION("""COMPUTED_VALUE"""),2026.0)</f>
        <v>2026</v>
      </c>
      <c r="D1636" s="2">
        <f>IFERROR(__xludf.DUMMYFUNCTION("""COMPUTED_VALUE"""),46044.0)</f>
        <v>46044</v>
      </c>
      <c r="E1636" s="2" t="str">
        <f>IFERROR(__xludf.DUMMYFUNCTION("""COMPUTED_VALUE"""),"VF")</f>
        <v>VF</v>
      </c>
      <c r="F1636" s="2">
        <f>IFERROR(__xludf.DUMMYFUNCTION("""COMPUTED_VALUE"""),1.0)</f>
        <v>1</v>
      </c>
      <c r="G1636" s="2" t="str">
        <f>IFERROR(__xludf.DUMMYFUNCTION("""COMPUTED_VALUE"""),"PR013")</f>
        <v>PR013</v>
      </c>
      <c r="H1636" s="2" t="str">
        <f>IFERROR(__xludf.DUMMYFUNCTION("""COMPUTED_VALUE"""),"VD044")</f>
        <v>VD044</v>
      </c>
      <c r="I1636" s="2">
        <f>IFERROR(__xludf.DUMMYFUNCTION("""COMPUTED_VALUE"""),2.0)</f>
        <v>2</v>
      </c>
      <c r="J1636" s="2">
        <f>IFERROR(__xludf.DUMMYFUNCTION("""COMPUTED_VALUE"""),84.59)</f>
        <v>84.59</v>
      </c>
      <c r="K1636" s="2">
        <f>IFERROR(__xludf.DUMMYFUNCTION("""COMPUTED_VALUE"""),84.59)</f>
        <v>84.59</v>
      </c>
    </row>
    <row r="1637">
      <c r="A1637" s="2">
        <f>IFERROR(__xludf.DUMMYFUNCTION("""COMPUTED_VALUE"""),2000.0)</f>
        <v>2000</v>
      </c>
      <c r="B1637" s="2">
        <f>IFERROR(__xludf.DUMMYFUNCTION("""COMPUTED_VALUE"""),184638.0)</f>
        <v>184638</v>
      </c>
      <c r="C1637" s="2">
        <f>IFERROR(__xludf.DUMMYFUNCTION("""COMPUTED_VALUE"""),2026.0)</f>
        <v>2026</v>
      </c>
      <c r="D1637" s="2">
        <f>IFERROR(__xludf.DUMMYFUNCTION("""COMPUTED_VALUE"""),46043.0)</f>
        <v>46043</v>
      </c>
      <c r="E1637" s="2" t="str">
        <f>IFERROR(__xludf.DUMMYFUNCTION("""COMPUTED_VALUE"""),"VF")</f>
        <v>VF</v>
      </c>
      <c r="F1637" s="2">
        <f>IFERROR(__xludf.DUMMYFUNCTION("""COMPUTED_VALUE"""),1.0)</f>
        <v>1</v>
      </c>
      <c r="G1637" s="2" t="str">
        <f>IFERROR(__xludf.DUMMYFUNCTION("""COMPUTED_VALUE"""),"PR054")</f>
        <v>PR054</v>
      </c>
      <c r="H1637" s="2" t="str">
        <f>IFERROR(__xludf.DUMMYFUNCTION("""COMPUTED_VALUE"""),"VD031")</f>
        <v>VD031</v>
      </c>
      <c r="I1637" s="2">
        <f>IFERROR(__xludf.DUMMYFUNCTION("""COMPUTED_VALUE"""),6.0)</f>
        <v>6</v>
      </c>
      <c r="J1637" s="2">
        <f>IFERROR(__xludf.DUMMYFUNCTION("""COMPUTED_VALUE"""),305.39)</f>
        <v>305.39</v>
      </c>
      <c r="K1637" s="2">
        <f>IFERROR(__xludf.DUMMYFUNCTION("""COMPUTED_VALUE"""),305.39)</f>
        <v>305.39</v>
      </c>
    </row>
    <row r="1638">
      <c r="A1638" s="2">
        <f>IFERROR(__xludf.DUMMYFUNCTION("""COMPUTED_VALUE"""),1000.0)</f>
        <v>1000</v>
      </c>
      <c r="B1638" s="2">
        <f>IFERROR(__xludf.DUMMYFUNCTION("""COMPUTED_VALUE"""),184639.0)</f>
        <v>184639</v>
      </c>
      <c r="C1638" s="2">
        <f>IFERROR(__xludf.DUMMYFUNCTION("""COMPUTED_VALUE"""),2026.0)</f>
        <v>2026</v>
      </c>
      <c r="D1638" s="2">
        <f>IFERROR(__xludf.DUMMYFUNCTION("""COMPUTED_VALUE"""),46043.0)</f>
        <v>46043</v>
      </c>
      <c r="E1638" s="2" t="str">
        <f>IFERROR(__xludf.DUMMYFUNCTION("""COMPUTED_VALUE"""),"VF")</f>
        <v>VF</v>
      </c>
      <c r="F1638" s="2">
        <f>IFERROR(__xludf.DUMMYFUNCTION("""COMPUTED_VALUE"""),1.0)</f>
        <v>1</v>
      </c>
      <c r="G1638" s="2" t="str">
        <f>IFERROR(__xludf.DUMMYFUNCTION("""COMPUTED_VALUE"""),"PR005")</f>
        <v>PR005</v>
      </c>
      <c r="H1638" s="2" t="str">
        <f>IFERROR(__xludf.DUMMYFUNCTION("""COMPUTED_VALUE"""),"VD039")</f>
        <v>VD039</v>
      </c>
      <c r="I1638" s="2">
        <f>IFERROR(__xludf.DUMMYFUNCTION("""COMPUTED_VALUE"""),10.0)</f>
        <v>10</v>
      </c>
      <c r="J1638" s="2">
        <f>IFERROR(__xludf.DUMMYFUNCTION("""COMPUTED_VALUE"""),2806.92)</f>
        <v>2806.92</v>
      </c>
      <c r="K1638" s="2">
        <f>IFERROR(__xludf.DUMMYFUNCTION("""COMPUTED_VALUE"""),2806.92)</f>
        <v>2806.92</v>
      </c>
    </row>
    <row r="1639">
      <c r="A1639" s="2">
        <f>IFERROR(__xludf.DUMMYFUNCTION("""COMPUTED_VALUE"""),1000.0)</f>
        <v>1000</v>
      </c>
      <c r="B1639" s="2">
        <f>IFERROR(__xludf.DUMMYFUNCTION("""COMPUTED_VALUE"""),184640.0)</f>
        <v>184640</v>
      </c>
      <c r="C1639" s="2">
        <f>IFERROR(__xludf.DUMMYFUNCTION("""COMPUTED_VALUE"""),2026.0)</f>
        <v>2026</v>
      </c>
      <c r="D1639" s="2">
        <f>IFERROR(__xludf.DUMMYFUNCTION("""COMPUTED_VALUE"""),46043.0)</f>
        <v>46043</v>
      </c>
      <c r="E1639" s="2" t="str">
        <f>IFERROR(__xludf.DUMMYFUNCTION("""COMPUTED_VALUE"""),"VF")</f>
        <v>VF</v>
      </c>
      <c r="F1639" s="2">
        <f>IFERROR(__xludf.DUMMYFUNCTION("""COMPUTED_VALUE"""),1.0)</f>
        <v>1</v>
      </c>
      <c r="G1639" s="2" t="str">
        <f>IFERROR(__xludf.DUMMYFUNCTION("""COMPUTED_VALUE"""),"PR046")</f>
        <v>PR046</v>
      </c>
      <c r="H1639" s="2" t="str">
        <f>IFERROR(__xludf.DUMMYFUNCTION("""COMPUTED_VALUE"""),"VD027")</f>
        <v>VD027</v>
      </c>
      <c r="I1639" s="2">
        <f>IFERROR(__xludf.DUMMYFUNCTION("""COMPUTED_VALUE"""),14.0)</f>
        <v>14</v>
      </c>
      <c r="J1639" s="2">
        <f>IFERROR(__xludf.DUMMYFUNCTION("""COMPUTED_VALUE"""),4383.29)</f>
        <v>4383.29</v>
      </c>
      <c r="K1639" s="2">
        <f>IFERROR(__xludf.DUMMYFUNCTION("""COMPUTED_VALUE"""),4383.29)</f>
        <v>4383.29</v>
      </c>
    </row>
    <row r="1640">
      <c r="A1640" s="2">
        <f>IFERROR(__xludf.DUMMYFUNCTION("""COMPUTED_VALUE"""),2000.0)</f>
        <v>2000</v>
      </c>
      <c r="B1640" s="2">
        <f>IFERROR(__xludf.DUMMYFUNCTION("""COMPUTED_VALUE"""),184640.0)</f>
        <v>184640</v>
      </c>
      <c r="C1640" s="2">
        <f>IFERROR(__xludf.DUMMYFUNCTION("""COMPUTED_VALUE"""),2026.0)</f>
        <v>2026</v>
      </c>
      <c r="D1640" s="2">
        <f>IFERROR(__xludf.DUMMYFUNCTION("""COMPUTED_VALUE"""),46043.0)</f>
        <v>46043</v>
      </c>
      <c r="E1640" s="2" t="str">
        <f>IFERROR(__xludf.DUMMYFUNCTION("""COMPUTED_VALUE"""),"VF")</f>
        <v>VF</v>
      </c>
      <c r="F1640" s="2">
        <f>IFERROR(__xludf.DUMMYFUNCTION("""COMPUTED_VALUE"""),2.0)</f>
        <v>2</v>
      </c>
      <c r="G1640" s="2" t="str">
        <f>IFERROR(__xludf.DUMMYFUNCTION("""COMPUTED_VALUE"""),"PR019")</f>
        <v>PR019</v>
      </c>
      <c r="H1640" s="2" t="str">
        <f>IFERROR(__xludf.DUMMYFUNCTION("""COMPUTED_VALUE"""),"VD015")</f>
        <v>VD015</v>
      </c>
      <c r="I1640" s="2">
        <f>IFERROR(__xludf.DUMMYFUNCTION("""COMPUTED_VALUE"""),9.0)</f>
        <v>9</v>
      </c>
      <c r="J1640" s="2">
        <f>IFERROR(__xludf.DUMMYFUNCTION("""COMPUTED_VALUE"""),485.03)</f>
        <v>485.03</v>
      </c>
      <c r="K1640" s="2">
        <f>IFERROR(__xludf.DUMMYFUNCTION("""COMPUTED_VALUE"""),485.03)</f>
        <v>485.03</v>
      </c>
    </row>
    <row r="1641">
      <c r="A1641" s="2">
        <f>IFERROR(__xludf.DUMMYFUNCTION("""COMPUTED_VALUE"""),1000.0)</f>
        <v>1000</v>
      </c>
      <c r="B1641" s="2">
        <f>IFERROR(__xludf.DUMMYFUNCTION("""COMPUTED_VALUE"""),184641.0)</f>
        <v>184641</v>
      </c>
      <c r="C1641" s="2">
        <f>IFERROR(__xludf.DUMMYFUNCTION("""COMPUTED_VALUE"""),2026.0)</f>
        <v>2026</v>
      </c>
      <c r="D1641" s="2">
        <f>IFERROR(__xludf.DUMMYFUNCTION("""COMPUTED_VALUE"""),46042.0)</f>
        <v>46042</v>
      </c>
      <c r="E1641" s="2" t="str">
        <f>IFERROR(__xludf.DUMMYFUNCTION("""COMPUTED_VALUE"""),"VF")</f>
        <v>VF</v>
      </c>
      <c r="F1641" s="2">
        <f>IFERROR(__xludf.DUMMYFUNCTION("""COMPUTED_VALUE"""),1.0)</f>
        <v>1</v>
      </c>
      <c r="G1641" s="2" t="str">
        <f>IFERROR(__xludf.DUMMYFUNCTION("""COMPUTED_VALUE"""),"PR047")</f>
        <v>PR047</v>
      </c>
      <c r="H1641" s="2" t="str">
        <f>IFERROR(__xludf.DUMMYFUNCTION("""COMPUTED_VALUE"""),"VD026")</f>
        <v>VD026</v>
      </c>
      <c r="I1641" s="2">
        <f>IFERROR(__xludf.DUMMYFUNCTION("""COMPUTED_VALUE"""),2.0)</f>
        <v>2</v>
      </c>
      <c r="J1641" s="2">
        <f>IFERROR(__xludf.DUMMYFUNCTION("""COMPUTED_VALUE"""),608.79)</f>
        <v>608.79</v>
      </c>
      <c r="K1641" s="2">
        <f>IFERROR(__xludf.DUMMYFUNCTION("""COMPUTED_VALUE"""),608.79)</f>
        <v>608.79</v>
      </c>
    </row>
    <row r="1642">
      <c r="A1642" s="2">
        <f>IFERROR(__xludf.DUMMYFUNCTION("""COMPUTED_VALUE"""),1000.0)</f>
        <v>1000</v>
      </c>
      <c r="B1642" s="2">
        <f>IFERROR(__xludf.DUMMYFUNCTION("""COMPUTED_VALUE"""),184642.0)</f>
        <v>184642</v>
      </c>
      <c r="C1642" s="2">
        <f>IFERROR(__xludf.DUMMYFUNCTION("""COMPUTED_VALUE"""),2026.0)</f>
        <v>2026</v>
      </c>
      <c r="D1642" s="2">
        <f>IFERROR(__xludf.DUMMYFUNCTION("""COMPUTED_VALUE"""),46042.0)</f>
        <v>46042</v>
      </c>
      <c r="E1642" s="2" t="str">
        <f>IFERROR(__xludf.DUMMYFUNCTION("""COMPUTED_VALUE"""),"VF")</f>
        <v>VF</v>
      </c>
      <c r="F1642" s="2">
        <f>IFERROR(__xludf.DUMMYFUNCTION("""COMPUTED_VALUE"""),1.0)</f>
        <v>1</v>
      </c>
      <c r="G1642" s="2" t="str">
        <f>IFERROR(__xludf.DUMMYFUNCTION("""COMPUTED_VALUE"""),"PR058")</f>
        <v>PR058</v>
      </c>
      <c r="H1642" s="2" t="str">
        <f>IFERROR(__xludf.DUMMYFUNCTION("""COMPUTED_VALUE"""),"VD037")</f>
        <v>VD037</v>
      </c>
      <c r="I1642" s="2">
        <f>IFERROR(__xludf.DUMMYFUNCTION("""COMPUTED_VALUE"""),16.0)</f>
        <v>16</v>
      </c>
      <c r="J1642" s="2">
        <f>IFERROR(__xludf.DUMMYFUNCTION("""COMPUTED_VALUE"""),3139.2)</f>
        <v>3139.2</v>
      </c>
      <c r="K1642" s="2">
        <f>IFERROR(__xludf.DUMMYFUNCTION("""COMPUTED_VALUE"""),3139.2)</f>
        <v>3139.2</v>
      </c>
    </row>
    <row r="1643">
      <c r="A1643" s="2">
        <f>IFERROR(__xludf.DUMMYFUNCTION("""COMPUTED_VALUE"""),1000.0)</f>
        <v>1000</v>
      </c>
      <c r="B1643" s="2">
        <f>IFERROR(__xludf.DUMMYFUNCTION("""COMPUTED_VALUE"""),184643.0)</f>
        <v>184643</v>
      </c>
      <c r="C1643" s="2">
        <f>IFERROR(__xludf.DUMMYFUNCTION("""COMPUTED_VALUE"""),2026.0)</f>
        <v>2026</v>
      </c>
      <c r="D1643" s="2">
        <f>IFERROR(__xludf.DUMMYFUNCTION("""COMPUTED_VALUE"""),46042.0)</f>
        <v>46042</v>
      </c>
      <c r="E1643" s="2" t="str">
        <f>IFERROR(__xludf.DUMMYFUNCTION("""COMPUTED_VALUE"""),"VF")</f>
        <v>VF</v>
      </c>
      <c r="F1643" s="2">
        <f>IFERROR(__xludf.DUMMYFUNCTION("""COMPUTED_VALUE"""),1.0)</f>
        <v>1</v>
      </c>
      <c r="G1643" s="2" t="str">
        <f>IFERROR(__xludf.DUMMYFUNCTION("""COMPUTED_VALUE"""),"PR030")</f>
        <v>PR030</v>
      </c>
      <c r="H1643" s="2" t="str">
        <f>IFERROR(__xludf.DUMMYFUNCTION("""COMPUTED_VALUE"""),"VD035")</f>
        <v>VD035</v>
      </c>
      <c r="I1643" s="2">
        <f>IFERROR(__xludf.DUMMYFUNCTION("""COMPUTED_VALUE"""),8.0)</f>
        <v>8</v>
      </c>
      <c r="J1643" s="2">
        <f>IFERROR(__xludf.DUMMYFUNCTION("""COMPUTED_VALUE"""),2287.12)</f>
        <v>2287.12</v>
      </c>
      <c r="K1643" s="2">
        <f>IFERROR(__xludf.DUMMYFUNCTION("""COMPUTED_VALUE"""),2287.12)</f>
        <v>2287.12</v>
      </c>
    </row>
    <row r="1644">
      <c r="A1644" s="2">
        <f>IFERROR(__xludf.DUMMYFUNCTION("""COMPUTED_VALUE"""),2000.0)</f>
        <v>2000</v>
      </c>
      <c r="B1644" s="2">
        <f>IFERROR(__xludf.DUMMYFUNCTION("""COMPUTED_VALUE"""),184644.0)</f>
        <v>184644</v>
      </c>
      <c r="C1644" s="2">
        <f>IFERROR(__xludf.DUMMYFUNCTION("""COMPUTED_VALUE"""),2026.0)</f>
        <v>2026</v>
      </c>
      <c r="D1644" s="2">
        <f>IFERROR(__xludf.DUMMYFUNCTION("""COMPUTED_VALUE"""),46042.0)</f>
        <v>46042</v>
      </c>
      <c r="E1644" s="2" t="str">
        <f>IFERROR(__xludf.DUMMYFUNCTION("""COMPUTED_VALUE"""),"VF")</f>
        <v>VF</v>
      </c>
      <c r="F1644" s="2">
        <f>IFERROR(__xludf.DUMMYFUNCTION("""COMPUTED_VALUE"""),1.0)</f>
        <v>1</v>
      </c>
      <c r="G1644" s="2" t="str">
        <f>IFERROR(__xludf.DUMMYFUNCTION("""COMPUTED_VALUE"""),"PR031")</f>
        <v>PR031</v>
      </c>
      <c r="H1644" s="2" t="str">
        <f>IFERROR(__xludf.DUMMYFUNCTION("""COMPUTED_VALUE"""),"VD043")</f>
        <v>VD043</v>
      </c>
      <c r="I1644" s="2">
        <f>IFERROR(__xludf.DUMMYFUNCTION("""COMPUTED_VALUE"""),20.0)</f>
        <v>20</v>
      </c>
      <c r="J1644" s="2">
        <f>IFERROR(__xludf.DUMMYFUNCTION("""COMPUTED_VALUE"""),5047.0)</f>
        <v>5047</v>
      </c>
      <c r="K1644" s="2">
        <f>IFERROR(__xludf.DUMMYFUNCTION("""COMPUTED_VALUE"""),5047.0)</f>
        <v>5047</v>
      </c>
    </row>
    <row r="1645">
      <c r="A1645" s="2">
        <f>IFERROR(__xludf.DUMMYFUNCTION("""COMPUTED_VALUE"""),2000.0)</f>
        <v>2000</v>
      </c>
      <c r="B1645" s="2">
        <f>IFERROR(__xludf.DUMMYFUNCTION("""COMPUTED_VALUE"""),184645.0)</f>
        <v>184645</v>
      </c>
      <c r="C1645" s="2">
        <f>IFERROR(__xludf.DUMMYFUNCTION("""COMPUTED_VALUE"""),2026.0)</f>
        <v>2026</v>
      </c>
      <c r="D1645" s="2">
        <f>IFERROR(__xludf.DUMMYFUNCTION("""COMPUTED_VALUE"""),46042.0)</f>
        <v>46042</v>
      </c>
      <c r="E1645" s="2" t="str">
        <f>IFERROR(__xludf.DUMMYFUNCTION("""COMPUTED_VALUE"""),"VF")</f>
        <v>VF</v>
      </c>
      <c r="F1645" s="2">
        <f>IFERROR(__xludf.DUMMYFUNCTION("""COMPUTED_VALUE"""),1.0)</f>
        <v>1</v>
      </c>
      <c r="G1645" s="2" t="str">
        <f>IFERROR(__xludf.DUMMYFUNCTION("""COMPUTED_VALUE"""),"PR013")</f>
        <v>PR013</v>
      </c>
      <c r="H1645" s="2" t="str">
        <f>IFERROR(__xludf.DUMMYFUNCTION("""COMPUTED_VALUE"""),"VD034")</f>
        <v>VD034</v>
      </c>
      <c r="I1645" s="2">
        <f>IFERROR(__xludf.DUMMYFUNCTION("""COMPUTED_VALUE"""),4.0)</f>
        <v>4</v>
      </c>
      <c r="J1645" s="2">
        <f>IFERROR(__xludf.DUMMYFUNCTION("""COMPUTED_VALUE"""),167.58)</f>
        <v>167.58</v>
      </c>
      <c r="K1645" s="2">
        <f>IFERROR(__xludf.DUMMYFUNCTION("""COMPUTED_VALUE"""),167.58)</f>
        <v>167.58</v>
      </c>
    </row>
    <row r="1646">
      <c r="A1646" s="2">
        <f>IFERROR(__xludf.DUMMYFUNCTION("""COMPUTED_VALUE"""),1000.0)</f>
        <v>1000</v>
      </c>
      <c r="B1646" s="2">
        <f>IFERROR(__xludf.DUMMYFUNCTION("""COMPUTED_VALUE"""),184646.0)</f>
        <v>184646</v>
      </c>
      <c r="C1646" s="2">
        <f>IFERROR(__xludf.DUMMYFUNCTION("""COMPUTED_VALUE"""),2026.0)</f>
        <v>2026</v>
      </c>
      <c r="D1646" s="2">
        <f>IFERROR(__xludf.DUMMYFUNCTION("""COMPUTED_VALUE"""),46041.0)</f>
        <v>46041</v>
      </c>
      <c r="E1646" s="2" t="str">
        <f>IFERROR(__xludf.DUMMYFUNCTION("""COMPUTED_VALUE"""),"VF")</f>
        <v>VF</v>
      </c>
      <c r="F1646" s="2">
        <f>IFERROR(__xludf.DUMMYFUNCTION("""COMPUTED_VALUE"""),1.0)</f>
        <v>1</v>
      </c>
      <c r="G1646" s="2" t="str">
        <f>IFERROR(__xludf.DUMMYFUNCTION("""COMPUTED_VALUE"""),"PR036")</f>
        <v>PR036</v>
      </c>
      <c r="H1646" s="2" t="str">
        <f>IFERROR(__xludf.DUMMYFUNCTION("""COMPUTED_VALUE"""),"VD039")</f>
        <v>VD039</v>
      </c>
      <c r="I1646" s="2">
        <f>IFERROR(__xludf.DUMMYFUNCTION("""COMPUTED_VALUE"""),7.0)</f>
        <v>7</v>
      </c>
      <c r="J1646" s="2">
        <f>IFERROR(__xludf.DUMMYFUNCTION("""COMPUTED_VALUE"""),706.86)</f>
        <v>706.86</v>
      </c>
      <c r="K1646" s="2">
        <f>IFERROR(__xludf.DUMMYFUNCTION("""COMPUTED_VALUE"""),706.86)</f>
        <v>706.86</v>
      </c>
    </row>
    <row r="1647">
      <c r="A1647" s="2">
        <f>IFERROR(__xludf.DUMMYFUNCTION("""COMPUTED_VALUE"""),1000.0)</f>
        <v>1000</v>
      </c>
      <c r="B1647" s="2">
        <f>IFERROR(__xludf.DUMMYFUNCTION("""COMPUTED_VALUE"""),184647.0)</f>
        <v>184647</v>
      </c>
      <c r="C1647" s="2">
        <f>IFERROR(__xludf.DUMMYFUNCTION("""COMPUTED_VALUE"""),2026.0)</f>
        <v>2026</v>
      </c>
      <c r="D1647" s="2">
        <f>IFERROR(__xludf.DUMMYFUNCTION("""COMPUTED_VALUE"""),46041.0)</f>
        <v>46041</v>
      </c>
      <c r="E1647" s="2" t="str">
        <f>IFERROR(__xludf.DUMMYFUNCTION("""COMPUTED_VALUE"""),"VF")</f>
        <v>VF</v>
      </c>
      <c r="F1647" s="2">
        <f>IFERROR(__xludf.DUMMYFUNCTION("""COMPUTED_VALUE"""),1.0)</f>
        <v>1</v>
      </c>
      <c r="G1647" s="2" t="str">
        <f>IFERROR(__xludf.DUMMYFUNCTION("""COMPUTED_VALUE"""),"PR050")</f>
        <v>PR050</v>
      </c>
      <c r="H1647" s="2" t="str">
        <f>IFERROR(__xludf.DUMMYFUNCTION("""COMPUTED_VALUE"""),"VD025")</f>
        <v>VD025</v>
      </c>
      <c r="I1647" s="2">
        <f>IFERROR(__xludf.DUMMYFUNCTION("""COMPUTED_VALUE"""),9.0)</f>
        <v>9</v>
      </c>
      <c r="J1647" s="2">
        <f>IFERROR(__xludf.DUMMYFUNCTION("""COMPUTED_VALUE"""),304.98)</f>
        <v>304.98</v>
      </c>
      <c r="K1647" s="2">
        <f>IFERROR(__xludf.DUMMYFUNCTION("""COMPUTED_VALUE"""),304.98)</f>
        <v>304.98</v>
      </c>
    </row>
    <row r="1648">
      <c r="A1648" s="2">
        <f>IFERROR(__xludf.DUMMYFUNCTION("""COMPUTED_VALUE"""),1000.0)</f>
        <v>1000</v>
      </c>
      <c r="B1648" s="2">
        <f>IFERROR(__xludf.DUMMYFUNCTION("""COMPUTED_VALUE"""),184648.0)</f>
        <v>184648</v>
      </c>
      <c r="C1648" s="2">
        <f>IFERROR(__xludf.DUMMYFUNCTION("""COMPUTED_VALUE"""),2026.0)</f>
        <v>2026</v>
      </c>
      <c r="D1648" s="2">
        <f>IFERROR(__xludf.DUMMYFUNCTION("""COMPUTED_VALUE"""),46041.0)</f>
        <v>46041</v>
      </c>
      <c r="E1648" s="2" t="str">
        <f>IFERROR(__xludf.DUMMYFUNCTION("""COMPUTED_VALUE"""),"VF")</f>
        <v>VF</v>
      </c>
      <c r="F1648" s="2">
        <f>IFERROR(__xludf.DUMMYFUNCTION("""COMPUTED_VALUE"""),1.0)</f>
        <v>1</v>
      </c>
      <c r="G1648" s="2" t="str">
        <f>IFERROR(__xludf.DUMMYFUNCTION("""COMPUTED_VALUE"""),"PR055")</f>
        <v>PR055</v>
      </c>
      <c r="H1648" s="2" t="str">
        <f>IFERROR(__xludf.DUMMYFUNCTION("""COMPUTED_VALUE"""),"VD040")</f>
        <v>VD040</v>
      </c>
      <c r="I1648" s="2">
        <f>IFERROR(__xludf.DUMMYFUNCTION("""COMPUTED_VALUE"""),20.0)</f>
        <v>20</v>
      </c>
      <c r="J1648" s="2">
        <f>IFERROR(__xludf.DUMMYFUNCTION("""COMPUTED_VALUE"""),1923.86)</f>
        <v>1923.86</v>
      </c>
      <c r="K1648" s="2">
        <f>IFERROR(__xludf.DUMMYFUNCTION("""COMPUTED_VALUE"""),1923.86)</f>
        <v>1923.86</v>
      </c>
    </row>
    <row r="1649">
      <c r="A1649" s="2">
        <f>IFERROR(__xludf.DUMMYFUNCTION("""COMPUTED_VALUE"""),1000.0)</f>
        <v>1000</v>
      </c>
      <c r="B1649" s="2">
        <f>IFERROR(__xludf.DUMMYFUNCTION("""COMPUTED_VALUE"""),184649.0)</f>
        <v>184649</v>
      </c>
      <c r="C1649" s="2">
        <f>IFERROR(__xludf.DUMMYFUNCTION("""COMPUTED_VALUE"""),2026.0)</f>
        <v>2026</v>
      </c>
      <c r="D1649" s="2">
        <f>IFERROR(__xludf.DUMMYFUNCTION("""COMPUTED_VALUE"""),46041.0)</f>
        <v>46041</v>
      </c>
      <c r="E1649" s="2" t="str">
        <f>IFERROR(__xludf.DUMMYFUNCTION("""COMPUTED_VALUE"""),"VF")</f>
        <v>VF</v>
      </c>
      <c r="F1649" s="2">
        <f>IFERROR(__xludf.DUMMYFUNCTION("""COMPUTED_VALUE"""),1.0)</f>
        <v>1</v>
      </c>
      <c r="G1649" s="2" t="str">
        <f>IFERROR(__xludf.DUMMYFUNCTION("""COMPUTED_VALUE"""),"PR007")</f>
        <v>PR007</v>
      </c>
      <c r="H1649" s="2" t="str">
        <f>IFERROR(__xludf.DUMMYFUNCTION("""COMPUTED_VALUE"""),"VD012")</f>
        <v>VD012</v>
      </c>
      <c r="I1649" s="2">
        <f>IFERROR(__xludf.DUMMYFUNCTION("""COMPUTED_VALUE"""),16.0)</f>
        <v>16</v>
      </c>
      <c r="J1649" s="2">
        <f>IFERROR(__xludf.DUMMYFUNCTION("""COMPUTED_VALUE"""),1470.61)</f>
        <v>1470.61</v>
      </c>
      <c r="K1649" s="2">
        <f>IFERROR(__xludf.DUMMYFUNCTION("""COMPUTED_VALUE"""),1470.61)</f>
        <v>1470.61</v>
      </c>
    </row>
    <row r="1650">
      <c r="A1650" s="2">
        <f>IFERROR(__xludf.DUMMYFUNCTION("""COMPUTED_VALUE"""),1000.0)</f>
        <v>1000</v>
      </c>
      <c r="B1650" s="2">
        <f>IFERROR(__xludf.DUMMYFUNCTION("""COMPUTED_VALUE"""),184650.0)</f>
        <v>184650</v>
      </c>
      <c r="C1650" s="2">
        <f>IFERROR(__xludf.DUMMYFUNCTION("""COMPUTED_VALUE"""),2026.0)</f>
        <v>2026</v>
      </c>
      <c r="D1650" s="2">
        <f>IFERROR(__xludf.DUMMYFUNCTION("""COMPUTED_VALUE"""),46041.0)</f>
        <v>46041</v>
      </c>
      <c r="E1650" s="2" t="str">
        <f>IFERROR(__xludf.DUMMYFUNCTION("""COMPUTED_VALUE"""),"VF")</f>
        <v>VF</v>
      </c>
      <c r="F1650" s="2">
        <f>IFERROR(__xludf.DUMMYFUNCTION("""COMPUTED_VALUE"""),1.0)</f>
        <v>1</v>
      </c>
      <c r="G1650" s="2" t="str">
        <f>IFERROR(__xludf.DUMMYFUNCTION("""COMPUTED_VALUE"""),"PR002")</f>
        <v>PR002</v>
      </c>
      <c r="H1650" s="2" t="str">
        <f>IFERROR(__xludf.DUMMYFUNCTION("""COMPUTED_VALUE"""),"VD042")</f>
        <v>VD042</v>
      </c>
      <c r="I1650" s="2">
        <f>IFERROR(__xludf.DUMMYFUNCTION("""COMPUTED_VALUE"""),10.0)</f>
        <v>10</v>
      </c>
      <c r="J1650" s="2">
        <f>IFERROR(__xludf.DUMMYFUNCTION("""COMPUTED_VALUE"""),712.98)</f>
        <v>712.98</v>
      </c>
      <c r="K1650" s="2">
        <f>IFERROR(__xludf.DUMMYFUNCTION("""COMPUTED_VALUE"""),712.98)</f>
        <v>712.98</v>
      </c>
    </row>
    <row r="1651">
      <c r="A1651" s="2">
        <f>IFERROR(__xludf.DUMMYFUNCTION("""COMPUTED_VALUE"""),1000.0)</f>
        <v>1000</v>
      </c>
      <c r="B1651" s="2">
        <f>IFERROR(__xludf.DUMMYFUNCTION("""COMPUTED_VALUE"""),184651.0)</f>
        <v>184651</v>
      </c>
      <c r="C1651" s="2">
        <f>IFERROR(__xludf.DUMMYFUNCTION("""COMPUTED_VALUE"""),2026.0)</f>
        <v>2026</v>
      </c>
      <c r="D1651" s="2">
        <f>IFERROR(__xludf.DUMMYFUNCTION("""COMPUTED_VALUE"""),46041.0)</f>
        <v>46041</v>
      </c>
      <c r="E1651" s="2" t="str">
        <f>IFERROR(__xludf.DUMMYFUNCTION("""COMPUTED_VALUE"""),"VF")</f>
        <v>VF</v>
      </c>
      <c r="F1651" s="2">
        <f>IFERROR(__xludf.DUMMYFUNCTION("""COMPUTED_VALUE"""),1.0)</f>
        <v>1</v>
      </c>
      <c r="G1651" s="2" t="str">
        <f>IFERROR(__xludf.DUMMYFUNCTION("""COMPUTED_VALUE"""),"PR030")</f>
        <v>PR030</v>
      </c>
      <c r="H1651" s="2" t="str">
        <f>IFERROR(__xludf.DUMMYFUNCTION("""COMPUTED_VALUE"""),"VD013")</f>
        <v>VD013</v>
      </c>
      <c r="I1651" s="2">
        <f>IFERROR(__xludf.DUMMYFUNCTION("""COMPUTED_VALUE"""),12.0)</f>
        <v>12</v>
      </c>
      <c r="J1651" s="2">
        <f>IFERROR(__xludf.DUMMYFUNCTION("""COMPUTED_VALUE"""),3118.8)</f>
        <v>3118.8</v>
      </c>
      <c r="K1651" s="2">
        <f>IFERROR(__xludf.DUMMYFUNCTION("""COMPUTED_VALUE"""),3118.8)</f>
        <v>3118.8</v>
      </c>
    </row>
    <row r="1652">
      <c r="A1652" s="2">
        <f>IFERROR(__xludf.DUMMYFUNCTION("""COMPUTED_VALUE"""),2000.0)</f>
        <v>2000</v>
      </c>
      <c r="B1652" s="2">
        <f>IFERROR(__xludf.DUMMYFUNCTION("""COMPUTED_VALUE"""),184652.0)</f>
        <v>184652</v>
      </c>
      <c r="C1652" s="2">
        <f>IFERROR(__xludf.DUMMYFUNCTION("""COMPUTED_VALUE"""),2026.0)</f>
        <v>2026</v>
      </c>
      <c r="D1652" s="2">
        <f>IFERROR(__xludf.DUMMYFUNCTION("""COMPUTED_VALUE"""),46041.0)</f>
        <v>46041</v>
      </c>
      <c r="E1652" s="2" t="str">
        <f>IFERROR(__xludf.DUMMYFUNCTION("""COMPUTED_VALUE"""),"VF")</f>
        <v>VF</v>
      </c>
      <c r="F1652" s="2">
        <f>IFERROR(__xludf.DUMMYFUNCTION("""COMPUTED_VALUE"""),1.0)</f>
        <v>1</v>
      </c>
      <c r="G1652" s="2" t="str">
        <f>IFERROR(__xludf.DUMMYFUNCTION("""COMPUTED_VALUE"""),"PR060")</f>
        <v>PR060</v>
      </c>
      <c r="H1652" s="2" t="str">
        <f>IFERROR(__xludf.DUMMYFUNCTION("""COMPUTED_VALUE"""),"VD027")</f>
        <v>VD027</v>
      </c>
      <c r="I1652" s="2">
        <f>IFERROR(__xludf.DUMMYFUNCTION("""COMPUTED_VALUE"""),14.0)</f>
        <v>14</v>
      </c>
      <c r="J1652" s="2">
        <f>IFERROR(__xludf.DUMMYFUNCTION("""COMPUTED_VALUE"""),2520.0)</f>
        <v>2520</v>
      </c>
      <c r="K1652" s="2">
        <f>IFERROR(__xludf.DUMMYFUNCTION("""COMPUTED_VALUE"""),2520.0)</f>
        <v>2520</v>
      </c>
    </row>
    <row r="1653">
      <c r="A1653" s="2">
        <f>IFERROR(__xludf.DUMMYFUNCTION("""COMPUTED_VALUE"""),1000.0)</f>
        <v>1000</v>
      </c>
      <c r="B1653" s="2">
        <f>IFERROR(__xludf.DUMMYFUNCTION("""COMPUTED_VALUE"""),184653.0)</f>
        <v>184653</v>
      </c>
      <c r="C1653" s="2">
        <f>IFERROR(__xludf.DUMMYFUNCTION("""COMPUTED_VALUE"""),2026.0)</f>
        <v>2026</v>
      </c>
      <c r="D1653" s="2">
        <f>IFERROR(__xludf.DUMMYFUNCTION("""COMPUTED_VALUE"""),46041.0)</f>
        <v>46041</v>
      </c>
      <c r="E1653" s="2" t="str">
        <f>IFERROR(__xludf.DUMMYFUNCTION("""COMPUTED_VALUE"""),"VF")</f>
        <v>VF</v>
      </c>
      <c r="F1653" s="2">
        <f>IFERROR(__xludf.DUMMYFUNCTION("""COMPUTED_VALUE"""),1.0)</f>
        <v>1</v>
      </c>
      <c r="G1653" s="2" t="str">
        <f>IFERROR(__xludf.DUMMYFUNCTION("""COMPUTED_VALUE"""),"PR040")</f>
        <v>PR040</v>
      </c>
      <c r="H1653" s="2" t="str">
        <f>IFERROR(__xludf.DUMMYFUNCTION("""COMPUTED_VALUE"""),"VD039")</f>
        <v>VD039</v>
      </c>
      <c r="I1653" s="2">
        <f>IFERROR(__xludf.DUMMYFUNCTION("""COMPUTED_VALUE"""),7.0)</f>
        <v>7</v>
      </c>
      <c r="J1653" s="2">
        <f>IFERROR(__xludf.DUMMYFUNCTION("""COMPUTED_VALUE"""),504.7)</f>
        <v>504.7</v>
      </c>
      <c r="K1653" s="2">
        <f>IFERROR(__xludf.DUMMYFUNCTION("""COMPUTED_VALUE"""),504.7)</f>
        <v>504.7</v>
      </c>
    </row>
    <row r="1654">
      <c r="A1654" s="2">
        <f>IFERROR(__xludf.DUMMYFUNCTION("""COMPUTED_VALUE"""),1000.0)</f>
        <v>1000</v>
      </c>
      <c r="B1654" s="2">
        <f>IFERROR(__xludf.DUMMYFUNCTION("""COMPUTED_VALUE"""),184654.0)</f>
        <v>184654</v>
      </c>
      <c r="C1654" s="2">
        <f>IFERROR(__xludf.DUMMYFUNCTION("""COMPUTED_VALUE"""),2026.0)</f>
        <v>2026</v>
      </c>
      <c r="D1654" s="2">
        <f>IFERROR(__xludf.DUMMYFUNCTION("""COMPUTED_VALUE"""),46041.0)</f>
        <v>46041</v>
      </c>
      <c r="E1654" s="2" t="str">
        <f>IFERROR(__xludf.DUMMYFUNCTION("""COMPUTED_VALUE"""),"VF")</f>
        <v>VF</v>
      </c>
      <c r="F1654" s="2">
        <f>IFERROR(__xludf.DUMMYFUNCTION("""COMPUTED_VALUE"""),1.0)</f>
        <v>1</v>
      </c>
      <c r="G1654" s="2" t="str">
        <f>IFERROR(__xludf.DUMMYFUNCTION("""COMPUTED_VALUE"""),"PR052")</f>
        <v>PR052</v>
      </c>
      <c r="H1654" s="2" t="str">
        <f>IFERROR(__xludf.DUMMYFUNCTION("""COMPUTED_VALUE"""),"VD016")</f>
        <v>VD016</v>
      </c>
      <c r="I1654" s="2">
        <f>IFERROR(__xludf.DUMMYFUNCTION("""COMPUTED_VALUE"""),7.0)</f>
        <v>7</v>
      </c>
      <c r="J1654" s="2">
        <f>IFERROR(__xludf.DUMMYFUNCTION("""COMPUTED_VALUE"""),363.27)</f>
        <v>363.27</v>
      </c>
      <c r="K1654" s="2">
        <f>IFERROR(__xludf.DUMMYFUNCTION("""COMPUTED_VALUE"""),363.27)</f>
        <v>363.27</v>
      </c>
    </row>
    <row r="1655">
      <c r="A1655" s="2">
        <f>IFERROR(__xludf.DUMMYFUNCTION("""COMPUTED_VALUE"""),1000.0)</f>
        <v>1000</v>
      </c>
      <c r="B1655" s="2">
        <f>IFERROR(__xludf.DUMMYFUNCTION("""COMPUTED_VALUE"""),184654.0)</f>
        <v>184654</v>
      </c>
      <c r="C1655" s="2">
        <f>IFERROR(__xludf.DUMMYFUNCTION("""COMPUTED_VALUE"""),2026.0)</f>
        <v>2026</v>
      </c>
      <c r="D1655" s="2">
        <f>IFERROR(__xludf.DUMMYFUNCTION("""COMPUTED_VALUE"""),46041.0)</f>
        <v>46041</v>
      </c>
      <c r="E1655" s="2" t="str">
        <f>IFERROR(__xludf.DUMMYFUNCTION("""COMPUTED_VALUE"""),"VF")</f>
        <v>VF</v>
      </c>
      <c r="F1655" s="2">
        <f>IFERROR(__xludf.DUMMYFUNCTION("""COMPUTED_VALUE"""),2.0)</f>
        <v>2</v>
      </c>
      <c r="G1655" s="2" t="str">
        <f>IFERROR(__xludf.DUMMYFUNCTION("""COMPUTED_VALUE"""),"PR057")</f>
        <v>PR057</v>
      </c>
      <c r="H1655" s="2" t="str">
        <f>IFERROR(__xludf.DUMMYFUNCTION("""COMPUTED_VALUE"""),"VD035")</f>
        <v>VD035</v>
      </c>
      <c r="I1655" s="2">
        <f>IFERROR(__xludf.DUMMYFUNCTION("""COMPUTED_VALUE"""),2.0)</f>
        <v>2</v>
      </c>
      <c r="J1655" s="2">
        <f>IFERROR(__xludf.DUMMYFUNCTION("""COMPUTED_VALUE"""),188.79)</f>
        <v>188.79</v>
      </c>
      <c r="K1655" s="2">
        <f>IFERROR(__xludf.DUMMYFUNCTION("""COMPUTED_VALUE"""),188.79)</f>
        <v>188.79</v>
      </c>
    </row>
    <row r="1656">
      <c r="A1656" s="2">
        <f>IFERROR(__xludf.DUMMYFUNCTION("""COMPUTED_VALUE"""),1000.0)</f>
        <v>1000</v>
      </c>
      <c r="B1656" s="2">
        <f>IFERROR(__xludf.DUMMYFUNCTION("""COMPUTED_VALUE"""),184655.0)</f>
        <v>184655</v>
      </c>
      <c r="C1656" s="2">
        <f>IFERROR(__xludf.DUMMYFUNCTION("""COMPUTED_VALUE"""),2026.0)</f>
        <v>2026</v>
      </c>
      <c r="D1656" s="2">
        <f>IFERROR(__xludf.DUMMYFUNCTION("""COMPUTED_VALUE"""),46040.0)</f>
        <v>46040</v>
      </c>
      <c r="E1656" s="2" t="str">
        <f>IFERROR(__xludf.DUMMYFUNCTION("""COMPUTED_VALUE"""),"VF")</f>
        <v>VF</v>
      </c>
      <c r="F1656" s="2">
        <f>IFERROR(__xludf.DUMMYFUNCTION("""COMPUTED_VALUE"""),1.0)</f>
        <v>1</v>
      </c>
      <c r="G1656" s="2" t="str">
        <f>IFERROR(__xludf.DUMMYFUNCTION("""COMPUTED_VALUE"""),"PR019")</f>
        <v>PR019</v>
      </c>
      <c r="H1656" s="2" t="str">
        <f>IFERROR(__xludf.DUMMYFUNCTION("""COMPUTED_VALUE"""),"VD031")</f>
        <v>VD031</v>
      </c>
      <c r="I1656" s="2">
        <f>IFERROR(__xludf.DUMMYFUNCTION("""COMPUTED_VALUE"""),9.0)</f>
        <v>9</v>
      </c>
      <c r="J1656" s="2">
        <f>IFERROR(__xludf.DUMMYFUNCTION("""COMPUTED_VALUE"""),480.54)</f>
        <v>480.54</v>
      </c>
      <c r="K1656" s="2">
        <f>IFERROR(__xludf.DUMMYFUNCTION("""COMPUTED_VALUE"""),480.54)</f>
        <v>480.54</v>
      </c>
    </row>
    <row r="1657">
      <c r="A1657" s="2">
        <f>IFERROR(__xludf.DUMMYFUNCTION("""COMPUTED_VALUE"""),1000.0)</f>
        <v>1000</v>
      </c>
      <c r="B1657" s="2">
        <f>IFERROR(__xludf.DUMMYFUNCTION("""COMPUTED_VALUE"""),184656.0)</f>
        <v>184656</v>
      </c>
      <c r="C1657" s="2">
        <f>IFERROR(__xludf.DUMMYFUNCTION("""COMPUTED_VALUE"""),2026.0)</f>
        <v>2026</v>
      </c>
      <c r="D1657" s="2">
        <f>IFERROR(__xludf.DUMMYFUNCTION("""COMPUTED_VALUE"""),46040.0)</f>
        <v>46040</v>
      </c>
      <c r="E1657" s="2" t="str">
        <f>IFERROR(__xludf.DUMMYFUNCTION("""COMPUTED_VALUE"""),"VF")</f>
        <v>VF</v>
      </c>
      <c r="F1657" s="2">
        <f>IFERROR(__xludf.DUMMYFUNCTION("""COMPUTED_VALUE"""),1.0)</f>
        <v>1</v>
      </c>
      <c r="G1657" s="2" t="str">
        <f>IFERROR(__xludf.DUMMYFUNCTION("""COMPUTED_VALUE"""),"PR049")</f>
        <v>PR049</v>
      </c>
      <c r="H1657" s="2" t="str">
        <f>IFERROR(__xludf.DUMMYFUNCTION("""COMPUTED_VALUE"""),"VD044")</f>
        <v>VD044</v>
      </c>
      <c r="I1657" s="2">
        <f>IFERROR(__xludf.DUMMYFUNCTION("""COMPUTED_VALUE"""),2.0)</f>
        <v>2</v>
      </c>
      <c r="J1657" s="2">
        <f>IFERROR(__xludf.DUMMYFUNCTION("""COMPUTED_VALUE"""),70.41)</f>
        <v>70.41</v>
      </c>
      <c r="K1657" s="2">
        <f>IFERROR(__xludf.DUMMYFUNCTION("""COMPUTED_VALUE"""),70.41)</f>
        <v>70.41</v>
      </c>
    </row>
    <row r="1658">
      <c r="A1658" s="2">
        <f>IFERROR(__xludf.DUMMYFUNCTION("""COMPUTED_VALUE"""),1000.0)</f>
        <v>1000</v>
      </c>
      <c r="B1658" s="2">
        <f>IFERROR(__xludf.DUMMYFUNCTION("""COMPUTED_VALUE"""),184657.0)</f>
        <v>184657</v>
      </c>
      <c r="C1658" s="2">
        <f>IFERROR(__xludf.DUMMYFUNCTION("""COMPUTED_VALUE"""),2026.0)</f>
        <v>2026</v>
      </c>
      <c r="D1658" s="2">
        <f>IFERROR(__xludf.DUMMYFUNCTION("""COMPUTED_VALUE"""),46040.0)</f>
        <v>46040</v>
      </c>
      <c r="E1658" s="2" t="str">
        <f>IFERROR(__xludf.DUMMYFUNCTION("""COMPUTED_VALUE"""),"VF")</f>
        <v>VF</v>
      </c>
      <c r="F1658" s="2">
        <f>IFERROR(__xludf.DUMMYFUNCTION("""COMPUTED_VALUE"""),1.0)</f>
        <v>1</v>
      </c>
      <c r="G1658" s="2" t="str">
        <f>IFERROR(__xludf.DUMMYFUNCTION("""COMPUTED_VALUE"""),"PR017")</f>
        <v>PR017</v>
      </c>
      <c r="H1658" s="2" t="str">
        <f>IFERROR(__xludf.DUMMYFUNCTION("""COMPUTED_VALUE"""),"VD033")</f>
        <v>VD033</v>
      </c>
      <c r="I1658" s="2">
        <f>IFERROR(__xludf.DUMMYFUNCTION("""COMPUTED_VALUE"""),4.0)</f>
        <v>4</v>
      </c>
      <c r="J1658" s="2">
        <f>IFERROR(__xludf.DUMMYFUNCTION("""COMPUTED_VALUE"""),131.56)</f>
        <v>131.56</v>
      </c>
      <c r="K1658" s="2">
        <f>IFERROR(__xludf.DUMMYFUNCTION("""COMPUTED_VALUE"""),131.56)</f>
        <v>131.56</v>
      </c>
    </row>
    <row r="1659">
      <c r="A1659" s="2">
        <f>IFERROR(__xludf.DUMMYFUNCTION("""COMPUTED_VALUE"""),2000.0)</f>
        <v>2000</v>
      </c>
      <c r="B1659" s="2">
        <f>IFERROR(__xludf.DUMMYFUNCTION("""COMPUTED_VALUE"""),184657.0)</f>
        <v>184657</v>
      </c>
      <c r="C1659" s="2">
        <f>IFERROR(__xludf.DUMMYFUNCTION("""COMPUTED_VALUE"""),2026.0)</f>
        <v>2026</v>
      </c>
      <c r="D1659" s="2">
        <f>IFERROR(__xludf.DUMMYFUNCTION("""COMPUTED_VALUE"""),46040.0)</f>
        <v>46040</v>
      </c>
      <c r="E1659" s="2" t="str">
        <f>IFERROR(__xludf.DUMMYFUNCTION("""COMPUTED_VALUE"""),"VF")</f>
        <v>VF</v>
      </c>
      <c r="F1659" s="2">
        <f>IFERROR(__xludf.DUMMYFUNCTION("""COMPUTED_VALUE"""),2.0)</f>
        <v>2</v>
      </c>
      <c r="G1659" s="2" t="str">
        <f>IFERROR(__xludf.DUMMYFUNCTION("""COMPUTED_VALUE"""),"PR034")</f>
        <v>PR034</v>
      </c>
      <c r="H1659" s="2" t="str">
        <f>IFERROR(__xludf.DUMMYFUNCTION("""COMPUTED_VALUE"""),"VD015")</f>
        <v>VD015</v>
      </c>
      <c r="I1659" s="2">
        <f>IFERROR(__xludf.DUMMYFUNCTION("""COMPUTED_VALUE"""),6.0)</f>
        <v>6</v>
      </c>
      <c r="J1659" s="2">
        <f>IFERROR(__xludf.DUMMYFUNCTION("""COMPUTED_VALUE"""),544.79)</f>
        <v>544.79</v>
      </c>
      <c r="K1659" s="2">
        <f>IFERROR(__xludf.DUMMYFUNCTION("""COMPUTED_VALUE"""),544.79)</f>
        <v>544.79</v>
      </c>
    </row>
    <row r="1660">
      <c r="A1660" s="2">
        <f>IFERROR(__xludf.DUMMYFUNCTION("""COMPUTED_VALUE"""),1000.0)</f>
        <v>1000</v>
      </c>
      <c r="B1660" s="2">
        <f>IFERROR(__xludf.DUMMYFUNCTION("""COMPUTED_VALUE"""),184658.0)</f>
        <v>184658</v>
      </c>
      <c r="C1660" s="2">
        <f>IFERROR(__xludf.DUMMYFUNCTION("""COMPUTED_VALUE"""),2026.0)</f>
        <v>2026</v>
      </c>
      <c r="D1660" s="2">
        <f>IFERROR(__xludf.DUMMYFUNCTION("""COMPUTED_VALUE"""),46040.0)</f>
        <v>46040</v>
      </c>
      <c r="E1660" s="2" t="str">
        <f>IFERROR(__xludf.DUMMYFUNCTION("""COMPUTED_VALUE"""),"VF")</f>
        <v>VF</v>
      </c>
      <c r="F1660" s="2">
        <f>IFERROR(__xludf.DUMMYFUNCTION("""COMPUTED_VALUE"""),1.0)</f>
        <v>1</v>
      </c>
      <c r="G1660" s="2" t="str">
        <f>IFERROR(__xludf.DUMMYFUNCTION("""COMPUTED_VALUE"""),"PR048")</f>
        <v>PR048</v>
      </c>
      <c r="H1660" s="2" t="str">
        <f>IFERROR(__xludf.DUMMYFUNCTION("""COMPUTED_VALUE"""),"VD043")</f>
        <v>VD043</v>
      </c>
      <c r="I1660" s="2">
        <f>IFERROR(__xludf.DUMMYFUNCTION("""COMPUTED_VALUE"""),9.0)</f>
        <v>9</v>
      </c>
      <c r="J1660" s="2">
        <f>IFERROR(__xludf.DUMMYFUNCTION("""COMPUTED_VALUE"""),2713.46)</f>
        <v>2713.46</v>
      </c>
      <c r="K1660" s="2">
        <f>IFERROR(__xludf.DUMMYFUNCTION("""COMPUTED_VALUE"""),2713.46)</f>
        <v>2713.46</v>
      </c>
    </row>
    <row r="1661">
      <c r="A1661" s="2">
        <f>IFERROR(__xludf.DUMMYFUNCTION("""COMPUTED_VALUE"""),1000.0)</f>
        <v>1000</v>
      </c>
      <c r="B1661" s="2">
        <f>IFERROR(__xludf.DUMMYFUNCTION("""COMPUTED_VALUE"""),184659.0)</f>
        <v>184659</v>
      </c>
      <c r="C1661" s="2">
        <f>IFERROR(__xludf.DUMMYFUNCTION("""COMPUTED_VALUE"""),2026.0)</f>
        <v>2026</v>
      </c>
      <c r="D1661" s="2">
        <f>IFERROR(__xludf.DUMMYFUNCTION("""COMPUTED_VALUE"""),46040.0)</f>
        <v>46040</v>
      </c>
      <c r="E1661" s="2" t="str">
        <f>IFERROR(__xludf.DUMMYFUNCTION("""COMPUTED_VALUE"""),"VF")</f>
        <v>VF</v>
      </c>
      <c r="F1661" s="2">
        <f>IFERROR(__xludf.DUMMYFUNCTION("""COMPUTED_VALUE"""),1.0)</f>
        <v>1</v>
      </c>
      <c r="G1661" s="2" t="str">
        <f>IFERROR(__xludf.DUMMYFUNCTION("""COMPUTED_VALUE"""),"PR004")</f>
        <v>PR004</v>
      </c>
      <c r="H1661" s="2" t="str">
        <f>IFERROR(__xludf.DUMMYFUNCTION("""COMPUTED_VALUE"""),"VD037")</f>
        <v>VD037</v>
      </c>
      <c r="I1661" s="2">
        <f>IFERROR(__xludf.DUMMYFUNCTION("""COMPUTED_VALUE"""),5.0)</f>
        <v>5</v>
      </c>
      <c r="J1661" s="2">
        <f>IFERROR(__xludf.DUMMYFUNCTION("""COMPUTED_VALUE"""),725.0)</f>
        <v>725</v>
      </c>
      <c r="K1661" s="2">
        <f>IFERROR(__xludf.DUMMYFUNCTION("""COMPUTED_VALUE"""),725.0)</f>
        <v>725</v>
      </c>
    </row>
    <row r="1662">
      <c r="A1662" s="2">
        <f>IFERROR(__xludf.DUMMYFUNCTION("""COMPUTED_VALUE"""),2000.0)</f>
        <v>2000</v>
      </c>
      <c r="B1662" s="2">
        <f>IFERROR(__xludf.DUMMYFUNCTION("""COMPUTED_VALUE"""),184660.0)</f>
        <v>184660</v>
      </c>
      <c r="C1662" s="2">
        <f>IFERROR(__xludf.DUMMYFUNCTION("""COMPUTED_VALUE"""),2026.0)</f>
        <v>2026</v>
      </c>
      <c r="D1662" s="2">
        <f>IFERROR(__xludf.DUMMYFUNCTION("""COMPUTED_VALUE"""),46039.0)</f>
        <v>46039</v>
      </c>
      <c r="E1662" s="2" t="str">
        <f>IFERROR(__xludf.DUMMYFUNCTION("""COMPUTED_VALUE"""),"VF")</f>
        <v>VF</v>
      </c>
      <c r="F1662" s="2">
        <f>IFERROR(__xludf.DUMMYFUNCTION("""COMPUTED_VALUE"""),1.0)</f>
        <v>1</v>
      </c>
      <c r="G1662" s="2" t="str">
        <f>IFERROR(__xludf.DUMMYFUNCTION("""COMPUTED_VALUE"""),"PR059")</f>
        <v>PR059</v>
      </c>
      <c r="H1662" s="2" t="str">
        <f>IFERROR(__xludf.DUMMYFUNCTION("""COMPUTED_VALUE"""),"VD049")</f>
        <v>VD049</v>
      </c>
      <c r="I1662" s="2">
        <f>IFERROR(__xludf.DUMMYFUNCTION("""COMPUTED_VALUE"""),5.0)</f>
        <v>5</v>
      </c>
      <c r="J1662" s="2">
        <f>IFERROR(__xludf.DUMMYFUNCTION("""COMPUTED_VALUE"""),945.0)</f>
        <v>945</v>
      </c>
      <c r="K1662" s="2">
        <f>IFERROR(__xludf.DUMMYFUNCTION("""COMPUTED_VALUE"""),945.0)</f>
        <v>945</v>
      </c>
    </row>
    <row r="1663">
      <c r="A1663" s="2">
        <f>IFERROR(__xludf.DUMMYFUNCTION("""COMPUTED_VALUE"""),1000.0)</f>
        <v>1000</v>
      </c>
      <c r="B1663" s="2">
        <f>IFERROR(__xludf.DUMMYFUNCTION("""COMPUTED_VALUE"""),184661.0)</f>
        <v>184661</v>
      </c>
      <c r="C1663" s="2">
        <f>IFERROR(__xludf.DUMMYFUNCTION("""COMPUTED_VALUE"""),2026.0)</f>
        <v>2026</v>
      </c>
      <c r="D1663" s="2">
        <f>IFERROR(__xludf.DUMMYFUNCTION("""COMPUTED_VALUE"""),46039.0)</f>
        <v>46039</v>
      </c>
      <c r="E1663" s="2" t="str">
        <f>IFERROR(__xludf.DUMMYFUNCTION("""COMPUTED_VALUE"""),"VF")</f>
        <v>VF</v>
      </c>
      <c r="F1663" s="2">
        <f>IFERROR(__xludf.DUMMYFUNCTION("""COMPUTED_VALUE"""),1.0)</f>
        <v>1</v>
      </c>
      <c r="G1663" s="2" t="str">
        <f>IFERROR(__xludf.DUMMYFUNCTION("""COMPUTED_VALUE"""),"PR005")</f>
        <v>PR005</v>
      </c>
      <c r="H1663" s="2" t="str">
        <f>IFERROR(__xludf.DUMMYFUNCTION("""COMPUTED_VALUE"""),"VD018")</f>
        <v>VD018</v>
      </c>
      <c r="I1663" s="2">
        <f>IFERROR(__xludf.DUMMYFUNCTION("""COMPUTED_VALUE"""),20.0)</f>
        <v>20</v>
      </c>
      <c r="J1663" s="2">
        <f>IFERROR(__xludf.DUMMYFUNCTION("""COMPUTED_VALUE"""),5717.8)</f>
        <v>5717.8</v>
      </c>
      <c r="K1663" s="2">
        <f>IFERROR(__xludf.DUMMYFUNCTION("""COMPUTED_VALUE"""),5717.8)</f>
        <v>5717.8</v>
      </c>
    </row>
    <row r="1664">
      <c r="A1664" s="2">
        <f>IFERROR(__xludf.DUMMYFUNCTION("""COMPUTED_VALUE"""),2000.0)</f>
        <v>2000</v>
      </c>
      <c r="B1664" s="2">
        <f>IFERROR(__xludf.DUMMYFUNCTION("""COMPUTED_VALUE"""),184662.0)</f>
        <v>184662</v>
      </c>
      <c r="C1664" s="2">
        <f>IFERROR(__xludf.DUMMYFUNCTION("""COMPUTED_VALUE"""),2026.0)</f>
        <v>2026</v>
      </c>
      <c r="D1664" s="2">
        <f>IFERROR(__xludf.DUMMYFUNCTION("""COMPUTED_VALUE"""),46039.0)</f>
        <v>46039</v>
      </c>
      <c r="E1664" s="2" t="str">
        <f>IFERROR(__xludf.DUMMYFUNCTION("""COMPUTED_VALUE"""),"VF")</f>
        <v>VF</v>
      </c>
      <c r="F1664" s="2">
        <f>IFERROR(__xludf.DUMMYFUNCTION("""COMPUTED_VALUE"""),1.0)</f>
        <v>1</v>
      </c>
      <c r="G1664" s="2" t="str">
        <f>IFERROR(__xludf.DUMMYFUNCTION("""COMPUTED_VALUE"""),"PR050")</f>
        <v>PR050</v>
      </c>
      <c r="H1664" s="2" t="str">
        <f>IFERROR(__xludf.DUMMYFUNCTION("""COMPUTED_VALUE"""),"VD010")</f>
        <v>VD010</v>
      </c>
      <c r="I1664" s="2">
        <f>IFERROR(__xludf.DUMMYFUNCTION("""COMPUTED_VALUE"""),10.0)</f>
        <v>10</v>
      </c>
      <c r="J1664" s="2">
        <f>IFERROR(__xludf.DUMMYFUNCTION("""COMPUTED_VALUE"""),342.16)</f>
        <v>342.16</v>
      </c>
      <c r="K1664" s="2">
        <f>IFERROR(__xludf.DUMMYFUNCTION("""COMPUTED_VALUE"""),342.16)</f>
        <v>342.16</v>
      </c>
    </row>
    <row r="1665">
      <c r="A1665" s="2">
        <f>IFERROR(__xludf.DUMMYFUNCTION("""COMPUTED_VALUE"""),1000.0)</f>
        <v>1000</v>
      </c>
      <c r="B1665" s="2">
        <f>IFERROR(__xludf.DUMMYFUNCTION("""COMPUTED_VALUE"""),184663.0)</f>
        <v>184663</v>
      </c>
      <c r="C1665" s="2">
        <f>IFERROR(__xludf.DUMMYFUNCTION("""COMPUTED_VALUE"""),2026.0)</f>
        <v>2026</v>
      </c>
      <c r="D1665" s="2">
        <f>IFERROR(__xludf.DUMMYFUNCTION("""COMPUTED_VALUE"""),46039.0)</f>
        <v>46039</v>
      </c>
      <c r="E1665" s="2" t="str">
        <f>IFERROR(__xludf.DUMMYFUNCTION("""COMPUTED_VALUE"""),"VF")</f>
        <v>VF</v>
      </c>
      <c r="F1665" s="2">
        <f>IFERROR(__xludf.DUMMYFUNCTION("""COMPUTED_VALUE"""),1.0)</f>
        <v>1</v>
      </c>
      <c r="G1665" s="2" t="str">
        <f>IFERROR(__xludf.DUMMYFUNCTION("""COMPUTED_VALUE"""),"PR033")</f>
        <v>PR033</v>
      </c>
      <c r="H1665" s="2" t="str">
        <f>IFERROR(__xludf.DUMMYFUNCTION("""COMPUTED_VALUE"""),"VD042")</f>
        <v>VD042</v>
      </c>
      <c r="I1665" s="2">
        <f>IFERROR(__xludf.DUMMYFUNCTION("""COMPUTED_VALUE"""),8.0)</f>
        <v>8</v>
      </c>
      <c r="J1665" s="2">
        <f>IFERROR(__xludf.DUMMYFUNCTION("""COMPUTED_VALUE"""),2079.2)</f>
        <v>2079.2</v>
      </c>
      <c r="K1665" s="2">
        <f>IFERROR(__xludf.DUMMYFUNCTION("""COMPUTED_VALUE"""),2079.2)</f>
        <v>2079.2</v>
      </c>
    </row>
    <row r="1666">
      <c r="A1666" s="2">
        <f>IFERROR(__xludf.DUMMYFUNCTION("""COMPUTED_VALUE"""),1000.0)</f>
        <v>1000</v>
      </c>
      <c r="B1666" s="2">
        <f>IFERROR(__xludf.DUMMYFUNCTION("""COMPUTED_VALUE"""),184664.0)</f>
        <v>184664</v>
      </c>
      <c r="C1666" s="2">
        <f>IFERROR(__xludf.DUMMYFUNCTION("""COMPUTED_VALUE"""),2026.0)</f>
        <v>2026</v>
      </c>
      <c r="D1666" s="2">
        <f>IFERROR(__xludf.DUMMYFUNCTION("""COMPUTED_VALUE"""),46039.0)</f>
        <v>46039</v>
      </c>
      <c r="E1666" s="2" t="str">
        <f>IFERROR(__xludf.DUMMYFUNCTION("""COMPUTED_VALUE"""),"VF")</f>
        <v>VF</v>
      </c>
      <c r="F1666" s="2">
        <f>IFERROR(__xludf.DUMMYFUNCTION("""COMPUTED_VALUE"""),1.0)</f>
        <v>1</v>
      </c>
      <c r="G1666" s="2" t="str">
        <f>IFERROR(__xludf.DUMMYFUNCTION("""COMPUTED_VALUE"""),"PR038")</f>
        <v>PR038</v>
      </c>
      <c r="H1666" s="2" t="str">
        <f>IFERROR(__xludf.DUMMYFUNCTION("""COMPUTED_VALUE"""),"VD027")</f>
        <v>VD027</v>
      </c>
      <c r="I1666" s="2">
        <f>IFERROR(__xludf.DUMMYFUNCTION("""COMPUTED_VALUE"""),14.0)</f>
        <v>14</v>
      </c>
      <c r="J1666" s="2">
        <f>IFERROR(__xludf.DUMMYFUNCTION("""COMPUTED_VALUE"""),2080.62)</f>
        <v>2080.62</v>
      </c>
      <c r="K1666" s="2">
        <f>IFERROR(__xludf.DUMMYFUNCTION("""COMPUTED_VALUE"""),2080.62)</f>
        <v>2080.62</v>
      </c>
    </row>
    <row r="1667">
      <c r="A1667" s="2">
        <f>IFERROR(__xludf.DUMMYFUNCTION("""COMPUTED_VALUE"""),1000.0)</f>
        <v>1000</v>
      </c>
      <c r="B1667" s="2">
        <f>IFERROR(__xludf.DUMMYFUNCTION("""COMPUTED_VALUE"""),184664.0)</f>
        <v>184664</v>
      </c>
      <c r="C1667" s="2">
        <f>IFERROR(__xludf.DUMMYFUNCTION("""COMPUTED_VALUE"""),2026.0)</f>
        <v>2026</v>
      </c>
      <c r="D1667" s="2">
        <f>IFERROR(__xludf.DUMMYFUNCTION("""COMPUTED_VALUE"""),46039.0)</f>
        <v>46039</v>
      </c>
      <c r="E1667" s="2" t="str">
        <f>IFERROR(__xludf.DUMMYFUNCTION("""COMPUTED_VALUE"""),"VF")</f>
        <v>VF</v>
      </c>
      <c r="F1667" s="2">
        <f>IFERROR(__xludf.DUMMYFUNCTION("""COMPUTED_VALUE"""),2.0)</f>
        <v>2</v>
      </c>
      <c r="G1667" s="2" t="str">
        <f>IFERROR(__xludf.DUMMYFUNCTION("""COMPUTED_VALUE"""),"PR032")</f>
        <v>PR032</v>
      </c>
      <c r="H1667" s="2" t="str">
        <f>IFERROR(__xludf.DUMMYFUNCTION("""COMPUTED_VALUE"""),"VD034")</f>
        <v>VD034</v>
      </c>
      <c r="I1667" s="2">
        <f>IFERROR(__xludf.DUMMYFUNCTION("""COMPUTED_VALUE"""),7.0)</f>
        <v>7</v>
      </c>
      <c r="J1667" s="2">
        <f>IFERROR(__xludf.DUMMYFUNCTION("""COMPUTED_VALUE"""),1907.5)</f>
        <v>1907.5</v>
      </c>
      <c r="K1667" s="2">
        <f>IFERROR(__xludf.DUMMYFUNCTION("""COMPUTED_VALUE"""),1907.5)</f>
        <v>1907.5</v>
      </c>
    </row>
    <row r="1668">
      <c r="A1668" s="2">
        <f>IFERROR(__xludf.DUMMYFUNCTION("""COMPUTED_VALUE"""),1000.0)</f>
        <v>1000</v>
      </c>
      <c r="B1668" s="2">
        <f>IFERROR(__xludf.DUMMYFUNCTION("""COMPUTED_VALUE"""),184665.0)</f>
        <v>184665</v>
      </c>
      <c r="C1668" s="2">
        <f>IFERROR(__xludf.DUMMYFUNCTION("""COMPUTED_VALUE"""),2026.0)</f>
        <v>2026</v>
      </c>
      <c r="D1668" s="2">
        <f>IFERROR(__xludf.DUMMYFUNCTION("""COMPUTED_VALUE"""),46038.0)</f>
        <v>46038</v>
      </c>
      <c r="E1668" s="2" t="str">
        <f>IFERROR(__xludf.DUMMYFUNCTION("""COMPUTED_VALUE"""),"VF")</f>
        <v>VF</v>
      </c>
      <c r="F1668" s="2">
        <f>IFERROR(__xludf.DUMMYFUNCTION("""COMPUTED_VALUE"""),1.0)</f>
        <v>1</v>
      </c>
      <c r="G1668" s="2" t="str">
        <f>IFERROR(__xludf.DUMMYFUNCTION("""COMPUTED_VALUE"""),"PR042")</f>
        <v>PR042</v>
      </c>
      <c r="H1668" s="2" t="str">
        <f>IFERROR(__xludf.DUMMYFUNCTION("""COMPUTED_VALUE"""),"VD012")</f>
        <v>VD012</v>
      </c>
      <c r="I1668" s="2">
        <f>IFERROR(__xludf.DUMMYFUNCTION("""COMPUTED_VALUE"""),2.0)</f>
        <v>2</v>
      </c>
      <c r="J1668" s="2">
        <f>IFERROR(__xludf.DUMMYFUNCTION("""COMPUTED_VALUE"""),109.8)</f>
        <v>109.8</v>
      </c>
      <c r="K1668" s="2">
        <f>IFERROR(__xludf.DUMMYFUNCTION("""COMPUTED_VALUE"""),109.8)</f>
        <v>109.8</v>
      </c>
    </row>
    <row r="1669">
      <c r="A1669" s="2">
        <f>IFERROR(__xludf.DUMMYFUNCTION("""COMPUTED_VALUE"""),1000.0)</f>
        <v>1000</v>
      </c>
      <c r="B1669" s="2">
        <f>IFERROR(__xludf.DUMMYFUNCTION("""COMPUTED_VALUE"""),184666.0)</f>
        <v>184666</v>
      </c>
      <c r="C1669" s="2">
        <f>IFERROR(__xludf.DUMMYFUNCTION("""COMPUTED_VALUE"""),2026.0)</f>
        <v>2026</v>
      </c>
      <c r="D1669" s="2">
        <f>IFERROR(__xludf.DUMMYFUNCTION("""COMPUTED_VALUE"""),46038.0)</f>
        <v>46038</v>
      </c>
      <c r="E1669" s="2" t="str">
        <f>IFERROR(__xludf.DUMMYFUNCTION("""COMPUTED_VALUE"""),"VF")</f>
        <v>VF</v>
      </c>
      <c r="F1669" s="2">
        <f>IFERROR(__xludf.DUMMYFUNCTION("""COMPUTED_VALUE"""),1.0)</f>
        <v>1</v>
      </c>
      <c r="G1669" s="2" t="str">
        <f>IFERROR(__xludf.DUMMYFUNCTION("""COMPUTED_VALUE"""),"PR017")</f>
        <v>PR017</v>
      </c>
      <c r="H1669" s="2" t="str">
        <f>IFERROR(__xludf.DUMMYFUNCTION("""COMPUTED_VALUE"""),"VD018")</f>
        <v>VD018</v>
      </c>
      <c r="I1669" s="2">
        <f>IFERROR(__xludf.DUMMYFUNCTION("""COMPUTED_VALUE"""),20.0)</f>
        <v>20</v>
      </c>
      <c r="J1669" s="2">
        <f>IFERROR(__xludf.DUMMYFUNCTION("""COMPUTED_VALUE"""),657.8)</f>
        <v>657.8</v>
      </c>
      <c r="K1669" s="2">
        <f>IFERROR(__xludf.DUMMYFUNCTION("""COMPUTED_VALUE"""),657.8)</f>
        <v>657.8</v>
      </c>
    </row>
    <row r="1670">
      <c r="A1670" s="2">
        <f>IFERROR(__xludf.DUMMYFUNCTION("""COMPUTED_VALUE"""),1000.0)</f>
        <v>1000</v>
      </c>
      <c r="B1670" s="2">
        <f>IFERROR(__xludf.DUMMYFUNCTION("""COMPUTED_VALUE"""),184667.0)</f>
        <v>184667</v>
      </c>
      <c r="C1670" s="2">
        <f>IFERROR(__xludf.DUMMYFUNCTION("""COMPUTED_VALUE"""),2026.0)</f>
        <v>2026</v>
      </c>
      <c r="D1670" s="2">
        <f>IFERROR(__xludf.DUMMYFUNCTION("""COMPUTED_VALUE"""),46038.0)</f>
        <v>46038</v>
      </c>
      <c r="E1670" s="2" t="str">
        <f>IFERROR(__xludf.DUMMYFUNCTION("""COMPUTED_VALUE"""),"VF")</f>
        <v>VF</v>
      </c>
      <c r="F1670" s="2">
        <f>IFERROR(__xludf.DUMMYFUNCTION("""COMPUTED_VALUE"""),1.0)</f>
        <v>1</v>
      </c>
      <c r="G1670" s="2" t="str">
        <f>IFERROR(__xludf.DUMMYFUNCTION("""COMPUTED_VALUE"""),"PR037")</f>
        <v>PR037</v>
      </c>
      <c r="H1670" s="2" t="str">
        <f>IFERROR(__xludf.DUMMYFUNCTION("""COMPUTED_VALUE"""),"VD013")</f>
        <v>VD013</v>
      </c>
      <c r="I1670" s="2">
        <f>IFERROR(__xludf.DUMMYFUNCTION("""COMPUTED_VALUE"""),10.0)</f>
        <v>10</v>
      </c>
      <c r="J1670" s="2">
        <f>IFERROR(__xludf.DUMMYFUNCTION("""COMPUTED_VALUE"""),1414.0)</f>
        <v>1414</v>
      </c>
      <c r="K1670" s="2">
        <f>IFERROR(__xludf.DUMMYFUNCTION("""COMPUTED_VALUE"""),1414.0)</f>
        <v>1414</v>
      </c>
    </row>
    <row r="1671">
      <c r="A1671" s="2">
        <f>IFERROR(__xludf.DUMMYFUNCTION("""COMPUTED_VALUE"""),1000.0)</f>
        <v>1000</v>
      </c>
      <c r="B1671" s="2">
        <f>IFERROR(__xludf.DUMMYFUNCTION("""COMPUTED_VALUE"""),184668.0)</f>
        <v>184668</v>
      </c>
      <c r="C1671" s="2">
        <f>IFERROR(__xludf.DUMMYFUNCTION("""COMPUTED_VALUE"""),2026.0)</f>
        <v>2026</v>
      </c>
      <c r="D1671" s="2">
        <f>IFERROR(__xludf.DUMMYFUNCTION("""COMPUTED_VALUE"""),46038.0)</f>
        <v>46038</v>
      </c>
      <c r="E1671" s="2" t="str">
        <f>IFERROR(__xludf.DUMMYFUNCTION("""COMPUTED_VALUE"""),"VF")</f>
        <v>VF</v>
      </c>
      <c r="F1671" s="2">
        <f>IFERROR(__xludf.DUMMYFUNCTION("""COMPUTED_VALUE"""),1.0)</f>
        <v>1</v>
      </c>
      <c r="G1671" s="2" t="str">
        <f>IFERROR(__xludf.DUMMYFUNCTION("""COMPUTED_VALUE"""),"PR041")</f>
        <v>PR041</v>
      </c>
      <c r="H1671" s="2" t="str">
        <f>IFERROR(__xludf.DUMMYFUNCTION("""COMPUTED_VALUE"""),"VD021")</f>
        <v>VD021</v>
      </c>
      <c r="I1671" s="2">
        <f>IFERROR(__xludf.DUMMYFUNCTION("""COMPUTED_VALUE"""),8.0)</f>
        <v>8</v>
      </c>
      <c r="J1671" s="2">
        <f>IFERROR(__xludf.DUMMYFUNCTION("""COMPUTED_VALUE"""),443.59)</f>
        <v>443.59</v>
      </c>
      <c r="K1671" s="2">
        <f>IFERROR(__xludf.DUMMYFUNCTION("""COMPUTED_VALUE"""),443.59)</f>
        <v>443.59</v>
      </c>
    </row>
    <row r="1672">
      <c r="A1672" s="2">
        <f>IFERROR(__xludf.DUMMYFUNCTION("""COMPUTED_VALUE"""),2000.0)</f>
        <v>2000</v>
      </c>
      <c r="B1672" s="2">
        <f>IFERROR(__xludf.DUMMYFUNCTION("""COMPUTED_VALUE"""),184669.0)</f>
        <v>184669</v>
      </c>
      <c r="C1672" s="2">
        <f>IFERROR(__xludf.DUMMYFUNCTION("""COMPUTED_VALUE"""),2026.0)</f>
        <v>2026</v>
      </c>
      <c r="D1672" s="2">
        <f>IFERROR(__xludf.DUMMYFUNCTION("""COMPUTED_VALUE"""),46037.0)</f>
        <v>46037</v>
      </c>
      <c r="E1672" s="2" t="str">
        <f>IFERROR(__xludf.DUMMYFUNCTION("""COMPUTED_VALUE"""),"VF")</f>
        <v>VF</v>
      </c>
      <c r="F1672" s="2">
        <f>IFERROR(__xludf.DUMMYFUNCTION("""COMPUTED_VALUE"""),1.0)</f>
        <v>1</v>
      </c>
      <c r="G1672" s="2" t="str">
        <f>IFERROR(__xludf.DUMMYFUNCTION("""COMPUTED_VALUE"""),"PR039")</f>
        <v>PR039</v>
      </c>
      <c r="H1672" s="2" t="str">
        <f>IFERROR(__xludf.DUMMYFUNCTION("""COMPUTED_VALUE"""),"VD032")</f>
        <v>VD032</v>
      </c>
      <c r="I1672" s="2">
        <f>IFERROR(__xludf.DUMMYFUNCTION("""COMPUTED_VALUE"""),8.0)</f>
        <v>8</v>
      </c>
      <c r="J1672" s="2">
        <f>IFERROR(__xludf.DUMMYFUNCTION("""COMPUTED_VALUE"""),1214.72)</f>
        <v>1214.72</v>
      </c>
      <c r="K1672" s="2">
        <f>IFERROR(__xludf.DUMMYFUNCTION("""COMPUTED_VALUE"""),1214.72)</f>
        <v>1214.72</v>
      </c>
    </row>
    <row r="1673">
      <c r="A1673" s="2">
        <f>IFERROR(__xludf.DUMMYFUNCTION("""COMPUTED_VALUE"""),1000.0)</f>
        <v>1000</v>
      </c>
      <c r="B1673" s="2">
        <f>IFERROR(__xludf.DUMMYFUNCTION("""COMPUTED_VALUE"""),184670.0)</f>
        <v>184670</v>
      </c>
      <c r="C1673" s="2">
        <f>IFERROR(__xludf.DUMMYFUNCTION("""COMPUTED_VALUE"""),2026.0)</f>
        <v>2026</v>
      </c>
      <c r="D1673" s="2">
        <f>IFERROR(__xludf.DUMMYFUNCTION("""COMPUTED_VALUE"""),46037.0)</f>
        <v>46037</v>
      </c>
      <c r="E1673" s="2" t="str">
        <f>IFERROR(__xludf.DUMMYFUNCTION("""COMPUTED_VALUE"""),"VF")</f>
        <v>VF</v>
      </c>
      <c r="F1673" s="2">
        <f>IFERROR(__xludf.DUMMYFUNCTION("""COMPUTED_VALUE"""),1.0)</f>
        <v>1</v>
      </c>
      <c r="G1673" s="2" t="str">
        <f>IFERROR(__xludf.DUMMYFUNCTION("""COMPUTED_VALUE"""),"PR043")</f>
        <v>PR043</v>
      </c>
      <c r="H1673" s="2" t="str">
        <f>IFERROR(__xludf.DUMMYFUNCTION("""COMPUTED_VALUE"""),"VD026")</f>
        <v>VD026</v>
      </c>
      <c r="I1673" s="2">
        <f>IFERROR(__xludf.DUMMYFUNCTION("""COMPUTED_VALUE"""),2.0)</f>
        <v>2</v>
      </c>
      <c r="J1673" s="2">
        <f>IFERROR(__xludf.DUMMYFUNCTION("""COMPUTED_VALUE"""),152.25)</f>
        <v>152.25</v>
      </c>
      <c r="K1673" s="2">
        <f>IFERROR(__xludf.DUMMYFUNCTION("""COMPUTED_VALUE"""),152.25)</f>
        <v>152.25</v>
      </c>
    </row>
    <row r="1674">
      <c r="A1674" s="2">
        <f>IFERROR(__xludf.DUMMYFUNCTION("""COMPUTED_VALUE"""),1000.0)</f>
        <v>1000</v>
      </c>
      <c r="B1674" s="2">
        <f>IFERROR(__xludf.DUMMYFUNCTION("""COMPUTED_VALUE"""),184670.0)</f>
        <v>184670</v>
      </c>
      <c r="C1674" s="2">
        <f>IFERROR(__xludf.DUMMYFUNCTION("""COMPUTED_VALUE"""),2026.0)</f>
        <v>2026</v>
      </c>
      <c r="D1674" s="2">
        <f>IFERROR(__xludf.DUMMYFUNCTION("""COMPUTED_VALUE"""),46037.0)</f>
        <v>46037</v>
      </c>
      <c r="E1674" s="2" t="str">
        <f>IFERROR(__xludf.DUMMYFUNCTION("""COMPUTED_VALUE"""),"VF")</f>
        <v>VF</v>
      </c>
      <c r="F1674" s="2">
        <f>IFERROR(__xludf.DUMMYFUNCTION("""COMPUTED_VALUE"""),2.0)</f>
        <v>2</v>
      </c>
      <c r="G1674" s="2" t="str">
        <f>IFERROR(__xludf.DUMMYFUNCTION("""COMPUTED_VALUE"""),"PR046")</f>
        <v>PR046</v>
      </c>
      <c r="H1674" s="2" t="str">
        <f>IFERROR(__xludf.DUMMYFUNCTION("""COMPUTED_VALUE"""),"VD038")</f>
        <v>VD038</v>
      </c>
      <c r="I1674" s="2">
        <f>IFERROR(__xludf.DUMMYFUNCTION("""COMPUTED_VALUE"""),8.0)</f>
        <v>8</v>
      </c>
      <c r="J1674" s="2">
        <f>IFERROR(__xludf.DUMMYFUNCTION("""COMPUTED_VALUE"""),2527.93)</f>
        <v>2527.93</v>
      </c>
      <c r="K1674" s="2">
        <f>IFERROR(__xludf.DUMMYFUNCTION("""COMPUTED_VALUE"""),2527.93)</f>
        <v>2527.93</v>
      </c>
    </row>
    <row r="1675">
      <c r="A1675" s="2">
        <f>IFERROR(__xludf.DUMMYFUNCTION("""COMPUTED_VALUE"""),1000.0)</f>
        <v>1000</v>
      </c>
      <c r="B1675" s="2">
        <f>IFERROR(__xludf.DUMMYFUNCTION("""COMPUTED_VALUE"""),184671.0)</f>
        <v>184671</v>
      </c>
      <c r="C1675" s="2">
        <f>IFERROR(__xludf.DUMMYFUNCTION("""COMPUTED_VALUE"""),2026.0)</f>
        <v>2026</v>
      </c>
      <c r="D1675" s="2">
        <f>IFERROR(__xludf.DUMMYFUNCTION("""COMPUTED_VALUE"""),46037.0)</f>
        <v>46037</v>
      </c>
      <c r="E1675" s="2" t="str">
        <f>IFERROR(__xludf.DUMMYFUNCTION("""COMPUTED_VALUE"""),"VF")</f>
        <v>VF</v>
      </c>
      <c r="F1675" s="2">
        <f>IFERROR(__xludf.DUMMYFUNCTION("""COMPUTED_VALUE"""),1.0)</f>
        <v>1</v>
      </c>
      <c r="G1675" s="2" t="str">
        <f>IFERROR(__xludf.DUMMYFUNCTION("""COMPUTED_VALUE"""),"PR006")</f>
        <v>PR006</v>
      </c>
      <c r="H1675" s="2" t="str">
        <f>IFERROR(__xludf.DUMMYFUNCTION("""COMPUTED_VALUE"""),"VD030")</f>
        <v>VD030</v>
      </c>
      <c r="I1675" s="2">
        <f>IFERROR(__xludf.DUMMYFUNCTION("""COMPUTED_VALUE"""),8.0)</f>
        <v>8</v>
      </c>
      <c r="J1675" s="2">
        <f>IFERROR(__xludf.DUMMYFUNCTION("""COMPUTED_VALUE"""),335.16)</f>
        <v>335.16</v>
      </c>
      <c r="K1675" s="2">
        <f>IFERROR(__xludf.DUMMYFUNCTION("""COMPUTED_VALUE"""),335.16)</f>
        <v>335.16</v>
      </c>
    </row>
    <row r="1676">
      <c r="A1676" s="2">
        <f>IFERROR(__xludf.DUMMYFUNCTION("""COMPUTED_VALUE"""),1000.0)</f>
        <v>1000</v>
      </c>
      <c r="B1676" s="2">
        <f>IFERROR(__xludf.DUMMYFUNCTION("""COMPUTED_VALUE"""),184672.0)</f>
        <v>184672</v>
      </c>
      <c r="C1676" s="2">
        <f>IFERROR(__xludf.DUMMYFUNCTION("""COMPUTED_VALUE"""),2026.0)</f>
        <v>2026</v>
      </c>
      <c r="D1676" s="2">
        <f>IFERROR(__xludf.DUMMYFUNCTION("""COMPUTED_VALUE"""),46037.0)</f>
        <v>46037</v>
      </c>
      <c r="E1676" s="2" t="str">
        <f>IFERROR(__xludf.DUMMYFUNCTION("""COMPUTED_VALUE"""),"VF")</f>
        <v>VF</v>
      </c>
      <c r="F1676" s="2">
        <f>IFERROR(__xludf.DUMMYFUNCTION("""COMPUTED_VALUE"""),1.0)</f>
        <v>1</v>
      </c>
      <c r="G1676" s="2" t="str">
        <f>IFERROR(__xludf.DUMMYFUNCTION("""COMPUTED_VALUE"""),"PR052")</f>
        <v>PR052</v>
      </c>
      <c r="H1676" s="2" t="str">
        <f>IFERROR(__xludf.DUMMYFUNCTION("""COMPUTED_VALUE"""),"VD032")</f>
        <v>VD032</v>
      </c>
      <c r="I1676" s="2">
        <f>IFERROR(__xludf.DUMMYFUNCTION("""COMPUTED_VALUE"""),1.0)</f>
        <v>1</v>
      </c>
      <c r="J1676" s="2">
        <f>IFERROR(__xludf.DUMMYFUNCTION("""COMPUTED_VALUE"""),50.4)</f>
        <v>50.4</v>
      </c>
      <c r="K1676" s="2">
        <f>IFERROR(__xludf.DUMMYFUNCTION("""COMPUTED_VALUE"""),50.4)</f>
        <v>50.4</v>
      </c>
    </row>
    <row r="1677">
      <c r="A1677" s="2">
        <f>IFERROR(__xludf.DUMMYFUNCTION("""COMPUTED_VALUE"""),1000.0)</f>
        <v>1000</v>
      </c>
      <c r="B1677" s="2">
        <f>IFERROR(__xludf.DUMMYFUNCTION("""COMPUTED_VALUE"""),184673.0)</f>
        <v>184673</v>
      </c>
      <c r="C1677" s="2">
        <f>IFERROR(__xludf.DUMMYFUNCTION("""COMPUTED_VALUE"""),2026.0)</f>
        <v>2026</v>
      </c>
      <c r="D1677" s="2">
        <f>IFERROR(__xludf.DUMMYFUNCTION("""COMPUTED_VALUE"""),46037.0)</f>
        <v>46037</v>
      </c>
      <c r="E1677" s="2" t="str">
        <f>IFERROR(__xludf.DUMMYFUNCTION("""COMPUTED_VALUE"""),"VF")</f>
        <v>VF</v>
      </c>
      <c r="F1677" s="2">
        <f>IFERROR(__xludf.DUMMYFUNCTION("""COMPUTED_VALUE"""),1.0)</f>
        <v>1</v>
      </c>
      <c r="G1677" s="2" t="str">
        <f>IFERROR(__xludf.DUMMYFUNCTION("""COMPUTED_VALUE"""),"PR057")</f>
        <v>PR057</v>
      </c>
      <c r="H1677" s="2" t="str">
        <f>IFERROR(__xludf.DUMMYFUNCTION("""COMPUTED_VALUE"""),"VD038")</f>
        <v>VD038</v>
      </c>
      <c r="I1677" s="2">
        <f>IFERROR(__xludf.DUMMYFUNCTION("""COMPUTED_VALUE"""),2.0)</f>
        <v>2</v>
      </c>
      <c r="J1677" s="2">
        <f>IFERROR(__xludf.DUMMYFUNCTION("""COMPUTED_VALUE"""),197.78)</f>
        <v>197.78</v>
      </c>
      <c r="K1677" s="2">
        <f>IFERROR(__xludf.DUMMYFUNCTION("""COMPUTED_VALUE"""),197.78)</f>
        <v>197.78</v>
      </c>
    </row>
    <row r="1678">
      <c r="A1678" s="2">
        <f>IFERROR(__xludf.DUMMYFUNCTION("""COMPUTED_VALUE"""),1000.0)</f>
        <v>1000</v>
      </c>
      <c r="B1678" s="2">
        <f>IFERROR(__xludf.DUMMYFUNCTION("""COMPUTED_VALUE"""),184674.0)</f>
        <v>184674</v>
      </c>
      <c r="C1678" s="2">
        <f>IFERROR(__xludf.DUMMYFUNCTION("""COMPUTED_VALUE"""),2026.0)</f>
        <v>2026</v>
      </c>
      <c r="D1678" s="2">
        <f>IFERROR(__xludf.DUMMYFUNCTION("""COMPUTED_VALUE"""),46036.0)</f>
        <v>46036</v>
      </c>
      <c r="E1678" s="2" t="str">
        <f>IFERROR(__xludf.DUMMYFUNCTION("""COMPUTED_VALUE"""),"VF")</f>
        <v>VF</v>
      </c>
      <c r="F1678" s="2">
        <f>IFERROR(__xludf.DUMMYFUNCTION("""COMPUTED_VALUE"""),1.0)</f>
        <v>1</v>
      </c>
      <c r="G1678" s="2" t="str">
        <f>IFERROR(__xludf.DUMMYFUNCTION("""COMPUTED_VALUE"""),"PR056")</f>
        <v>PR056</v>
      </c>
      <c r="H1678" s="2" t="str">
        <f>IFERROR(__xludf.DUMMYFUNCTION("""COMPUTED_VALUE"""),"VD020")</f>
        <v>VD020</v>
      </c>
      <c r="I1678" s="2">
        <f>IFERROR(__xludf.DUMMYFUNCTION("""COMPUTED_VALUE"""),6.0)</f>
        <v>6</v>
      </c>
      <c r="J1678" s="2">
        <f>IFERROR(__xludf.DUMMYFUNCTION("""COMPUTED_VALUE"""),587.95)</f>
        <v>587.95</v>
      </c>
      <c r="K1678" s="2">
        <f>IFERROR(__xludf.DUMMYFUNCTION("""COMPUTED_VALUE"""),587.95)</f>
        <v>587.95</v>
      </c>
    </row>
    <row r="1679">
      <c r="A1679" s="2">
        <f>IFERROR(__xludf.DUMMYFUNCTION("""COMPUTED_VALUE"""),1000.0)</f>
        <v>1000</v>
      </c>
      <c r="B1679" s="2">
        <f>IFERROR(__xludf.DUMMYFUNCTION("""COMPUTED_VALUE"""),184674.0)</f>
        <v>184674</v>
      </c>
      <c r="C1679" s="2">
        <f>IFERROR(__xludf.DUMMYFUNCTION("""COMPUTED_VALUE"""),2026.0)</f>
        <v>2026</v>
      </c>
      <c r="D1679" s="2">
        <f>IFERROR(__xludf.DUMMYFUNCTION("""COMPUTED_VALUE"""),46036.0)</f>
        <v>46036</v>
      </c>
      <c r="E1679" s="2" t="str">
        <f>IFERROR(__xludf.DUMMYFUNCTION("""COMPUTED_VALUE"""),"VF")</f>
        <v>VF</v>
      </c>
      <c r="F1679" s="2">
        <f>IFERROR(__xludf.DUMMYFUNCTION("""COMPUTED_VALUE"""),2.0)</f>
        <v>2</v>
      </c>
      <c r="G1679" s="2" t="str">
        <f>IFERROR(__xludf.DUMMYFUNCTION("""COMPUTED_VALUE"""),"PR024")</f>
        <v>PR024</v>
      </c>
      <c r="H1679" s="2" t="str">
        <f>IFERROR(__xludf.DUMMYFUNCTION("""COMPUTED_VALUE"""),"VD049")</f>
        <v>VD049</v>
      </c>
      <c r="I1679" s="2">
        <f>IFERROR(__xludf.DUMMYFUNCTION("""COMPUTED_VALUE"""),3.0)</f>
        <v>3</v>
      </c>
      <c r="J1679" s="2">
        <f>IFERROR(__xludf.DUMMYFUNCTION("""COMPUTED_VALUE"""),810.89)</f>
        <v>810.89</v>
      </c>
      <c r="K1679" s="2">
        <f>IFERROR(__xludf.DUMMYFUNCTION("""COMPUTED_VALUE"""),810.89)</f>
        <v>810.89</v>
      </c>
    </row>
    <row r="1680">
      <c r="A1680" s="2">
        <f>IFERROR(__xludf.DUMMYFUNCTION("""COMPUTED_VALUE"""),1000.0)</f>
        <v>1000</v>
      </c>
      <c r="B1680" s="2">
        <f>IFERROR(__xludf.DUMMYFUNCTION("""COMPUTED_VALUE"""),184675.0)</f>
        <v>184675</v>
      </c>
      <c r="C1680" s="2">
        <f>IFERROR(__xludf.DUMMYFUNCTION("""COMPUTED_VALUE"""),2026.0)</f>
        <v>2026</v>
      </c>
      <c r="D1680" s="2">
        <f>IFERROR(__xludf.DUMMYFUNCTION("""COMPUTED_VALUE"""),46036.0)</f>
        <v>46036</v>
      </c>
      <c r="E1680" s="2" t="str">
        <f>IFERROR(__xludf.DUMMYFUNCTION("""COMPUTED_VALUE"""),"VF")</f>
        <v>VF</v>
      </c>
      <c r="F1680" s="2">
        <f>IFERROR(__xludf.DUMMYFUNCTION("""COMPUTED_VALUE"""),1.0)</f>
        <v>1</v>
      </c>
      <c r="G1680" s="2" t="str">
        <f>IFERROR(__xludf.DUMMYFUNCTION("""COMPUTED_VALUE"""),"PR036")</f>
        <v>PR036</v>
      </c>
      <c r="H1680" s="2" t="str">
        <f>IFERROR(__xludf.DUMMYFUNCTION("""COMPUTED_VALUE"""),"VD021")</f>
        <v>VD021</v>
      </c>
      <c r="I1680" s="2">
        <f>IFERROR(__xludf.DUMMYFUNCTION("""COMPUTED_VALUE"""),2.0)</f>
        <v>2</v>
      </c>
      <c r="J1680" s="2">
        <f>IFERROR(__xludf.DUMMYFUNCTION("""COMPUTED_VALUE"""),198.22)</f>
        <v>198.22</v>
      </c>
      <c r="K1680" s="2">
        <f>IFERROR(__xludf.DUMMYFUNCTION("""COMPUTED_VALUE"""),198.22)</f>
        <v>198.22</v>
      </c>
    </row>
    <row r="1681">
      <c r="A1681" s="2">
        <f>IFERROR(__xludf.DUMMYFUNCTION("""COMPUTED_VALUE"""),2000.0)</f>
        <v>2000</v>
      </c>
      <c r="B1681" s="2">
        <f>IFERROR(__xludf.DUMMYFUNCTION("""COMPUTED_VALUE"""),184676.0)</f>
        <v>184676</v>
      </c>
      <c r="C1681" s="2">
        <f>IFERROR(__xludf.DUMMYFUNCTION("""COMPUTED_VALUE"""),2026.0)</f>
        <v>2026</v>
      </c>
      <c r="D1681" s="2">
        <f>IFERROR(__xludf.DUMMYFUNCTION("""COMPUTED_VALUE"""),46036.0)</f>
        <v>46036</v>
      </c>
      <c r="E1681" s="2" t="str">
        <f>IFERROR(__xludf.DUMMYFUNCTION("""COMPUTED_VALUE"""),"VF")</f>
        <v>VF</v>
      </c>
      <c r="F1681" s="2">
        <f>IFERROR(__xludf.DUMMYFUNCTION("""COMPUTED_VALUE"""),1.0)</f>
        <v>1</v>
      </c>
      <c r="G1681" s="2" t="str">
        <f>IFERROR(__xludf.DUMMYFUNCTION("""COMPUTED_VALUE"""),"PR024")</f>
        <v>PR024</v>
      </c>
      <c r="H1681" s="2" t="str">
        <f>IFERROR(__xludf.DUMMYFUNCTION("""COMPUTED_VALUE"""),"VD031")</f>
        <v>VD031</v>
      </c>
      <c r="I1681" s="2">
        <f>IFERROR(__xludf.DUMMYFUNCTION("""COMPUTED_VALUE"""),4.0)</f>
        <v>4</v>
      </c>
      <c r="J1681" s="2">
        <f>IFERROR(__xludf.DUMMYFUNCTION("""COMPUTED_VALUE"""),1101.98)</f>
        <v>1101.98</v>
      </c>
      <c r="K1681" s="2">
        <f>IFERROR(__xludf.DUMMYFUNCTION("""COMPUTED_VALUE"""),1101.98)</f>
        <v>1101.98</v>
      </c>
    </row>
    <row r="1682">
      <c r="A1682" s="2">
        <f>IFERROR(__xludf.DUMMYFUNCTION("""COMPUTED_VALUE"""),2000.0)</f>
        <v>2000</v>
      </c>
      <c r="B1682" s="2">
        <f>IFERROR(__xludf.DUMMYFUNCTION("""COMPUTED_VALUE"""),184677.0)</f>
        <v>184677</v>
      </c>
      <c r="C1682" s="2">
        <f>IFERROR(__xludf.DUMMYFUNCTION("""COMPUTED_VALUE"""),2026.0)</f>
        <v>2026</v>
      </c>
      <c r="D1682" s="2">
        <f>IFERROR(__xludf.DUMMYFUNCTION("""COMPUTED_VALUE"""),46035.0)</f>
        <v>46035</v>
      </c>
      <c r="E1682" s="2" t="str">
        <f>IFERROR(__xludf.DUMMYFUNCTION("""COMPUTED_VALUE"""),"VF")</f>
        <v>VF</v>
      </c>
      <c r="F1682" s="2">
        <f>IFERROR(__xludf.DUMMYFUNCTION("""COMPUTED_VALUE"""),1.0)</f>
        <v>1</v>
      </c>
      <c r="G1682" s="2" t="str">
        <f>IFERROR(__xludf.DUMMYFUNCTION("""COMPUTED_VALUE"""),"PR011")</f>
        <v>PR011</v>
      </c>
      <c r="H1682" s="2" t="str">
        <f>IFERROR(__xludf.DUMMYFUNCTION("""COMPUTED_VALUE"""),"VD019")</f>
        <v>VD019</v>
      </c>
      <c r="I1682" s="2">
        <f>IFERROR(__xludf.DUMMYFUNCTION("""COMPUTED_VALUE"""),20.0)</f>
        <v>20</v>
      </c>
      <c r="J1682" s="2">
        <f>IFERROR(__xludf.DUMMYFUNCTION("""COMPUTED_VALUE"""),938.0)</f>
        <v>938</v>
      </c>
      <c r="K1682" s="2">
        <f>IFERROR(__xludf.DUMMYFUNCTION("""COMPUTED_VALUE"""),938.0)</f>
        <v>938</v>
      </c>
    </row>
    <row r="1683">
      <c r="A1683" s="2">
        <f>IFERROR(__xludf.DUMMYFUNCTION("""COMPUTED_VALUE"""),2000.0)</f>
        <v>2000</v>
      </c>
      <c r="B1683" s="2">
        <f>IFERROR(__xludf.DUMMYFUNCTION("""COMPUTED_VALUE"""),184678.0)</f>
        <v>184678</v>
      </c>
      <c r="C1683" s="2">
        <f>IFERROR(__xludf.DUMMYFUNCTION("""COMPUTED_VALUE"""),2026.0)</f>
        <v>2026</v>
      </c>
      <c r="D1683" s="2">
        <f>IFERROR(__xludf.DUMMYFUNCTION("""COMPUTED_VALUE"""),46035.0)</f>
        <v>46035</v>
      </c>
      <c r="E1683" s="2" t="str">
        <f>IFERROR(__xludf.DUMMYFUNCTION("""COMPUTED_VALUE"""),"VF")</f>
        <v>VF</v>
      </c>
      <c r="F1683" s="2">
        <f>IFERROR(__xludf.DUMMYFUNCTION("""COMPUTED_VALUE"""),1.0)</f>
        <v>1</v>
      </c>
      <c r="G1683" s="2" t="str">
        <f>IFERROR(__xludf.DUMMYFUNCTION("""COMPUTED_VALUE"""),"PR019")</f>
        <v>PR019</v>
      </c>
      <c r="H1683" s="2" t="str">
        <f>IFERROR(__xludf.DUMMYFUNCTION("""COMPUTED_VALUE"""),"VD012")</f>
        <v>VD012</v>
      </c>
      <c r="I1683" s="2">
        <f>IFERROR(__xludf.DUMMYFUNCTION("""COMPUTED_VALUE"""),10.0)</f>
        <v>10</v>
      </c>
      <c r="J1683" s="2">
        <f>IFERROR(__xludf.DUMMYFUNCTION("""COMPUTED_VALUE"""),533.93)</f>
        <v>533.93</v>
      </c>
      <c r="K1683" s="2">
        <f>IFERROR(__xludf.DUMMYFUNCTION("""COMPUTED_VALUE"""),533.93)</f>
        <v>533.93</v>
      </c>
    </row>
    <row r="1684">
      <c r="A1684" s="2">
        <f>IFERROR(__xludf.DUMMYFUNCTION("""COMPUTED_VALUE"""),2000.0)</f>
        <v>2000</v>
      </c>
      <c r="B1684" s="2">
        <f>IFERROR(__xludf.DUMMYFUNCTION("""COMPUTED_VALUE"""),184679.0)</f>
        <v>184679</v>
      </c>
      <c r="C1684" s="2">
        <f>IFERROR(__xludf.DUMMYFUNCTION("""COMPUTED_VALUE"""),2026.0)</f>
        <v>2026</v>
      </c>
      <c r="D1684" s="2">
        <f>IFERROR(__xludf.DUMMYFUNCTION("""COMPUTED_VALUE"""),46035.0)</f>
        <v>46035</v>
      </c>
      <c r="E1684" s="2" t="str">
        <f>IFERROR(__xludf.DUMMYFUNCTION("""COMPUTED_VALUE"""),"VF")</f>
        <v>VF</v>
      </c>
      <c r="F1684" s="2">
        <f>IFERROR(__xludf.DUMMYFUNCTION("""COMPUTED_VALUE"""),1.0)</f>
        <v>1</v>
      </c>
      <c r="G1684" s="2" t="str">
        <f>IFERROR(__xludf.DUMMYFUNCTION("""COMPUTED_VALUE"""),"PR058")</f>
        <v>PR058</v>
      </c>
      <c r="H1684" s="2" t="str">
        <f>IFERROR(__xludf.DUMMYFUNCTION("""COMPUTED_VALUE"""),"VD019")</f>
        <v>VD019</v>
      </c>
      <c r="I1684" s="2">
        <f>IFERROR(__xludf.DUMMYFUNCTION("""COMPUTED_VALUE"""),7.0)</f>
        <v>7</v>
      </c>
      <c r="J1684" s="2">
        <f>IFERROR(__xludf.DUMMYFUNCTION("""COMPUTED_VALUE"""),1386.0)</f>
        <v>1386</v>
      </c>
      <c r="K1684" s="2">
        <f>IFERROR(__xludf.DUMMYFUNCTION("""COMPUTED_VALUE"""),1386.0)</f>
        <v>1386</v>
      </c>
    </row>
    <row r="1685">
      <c r="A1685" s="2">
        <f>IFERROR(__xludf.DUMMYFUNCTION("""COMPUTED_VALUE"""),1000.0)</f>
        <v>1000</v>
      </c>
      <c r="B1685" s="2">
        <f>IFERROR(__xludf.DUMMYFUNCTION("""COMPUTED_VALUE"""),184680.0)</f>
        <v>184680</v>
      </c>
      <c r="C1685" s="2">
        <f>IFERROR(__xludf.DUMMYFUNCTION("""COMPUTED_VALUE"""),2026.0)</f>
        <v>2026</v>
      </c>
      <c r="D1685" s="2">
        <f>IFERROR(__xludf.DUMMYFUNCTION("""COMPUTED_VALUE"""),46034.0)</f>
        <v>46034</v>
      </c>
      <c r="E1685" s="2" t="str">
        <f>IFERROR(__xludf.DUMMYFUNCTION("""COMPUTED_VALUE"""),"VF")</f>
        <v>VF</v>
      </c>
      <c r="F1685" s="2">
        <f>IFERROR(__xludf.DUMMYFUNCTION("""COMPUTED_VALUE"""),1.0)</f>
        <v>1</v>
      </c>
      <c r="G1685" s="2" t="str">
        <f>IFERROR(__xludf.DUMMYFUNCTION("""COMPUTED_VALUE"""),"PR034")</f>
        <v>PR034</v>
      </c>
      <c r="H1685" s="2" t="str">
        <f>IFERROR(__xludf.DUMMYFUNCTION("""COMPUTED_VALUE"""),"VD039")</f>
        <v>VD039</v>
      </c>
      <c r="I1685" s="2">
        <f>IFERROR(__xludf.DUMMYFUNCTION("""COMPUTED_VALUE"""),16.0)</f>
        <v>16</v>
      </c>
      <c r="J1685" s="2">
        <f>IFERROR(__xludf.DUMMYFUNCTION("""COMPUTED_VALUE"""),1524.7)</f>
        <v>1524.7</v>
      </c>
      <c r="K1685" s="2">
        <f>IFERROR(__xludf.DUMMYFUNCTION("""COMPUTED_VALUE"""),1524.7)</f>
        <v>1524.7</v>
      </c>
    </row>
    <row r="1686">
      <c r="A1686" s="2">
        <f>IFERROR(__xludf.DUMMYFUNCTION("""COMPUTED_VALUE"""),1000.0)</f>
        <v>1000</v>
      </c>
      <c r="B1686" s="2">
        <f>IFERROR(__xludf.DUMMYFUNCTION("""COMPUTED_VALUE"""),184681.0)</f>
        <v>184681</v>
      </c>
      <c r="C1686" s="2">
        <f>IFERROR(__xludf.DUMMYFUNCTION("""COMPUTED_VALUE"""),2026.0)</f>
        <v>2026</v>
      </c>
      <c r="D1686" s="2">
        <f>IFERROR(__xludf.DUMMYFUNCTION("""COMPUTED_VALUE"""),46034.0)</f>
        <v>46034</v>
      </c>
      <c r="E1686" s="2" t="str">
        <f>IFERROR(__xludf.DUMMYFUNCTION("""COMPUTED_VALUE"""),"VF")</f>
        <v>VF</v>
      </c>
      <c r="F1686" s="2">
        <f>IFERROR(__xludf.DUMMYFUNCTION("""COMPUTED_VALUE"""),1.0)</f>
        <v>1</v>
      </c>
      <c r="G1686" s="2" t="str">
        <f>IFERROR(__xludf.DUMMYFUNCTION("""COMPUTED_VALUE"""),"PR043")</f>
        <v>PR043</v>
      </c>
      <c r="H1686" s="2" t="str">
        <f>IFERROR(__xludf.DUMMYFUNCTION("""COMPUTED_VALUE"""),"VD046")</f>
        <v>VD046</v>
      </c>
      <c r="I1686" s="2">
        <f>IFERROR(__xludf.DUMMYFUNCTION("""COMPUTED_VALUE"""),3.0)</f>
        <v>3</v>
      </c>
      <c r="J1686" s="2">
        <f>IFERROR(__xludf.DUMMYFUNCTION("""COMPUTED_VALUE"""),230.55)</f>
        <v>230.55</v>
      </c>
      <c r="K1686" s="2">
        <f>IFERROR(__xludf.DUMMYFUNCTION("""COMPUTED_VALUE"""),230.55)</f>
        <v>230.55</v>
      </c>
    </row>
    <row r="1687">
      <c r="A1687" s="2">
        <f>IFERROR(__xludf.DUMMYFUNCTION("""COMPUTED_VALUE"""),1000.0)</f>
        <v>1000</v>
      </c>
      <c r="B1687" s="2">
        <f>IFERROR(__xludf.DUMMYFUNCTION("""COMPUTED_VALUE"""),184682.0)</f>
        <v>184682</v>
      </c>
      <c r="C1687" s="2">
        <f>IFERROR(__xludf.DUMMYFUNCTION("""COMPUTED_VALUE"""),2026.0)</f>
        <v>2026</v>
      </c>
      <c r="D1687" s="2">
        <f>IFERROR(__xludf.DUMMYFUNCTION("""COMPUTED_VALUE"""),46034.0)</f>
        <v>46034</v>
      </c>
      <c r="E1687" s="2" t="str">
        <f>IFERROR(__xludf.DUMMYFUNCTION("""COMPUTED_VALUE"""),"VF")</f>
        <v>VF</v>
      </c>
      <c r="F1687" s="2">
        <f>IFERROR(__xludf.DUMMYFUNCTION("""COMPUTED_VALUE"""),1.0)</f>
        <v>1</v>
      </c>
      <c r="G1687" s="2" t="str">
        <f>IFERROR(__xludf.DUMMYFUNCTION("""COMPUTED_VALUE"""),"PR052")</f>
        <v>PR052</v>
      </c>
      <c r="H1687" s="2" t="str">
        <f>IFERROR(__xludf.DUMMYFUNCTION("""COMPUTED_VALUE"""),"VD045")</f>
        <v>VD045</v>
      </c>
      <c r="I1687" s="2">
        <f>IFERROR(__xludf.DUMMYFUNCTION("""COMPUTED_VALUE"""),3.0)</f>
        <v>3</v>
      </c>
      <c r="J1687" s="2">
        <f>IFERROR(__xludf.DUMMYFUNCTION("""COMPUTED_VALUE"""),163.17)</f>
        <v>163.17</v>
      </c>
      <c r="K1687" s="2">
        <f>IFERROR(__xludf.DUMMYFUNCTION("""COMPUTED_VALUE"""),163.17)</f>
        <v>163.17</v>
      </c>
    </row>
    <row r="1688">
      <c r="A1688" s="2">
        <f>IFERROR(__xludf.DUMMYFUNCTION("""COMPUTED_VALUE"""),1000.0)</f>
        <v>1000</v>
      </c>
      <c r="B1688" s="2">
        <f>IFERROR(__xludf.DUMMYFUNCTION("""COMPUTED_VALUE"""),184683.0)</f>
        <v>184683</v>
      </c>
      <c r="C1688" s="2">
        <f>IFERROR(__xludf.DUMMYFUNCTION("""COMPUTED_VALUE"""),2026.0)</f>
        <v>2026</v>
      </c>
      <c r="D1688" s="2">
        <f>IFERROR(__xludf.DUMMYFUNCTION("""COMPUTED_VALUE"""),46034.0)</f>
        <v>46034</v>
      </c>
      <c r="E1688" s="2" t="str">
        <f>IFERROR(__xludf.DUMMYFUNCTION("""COMPUTED_VALUE"""),"VF")</f>
        <v>VF</v>
      </c>
      <c r="F1688" s="2">
        <f>IFERROR(__xludf.DUMMYFUNCTION("""COMPUTED_VALUE"""),1.0)</f>
        <v>1</v>
      </c>
      <c r="G1688" s="2" t="str">
        <f>IFERROR(__xludf.DUMMYFUNCTION("""COMPUTED_VALUE"""),"PR054")</f>
        <v>PR054</v>
      </c>
      <c r="H1688" s="2" t="str">
        <f>IFERROR(__xludf.DUMMYFUNCTION("""COMPUTED_VALUE"""),"VD041")</f>
        <v>VD041</v>
      </c>
      <c r="I1688" s="2">
        <f>IFERROR(__xludf.DUMMYFUNCTION("""COMPUTED_VALUE"""),12.0)</f>
        <v>12</v>
      </c>
      <c r="J1688" s="2">
        <f>IFERROR(__xludf.DUMMYFUNCTION("""COMPUTED_VALUE"""),622.75)</f>
        <v>622.75</v>
      </c>
      <c r="K1688" s="2">
        <f>IFERROR(__xludf.DUMMYFUNCTION("""COMPUTED_VALUE"""),622.75)</f>
        <v>622.75</v>
      </c>
    </row>
    <row r="1689">
      <c r="A1689" s="2">
        <f>IFERROR(__xludf.DUMMYFUNCTION("""COMPUTED_VALUE"""),1000.0)</f>
        <v>1000</v>
      </c>
      <c r="B1689" s="2">
        <f>IFERROR(__xludf.DUMMYFUNCTION("""COMPUTED_VALUE"""),184684.0)</f>
        <v>184684</v>
      </c>
      <c r="C1689" s="2">
        <f>IFERROR(__xludf.DUMMYFUNCTION("""COMPUTED_VALUE"""),2026.0)</f>
        <v>2026</v>
      </c>
      <c r="D1689" s="2">
        <f>IFERROR(__xludf.DUMMYFUNCTION("""COMPUTED_VALUE"""),46034.0)</f>
        <v>46034</v>
      </c>
      <c r="E1689" s="2" t="str">
        <f>IFERROR(__xludf.DUMMYFUNCTION("""COMPUTED_VALUE"""),"VF")</f>
        <v>VF</v>
      </c>
      <c r="F1689" s="2">
        <f>IFERROR(__xludf.DUMMYFUNCTION("""COMPUTED_VALUE"""),1.0)</f>
        <v>1</v>
      </c>
      <c r="G1689" s="2" t="str">
        <f>IFERROR(__xludf.DUMMYFUNCTION("""COMPUTED_VALUE"""),"PR059")</f>
        <v>PR059</v>
      </c>
      <c r="H1689" s="2" t="str">
        <f>IFERROR(__xludf.DUMMYFUNCTION("""COMPUTED_VALUE"""),"VD014")</f>
        <v>VD014</v>
      </c>
      <c r="I1689" s="2">
        <f>IFERROR(__xludf.DUMMYFUNCTION("""COMPUTED_VALUE"""),7.0)</f>
        <v>7</v>
      </c>
      <c r="J1689" s="2">
        <f>IFERROR(__xludf.DUMMYFUNCTION("""COMPUTED_VALUE"""),1310.4)</f>
        <v>1310.4</v>
      </c>
      <c r="K1689" s="2">
        <f>IFERROR(__xludf.DUMMYFUNCTION("""COMPUTED_VALUE"""),1310.4)</f>
        <v>1310.4</v>
      </c>
    </row>
    <row r="1690">
      <c r="A1690" s="2">
        <f>IFERROR(__xludf.DUMMYFUNCTION("""COMPUTED_VALUE"""),1000.0)</f>
        <v>1000</v>
      </c>
      <c r="B1690" s="2">
        <f>IFERROR(__xludf.DUMMYFUNCTION("""COMPUTED_VALUE"""),184685.0)</f>
        <v>184685</v>
      </c>
      <c r="C1690" s="2">
        <f>IFERROR(__xludf.DUMMYFUNCTION("""COMPUTED_VALUE"""),2026.0)</f>
        <v>2026</v>
      </c>
      <c r="D1690" s="2">
        <f>IFERROR(__xludf.DUMMYFUNCTION("""COMPUTED_VALUE"""),46033.0)</f>
        <v>46033</v>
      </c>
      <c r="E1690" s="2" t="str">
        <f>IFERROR(__xludf.DUMMYFUNCTION("""COMPUTED_VALUE"""),"VF")</f>
        <v>VF</v>
      </c>
      <c r="F1690" s="2">
        <f>IFERROR(__xludf.DUMMYFUNCTION("""COMPUTED_VALUE"""),1.0)</f>
        <v>1</v>
      </c>
      <c r="G1690" s="2" t="str">
        <f>IFERROR(__xludf.DUMMYFUNCTION("""COMPUTED_VALUE"""),"PR020")</f>
        <v>PR020</v>
      </c>
      <c r="H1690" s="2" t="str">
        <f>IFERROR(__xludf.DUMMYFUNCTION("""COMPUTED_VALUE"""),"VD036")</f>
        <v>VD036</v>
      </c>
      <c r="I1690" s="2">
        <f>IFERROR(__xludf.DUMMYFUNCTION("""COMPUTED_VALUE"""),20.0)</f>
        <v>20</v>
      </c>
      <c r="J1690" s="2">
        <f>IFERROR(__xludf.DUMMYFUNCTION("""COMPUTED_VALUE"""),6357.88)</f>
        <v>6357.88</v>
      </c>
      <c r="K1690" s="2">
        <f>IFERROR(__xludf.DUMMYFUNCTION("""COMPUTED_VALUE"""),6357.88)</f>
        <v>6357.88</v>
      </c>
    </row>
    <row r="1691">
      <c r="A1691" s="2">
        <f>IFERROR(__xludf.DUMMYFUNCTION("""COMPUTED_VALUE"""),1000.0)</f>
        <v>1000</v>
      </c>
      <c r="B1691" s="2">
        <f>IFERROR(__xludf.DUMMYFUNCTION("""COMPUTED_VALUE"""),184685.0)</f>
        <v>184685</v>
      </c>
      <c r="C1691" s="2">
        <f>IFERROR(__xludf.DUMMYFUNCTION("""COMPUTED_VALUE"""),2026.0)</f>
        <v>2026</v>
      </c>
      <c r="D1691" s="2">
        <f>IFERROR(__xludf.DUMMYFUNCTION("""COMPUTED_VALUE"""),46033.0)</f>
        <v>46033</v>
      </c>
      <c r="E1691" s="2" t="str">
        <f>IFERROR(__xludf.DUMMYFUNCTION("""COMPUTED_VALUE"""),"VF")</f>
        <v>VF</v>
      </c>
      <c r="F1691" s="2">
        <f>IFERROR(__xludf.DUMMYFUNCTION("""COMPUTED_VALUE"""),2.0)</f>
        <v>2</v>
      </c>
      <c r="G1691" s="2" t="str">
        <f>IFERROR(__xludf.DUMMYFUNCTION("""COMPUTED_VALUE"""),"PR017")</f>
        <v>PR017</v>
      </c>
      <c r="H1691" s="2" t="str">
        <f>IFERROR(__xludf.DUMMYFUNCTION("""COMPUTED_VALUE"""),"VD027")</f>
        <v>VD027</v>
      </c>
      <c r="I1691" s="2">
        <f>IFERROR(__xludf.DUMMYFUNCTION("""COMPUTED_VALUE"""),12.0)</f>
        <v>12</v>
      </c>
      <c r="J1691" s="2">
        <f>IFERROR(__xludf.DUMMYFUNCTION("""COMPUTED_VALUE"""),391.09)</f>
        <v>391.09</v>
      </c>
      <c r="K1691" s="2">
        <f>IFERROR(__xludf.DUMMYFUNCTION("""COMPUTED_VALUE"""),391.09)</f>
        <v>391.09</v>
      </c>
    </row>
    <row r="1692">
      <c r="A1692" s="2">
        <f>IFERROR(__xludf.DUMMYFUNCTION("""COMPUTED_VALUE"""),1000.0)</f>
        <v>1000</v>
      </c>
      <c r="B1692" s="2">
        <f>IFERROR(__xludf.DUMMYFUNCTION("""COMPUTED_VALUE"""),184686.0)</f>
        <v>184686</v>
      </c>
      <c r="C1692" s="2">
        <f>IFERROR(__xludf.DUMMYFUNCTION("""COMPUTED_VALUE"""),2026.0)</f>
        <v>2026</v>
      </c>
      <c r="D1692" s="2">
        <f>IFERROR(__xludf.DUMMYFUNCTION("""COMPUTED_VALUE"""),46033.0)</f>
        <v>46033</v>
      </c>
      <c r="E1692" s="2" t="str">
        <f>IFERROR(__xludf.DUMMYFUNCTION("""COMPUTED_VALUE"""),"VF")</f>
        <v>VF</v>
      </c>
      <c r="F1692" s="2">
        <f>IFERROR(__xludf.DUMMYFUNCTION("""COMPUTED_VALUE"""),1.0)</f>
        <v>1</v>
      </c>
      <c r="G1692" s="2" t="str">
        <f>IFERROR(__xludf.DUMMYFUNCTION("""COMPUTED_VALUE"""),"PR049")</f>
        <v>PR049</v>
      </c>
      <c r="H1692" s="2" t="str">
        <f>IFERROR(__xludf.DUMMYFUNCTION("""COMPUTED_VALUE"""),"VD039")</f>
        <v>VD039</v>
      </c>
      <c r="I1692" s="2">
        <f>IFERROR(__xludf.DUMMYFUNCTION("""COMPUTED_VALUE"""),4.0)</f>
        <v>4</v>
      </c>
      <c r="J1692" s="2">
        <f>IFERROR(__xludf.DUMMYFUNCTION("""COMPUTED_VALUE"""),139.5)</f>
        <v>139.5</v>
      </c>
      <c r="K1692" s="2">
        <f>IFERROR(__xludf.DUMMYFUNCTION("""COMPUTED_VALUE"""),139.5)</f>
        <v>139.5</v>
      </c>
    </row>
    <row r="1693">
      <c r="A1693" s="2">
        <f>IFERROR(__xludf.DUMMYFUNCTION("""COMPUTED_VALUE"""),2000.0)</f>
        <v>2000</v>
      </c>
      <c r="B1693" s="2">
        <f>IFERROR(__xludf.DUMMYFUNCTION("""COMPUTED_VALUE"""),184687.0)</f>
        <v>184687</v>
      </c>
      <c r="C1693" s="2">
        <f>IFERROR(__xludf.DUMMYFUNCTION("""COMPUTED_VALUE"""),2026.0)</f>
        <v>2026</v>
      </c>
      <c r="D1693" s="2">
        <f>IFERROR(__xludf.DUMMYFUNCTION("""COMPUTED_VALUE"""),46033.0)</f>
        <v>46033</v>
      </c>
      <c r="E1693" s="2" t="str">
        <f>IFERROR(__xludf.DUMMYFUNCTION("""COMPUTED_VALUE"""),"VF")</f>
        <v>VF</v>
      </c>
      <c r="F1693" s="2">
        <f>IFERROR(__xludf.DUMMYFUNCTION("""COMPUTED_VALUE"""),1.0)</f>
        <v>1</v>
      </c>
      <c r="G1693" s="2" t="str">
        <f>IFERROR(__xludf.DUMMYFUNCTION("""COMPUTED_VALUE"""),"PR034")</f>
        <v>PR034</v>
      </c>
      <c r="H1693" s="2" t="str">
        <f>IFERROR(__xludf.DUMMYFUNCTION("""COMPUTED_VALUE"""),"VD017")</f>
        <v>VD017</v>
      </c>
      <c r="I1693" s="2">
        <f>IFERROR(__xludf.DUMMYFUNCTION("""COMPUTED_VALUE"""),8.0)</f>
        <v>8</v>
      </c>
      <c r="J1693" s="2">
        <f>IFERROR(__xludf.DUMMYFUNCTION("""COMPUTED_VALUE"""),733.58)</f>
        <v>733.58</v>
      </c>
      <c r="K1693" s="2">
        <f>IFERROR(__xludf.DUMMYFUNCTION("""COMPUTED_VALUE"""),733.58)</f>
        <v>733.58</v>
      </c>
    </row>
    <row r="1694">
      <c r="A1694" s="2">
        <f>IFERROR(__xludf.DUMMYFUNCTION("""COMPUTED_VALUE"""),2000.0)</f>
        <v>2000</v>
      </c>
      <c r="B1694" s="2">
        <f>IFERROR(__xludf.DUMMYFUNCTION("""COMPUTED_VALUE"""),184688.0)</f>
        <v>184688</v>
      </c>
      <c r="C1694" s="2">
        <f>IFERROR(__xludf.DUMMYFUNCTION("""COMPUTED_VALUE"""),2026.0)</f>
        <v>2026</v>
      </c>
      <c r="D1694" s="2">
        <f>IFERROR(__xludf.DUMMYFUNCTION("""COMPUTED_VALUE"""),46032.0)</f>
        <v>46032</v>
      </c>
      <c r="E1694" s="2" t="str">
        <f>IFERROR(__xludf.DUMMYFUNCTION("""COMPUTED_VALUE"""),"VF")</f>
        <v>VF</v>
      </c>
      <c r="F1694" s="2">
        <f>IFERROR(__xludf.DUMMYFUNCTION("""COMPUTED_VALUE"""),1.0)</f>
        <v>1</v>
      </c>
      <c r="G1694" s="2" t="str">
        <f>IFERROR(__xludf.DUMMYFUNCTION("""COMPUTED_VALUE"""),"PR045")</f>
        <v>PR045</v>
      </c>
      <c r="H1694" s="2" t="str">
        <f>IFERROR(__xludf.DUMMYFUNCTION("""COMPUTED_VALUE"""),"VD045")</f>
        <v>VD045</v>
      </c>
      <c r="I1694" s="2">
        <f>IFERROR(__xludf.DUMMYFUNCTION("""COMPUTED_VALUE"""),14.0)</f>
        <v>14</v>
      </c>
      <c r="J1694" s="2">
        <f>IFERROR(__xludf.DUMMYFUNCTION("""COMPUTED_VALUE"""),1025.15)</f>
        <v>1025.15</v>
      </c>
      <c r="K1694" s="2">
        <f>IFERROR(__xludf.DUMMYFUNCTION("""COMPUTED_VALUE"""),1025.15)</f>
        <v>1025.15</v>
      </c>
    </row>
    <row r="1695">
      <c r="A1695" s="2">
        <f>IFERROR(__xludf.DUMMYFUNCTION("""COMPUTED_VALUE"""),2000.0)</f>
        <v>2000</v>
      </c>
      <c r="B1695" s="2">
        <f>IFERROR(__xludf.DUMMYFUNCTION("""COMPUTED_VALUE"""),184688.0)</f>
        <v>184688</v>
      </c>
      <c r="C1695" s="2">
        <f>IFERROR(__xludf.DUMMYFUNCTION("""COMPUTED_VALUE"""),2026.0)</f>
        <v>2026</v>
      </c>
      <c r="D1695" s="2">
        <f>IFERROR(__xludf.DUMMYFUNCTION("""COMPUTED_VALUE"""),46032.0)</f>
        <v>46032</v>
      </c>
      <c r="E1695" s="2" t="str">
        <f>IFERROR(__xludf.DUMMYFUNCTION("""COMPUTED_VALUE"""),"VF")</f>
        <v>VF</v>
      </c>
      <c r="F1695" s="2">
        <f>IFERROR(__xludf.DUMMYFUNCTION("""COMPUTED_VALUE"""),2.0)</f>
        <v>2</v>
      </c>
      <c r="G1695" s="2" t="str">
        <f>IFERROR(__xludf.DUMMYFUNCTION("""COMPUTED_VALUE"""),"PR018")</f>
        <v>PR018</v>
      </c>
      <c r="H1695" s="2" t="str">
        <f>IFERROR(__xludf.DUMMYFUNCTION("""COMPUTED_VALUE"""),"VD018")</f>
        <v>VD018</v>
      </c>
      <c r="I1695" s="2">
        <f>IFERROR(__xludf.DUMMYFUNCTION("""COMPUTED_VALUE"""),4.0)</f>
        <v>4</v>
      </c>
      <c r="J1695" s="2">
        <f>IFERROR(__xludf.DUMMYFUNCTION("""COMPUTED_VALUE"""),139.5)</f>
        <v>139.5</v>
      </c>
      <c r="K1695" s="2">
        <f>IFERROR(__xludf.DUMMYFUNCTION("""COMPUTED_VALUE"""),139.5)</f>
        <v>139.5</v>
      </c>
    </row>
    <row r="1696">
      <c r="A1696" s="2">
        <f>IFERROR(__xludf.DUMMYFUNCTION("""COMPUTED_VALUE"""),2000.0)</f>
        <v>2000</v>
      </c>
      <c r="B1696" s="2">
        <f>IFERROR(__xludf.DUMMYFUNCTION("""COMPUTED_VALUE"""),184688.0)</f>
        <v>184688</v>
      </c>
      <c r="C1696" s="2">
        <f>IFERROR(__xludf.DUMMYFUNCTION("""COMPUTED_VALUE"""),2026.0)</f>
        <v>2026</v>
      </c>
      <c r="D1696" s="2">
        <f>IFERROR(__xludf.DUMMYFUNCTION("""COMPUTED_VALUE"""),46032.0)</f>
        <v>46032</v>
      </c>
      <c r="E1696" s="2" t="str">
        <f>IFERROR(__xludf.DUMMYFUNCTION("""COMPUTED_VALUE"""),"VF")</f>
        <v>VF</v>
      </c>
      <c r="F1696" s="2">
        <f>IFERROR(__xludf.DUMMYFUNCTION("""COMPUTED_VALUE"""),3.0)</f>
        <v>3</v>
      </c>
      <c r="G1696" s="2" t="str">
        <f>IFERROR(__xludf.DUMMYFUNCTION("""COMPUTED_VALUE"""),"PR008")</f>
        <v>PR008</v>
      </c>
      <c r="H1696" s="2" t="str">
        <f>IFERROR(__xludf.DUMMYFUNCTION("""COMPUTED_VALUE"""),"VD016")</f>
        <v>VD016</v>
      </c>
      <c r="I1696" s="2">
        <f>IFERROR(__xludf.DUMMYFUNCTION("""COMPUTED_VALUE"""),6.0)</f>
        <v>6</v>
      </c>
      <c r="J1696" s="2">
        <f>IFERROR(__xludf.DUMMYFUNCTION("""COMPUTED_VALUE"""),539.4)</f>
        <v>539.4</v>
      </c>
      <c r="K1696" s="2">
        <f>IFERROR(__xludf.DUMMYFUNCTION("""COMPUTED_VALUE"""),539.4)</f>
        <v>539.4</v>
      </c>
    </row>
    <row r="1697">
      <c r="A1697" s="2">
        <f>IFERROR(__xludf.DUMMYFUNCTION("""COMPUTED_VALUE"""),1000.0)</f>
        <v>1000</v>
      </c>
      <c r="B1697" s="2">
        <f>IFERROR(__xludf.DUMMYFUNCTION("""COMPUTED_VALUE"""),184689.0)</f>
        <v>184689</v>
      </c>
      <c r="C1697" s="2">
        <f>IFERROR(__xludf.DUMMYFUNCTION("""COMPUTED_VALUE"""),2026.0)</f>
        <v>2026</v>
      </c>
      <c r="D1697" s="2">
        <f>IFERROR(__xludf.DUMMYFUNCTION("""COMPUTED_VALUE"""),46032.0)</f>
        <v>46032</v>
      </c>
      <c r="E1697" s="2" t="str">
        <f>IFERROR(__xludf.DUMMYFUNCTION("""COMPUTED_VALUE"""),"VF")</f>
        <v>VF</v>
      </c>
      <c r="F1697" s="2">
        <f>IFERROR(__xludf.DUMMYFUNCTION("""COMPUTED_VALUE"""),1.0)</f>
        <v>1</v>
      </c>
      <c r="G1697" s="2" t="str">
        <f>IFERROR(__xludf.DUMMYFUNCTION("""COMPUTED_VALUE"""),"PR013")</f>
        <v>PR013</v>
      </c>
      <c r="H1697" s="2" t="str">
        <f>IFERROR(__xludf.DUMMYFUNCTION("""COMPUTED_VALUE"""),"VD036")</f>
        <v>VD036</v>
      </c>
      <c r="I1697" s="2">
        <f>IFERROR(__xludf.DUMMYFUNCTION("""COMPUTED_VALUE"""),3.0)</f>
        <v>3</v>
      </c>
      <c r="J1697" s="2">
        <f>IFERROR(__xludf.DUMMYFUNCTION("""COMPUTED_VALUE"""),124.49)</f>
        <v>124.49</v>
      </c>
      <c r="K1697" s="2">
        <f>IFERROR(__xludf.DUMMYFUNCTION("""COMPUTED_VALUE"""),124.49)</f>
        <v>124.49</v>
      </c>
    </row>
    <row r="1698">
      <c r="A1698" s="2">
        <f>IFERROR(__xludf.DUMMYFUNCTION("""COMPUTED_VALUE"""),1000.0)</f>
        <v>1000</v>
      </c>
      <c r="B1698" s="2">
        <f>IFERROR(__xludf.DUMMYFUNCTION("""COMPUTED_VALUE"""),184690.0)</f>
        <v>184690</v>
      </c>
      <c r="C1698" s="2">
        <f>IFERROR(__xludf.DUMMYFUNCTION("""COMPUTED_VALUE"""),2026.0)</f>
        <v>2026</v>
      </c>
      <c r="D1698" s="2">
        <f>IFERROR(__xludf.DUMMYFUNCTION("""COMPUTED_VALUE"""),46032.0)</f>
        <v>46032</v>
      </c>
      <c r="E1698" s="2" t="str">
        <f>IFERROR(__xludf.DUMMYFUNCTION("""COMPUTED_VALUE"""),"VF")</f>
        <v>VF</v>
      </c>
      <c r="F1698" s="2">
        <f>IFERROR(__xludf.DUMMYFUNCTION("""COMPUTED_VALUE"""),1.0)</f>
        <v>1</v>
      </c>
      <c r="G1698" s="2" t="str">
        <f>IFERROR(__xludf.DUMMYFUNCTION("""COMPUTED_VALUE"""),"PR055")</f>
        <v>PR055</v>
      </c>
      <c r="H1698" s="2" t="str">
        <f>IFERROR(__xludf.DUMMYFUNCTION("""COMPUTED_VALUE"""),"VD016")</f>
        <v>VD016</v>
      </c>
      <c r="I1698" s="2">
        <f>IFERROR(__xludf.DUMMYFUNCTION("""COMPUTED_VALUE"""),9.0)</f>
        <v>9</v>
      </c>
      <c r="J1698" s="2">
        <f>IFERROR(__xludf.DUMMYFUNCTION("""COMPUTED_VALUE"""),881.92)</f>
        <v>881.92</v>
      </c>
      <c r="K1698" s="2">
        <f>IFERROR(__xludf.DUMMYFUNCTION("""COMPUTED_VALUE"""),881.92)</f>
        <v>881.92</v>
      </c>
    </row>
    <row r="1699">
      <c r="A1699" s="2">
        <f>IFERROR(__xludf.DUMMYFUNCTION("""COMPUTED_VALUE"""),1000.0)</f>
        <v>1000</v>
      </c>
      <c r="B1699" s="2">
        <f>IFERROR(__xludf.DUMMYFUNCTION("""COMPUTED_VALUE"""),184691.0)</f>
        <v>184691</v>
      </c>
      <c r="C1699" s="2">
        <f>IFERROR(__xludf.DUMMYFUNCTION("""COMPUTED_VALUE"""),2026.0)</f>
        <v>2026</v>
      </c>
      <c r="D1699" s="2">
        <f>IFERROR(__xludf.DUMMYFUNCTION("""COMPUTED_VALUE"""),46031.0)</f>
        <v>46031</v>
      </c>
      <c r="E1699" s="2" t="str">
        <f>IFERROR(__xludf.DUMMYFUNCTION("""COMPUTED_VALUE"""),"VF")</f>
        <v>VF</v>
      </c>
      <c r="F1699" s="2">
        <f>IFERROR(__xludf.DUMMYFUNCTION("""COMPUTED_VALUE"""),1.0)</f>
        <v>1</v>
      </c>
      <c r="G1699" s="2" t="str">
        <f>IFERROR(__xludf.DUMMYFUNCTION("""COMPUTED_VALUE"""),"PR037")</f>
        <v>PR037</v>
      </c>
      <c r="H1699" s="2" t="str">
        <f>IFERROR(__xludf.DUMMYFUNCTION("""COMPUTED_VALUE"""),"VD048")</f>
        <v>VD048</v>
      </c>
      <c r="I1699" s="2">
        <f>IFERROR(__xludf.DUMMYFUNCTION("""COMPUTED_VALUE"""),1.0)</f>
        <v>1</v>
      </c>
      <c r="J1699" s="2">
        <f>IFERROR(__xludf.DUMMYFUNCTION("""COMPUTED_VALUE"""),154.0)</f>
        <v>154</v>
      </c>
      <c r="K1699" s="2">
        <f>IFERROR(__xludf.DUMMYFUNCTION("""COMPUTED_VALUE"""),154.0)</f>
        <v>154</v>
      </c>
    </row>
    <row r="1700">
      <c r="A1700" s="2">
        <f>IFERROR(__xludf.DUMMYFUNCTION("""COMPUTED_VALUE"""),2000.0)</f>
        <v>2000</v>
      </c>
      <c r="B1700" s="2">
        <f>IFERROR(__xludf.DUMMYFUNCTION("""COMPUTED_VALUE"""),184692.0)</f>
        <v>184692</v>
      </c>
      <c r="C1700" s="2">
        <f>IFERROR(__xludf.DUMMYFUNCTION("""COMPUTED_VALUE"""),2026.0)</f>
        <v>2026</v>
      </c>
      <c r="D1700" s="2">
        <f>IFERROR(__xludf.DUMMYFUNCTION("""COMPUTED_VALUE"""),46031.0)</f>
        <v>46031</v>
      </c>
      <c r="E1700" s="2" t="str">
        <f>IFERROR(__xludf.DUMMYFUNCTION("""COMPUTED_VALUE"""),"VF")</f>
        <v>VF</v>
      </c>
      <c r="F1700" s="2">
        <f>IFERROR(__xludf.DUMMYFUNCTION("""COMPUTED_VALUE"""),1.0)</f>
        <v>1</v>
      </c>
      <c r="G1700" s="2" t="str">
        <f>IFERROR(__xludf.DUMMYFUNCTION("""COMPUTED_VALUE"""),"PR036")</f>
        <v>PR036</v>
      </c>
      <c r="H1700" s="2" t="str">
        <f>IFERROR(__xludf.DUMMYFUNCTION("""COMPUTED_VALUE"""),"VD029")</f>
        <v>VD029</v>
      </c>
      <c r="I1700" s="2">
        <f>IFERROR(__xludf.DUMMYFUNCTION("""COMPUTED_VALUE"""),8.0)</f>
        <v>8</v>
      </c>
      <c r="J1700" s="2">
        <f>IFERROR(__xludf.DUMMYFUNCTION("""COMPUTED_VALUE"""),748.0)</f>
        <v>748</v>
      </c>
      <c r="K1700" s="2">
        <f>IFERROR(__xludf.DUMMYFUNCTION("""COMPUTED_VALUE"""),748.0)</f>
        <v>748</v>
      </c>
    </row>
    <row r="1701">
      <c r="A1701" s="2">
        <f>IFERROR(__xludf.DUMMYFUNCTION("""COMPUTED_VALUE"""),1000.0)</f>
        <v>1000</v>
      </c>
      <c r="B1701" s="2">
        <f>IFERROR(__xludf.DUMMYFUNCTION("""COMPUTED_VALUE"""),184693.0)</f>
        <v>184693</v>
      </c>
      <c r="C1701" s="2">
        <f>IFERROR(__xludf.DUMMYFUNCTION("""COMPUTED_VALUE"""),2026.0)</f>
        <v>2026</v>
      </c>
      <c r="D1701" s="2">
        <f>IFERROR(__xludf.DUMMYFUNCTION("""COMPUTED_VALUE"""),46031.0)</f>
        <v>46031</v>
      </c>
      <c r="E1701" s="2" t="str">
        <f>IFERROR(__xludf.DUMMYFUNCTION("""COMPUTED_VALUE"""),"VF")</f>
        <v>VF</v>
      </c>
      <c r="F1701" s="2">
        <f>IFERROR(__xludf.DUMMYFUNCTION("""COMPUTED_VALUE"""),1.0)</f>
        <v>1</v>
      </c>
      <c r="G1701" s="2" t="str">
        <f>IFERROR(__xludf.DUMMYFUNCTION("""COMPUTED_VALUE"""),"PR008")</f>
        <v>PR008</v>
      </c>
      <c r="H1701" s="2" t="str">
        <f>IFERROR(__xludf.DUMMYFUNCTION("""COMPUTED_VALUE"""),"VD013")</f>
        <v>VD013</v>
      </c>
      <c r="I1701" s="2">
        <f>IFERROR(__xludf.DUMMYFUNCTION("""COMPUTED_VALUE"""),20.0)</f>
        <v>20</v>
      </c>
      <c r="J1701" s="2">
        <f>IFERROR(__xludf.DUMMYFUNCTION("""COMPUTED_VALUE"""),1815.98)</f>
        <v>1815.98</v>
      </c>
      <c r="K1701" s="2">
        <f>IFERROR(__xludf.DUMMYFUNCTION("""COMPUTED_VALUE"""),1815.98)</f>
        <v>1815.98</v>
      </c>
    </row>
    <row r="1702">
      <c r="A1702" s="2">
        <f>IFERROR(__xludf.DUMMYFUNCTION("""COMPUTED_VALUE"""),1000.0)</f>
        <v>1000</v>
      </c>
      <c r="B1702" s="2">
        <f>IFERROR(__xludf.DUMMYFUNCTION("""COMPUTED_VALUE"""),184694.0)</f>
        <v>184694</v>
      </c>
      <c r="C1702" s="2">
        <f>IFERROR(__xludf.DUMMYFUNCTION("""COMPUTED_VALUE"""),2026.0)</f>
        <v>2026</v>
      </c>
      <c r="D1702" s="2">
        <f>IFERROR(__xludf.DUMMYFUNCTION("""COMPUTED_VALUE"""),46030.0)</f>
        <v>46030</v>
      </c>
      <c r="E1702" s="2" t="str">
        <f>IFERROR(__xludf.DUMMYFUNCTION("""COMPUTED_VALUE"""),"VF")</f>
        <v>VF</v>
      </c>
      <c r="F1702" s="2">
        <f>IFERROR(__xludf.DUMMYFUNCTION("""COMPUTED_VALUE"""),1.0)</f>
        <v>1</v>
      </c>
      <c r="G1702" s="2" t="str">
        <f>IFERROR(__xludf.DUMMYFUNCTION("""COMPUTED_VALUE"""),"PR056")</f>
        <v>PR056</v>
      </c>
      <c r="H1702" s="2" t="str">
        <f>IFERROR(__xludf.DUMMYFUNCTION("""COMPUTED_VALUE"""),"VD032")</f>
        <v>VD032</v>
      </c>
      <c r="I1702" s="2">
        <f>IFERROR(__xludf.DUMMYFUNCTION("""COMPUTED_VALUE"""),10.0)</f>
        <v>10</v>
      </c>
      <c r="J1702" s="2">
        <f>IFERROR(__xludf.DUMMYFUNCTION("""COMPUTED_VALUE"""),961.93)</f>
        <v>961.93</v>
      </c>
      <c r="K1702" s="2">
        <f>IFERROR(__xludf.DUMMYFUNCTION("""COMPUTED_VALUE"""),961.93)</f>
        <v>961.93</v>
      </c>
    </row>
    <row r="1703">
      <c r="A1703" s="2">
        <f>IFERROR(__xludf.DUMMYFUNCTION("""COMPUTED_VALUE"""),1000.0)</f>
        <v>1000</v>
      </c>
      <c r="B1703" s="2">
        <f>IFERROR(__xludf.DUMMYFUNCTION("""COMPUTED_VALUE"""),184694.0)</f>
        <v>184694</v>
      </c>
      <c r="C1703" s="2">
        <f>IFERROR(__xludf.DUMMYFUNCTION("""COMPUTED_VALUE"""),2026.0)</f>
        <v>2026</v>
      </c>
      <c r="D1703" s="2">
        <f>IFERROR(__xludf.DUMMYFUNCTION("""COMPUTED_VALUE"""),46030.0)</f>
        <v>46030</v>
      </c>
      <c r="E1703" s="2" t="str">
        <f>IFERROR(__xludf.DUMMYFUNCTION("""COMPUTED_VALUE"""),"VF")</f>
        <v>VF</v>
      </c>
      <c r="F1703" s="2">
        <f>IFERROR(__xludf.DUMMYFUNCTION("""COMPUTED_VALUE"""),2.0)</f>
        <v>2</v>
      </c>
      <c r="G1703" s="2" t="str">
        <f>IFERROR(__xludf.DUMMYFUNCTION("""COMPUTED_VALUE"""),"PR033")</f>
        <v>PR033</v>
      </c>
      <c r="H1703" s="2" t="str">
        <f>IFERROR(__xludf.DUMMYFUNCTION("""COMPUTED_VALUE"""),"VD012")</f>
        <v>VD012</v>
      </c>
      <c r="I1703" s="2">
        <f>IFERROR(__xludf.DUMMYFUNCTION("""COMPUTED_VALUE"""),8.0)</f>
        <v>8</v>
      </c>
      <c r="J1703" s="2">
        <f>IFERROR(__xludf.DUMMYFUNCTION("""COMPUTED_VALUE"""),2141.58)</f>
        <v>2141.58</v>
      </c>
      <c r="K1703" s="2">
        <f>IFERROR(__xludf.DUMMYFUNCTION("""COMPUTED_VALUE"""),2141.58)</f>
        <v>2141.58</v>
      </c>
    </row>
    <row r="1704">
      <c r="A1704" s="2">
        <f>IFERROR(__xludf.DUMMYFUNCTION("""COMPUTED_VALUE"""),1000.0)</f>
        <v>1000</v>
      </c>
      <c r="B1704" s="2">
        <f>IFERROR(__xludf.DUMMYFUNCTION("""COMPUTED_VALUE"""),184695.0)</f>
        <v>184695</v>
      </c>
      <c r="C1704" s="2">
        <f>IFERROR(__xludf.DUMMYFUNCTION("""COMPUTED_VALUE"""),2026.0)</f>
        <v>2026</v>
      </c>
      <c r="D1704" s="2">
        <f>IFERROR(__xludf.DUMMYFUNCTION("""COMPUTED_VALUE"""),46030.0)</f>
        <v>46030</v>
      </c>
      <c r="E1704" s="2" t="str">
        <f>IFERROR(__xludf.DUMMYFUNCTION("""COMPUTED_VALUE"""),"VF")</f>
        <v>VF</v>
      </c>
      <c r="F1704" s="2">
        <f>IFERROR(__xludf.DUMMYFUNCTION("""COMPUTED_VALUE"""),1.0)</f>
        <v>1</v>
      </c>
      <c r="G1704" s="2" t="str">
        <f>IFERROR(__xludf.DUMMYFUNCTION("""COMPUTED_VALUE"""),"PR001")</f>
        <v>PR001</v>
      </c>
      <c r="H1704" s="2" t="str">
        <f>IFERROR(__xludf.DUMMYFUNCTION("""COMPUTED_VALUE"""),"VD036")</f>
        <v>VD036</v>
      </c>
      <c r="I1704" s="2">
        <f>IFERROR(__xludf.DUMMYFUNCTION("""COMPUTED_VALUE"""),2.0)</f>
        <v>2</v>
      </c>
      <c r="J1704" s="2">
        <f>IFERROR(__xludf.DUMMYFUNCTION("""COMPUTED_VALUE"""),139.71)</f>
        <v>139.71</v>
      </c>
      <c r="K1704" s="2">
        <f>IFERROR(__xludf.DUMMYFUNCTION("""COMPUTED_VALUE"""),139.71)</f>
        <v>139.71</v>
      </c>
    </row>
    <row r="1705">
      <c r="A1705" s="2">
        <f>IFERROR(__xludf.DUMMYFUNCTION("""COMPUTED_VALUE"""),1000.0)</f>
        <v>1000</v>
      </c>
      <c r="B1705" s="2">
        <f>IFERROR(__xludf.DUMMYFUNCTION("""COMPUTED_VALUE"""),184695.0)</f>
        <v>184695</v>
      </c>
      <c r="C1705" s="2">
        <f>IFERROR(__xludf.DUMMYFUNCTION("""COMPUTED_VALUE"""),2026.0)</f>
        <v>2026</v>
      </c>
      <c r="D1705" s="2">
        <f>IFERROR(__xludf.DUMMYFUNCTION("""COMPUTED_VALUE"""),46030.0)</f>
        <v>46030</v>
      </c>
      <c r="E1705" s="2" t="str">
        <f>IFERROR(__xludf.DUMMYFUNCTION("""COMPUTED_VALUE"""),"VF")</f>
        <v>VF</v>
      </c>
      <c r="F1705" s="2">
        <f>IFERROR(__xludf.DUMMYFUNCTION("""COMPUTED_VALUE"""),2.0)</f>
        <v>2</v>
      </c>
      <c r="G1705" s="2" t="str">
        <f>IFERROR(__xludf.DUMMYFUNCTION("""COMPUTED_VALUE"""),"PR007")</f>
        <v>PR007</v>
      </c>
      <c r="H1705" s="2" t="str">
        <f>IFERROR(__xludf.DUMMYFUNCTION("""COMPUTED_VALUE"""),"VD022")</f>
        <v>VD022</v>
      </c>
      <c r="I1705" s="2">
        <f>IFERROR(__xludf.DUMMYFUNCTION("""COMPUTED_VALUE"""),4.0)</f>
        <v>4</v>
      </c>
      <c r="J1705" s="2">
        <f>IFERROR(__xludf.DUMMYFUNCTION("""COMPUTED_VALUE"""),350.47)</f>
        <v>350.47</v>
      </c>
      <c r="K1705" s="2">
        <f>IFERROR(__xludf.DUMMYFUNCTION("""COMPUTED_VALUE"""),350.47)</f>
        <v>350.47</v>
      </c>
    </row>
    <row r="1706">
      <c r="A1706" s="2">
        <f>IFERROR(__xludf.DUMMYFUNCTION("""COMPUTED_VALUE"""),1000.0)</f>
        <v>1000</v>
      </c>
      <c r="B1706" s="2">
        <f>IFERROR(__xludf.DUMMYFUNCTION("""COMPUTED_VALUE"""),184695.0)</f>
        <v>184695</v>
      </c>
      <c r="C1706" s="2">
        <f>IFERROR(__xludf.DUMMYFUNCTION("""COMPUTED_VALUE"""),2026.0)</f>
        <v>2026</v>
      </c>
      <c r="D1706" s="2">
        <f>IFERROR(__xludf.DUMMYFUNCTION("""COMPUTED_VALUE"""),46030.0)</f>
        <v>46030</v>
      </c>
      <c r="E1706" s="2" t="str">
        <f>IFERROR(__xludf.DUMMYFUNCTION("""COMPUTED_VALUE"""),"VF")</f>
        <v>VF</v>
      </c>
      <c r="F1706" s="2">
        <f>IFERROR(__xludf.DUMMYFUNCTION("""COMPUTED_VALUE"""),3.0)</f>
        <v>3</v>
      </c>
      <c r="G1706" s="2" t="str">
        <f>IFERROR(__xludf.DUMMYFUNCTION("""COMPUTED_VALUE"""),"PR056")</f>
        <v>PR056</v>
      </c>
      <c r="H1706" s="2" t="str">
        <f>IFERROR(__xludf.DUMMYFUNCTION("""COMPUTED_VALUE"""),"VD010")</f>
        <v>VD010</v>
      </c>
      <c r="I1706" s="2">
        <f>IFERROR(__xludf.DUMMYFUNCTION("""COMPUTED_VALUE"""),20.0)</f>
        <v>20</v>
      </c>
      <c r="J1706" s="2">
        <f>IFERROR(__xludf.DUMMYFUNCTION("""COMPUTED_VALUE"""),1905.88)</f>
        <v>1905.88</v>
      </c>
      <c r="K1706" s="2">
        <f>IFERROR(__xludf.DUMMYFUNCTION("""COMPUTED_VALUE"""),1905.88)</f>
        <v>1905.88</v>
      </c>
    </row>
    <row r="1707">
      <c r="A1707" s="2">
        <f>IFERROR(__xludf.DUMMYFUNCTION("""COMPUTED_VALUE"""),1000.0)</f>
        <v>1000</v>
      </c>
      <c r="B1707" s="2">
        <f>IFERROR(__xludf.DUMMYFUNCTION("""COMPUTED_VALUE"""),184695.0)</f>
        <v>184695</v>
      </c>
      <c r="C1707" s="2">
        <f>IFERROR(__xludf.DUMMYFUNCTION("""COMPUTED_VALUE"""),2026.0)</f>
        <v>2026</v>
      </c>
      <c r="D1707" s="2">
        <f>IFERROR(__xludf.DUMMYFUNCTION("""COMPUTED_VALUE"""),46029.0)</f>
        <v>46029</v>
      </c>
      <c r="E1707" s="2" t="str">
        <f>IFERROR(__xludf.DUMMYFUNCTION("""COMPUTED_VALUE"""),"VF")</f>
        <v>VF</v>
      </c>
      <c r="F1707" s="2">
        <f>IFERROR(__xludf.DUMMYFUNCTION("""COMPUTED_VALUE"""),4.0)</f>
        <v>4</v>
      </c>
      <c r="G1707" s="2" t="str">
        <f>IFERROR(__xludf.DUMMYFUNCTION("""COMPUTED_VALUE"""),"PR055")</f>
        <v>PR055</v>
      </c>
      <c r="H1707" s="2" t="str">
        <f>IFERROR(__xludf.DUMMYFUNCTION("""COMPUTED_VALUE"""),"VD025")</f>
        <v>VD025</v>
      </c>
      <c r="I1707" s="2">
        <f>IFERROR(__xludf.DUMMYFUNCTION("""COMPUTED_VALUE"""),10.0)</f>
        <v>10</v>
      </c>
      <c r="J1707" s="2">
        <f>IFERROR(__xludf.DUMMYFUNCTION("""COMPUTED_VALUE"""),952.94)</f>
        <v>952.94</v>
      </c>
      <c r="K1707" s="2">
        <f>IFERROR(__xludf.DUMMYFUNCTION("""COMPUTED_VALUE"""),952.94)</f>
        <v>952.94</v>
      </c>
    </row>
    <row r="1708">
      <c r="A1708" s="2">
        <f>IFERROR(__xludf.DUMMYFUNCTION("""COMPUTED_VALUE"""),2000.0)</f>
        <v>2000</v>
      </c>
      <c r="B1708" s="2">
        <f>IFERROR(__xludf.DUMMYFUNCTION("""COMPUTED_VALUE"""),184696.0)</f>
        <v>184696</v>
      </c>
      <c r="C1708" s="2">
        <f>IFERROR(__xludf.DUMMYFUNCTION("""COMPUTED_VALUE"""),2026.0)</f>
        <v>2026</v>
      </c>
      <c r="D1708" s="2">
        <f>IFERROR(__xludf.DUMMYFUNCTION("""COMPUTED_VALUE"""),46029.0)</f>
        <v>46029</v>
      </c>
      <c r="E1708" s="2" t="str">
        <f>IFERROR(__xludf.DUMMYFUNCTION("""COMPUTED_VALUE"""),"VF")</f>
        <v>VF</v>
      </c>
      <c r="F1708" s="2">
        <f>IFERROR(__xludf.DUMMYFUNCTION("""COMPUTED_VALUE"""),1.0)</f>
        <v>1</v>
      </c>
      <c r="G1708" s="2" t="str">
        <f>IFERROR(__xludf.DUMMYFUNCTION("""COMPUTED_VALUE"""),"PR055")</f>
        <v>PR055</v>
      </c>
      <c r="H1708" s="2" t="str">
        <f>IFERROR(__xludf.DUMMYFUNCTION("""COMPUTED_VALUE"""),"VD030")</f>
        <v>VD030</v>
      </c>
      <c r="I1708" s="2">
        <f>IFERROR(__xludf.DUMMYFUNCTION("""COMPUTED_VALUE"""),2.0)</f>
        <v>2</v>
      </c>
      <c r="J1708" s="2">
        <f>IFERROR(__xludf.DUMMYFUNCTION("""COMPUTED_VALUE"""),190.59)</f>
        <v>190.59</v>
      </c>
      <c r="K1708" s="2">
        <f>IFERROR(__xludf.DUMMYFUNCTION("""COMPUTED_VALUE"""),190.59)</f>
        <v>190.59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IFERROR(__xludf.DUMMYFUNCTION("IMPORTRANGE(""https://docs.google.com/spreadsheets/d/1wDatiNabBWFvhbng0IgSrI0LbZ9kw3ciTUIdsOHVncU"",""A1:F100"")"),"#REF!")</f>
        <v>#REF!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9.25"/>
    <col customWidth="1" min="4" max="4" width="15.0"/>
  </cols>
  <sheetData>
    <row r="1">
      <c r="A1" s="1" t="str">
        <f>IFERROR(__xludf.DUMMYFUNCTION("IMPORTRANGE(""https://docs.google.com/spreadsheets/d/1vaJzUnOrtKtLng2PhfFKCWSC4LAsqa8tmcEg1rv0FIM/"",""A1:D50"")"),"#REF!")</f>
        <v>#REF!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  <col customWidth="1" min="10" max="10" width="22.13"/>
  </cols>
  <sheetData>
    <row r="1">
      <c r="A1" s="2" t="str">
        <f>IFERROR(__xludf.DUMMYFUNCTION("query(importdata(""https://drive.google.com/uc?export=download&amp;id=1U1AR8u12BH41vb1Uvb31WaPc4KTs4qQo&amp;v=2"","";""),""SELECT Col7, Col8, Col9, Col10"")"),"Material")</f>
        <v>Material</v>
      </c>
      <c r="B1" s="2" t="str">
        <f>IFERROR(__xludf.DUMMYFUNCTION("""COMPUTED_VALUE"""),"Vendedor")</f>
        <v>Vendedor</v>
      </c>
      <c r="C1" s="2" t="str">
        <f>IFERROR(__xludf.DUMMYFUNCTION("""COMPUTED_VALUE"""),"Cantidad")</f>
        <v>Cantidad</v>
      </c>
      <c r="D1" s="2" t="str">
        <f>IFERROR(__xludf.DUMMYFUNCTION("""COMPUTED_VALUE"""),"Valor en Moneda Local")</f>
        <v>Valor en Moneda Local</v>
      </c>
    </row>
    <row r="2">
      <c r="A2" s="2" t="str">
        <f>IFERROR(__xludf.DUMMYFUNCTION("""COMPUTED_VALUE"""),"PR001")</f>
        <v>PR001</v>
      </c>
      <c r="B2" s="2" t="str">
        <f>IFERROR(__xludf.DUMMYFUNCTION("""COMPUTED_VALUE"""),"VD026")</f>
        <v>VD026</v>
      </c>
      <c r="C2" s="2">
        <f>IFERROR(__xludf.DUMMYFUNCTION("""COMPUTED_VALUE"""),27.0)</f>
        <v>27</v>
      </c>
      <c r="D2" s="2">
        <f>IFERROR(__xludf.DUMMYFUNCTION("""COMPUTED_VALUE"""),1957.23)</f>
        <v>1957.23</v>
      </c>
    </row>
    <row r="3">
      <c r="A3" s="2" t="str">
        <f>IFERROR(__xludf.DUMMYFUNCTION("""COMPUTED_VALUE"""),"PR058")</f>
        <v>PR058</v>
      </c>
      <c r="B3" s="2" t="str">
        <f>IFERROR(__xludf.DUMMYFUNCTION("""COMPUTED_VALUE"""),"VD037")</f>
        <v>VD037</v>
      </c>
      <c r="C3" s="2">
        <f>IFERROR(__xludf.DUMMYFUNCTION("""COMPUTED_VALUE"""),14.0)</f>
        <v>14</v>
      </c>
      <c r="D3" s="2">
        <f>IFERROR(__xludf.DUMMYFUNCTION("""COMPUTED_VALUE"""),2872.8)</f>
        <v>2872.8</v>
      </c>
    </row>
    <row r="4">
      <c r="A4" s="2" t="str">
        <f>IFERROR(__xludf.DUMMYFUNCTION("""COMPUTED_VALUE"""),"PR020")</f>
        <v>PR020</v>
      </c>
      <c r="B4" s="2" t="str">
        <f>IFERROR(__xludf.DUMMYFUNCTION("""COMPUTED_VALUE"""),"VD034")</f>
        <v>VD034</v>
      </c>
      <c r="C4" s="2">
        <f>IFERROR(__xludf.DUMMYFUNCTION("""COMPUTED_VALUE"""),20.0)</f>
        <v>20</v>
      </c>
      <c r="D4" s="2">
        <f>IFERROR(__xludf.DUMMYFUNCTION("""COMPUTED_VALUE"""),7137.62)</f>
        <v>7137.62</v>
      </c>
    </row>
    <row r="5">
      <c r="A5" s="2" t="str">
        <f>IFERROR(__xludf.DUMMYFUNCTION("""COMPUTED_VALUE"""),"PR035")</f>
        <v>PR035</v>
      </c>
      <c r="B5" s="2" t="str">
        <f>IFERROR(__xludf.DUMMYFUNCTION("""COMPUTED_VALUE"""),"VD021")</f>
        <v>VD021</v>
      </c>
      <c r="C5" s="2">
        <f>IFERROR(__xludf.DUMMYFUNCTION("""COMPUTED_VALUE"""),24.0)</f>
        <v>24</v>
      </c>
      <c r="D5" s="3">
        <f>IFERROR(__xludf.DUMMYFUNCTION("""COMPUTED_VALUE"""),2478.77)</f>
        <v>2478.77</v>
      </c>
    </row>
    <row r="6">
      <c r="A6" s="2" t="str">
        <f>IFERROR(__xludf.DUMMYFUNCTION("""COMPUTED_VALUE"""),"PR016")</f>
        <v>PR016</v>
      </c>
      <c r="B6" s="2" t="str">
        <f>IFERROR(__xludf.DUMMYFUNCTION("""COMPUTED_VALUE"""),"VD027")</f>
        <v>VD027</v>
      </c>
      <c r="C6" s="2">
        <f>IFERROR(__xludf.DUMMYFUNCTION("""COMPUTED_VALUE"""),10.0)</f>
        <v>10</v>
      </c>
      <c r="D6" s="2">
        <f>IFERROR(__xludf.DUMMYFUNCTION("""COMPUTED_VALUE"""),303.03)</f>
        <v>303.03</v>
      </c>
    </row>
    <row r="7">
      <c r="A7" s="2" t="str">
        <f>IFERROR(__xludf.DUMMYFUNCTION("""COMPUTED_VALUE"""),"PR051")</f>
        <v>PR051</v>
      </c>
      <c r="B7" s="2" t="str">
        <f>IFERROR(__xludf.DUMMYFUNCTION("""COMPUTED_VALUE"""),"VD048")</f>
        <v>VD048</v>
      </c>
      <c r="C7" s="2">
        <f>IFERROR(__xludf.DUMMYFUNCTION("""COMPUTED_VALUE"""),18.0)</f>
        <v>18</v>
      </c>
      <c r="D7" s="3">
        <f>IFERROR(__xludf.DUMMYFUNCTION("""COMPUTED_VALUE"""),704.72)</f>
        <v>704.72</v>
      </c>
    </row>
    <row r="8">
      <c r="A8" s="2" t="str">
        <f>IFERROR(__xludf.DUMMYFUNCTION("""COMPUTED_VALUE"""),"PR042")</f>
        <v>PR042</v>
      </c>
      <c r="B8" s="2" t="str">
        <f>IFERROR(__xludf.DUMMYFUNCTION("""COMPUTED_VALUE"""),"VD025")</f>
        <v>VD025</v>
      </c>
      <c r="C8" s="2">
        <f>IFERROR(__xludf.DUMMYFUNCTION("""COMPUTED_VALUE"""),27.0)</f>
        <v>27</v>
      </c>
      <c r="D8" s="2">
        <f>IFERROR(__xludf.DUMMYFUNCTION("""COMPUTED_VALUE"""),1778.76)</f>
        <v>1778.76</v>
      </c>
    </row>
    <row r="9">
      <c r="A9" s="2" t="str">
        <f>IFERROR(__xludf.DUMMYFUNCTION("""COMPUTED_VALUE"""),"PR050")</f>
        <v>PR050</v>
      </c>
      <c r="B9" s="2" t="str">
        <f>IFERROR(__xludf.DUMMYFUNCTION("""COMPUTED_VALUE"""),"VD037")</f>
        <v>VD037</v>
      </c>
      <c r="C9" s="2">
        <f>IFERROR(__xludf.DUMMYFUNCTION("""COMPUTED_VALUE"""),14.0)</f>
        <v>14</v>
      </c>
      <c r="D9" s="2">
        <f>IFERROR(__xludf.DUMMYFUNCTION("""COMPUTED_VALUE"""),511.27)</f>
        <v>511.27</v>
      </c>
    </row>
    <row r="10">
      <c r="A10" s="2" t="str">
        <f>IFERROR(__xludf.DUMMYFUNCTION("""COMPUTED_VALUE"""),"PR001")</f>
        <v>PR001</v>
      </c>
      <c r="B10" s="2" t="str">
        <f>IFERROR(__xludf.DUMMYFUNCTION("""COMPUTED_VALUE"""),"VD036")</f>
        <v>VD036</v>
      </c>
      <c r="C10" s="2">
        <f>IFERROR(__xludf.DUMMYFUNCTION("""COMPUTED_VALUE"""),12.0)</f>
        <v>12</v>
      </c>
      <c r="D10" s="2">
        <f>IFERROR(__xludf.DUMMYFUNCTION("""COMPUTED_VALUE"""),901.51)</f>
        <v>901.51</v>
      </c>
    </row>
    <row r="11">
      <c r="A11" s="2" t="str">
        <f>IFERROR(__xludf.DUMMYFUNCTION("""COMPUTED_VALUE"""),"PR059")</f>
        <v>PR059</v>
      </c>
      <c r="B11" s="2" t="str">
        <f>IFERROR(__xludf.DUMMYFUNCTION("""COMPUTED_VALUE"""),"VD049")</f>
        <v>VD049</v>
      </c>
      <c r="C11" s="2">
        <f>IFERROR(__xludf.DUMMYFUNCTION("""COMPUTED_VALUE"""),27.0)</f>
        <v>27</v>
      </c>
      <c r="D11" s="2">
        <f>IFERROR(__xludf.DUMMYFUNCTION("""COMPUTED_VALUE"""),5783.4)</f>
        <v>5783.4</v>
      </c>
    </row>
    <row r="12">
      <c r="A12" s="2" t="str">
        <f>IFERROR(__xludf.DUMMYFUNCTION("""COMPUTED_VALUE"""),"PR019")</f>
        <v>PR019</v>
      </c>
      <c r="B12" s="2" t="str">
        <f>IFERROR(__xludf.DUMMYFUNCTION("""COMPUTED_VALUE"""),"VD021")</f>
        <v>VD021</v>
      </c>
      <c r="C12" s="2">
        <f>IFERROR(__xludf.DUMMYFUNCTION("""COMPUTED_VALUE"""),15.0)</f>
        <v>15</v>
      </c>
      <c r="D12" s="2">
        <f>IFERROR(__xludf.DUMMYFUNCTION("""COMPUTED_VALUE"""),845.81)</f>
        <v>845.81</v>
      </c>
    </row>
    <row r="13">
      <c r="A13" s="2" t="str">
        <f>IFERROR(__xludf.DUMMYFUNCTION("""COMPUTED_VALUE"""),"PR055")</f>
        <v>PR055</v>
      </c>
      <c r="B13" s="2" t="str">
        <f>IFERROR(__xludf.DUMMYFUNCTION("""COMPUTED_VALUE"""),"VD015")</f>
        <v>VD015</v>
      </c>
      <c r="C13" s="2">
        <f>IFERROR(__xludf.DUMMYFUNCTION("""COMPUTED_VALUE"""),18.0)</f>
        <v>18</v>
      </c>
      <c r="D13" s="2">
        <f>IFERROR(__xludf.DUMMYFUNCTION("""COMPUTED_VALUE"""),1844.75)</f>
        <v>1844.75</v>
      </c>
    </row>
    <row r="14">
      <c r="A14" s="2" t="str">
        <f>IFERROR(__xludf.DUMMYFUNCTION("""COMPUTED_VALUE"""),"PR052")</f>
        <v>PR052</v>
      </c>
      <c r="B14" s="2" t="str">
        <f>IFERROR(__xludf.DUMMYFUNCTION("""COMPUTED_VALUE"""),"VD012")</f>
        <v>VD012</v>
      </c>
      <c r="C14" s="2">
        <f>IFERROR(__xludf.DUMMYFUNCTION("""COMPUTED_VALUE"""),16.0)</f>
        <v>16</v>
      </c>
      <c r="D14" s="2">
        <f>IFERROR(__xludf.DUMMYFUNCTION("""COMPUTED_VALUE"""),950.1)</f>
        <v>950.1</v>
      </c>
    </row>
    <row r="15">
      <c r="A15" s="2" t="str">
        <f>IFERROR(__xludf.DUMMYFUNCTION("""COMPUTED_VALUE"""),"PR052")</f>
        <v>PR052</v>
      </c>
      <c r="B15" s="2" t="str">
        <f>IFERROR(__xludf.DUMMYFUNCTION("""COMPUTED_VALUE"""),"VD043")</f>
        <v>VD043</v>
      </c>
      <c r="C15" s="2">
        <f>IFERROR(__xludf.DUMMYFUNCTION("""COMPUTED_VALUE"""),9.0)</f>
        <v>9</v>
      </c>
      <c r="D15" s="2">
        <f>IFERROR(__xludf.DUMMYFUNCTION("""COMPUTED_VALUE"""),511.97)</f>
        <v>511.97</v>
      </c>
    </row>
    <row r="16">
      <c r="A16" s="2" t="str">
        <f>IFERROR(__xludf.DUMMYFUNCTION("""COMPUTED_VALUE"""),"PR014")</f>
        <v>PR014</v>
      </c>
      <c r="B16" s="2" t="str">
        <f>IFERROR(__xludf.DUMMYFUNCTION("""COMPUTED_VALUE"""),"VD020")</f>
        <v>VD020</v>
      </c>
      <c r="C16" s="2">
        <f>IFERROR(__xludf.DUMMYFUNCTION("""COMPUTED_VALUE"""),9.0)</f>
        <v>9</v>
      </c>
      <c r="D16" s="2">
        <f>IFERROR(__xludf.DUMMYFUNCTION("""COMPUTED_VALUE"""),420.15)</f>
        <v>420.15</v>
      </c>
    </row>
    <row r="17">
      <c r="A17" s="2" t="str">
        <f>IFERROR(__xludf.DUMMYFUNCTION("""COMPUTED_VALUE"""),"PR055")</f>
        <v>PR055</v>
      </c>
      <c r="B17" s="2" t="str">
        <f>IFERROR(__xludf.DUMMYFUNCTION("""COMPUTED_VALUE"""),"VD019")</f>
        <v>VD019</v>
      </c>
      <c r="C17" s="2">
        <f>IFERROR(__xludf.DUMMYFUNCTION("""COMPUTED_VALUE"""),9.0)</f>
        <v>9</v>
      </c>
      <c r="D17" s="2">
        <f>IFERROR(__xludf.DUMMYFUNCTION("""COMPUTED_VALUE"""),890.01)</f>
        <v>890.01</v>
      </c>
    </row>
    <row r="18">
      <c r="A18" s="2" t="str">
        <f>IFERROR(__xludf.DUMMYFUNCTION("""COMPUTED_VALUE"""),"PR045")</f>
        <v>PR045</v>
      </c>
      <c r="B18" s="2" t="str">
        <f>IFERROR(__xludf.DUMMYFUNCTION("""COMPUTED_VALUE"""),"VD041")</f>
        <v>VD041</v>
      </c>
      <c r="C18" s="2">
        <f>IFERROR(__xludf.DUMMYFUNCTION("""COMPUTED_VALUE"""),14.0)</f>
        <v>14</v>
      </c>
      <c r="D18" s="2">
        <f>IFERROR(__xludf.DUMMYFUNCTION("""COMPUTED_VALUE"""),1157.1)</f>
        <v>1157.1</v>
      </c>
    </row>
    <row r="19">
      <c r="A19" s="2" t="str">
        <f>IFERROR(__xludf.DUMMYFUNCTION("""COMPUTED_VALUE"""),"PR053")</f>
        <v>PR053</v>
      </c>
      <c r="B19" s="2" t="str">
        <f>IFERROR(__xludf.DUMMYFUNCTION("""COMPUTED_VALUE"""),"VD013")</f>
        <v>VD013</v>
      </c>
      <c r="C19" s="2">
        <f>IFERROR(__xludf.DUMMYFUNCTION("""COMPUTED_VALUE"""),9.0)</f>
        <v>9</v>
      </c>
      <c r="D19" s="2">
        <f>IFERROR(__xludf.DUMMYFUNCTION("""COMPUTED_VALUE"""),511.97)</f>
        <v>511.97</v>
      </c>
    </row>
    <row r="20">
      <c r="A20" s="2" t="str">
        <f>IFERROR(__xludf.DUMMYFUNCTION("""COMPUTED_VALUE"""),"PR054")</f>
        <v>PR054</v>
      </c>
      <c r="B20" s="2" t="str">
        <f>IFERROR(__xludf.DUMMYFUNCTION("""COMPUTED_VALUE"""),"VD028")</f>
        <v>VD028</v>
      </c>
      <c r="C20" s="2">
        <f>IFERROR(__xludf.DUMMYFUNCTION("""COMPUTED_VALUE"""),9.0)</f>
        <v>9</v>
      </c>
      <c r="D20" s="2">
        <f>IFERROR(__xludf.DUMMYFUNCTION("""COMPUTED_VALUE"""),538.92)</f>
        <v>538.92</v>
      </c>
    </row>
    <row r="21">
      <c r="A21" s="2" t="str">
        <f>IFERROR(__xludf.DUMMYFUNCTION("""COMPUTED_VALUE"""),"PR020")</f>
        <v>PR020</v>
      </c>
      <c r="B21" s="2" t="str">
        <f>IFERROR(__xludf.DUMMYFUNCTION("""COMPUTED_VALUE"""),"VD047")</f>
        <v>VD047</v>
      </c>
      <c r="C21" s="2">
        <f>IFERROR(__xludf.DUMMYFUNCTION("""COMPUTED_VALUE"""),27.0)</f>
        <v>27</v>
      </c>
      <c r="D21" s="2">
        <f>IFERROR(__xludf.DUMMYFUNCTION("""COMPUTED_VALUE"""),8907.03)</f>
        <v>8907.03</v>
      </c>
    </row>
    <row r="22">
      <c r="A22" s="2" t="str">
        <f>IFERROR(__xludf.DUMMYFUNCTION("""COMPUTED_VALUE"""),"PR047")</f>
        <v>PR047</v>
      </c>
      <c r="B22" s="2" t="str">
        <f>IFERROR(__xludf.DUMMYFUNCTION("""COMPUTED_VALUE"""),"VD017")</f>
        <v>VD017</v>
      </c>
      <c r="C22" s="2">
        <f>IFERROR(__xludf.DUMMYFUNCTION("""COMPUTED_VALUE"""),12.0)</f>
        <v>12</v>
      </c>
      <c r="D22" s="2">
        <f>IFERROR(__xludf.DUMMYFUNCTION("""COMPUTED_VALUE"""),4174.56)</f>
        <v>4174.56</v>
      </c>
    </row>
    <row r="23">
      <c r="A23" s="2" t="str">
        <f>IFERROR(__xludf.DUMMYFUNCTION("""COMPUTED_VALUE"""),"PR047")</f>
        <v>PR047</v>
      </c>
      <c r="B23" s="2" t="str">
        <f>IFERROR(__xludf.DUMMYFUNCTION("""COMPUTED_VALUE"""),"VD040")</f>
        <v>VD040</v>
      </c>
      <c r="C23" s="2">
        <f>IFERROR(__xludf.DUMMYFUNCTION("""COMPUTED_VALUE"""),15.0)</f>
        <v>15</v>
      </c>
      <c r="D23" s="2">
        <f>IFERROR(__xludf.DUMMYFUNCTION("""COMPUTED_VALUE"""),4826.84)</f>
        <v>4826.84</v>
      </c>
    </row>
    <row r="24">
      <c r="A24" s="2" t="str">
        <f>IFERROR(__xludf.DUMMYFUNCTION("""COMPUTED_VALUE"""),"PR003")</f>
        <v>PR003</v>
      </c>
      <c r="B24" s="2" t="str">
        <f>IFERROR(__xludf.DUMMYFUNCTION("""COMPUTED_VALUE"""),"VD033")</f>
        <v>VD033</v>
      </c>
      <c r="C24" s="2">
        <f>IFERROR(__xludf.DUMMYFUNCTION("""COMPUTED_VALUE"""),8.0)</f>
        <v>8</v>
      </c>
      <c r="D24" s="2">
        <f>IFERROR(__xludf.DUMMYFUNCTION("""COMPUTED_VALUE"""),629.59)</f>
        <v>629.59</v>
      </c>
    </row>
    <row r="25">
      <c r="A25" s="2" t="str">
        <f>IFERROR(__xludf.DUMMYFUNCTION("""COMPUTED_VALUE"""),"PR058")</f>
        <v>PR058</v>
      </c>
      <c r="B25" s="2" t="str">
        <f>IFERROR(__xludf.DUMMYFUNCTION("""COMPUTED_VALUE"""),"VD014")</f>
        <v>VD014</v>
      </c>
      <c r="C25" s="2">
        <f>IFERROR(__xludf.DUMMYFUNCTION("""COMPUTED_VALUE"""),21.0)</f>
        <v>21</v>
      </c>
      <c r="D25" s="2">
        <f>IFERROR(__xludf.DUMMYFUNCTION("""COMPUTED_VALUE"""),4536.0)</f>
        <v>4536</v>
      </c>
    </row>
    <row r="26">
      <c r="A26" s="2" t="str">
        <f>IFERROR(__xludf.DUMMYFUNCTION("""COMPUTED_VALUE"""),"PR049")</f>
        <v>PR049</v>
      </c>
      <c r="B26" s="2" t="str">
        <f>IFERROR(__xludf.DUMMYFUNCTION("""COMPUTED_VALUE"""),"VD029")</f>
        <v>VD029</v>
      </c>
      <c r="C26" s="2">
        <f>IFERROR(__xludf.DUMMYFUNCTION("""COMPUTED_VALUE"""),12.0)</f>
        <v>12</v>
      </c>
      <c r="D26" s="2">
        <f>IFERROR(__xludf.DUMMYFUNCTION("""COMPUTED_VALUE"""),473.76)</f>
        <v>473.76</v>
      </c>
    </row>
    <row r="27">
      <c r="A27" s="2" t="str">
        <f>IFERROR(__xludf.DUMMYFUNCTION("""COMPUTED_VALUE"""),"PR035")</f>
        <v>PR035</v>
      </c>
      <c r="B27" s="2" t="str">
        <f>IFERROR(__xludf.DUMMYFUNCTION("""COMPUTED_VALUE"""),"VD010")</f>
        <v>VD010</v>
      </c>
      <c r="C27" s="2">
        <f>IFERROR(__xludf.DUMMYFUNCTION("""COMPUTED_VALUE"""),27.0)</f>
        <v>27</v>
      </c>
      <c r="D27" s="2">
        <f>IFERROR(__xludf.DUMMYFUNCTION("""COMPUTED_VALUE"""),2763.94)</f>
        <v>2763.94</v>
      </c>
    </row>
    <row r="28">
      <c r="A28" s="2" t="str">
        <f>IFERROR(__xludf.DUMMYFUNCTION("""COMPUTED_VALUE"""),"PR003")</f>
        <v>PR003</v>
      </c>
      <c r="B28" s="2" t="str">
        <f>IFERROR(__xludf.DUMMYFUNCTION("""COMPUTED_VALUE"""),"VD024")</f>
        <v>VD024</v>
      </c>
      <c r="C28" s="2">
        <f>IFERROR(__xludf.DUMMYFUNCTION("""COMPUTED_VALUE"""),18.0)</f>
        <v>18</v>
      </c>
      <c r="D28" s="2">
        <f>IFERROR(__xludf.DUMMYFUNCTION("""COMPUTED_VALUE"""),1480.39)</f>
        <v>1480.39</v>
      </c>
    </row>
    <row r="29">
      <c r="A29" s="2" t="str">
        <f>IFERROR(__xludf.DUMMYFUNCTION("""COMPUTED_VALUE"""),"PR006")</f>
        <v>PR006</v>
      </c>
      <c r="B29" s="2" t="str">
        <f>IFERROR(__xludf.DUMMYFUNCTION("""COMPUTED_VALUE"""),"VD021")</f>
        <v>VD021</v>
      </c>
      <c r="C29" s="2">
        <f>IFERROR(__xludf.DUMMYFUNCTION("""COMPUTED_VALUE"""),27.0)</f>
        <v>27</v>
      </c>
      <c r="D29" s="2">
        <f>IFERROR(__xludf.DUMMYFUNCTION("""COMPUTED_VALUE"""),1249.67)</f>
        <v>1249.67</v>
      </c>
    </row>
    <row r="30">
      <c r="A30" s="2" t="str">
        <f>IFERROR(__xludf.DUMMYFUNCTION("""COMPUTED_VALUE"""),"PR002")</f>
        <v>PR002</v>
      </c>
      <c r="B30" s="2" t="str">
        <f>IFERROR(__xludf.DUMMYFUNCTION("""COMPUTED_VALUE"""),"VD040")</f>
        <v>VD040</v>
      </c>
      <c r="C30" s="2">
        <f>IFERROR(__xludf.DUMMYFUNCTION("""COMPUTED_VALUE"""),24.0)</f>
        <v>24</v>
      </c>
      <c r="D30" s="2">
        <f>IFERROR(__xludf.DUMMYFUNCTION("""COMPUTED_VALUE"""),1996.34)</f>
        <v>1996.34</v>
      </c>
    </row>
    <row r="31">
      <c r="A31" s="2" t="str">
        <f>IFERROR(__xludf.DUMMYFUNCTION("""COMPUTED_VALUE"""),"PR038")</f>
        <v>PR038</v>
      </c>
      <c r="B31" s="2" t="str">
        <f>IFERROR(__xludf.DUMMYFUNCTION("""COMPUTED_VALUE"""),"VD016")</f>
        <v>VD016</v>
      </c>
      <c r="C31" s="2">
        <f>IFERROR(__xludf.DUMMYFUNCTION("""COMPUTED_VALUE"""),12.0)</f>
        <v>12</v>
      </c>
      <c r="D31" s="2">
        <f>IFERROR(__xludf.DUMMYFUNCTION("""COMPUTED_VALUE"""),1972.02)</f>
        <v>1972.02</v>
      </c>
    </row>
    <row r="32">
      <c r="A32" s="2" t="str">
        <f>IFERROR(__xludf.DUMMYFUNCTION("""COMPUTED_VALUE"""),"PR027")</f>
        <v>PR027</v>
      </c>
      <c r="B32" s="2" t="str">
        <f>IFERROR(__xludf.DUMMYFUNCTION("""COMPUTED_VALUE"""),"VD035")</f>
        <v>VD035</v>
      </c>
      <c r="C32" s="2">
        <f>IFERROR(__xludf.DUMMYFUNCTION("""COMPUTED_VALUE"""),30.0)</f>
        <v>30</v>
      </c>
      <c r="D32" s="2">
        <f>IFERROR(__xludf.DUMMYFUNCTION("""COMPUTED_VALUE"""),3996.0)</f>
        <v>3996</v>
      </c>
    </row>
    <row r="33">
      <c r="A33" s="2" t="str">
        <f>IFERROR(__xludf.DUMMYFUNCTION("""COMPUTED_VALUE"""),"PR059")</f>
        <v>PR059</v>
      </c>
      <c r="B33" s="2" t="str">
        <f>IFERROR(__xludf.DUMMYFUNCTION("""COMPUTED_VALUE"""),"VD049")</f>
        <v>VD049</v>
      </c>
      <c r="C33" s="2">
        <f>IFERROR(__xludf.DUMMYFUNCTION("""COMPUTED_VALUE"""),12.0)</f>
        <v>12</v>
      </c>
      <c r="D33" s="2">
        <f>IFERROR(__xludf.DUMMYFUNCTION("""COMPUTED_VALUE"""),2419.2)</f>
        <v>2419.2</v>
      </c>
    </row>
    <row r="34">
      <c r="A34" s="2" t="str">
        <f>IFERROR(__xludf.DUMMYFUNCTION("""COMPUTED_VALUE"""),"PR035")</f>
        <v>PR035</v>
      </c>
      <c r="B34" s="2" t="str">
        <f>IFERROR(__xludf.DUMMYFUNCTION("""COMPUTED_VALUE"""),"VD019")</f>
        <v>VD019</v>
      </c>
      <c r="C34" s="2">
        <f>IFERROR(__xludf.DUMMYFUNCTION("""COMPUTED_VALUE"""),21.0)</f>
        <v>21</v>
      </c>
      <c r="D34" s="2">
        <f>IFERROR(__xludf.DUMMYFUNCTION("""COMPUTED_VALUE"""),2207.31)</f>
        <v>2207.31</v>
      </c>
    </row>
    <row r="35">
      <c r="A35" s="2" t="str">
        <f>IFERROR(__xludf.DUMMYFUNCTION("""COMPUTED_VALUE"""),"PR028")</f>
        <v>PR028</v>
      </c>
      <c r="B35" s="2" t="str">
        <f>IFERROR(__xludf.DUMMYFUNCTION("""COMPUTED_VALUE"""),"VD011")</f>
        <v>VD011</v>
      </c>
      <c r="C35" s="2">
        <f>IFERROR(__xludf.DUMMYFUNCTION("""COMPUTED_VALUE"""),16.0)</f>
        <v>16</v>
      </c>
      <c r="D35" s="2">
        <f>IFERROR(__xludf.DUMMYFUNCTION("""COMPUTED_VALUE"""),4718.11)</f>
        <v>4718.11</v>
      </c>
    </row>
    <row r="36">
      <c r="A36" s="2" t="str">
        <f>IFERROR(__xludf.DUMMYFUNCTION("""COMPUTED_VALUE"""),"PR018")</f>
        <v>PR018</v>
      </c>
      <c r="B36" s="2" t="str">
        <f>IFERROR(__xludf.DUMMYFUNCTION("""COMPUTED_VALUE"""),"VD016")</f>
        <v>VD016</v>
      </c>
      <c r="C36" s="2">
        <f>IFERROR(__xludf.DUMMYFUNCTION("""COMPUTED_VALUE"""),10.0)</f>
        <v>10</v>
      </c>
      <c r="D36" s="2">
        <f>IFERROR(__xludf.DUMMYFUNCTION("""COMPUTED_VALUE"""),378.35)</f>
        <v>378.35</v>
      </c>
    </row>
    <row r="37">
      <c r="A37" s="2" t="str">
        <f>IFERROR(__xludf.DUMMYFUNCTION("""COMPUTED_VALUE"""),"PR035")</f>
        <v>PR035</v>
      </c>
      <c r="B37" s="2" t="str">
        <f>IFERROR(__xludf.DUMMYFUNCTION("""COMPUTED_VALUE"""),"VD018")</f>
        <v>VD018</v>
      </c>
      <c r="C37" s="2">
        <f>IFERROR(__xludf.DUMMYFUNCTION("""COMPUTED_VALUE"""),28.0)</f>
        <v>28</v>
      </c>
      <c r="D37" s="2">
        <f>IFERROR(__xludf.DUMMYFUNCTION("""COMPUTED_VALUE"""),2149.73)</f>
        <v>2149.73</v>
      </c>
    </row>
    <row r="38">
      <c r="A38" s="2" t="str">
        <f>IFERROR(__xludf.DUMMYFUNCTION("""COMPUTED_VALUE"""),"PR057")</f>
        <v>PR057</v>
      </c>
      <c r="B38" s="2" t="str">
        <f>IFERROR(__xludf.DUMMYFUNCTION("""COMPUTED_VALUE"""),"VD034")</f>
        <v>VD034</v>
      </c>
      <c r="C38" s="2">
        <f>IFERROR(__xludf.DUMMYFUNCTION("""COMPUTED_VALUE"""),9.0)</f>
        <v>9</v>
      </c>
      <c r="D38" s="2">
        <f>IFERROR(__xludf.DUMMYFUNCTION("""COMPUTED_VALUE"""),906.19)</f>
        <v>906.19</v>
      </c>
    </row>
    <row r="39">
      <c r="A39" s="2" t="str">
        <f>IFERROR(__xludf.DUMMYFUNCTION("""COMPUTED_VALUE"""),"PR004")</f>
        <v>PR004</v>
      </c>
      <c r="B39" s="2" t="str">
        <f>IFERROR(__xludf.DUMMYFUNCTION("""COMPUTED_VALUE"""),"VD024")</f>
        <v>VD024</v>
      </c>
      <c r="C39" s="2">
        <f>IFERROR(__xludf.DUMMYFUNCTION("""COMPUTED_VALUE"""),15.0)</f>
        <v>15</v>
      </c>
      <c r="D39" s="2">
        <f>IFERROR(__xludf.DUMMYFUNCTION("""COMPUTED_VALUE"""),2610.0)</f>
        <v>2610</v>
      </c>
    </row>
    <row r="40">
      <c r="A40" s="2" t="str">
        <f>IFERROR(__xludf.DUMMYFUNCTION("""COMPUTED_VALUE"""),"PR014")</f>
        <v>PR014</v>
      </c>
      <c r="B40" s="2" t="str">
        <f>IFERROR(__xludf.DUMMYFUNCTION("""COMPUTED_VALUE"""),"VD011")</f>
        <v>VD011</v>
      </c>
      <c r="C40" s="2">
        <f>IFERROR(__xludf.DUMMYFUNCTION("""COMPUTED_VALUE"""),12.0)</f>
        <v>12</v>
      </c>
      <c r="D40" s="2">
        <f>IFERROR(__xludf.DUMMYFUNCTION("""COMPUTED_VALUE"""),560.2)</f>
        <v>560.2</v>
      </c>
    </row>
    <row r="41">
      <c r="A41" s="2" t="str">
        <f>IFERROR(__xludf.DUMMYFUNCTION("""COMPUTED_VALUE"""),"PR027")</f>
        <v>PR027</v>
      </c>
      <c r="B41" s="2" t="str">
        <f>IFERROR(__xludf.DUMMYFUNCTION("""COMPUTED_VALUE"""),"VD018")</f>
        <v>VD018</v>
      </c>
      <c r="C41" s="2">
        <f>IFERROR(__xludf.DUMMYFUNCTION("""COMPUTED_VALUE"""),27.0)</f>
        <v>27</v>
      </c>
      <c r="D41" s="2">
        <f>IFERROR(__xludf.DUMMYFUNCTION("""COMPUTED_VALUE"""),3888.0)</f>
        <v>3888</v>
      </c>
    </row>
    <row r="42">
      <c r="A42" s="2" t="str">
        <f>IFERROR(__xludf.DUMMYFUNCTION("""COMPUTED_VALUE"""),"PR032")</f>
        <v>PR032</v>
      </c>
      <c r="B42" s="2" t="str">
        <f>IFERROR(__xludf.DUMMYFUNCTION("""COMPUTED_VALUE"""),"VD011")</f>
        <v>VD011</v>
      </c>
      <c r="C42" s="2">
        <f>IFERROR(__xludf.DUMMYFUNCTION("""COMPUTED_VALUE"""),24.0)</f>
        <v>24</v>
      </c>
      <c r="D42" s="2">
        <f>IFERROR(__xludf.DUMMYFUNCTION("""COMPUTED_VALUE"""),6600.0)</f>
        <v>6600</v>
      </c>
    </row>
    <row r="43">
      <c r="A43" s="2" t="str">
        <f>IFERROR(__xludf.DUMMYFUNCTION("""COMPUTED_VALUE"""),"PR006")</f>
        <v>PR006</v>
      </c>
      <c r="B43" s="2" t="str">
        <f>IFERROR(__xludf.DUMMYFUNCTION("""COMPUTED_VALUE"""),"VD015")</f>
        <v>VD015</v>
      </c>
      <c r="C43" s="2">
        <f>IFERROR(__xludf.DUMMYFUNCTION("""COMPUTED_VALUE"""),27.0)</f>
        <v>27</v>
      </c>
      <c r="D43" s="2">
        <f>IFERROR(__xludf.DUMMYFUNCTION("""COMPUTED_VALUE"""),1260.44)</f>
        <v>1260.44</v>
      </c>
    </row>
    <row r="44">
      <c r="A44" s="2" t="str">
        <f>IFERROR(__xludf.DUMMYFUNCTION("""COMPUTED_VALUE"""),"PR028")</f>
        <v>PR028</v>
      </c>
      <c r="B44" s="2" t="str">
        <f>IFERROR(__xludf.DUMMYFUNCTION("""COMPUTED_VALUE"""),"VD048")</f>
        <v>VD048</v>
      </c>
      <c r="C44" s="2">
        <f>IFERROR(__xludf.DUMMYFUNCTION("""COMPUTED_VALUE"""),20.0)</f>
        <v>20</v>
      </c>
      <c r="D44" s="2">
        <f>IFERROR(__xludf.DUMMYFUNCTION("""COMPUTED_VALUE"""),5597.76)</f>
        <v>5597.76</v>
      </c>
    </row>
    <row r="45">
      <c r="A45" s="2" t="str">
        <f>IFERROR(__xludf.DUMMYFUNCTION("""COMPUTED_VALUE"""),"PR033")</f>
        <v>PR033</v>
      </c>
      <c r="B45" s="2" t="str">
        <f>IFERROR(__xludf.DUMMYFUNCTION("""COMPUTED_VALUE"""),"VD024")</f>
        <v>VD024</v>
      </c>
      <c r="C45" s="2">
        <f>IFERROR(__xludf.DUMMYFUNCTION("""COMPUTED_VALUE"""),24.0)</f>
        <v>24</v>
      </c>
      <c r="D45" s="2">
        <f>IFERROR(__xludf.DUMMYFUNCTION("""COMPUTED_VALUE"""),7485.12)</f>
        <v>7485.12</v>
      </c>
    </row>
    <row r="46">
      <c r="A46" s="2" t="str">
        <f>IFERROR(__xludf.DUMMYFUNCTION("""COMPUTED_VALUE"""),"PR008")</f>
        <v>PR008</v>
      </c>
      <c r="B46" s="2" t="str">
        <f>IFERROR(__xludf.DUMMYFUNCTION("""COMPUTED_VALUE"""),"VD027")</f>
        <v>VD027</v>
      </c>
      <c r="C46" s="2">
        <f>IFERROR(__xludf.DUMMYFUNCTION("""COMPUTED_VALUE"""),20.0)</f>
        <v>20</v>
      </c>
      <c r="D46" s="2">
        <f>IFERROR(__xludf.DUMMYFUNCTION("""COMPUTED_VALUE"""),2049.72)</f>
        <v>2049.72</v>
      </c>
    </row>
    <row r="47">
      <c r="A47" s="2" t="str">
        <f>IFERROR(__xludf.DUMMYFUNCTION("""COMPUTED_VALUE"""),"PR013")</f>
        <v>PR013</v>
      </c>
      <c r="B47" s="2" t="str">
        <f>IFERROR(__xludf.DUMMYFUNCTION("""COMPUTED_VALUE"""),"VD048")</f>
        <v>VD048</v>
      </c>
      <c r="C47" s="2">
        <f>IFERROR(__xludf.DUMMYFUNCTION("""COMPUTED_VALUE"""),27.0)</f>
        <v>27</v>
      </c>
      <c r="D47" s="2">
        <f>IFERROR(__xludf.DUMMYFUNCTION("""COMPUTED_VALUE"""),1238.9)</f>
        <v>1238.9</v>
      </c>
    </row>
    <row r="48">
      <c r="A48" s="2" t="str">
        <f>IFERROR(__xludf.DUMMYFUNCTION("""COMPUTED_VALUE"""),"PR011")</f>
        <v>PR011</v>
      </c>
      <c r="B48" s="2" t="str">
        <f>IFERROR(__xludf.DUMMYFUNCTION("""COMPUTED_VALUE"""),"VD026")</f>
        <v>VD026</v>
      </c>
      <c r="C48" s="2">
        <f>IFERROR(__xludf.DUMMYFUNCTION("""COMPUTED_VALUE"""),18.0)</f>
        <v>18</v>
      </c>
      <c r="D48" s="2">
        <f>IFERROR(__xludf.DUMMYFUNCTION("""COMPUTED_VALUE"""),1013.04)</f>
        <v>1013.04</v>
      </c>
    </row>
    <row r="49">
      <c r="A49" s="2" t="str">
        <f>IFERROR(__xludf.DUMMYFUNCTION("""COMPUTED_VALUE"""),"PR014")</f>
        <v>PR014</v>
      </c>
      <c r="B49" s="2" t="str">
        <f>IFERROR(__xludf.DUMMYFUNCTION("""COMPUTED_VALUE"""),"VD040")</f>
        <v>VD040</v>
      </c>
      <c r="C49" s="2">
        <f>IFERROR(__xludf.DUMMYFUNCTION("""COMPUTED_VALUE"""),24.0)</f>
        <v>24</v>
      </c>
      <c r="D49" s="2">
        <f>IFERROR(__xludf.DUMMYFUNCTION("""COMPUTED_VALUE"""),1139.54)</f>
        <v>1139.54</v>
      </c>
    </row>
    <row r="50">
      <c r="A50" s="2" t="str">
        <f>IFERROR(__xludf.DUMMYFUNCTION("""COMPUTED_VALUE"""),"PR043")</f>
        <v>PR043</v>
      </c>
      <c r="B50" s="2" t="str">
        <f>IFERROR(__xludf.DUMMYFUNCTION("""COMPUTED_VALUE"""),"VD035")</f>
        <v>VD035</v>
      </c>
      <c r="C50" s="2">
        <f>IFERROR(__xludf.DUMMYFUNCTION("""COMPUTED_VALUE"""),18.0)</f>
        <v>18</v>
      </c>
      <c r="D50" s="2">
        <f>IFERROR(__xludf.DUMMYFUNCTION("""COMPUTED_VALUE"""),1435.5)</f>
        <v>1435.5</v>
      </c>
    </row>
    <row r="51">
      <c r="A51" s="2" t="str">
        <f>IFERROR(__xludf.DUMMYFUNCTION("""COMPUTED_VALUE"""),"PR037")</f>
        <v>PR037</v>
      </c>
      <c r="B51" s="2" t="str">
        <f>IFERROR(__xludf.DUMMYFUNCTION("""COMPUTED_VALUE"""),"VD036")</f>
        <v>VD036</v>
      </c>
      <c r="C51" s="2">
        <f>IFERROR(__xludf.DUMMYFUNCTION("""COMPUTED_VALUE"""),30.0)</f>
        <v>30</v>
      </c>
      <c r="D51" s="2">
        <f>IFERROR(__xludf.DUMMYFUNCTION("""COMPUTED_VALUE"""),5040.0)</f>
        <v>5040</v>
      </c>
    </row>
    <row r="52">
      <c r="A52" s="2" t="str">
        <f>IFERROR(__xludf.DUMMYFUNCTION("""COMPUTED_VALUE"""),"PR020")</f>
        <v>PR020</v>
      </c>
      <c r="B52" s="2" t="str">
        <f>IFERROR(__xludf.DUMMYFUNCTION("""COMPUTED_VALUE"""),"VD026")</f>
        <v>VD026</v>
      </c>
      <c r="C52" s="2">
        <f>IFERROR(__xludf.DUMMYFUNCTION("""COMPUTED_VALUE"""),20.0)</f>
        <v>20</v>
      </c>
      <c r="D52" s="2">
        <f>IFERROR(__xludf.DUMMYFUNCTION("""COMPUTED_VALUE"""),6657.78)</f>
        <v>6657.78</v>
      </c>
    </row>
    <row r="53">
      <c r="A53" s="2" t="str">
        <f>IFERROR(__xludf.DUMMYFUNCTION("""COMPUTED_VALUE"""),"PR052")</f>
        <v>PR052</v>
      </c>
      <c r="B53" s="2" t="str">
        <f>IFERROR(__xludf.DUMMYFUNCTION("""COMPUTED_VALUE"""),"VD035")</f>
        <v>VD035</v>
      </c>
      <c r="C53" s="2">
        <f>IFERROR(__xludf.DUMMYFUNCTION("""COMPUTED_VALUE"""),12.0)</f>
        <v>12</v>
      </c>
      <c r="D53" s="2">
        <f>IFERROR(__xludf.DUMMYFUNCTION("""COMPUTED_VALUE"""),658.68)</f>
        <v>658.68</v>
      </c>
    </row>
    <row r="54">
      <c r="A54" s="2" t="str">
        <f>IFERROR(__xludf.DUMMYFUNCTION("""COMPUTED_VALUE"""),"PR023")</f>
        <v>PR023</v>
      </c>
      <c r="B54" s="2" t="str">
        <f>IFERROR(__xludf.DUMMYFUNCTION("""COMPUTED_VALUE"""),"VD016")</f>
        <v>VD016</v>
      </c>
      <c r="C54" s="2">
        <f>IFERROR(__xludf.DUMMYFUNCTION("""COMPUTED_VALUE"""),27.0)</f>
        <v>27</v>
      </c>
      <c r="D54" s="2">
        <f>IFERROR(__xludf.DUMMYFUNCTION("""COMPUTED_VALUE"""),7894.34)</f>
        <v>7894.34</v>
      </c>
    </row>
    <row r="55">
      <c r="A55" s="2" t="str">
        <f>IFERROR(__xludf.DUMMYFUNCTION("""COMPUTED_VALUE"""),"PR002")</f>
        <v>PR002</v>
      </c>
      <c r="B55" s="2" t="str">
        <f>IFERROR(__xludf.DUMMYFUNCTION("""COMPUTED_VALUE"""),"VD018")</f>
        <v>VD018</v>
      </c>
      <c r="C55" s="2">
        <f>IFERROR(__xludf.DUMMYFUNCTION("""COMPUTED_VALUE"""),9.0)</f>
        <v>9</v>
      </c>
      <c r="D55" s="2">
        <f>IFERROR(__xludf.DUMMYFUNCTION("""COMPUTED_VALUE"""),717.17)</f>
        <v>717.17</v>
      </c>
    </row>
    <row r="56">
      <c r="A56" s="2" t="str">
        <f>IFERROR(__xludf.DUMMYFUNCTION("""COMPUTED_VALUE"""),"PR039")</f>
        <v>PR039</v>
      </c>
      <c r="B56" s="2" t="str">
        <f>IFERROR(__xludf.DUMMYFUNCTION("""COMPUTED_VALUE"""),"VD014")</f>
        <v>VD014</v>
      </c>
      <c r="C56" s="2">
        <f>IFERROR(__xludf.DUMMYFUNCTION("""COMPUTED_VALUE"""),16.0)</f>
        <v>16</v>
      </c>
      <c r="D56" s="2">
        <f>IFERROR(__xludf.DUMMYFUNCTION("""COMPUTED_VALUE"""),2663.04)</f>
        <v>2663.04</v>
      </c>
    </row>
    <row r="57">
      <c r="A57" s="2" t="str">
        <f>IFERROR(__xludf.DUMMYFUNCTION("""COMPUTED_VALUE"""),"PR060")</f>
        <v>PR060</v>
      </c>
      <c r="B57" s="2" t="str">
        <f>IFERROR(__xludf.DUMMYFUNCTION("""COMPUTED_VALUE"""),"VD044")</f>
        <v>VD044</v>
      </c>
      <c r="C57" s="2">
        <f>IFERROR(__xludf.DUMMYFUNCTION("""COMPUTED_VALUE"""),6.0)</f>
        <v>6</v>
      </c>
      <c r="D57" s="2">
        <f>IFERROR(__xludf.DUMMYFUNCTION("""COMPUTED_VALUE"""),1252.8)</f>
        <v>1252.8</v>
      </c>
    </row>
    <row r="58">
      <c r="A58" s="2" t="str">
        <f>IFERROR(__xludf.DUMMYFUNCTION("""COMPUTED_VALUE"""),"PR009")</f>
        <v>PR009</v>
      </c>
      <c r="B58" s="2" t="str">
        <f>IFERROR(__xludf.DUMMYFUNCTION("""COMPUTED_VALUE"""),"VD041")</f>
        <v>VD041</v>
      </c>
      <c r="C58" s="2">
        <f>IFERROR(__xludf.DUMMYFUNCTION("""COMPUTED_VALUE"""),15.0)</f>
        <v>15</v>
      </c>
      <c r="D58" s="2">
        <f>IFERROR(__xludf.DUMMYFUNCTION("""COMPUTED_VALUE"""),1560.72)</f>
        <v>1560.72</v>
      </c>
    </row>
    <row r="59">
      <c r="A59" s="2" t="str">
        <f>IFERROR(__xludf.DUMMYFUNCTION("""COMPUTED_VALUE"""),"PR057")</f>
        <v>PR057</v>
      </c>
      <c r="B59" s="2" t="str">
        <f>IFERROR(__xludf.DUMMYFUNCTION("""COMPUTED_VALUE"""),"VD046")</f>
        <v>VD046</v>
      </c>
      <c r="C59" s="2">
        <f>IFERROR(__xludf.DUMMYFUNCTION("""COMPUTED_VALUE"""),15.0)</f>
        <v>15</v>
      </c>
      <c r="D59" s="2">
        <f>IFERROR(__xludf.DUMMYFUNCTION("""COMPUTED_VALUE"""),1591.23)</f>
        <v>1591.23</v>
      </c>
    </row>
    <row r="60">
      <c r="A60" s="2" t="str">
        <f>IFERROR(__xludf.DUMMYFUNCTION("""COMPUTED_VALUE"""),"PR018")</f>
        <v>PR018</v>
      </c>
      <c r="B60" s="2" t="str">
        <f>IFERROR(__xludf.DUMMYFUNCTION("""COMPUTED_VALUE"""),"VD037")</f>
        <v>VD037</v>
      </c>
      <c r="C60" s="2">
        <f>IFERROR(__xludf.DUMMYFUNCTION("""COMPUTED_VALUE"""),10.0)</f>
        <v>10</v>
      </c>
      <c r="D60" s="2">
        <f>IFERROR(__xludf.DUMMYFUNCTION("""COMPUTED_VALUE"""),361.9)</f>
        <v>361.9</v>
      </c>
    </row>
    <row r="61">
      <c r="A61" s="2" t="str">
        <f>IFERROR(__xludf.DUMMYFUNCTION("""COMPUTED_VALUE"""),"PR022")</f>
        <v>PR022</v>
      </c>
      <c r="B61" s="2" t="str">
        <f>IFERROR(__xludf.DUMMYFUNCTION("""COMPUTED_VALUE"""),"VD023")</f>
        <v>VD023</v>
      </c>
      <c r="C61" s="2">
        <f>IFERROR(__xludf.DUMMYFUNCTION("""COMPUTED_VALUE"""),16.0)</f>
        <v>16</v>
      </c>
      <c r="D61" s="2">
        <f>IFERROR(__xludf.DUMMYFUNCTION("""COMPUTED_VALUE"""),5424.0)</f>
        <v>5424</v>
      </c>
    </row>
    <row r="62">
      <c r="A62" s="2" t="str">
        <f>IFERROR(__xludf.DUMMYFUNCTION("""COMPUTED_VALUE"""),"PR020")</f>
        <v>PR020</v>
      </c>
      <c r="B62" s="2" t="str">
        <f>IFERROR(__xludf.DUMMYFUNCTION("""COMPUTED_VALUE"""),"VD023")</f>
        <v>VD023</v>
      </c>
      <c r="C62" s="2">
        <f>IFERROR(__xludf.DUMMYFUNCTION("""COMPUTED_VALUE"""),21.0)</f>
        <v>21</v>
      </c>
      <c r="D62" s="2">
        <f>IFERROR(__xludf.DUMMYFUNCTION("""COMPUTED_VALUE"""),7242.59)</f>
        <v>7242.59</v>
      </c>
    </row>
    <row r="63">
      <c r="A63" s="2" t="str">
        <f>IFERROR(__xludf.DUMMYFUNCTION("""COMPUTED_VALUE"""),"PR043")</f>
        <v>PR043</v>
      </c>
      <c r="B63" s="2" t="str">
        <f>IFERROR(__xludf.DUMMYFUNCTION("""COMPUTED_VALUE"""),"VD039")</f>
        <v>VD039</v>
      </c>
      <c r="C63" s="2">
        <f>IFERROR(__xludf.DUMMYFUNCTION("""COMPUTED_VALUE"""),16.0)</f>
        <v>16</v>
      </c>
      <c r="D63" s="2">
        <f>IFERROR(__xludf.DUMMYFUNCTION("""COMPUTED_VALUE"""),1368.8)</f>
        <v>1368.8</v>
      </c>
    </row>
    <row r="64">
      <c r="A64" s="2" t="str">
        <f>IFERROR(__xludf.DUMMYFUNCTION("""COMPUTED_VALUE"""),"PR040")</f>
        <v>PR040</v>
      </c>
      <c r="B64" s="2" t="str">
        <f>IFERROR(__xludf.DUMMYFUNCTION("""COMPUTED_VALUE"""),"VD014")</f>
        <v>VD014</v>
      </c>
      <c r="C64" s="2">
        <f>IFERROR(__xludf.DUMMYFUNCTION("""COMPUTED_VALUE"""),20.0)</f>
        <v>20</v>
      </c>
      <c r="D64" s="2">
        <f>IFERROR(__xludf.DUMMYFUNCTION("""COMPUTED_VALUE"""),1624.0)</f>
        <v>1624</v>
      </c>
    </row>
    <row r="65">
      <c r="A65" s="2" t="str">
        <f>IFERROR(__xludf.DUMMYFUNCTION("""COMPUTED_VALUE"""),"PR052")</f>
        <v>PR052</v>
      </c>
      <c r="B65" s="2" t="str">
        <f>IFERROR(__xludf.DUMMYFUNCTION("""COMPUTED_VALUE"""),"VD035")</f>
        <v>VD035</v>
      </c>
      <c r="C65" s="2">
        <f>IFERROR(__xludf.DUMMYFUNCTION("""COMPUTED_VALUE"""),30.0)</f>
        <v>30</v>
      </c>
      <c r="D65" s="2">
        <f>IFERROR(__xludf.DUMMYFUNCTION("""COMPUTED_VALUE"""),1721.55)</f>
        <v>1721.55</v>
      </c>
    </row>
    <row r="66">
      <c r="A66" s="2" t="str">
        <f>IFERROR(__xludf.DUMMYFUNCTION("""COMPUTED_VALUE"""),"PR021")</f>
        <v>PR021</v>
      </c>
      <c r="B66" s="2" t="str">
        <f>IFERROR(__xludf.DUMMYFUNCTION("""COMPUTED_VALUE"""),"VD013")</f>
        <v>VD013</v>
      </c>
      <c r="C66" s="2">
        <f>IFERROR(__xludf.DUMMYFUNCTION("""COMPUTED_VALUE"""),8.0)</f>
        <v>8</v>
      </c>
      <c r="D66" s="2">
        <f>IFERROR(__xludf.DUMMYFUNCTION("""COMPUTED_VALUE"""),2689.75)</f>
        <v>2689.75</v>
      </c>
    </row>
    <row r="67">
      <c r="A67" s="2" t="str">
        <f>IFERROR(__xludf.DUMMYFUNCTION("""COMPUTED_VALUE"""),"PR050")</f>
        <v>PR050</v>
      </c>
      <c r="B67" s="2" t="str">
        <f>IFERROR(__xludf.DUMMYFUNCTION("""COMPUTED_VALUE"""),"VD015")</f>
        <v>VD015</v>
      </c>
      <c r="C67" s="2">
        <f>IFERROR(__xludf.DUMMYFUNCTION("""COMPUTED_VALUE"""),24.0)</f>
        <v>24</v>
      </c>
      <c r="D67" s="2">
        <f>IFERROR(__xludf.DUMMYFUNCTION("""COMPUTED_VALUE"""),915.94)</f>
        <v>915.94</v>
      </c>
    </row>
    <row r="68">
      <c r="A68" s="2" t="str">
        <f>IFERROR(__xludf.DUMMYFUNCTION("""COMPUTED_VALUE"""),"PR036")</f>
        <v>PR036</v>
      </c>
      <c r="B68" s="2" t="str">
        <f>IFERROR(__xludf.DUMMYFUNCTION("""COMPUTED_VALUE"""),"VD040")</f>
        <v>VD040</v>
      </c>
      <c r="C68" s="2">
        <f>IFERROR(__xludf.DUMMYFUNCTION("""COMPUTED_VALUE"""),12.0)</f>
        <v>12</v>
      </c>
      <c r="D68" s="2">
        <f>IFERROR(__xludf.DUMMYFUNCTION("""COMPUTED_VALUE"""),1301.52)</f>
        <v>1301.52</v>
      </c>
    </row>
    <row r="69">
      <c r="A69" s="2" t="str">
        <f>IFERROR(__xludf.DUMMYFUNCTION("""COMPUTED_VALUE"""),"PR023")</f>
        <v>PR023</v>
      </c>
      <c r="B69" s="2" t="str">
        <f>IFERROR(__xludf.DUMMYFUNCTION("""COMPUTED_VALUE"""),"VD037")</f>
        <v>VD037</v>
      </c>
      <c r="C69" s="2">
        <f>IFERROR(__xludf.DUMMYFUNCTION("""COMPUTED_VALUE"""),12.0)</f>
        <v>12</v>
      </c>
      <c r="D69" s="2">
        <f>IFERROR(__xludf.DUMMYFUNCTION("""COMPUTED_VALUE"""),3298.68)</f>
        <v>3298.68</v>
      </c>
    </row>
    <row r="70">
      <c r="A70" s="2" t="str">
        <f>IFERROR(__xludf.DUMMYFUNCTION("""COMPUTED_VALUE"""),"PR052")</f>
        <v>PR052</v>
      </c>
      <c r="B70" s="2" t="str">
        <f>IFERROR(__xludf.DUMMYFUNCTION("""COMPUTED_VALUE"""),"VD014")</f>
        <v>VD014</v>
      </c>
      <c r="C70" s="2">
        <f>IFERROR(__xludf.DUMMYFUNCTION("""COMPUTED_VALUE"""),20.0)</f>
        <v>20</v>
      </c>
      <c r="D70" s="2">
        <f>IFERROR(__xludf.DUMMYFUNCTION("""COMPUTED_VALUE"""),1127.74)</f>
        <v>1127.74</v>
      </c>
    </row>
    <row r="71">
      <c r="A71" s="2" t="str">
        <f>IFERROR(__xludf.DUMMYFUNCTION("""COMPUTED_VALUE"""),"PR051")</f>
        <v>PR051</v>
      </c>
      <c r="B71" s="2" t="str">
        <f>IFERROR(__xludf.DUMMYFUNCTION("""COMPUTED_VALUE"""),"VD018")</f>
        <v>VD018</v>
      </c>
      <c r="C71" s="2">
        <f>IFERROR(__xludf.DUMMYFUNCTION("""COMPUTED_VALUE"""),6.0)</f>
        <v>6</v>
      </c>
      <c r="D71" s="2">
        <f>IFERROR(__xludf.DUMMYFUNCTION("""COMPUTED_VALUE"""),221.09)</f>
        <v>221.09</v>
      </c>
    </row>
    <row r="72">
      <c r="A72" s="2" t="str">
        <f>IFERROR(__xludf.DUMMYFUNCTION("""COMPUTED_VALUE"""),"PR019")</f>
        <v>PR019</v>
      </c>
      <c r="B72" s="2" t="str">
        <f>IFERROR(__xludf.DUMMYFUNCTION("""COMPUTED_VALUE"""),"VD010")</f>
        <v>VD010</v>
      </c>
      <c r="C72" s="2">
        <f>IFERROR(__xludf.DUMMYFUNCTION("""COMPUTED_VALUE"""),20.0)</f>
        <v>20</v>
      </c>
      <c r="D72" s="2">
        <f>IFERROR(__xludf.DUMMYFUNCTION("""COMPUTED_VALUE"""),1197.6)</f>
        <v>1197.6</v>
      </c>
    </row>
    <row r="73">
      <c r="A73" s="2" t="str">
        <f>IFERROR(__xludf.DUMMYFUNCTION("""COMPUTED_VALUE"""),"PR053")</f>
        <v>PR053</v>
      </c>
      <c r="B73" s="2" t="str">
        <f>IFERROR(__xludf.DUMMYFUNCTION("""COMPUTED_VALUE"""),"VD043")</f>
        <v>VD043</v>
      </c>
      <c r="C73" s="2">
        <f>IFERROR(__xludf.DUMMYFUNCTION("""COMPUTED_VALUE"""),16.0)</f>
        <v>16</v>
      </c>
      <c r="D73" s="2">
        <f>IFERROR(__xludf.DUMMYFUNCTION("""COMPUTED_VALUE"""),950.1)</f>
        <v>950.1</v>
      </c>
    </row>
    <row r="74">
      <c r="A74" s="2" t="str">
        <f>IFERROR(__xludf.DUMMYFUNCTION("""COMPUTED_VALUE"""),"PR031")</f>
        <v>PR031</v>
      </c>
      <c r="B74" s="2" t="str">
        <f>IFERROR(__xludf.DUMMYFUNCTION("""COMPUTED_VALUE"""),"VD035")</f>
        <v>VD035</v>
      </c>
      <c r="C74" s="2">
        <f>IFERROR(__xludf.DUMMYFUNCTION("""COMPUTED_VALUE"""),21.0)</f>
        <v>21</v>
      </c>
      <c r="D74" s="2">
        <f>IFERROR(__xludf.DUMMYFUNCTION("""COMPUTED_VALUE"""),6122.55)</f>
        <v>6122.55</v>
      </c>
    </row>
    <row r="75">
      <c r="A75" s="2" t="str">
        <f>IFERROR(__xludf.DUMMYFUNCTION("""COMPUTED_VALUE"""),"PR008")</f>
        <v>PR008</v>
      </c>
      <c r="B75" s="2" t="str">
        <f>IFERROR(__xludf.DUMMYFUNCTION("""COMPUTED_VALUE"""),"VD037")</f>
        <v>VD037</v>
      </c>
      <c r="C75" s="2">
        <f>IFERROR(__xludf.DUMMYFUNCTION("""COMPUTED_VALUE"""),10.0)</f>
        <v>10</v>
      </c>
      <c r="D75" s="2">
        <f>IFERROR(__xludf.DUMMYFUNCTION("""COMPUTED_VALUE"""),1078.8)</f>
        <v>1078.8</v>
      </c>
    </row>
    <row r="76">
      <c r="A76" s="2" t="str">
        <f>IFERROR(__xludf.DUMMYFUNCTION("""COMPUTED_VALUE"""),"PR010")</f>
        <v>PR010</v>
      </c>
      <c r="B76" s="2" t="str">
        <f>IFERROR(__xludf.DUMMYFUNCTION("""COMPUTED_VALUE"""),"VD023")</f>
        <v>VD023</v>
      </c>
      <c r="C76" s="2">
        <f>IFERROR(__xludf.DUMMYFUNCTION("""COMPUTED_VALUE"""),14.0)</f>
        <v>14</v>
      </c>
      <c r="D76" s="2">
        <f>IFERROR(__xludf.DUMMYFUNCTION("""COMPUTED_VALUE"""),704.03)</f>
        <v>704.03</v>
      </c>
    </row>
    <row r="77">
      <c r="A77" s="2" t="str">
        <f>IFERROR(__xludf.DUMMYFUNCTION("""COMPUTED_VALUE"""),"PR012")</f>
        <v>PR012</v>
      </c>
      <c r="B77" s="2" t="str">
        <f>IFERROR(__xludf.DUMMYFUNCTION("""COMPUTED_VALUE"""),"VD018")</f>
        <v>VD018</v>
      </c>
      <c r="C77" s="2">
        <f>IFERROR(__xludf.DUMMYFUNCTION("""COMPUTED_VALUE"""),10.0)</f>
        <v>10</v>
      </c>
      <c r="D77" s="2">
        <f>IFERROR(__xludf.DUMMYFUNCTION("""COMPUTED_VALUE"""),577.02)</f>
        <v>577.02</v>
      </c>
    </row>
    <row r="78">
      <c r="A78" s="2" t="str">
        <f>IFERROR(__xludf.DUMMYFUNCTION("""COMPUTED_VALUE"""),"PR043")</f>
        <v>PR043</v>
      </c>
      <c r="B78" s="2" t="str">
        <f>IFERROR(__xludf.DUMMYFUNCTION("""COMPUTED_VALUE"""),"VD033")</f>
        <v>VD033</v>
      </c>
      <c r="C78" s="2">
        <f>IFERROR(__xludf.DUMMYFUNCTION("""COMPUTED_VALUE"""),12.0)</f>
        <v>12</v>
      </c>
      <c r="D78" s="2">
        <f>IFERROR(__xludf.DUMMYFUNCTION("""COMPUTED_VALUE"""),983.1)</f>
        <v>983.1</v>
      </c>
    </row>
    <row r="79">
      <c r="A79" s="2" t="str">
        <f>IFERROR(__xludf.DUMMYFUNCTION("""COMPUTED_VALUE"""),"PR004")</f>
        <v>PR004</v>
      </c>
      <c r="B79" s="2" t="str">
        <f>IFERROR(__xludf.DUMMYFUNCTION("""COMPUTED_VALUE"""),"VD015")</f>
        <v>VD015</v>
      </c>
      <c r="C79" s="2">
        <f>IFERROR(__xludf.DUMMYFUNCTION("""COMPUTED_VALUE"""),10.0)</f>
        <v>10</v>
      </c>
      <c r="D79" s="2">
        <f>IFERROR(__xludf.DUMMYFUNCTION("""COMPUTED_VALUE"""),1725.5)</f>
        <v>1725.5</v>
      </c>
    </row>
    <row r="80">
      <c r="A80" s="2" t="str">
        <f>IFERROR(__xludf.DUMMYFUNCTION("""COMPUTED_VALUE"""),"PR045")</f>
        <v>PR045</v>
      </c>
      <c r="B80" s="2" t="str">
        <f>IFERROR(__xludf.DUMMYFUNCTION("""COMPUTED_VALUE"""),"VD027")</f>
        <v>VD027</v>
      </c>
      <c r="C80" s="2">
        <f>IFERROR(__xludf.DUMMYFUNCTION("""COMPUTED_VALUE"""),16.0)</f>
        <v>16</v>
      </c>
      <c r="D80" s="2">
        <f>IFERROR(__xludf.DUMMYFUNCTION("""COMPUTED_VALUE"""),1334.0)</f>
        <v>1334</v>
      </c>
    </row>
    <row r="81">
      <c r="A81" s="2" t="str">
        <f>IFERROR(__xludf.DUMMYFUNCTION("""COMPUTED_VALUE"""),"PR014")</f>
        <v>PR014</v>
      </c>
      <c r="B81" s="2" t="str">
        <f>IFERROR(__xludf.DUMMYFUNCTION("""COMPUTED_VALUE"""),"VD035")</f>
        <v>VD035</v>
      </c>
      <c r="C81" s="2">
        <f>IFERROR(__xludf.DUMMYFUNCTION("""COMPUTED_VALUE"""),20.0)</f>
        <v>20</v>
      </c>
      <c r="D81" s="2">
        <f>IFERROR(__xludf.DUMMYFUNCTION("""COMPUTED_VALUE"""),877.8)</f>
        <v>877.8</v>
      </c>
    </row>
    <row r="82">
      <c r="A82" s="2" t="str">
        <f>IFERROR(__xludf.DUMMYFUNCTION("""COMPUTED_VALUE"""),"PR026")</f>
        <v>PR026</v>
      </c>
      <c r="B82" s="2" t="str">
        <f>IFERROR(__xludf.DUMMYFUNCTION("""COMPUTED_VALUE"""),"VD011")</f>
        <v>VD011</v>
      </c>
      <c r="C82" s="2">
        <f>IFERROR(__xludf.DUMMYFUNCTION("""COMPUTED_VALUE"""),15.0)</f>
        <v>15</v>
      </c>
      <c r="D82" s="2">
        <f>IFERROR(__xludf.DUMMYFUNCTION("""COMPUTED_VALUE"""),6035.78)</f>
        <v>6035.78</v>
      </c>
    </row>
    <row r="83">
      <c r="A83" s="2" t="str">
        <f>IFERROR(__xludf.DUMMYFUNCTION("""COMPUTED_VALUE"""),"PR014")</f>
        <v>PR014</v>
      </c>
      <c r="B83" s="2" t="str">
        <f>IFERROR(__xludf.DUMMYFUNCTION("""COMPUTED_VALUE"""),"VD028")</f>
        <v>VD028</v>
      </c>
      <c r="C83" s="2">
        <f>IFERROR(__xludf.DUMMYFUNCTION("""COMPUTED_VALUE"""),30.0)</f>
        <v>30</v>
      </c>
      <c r="D83" s="2">
        <f>IFERROR(__xludf.DUMMYFUNCTION("""COMPUTED_VALUE"""),1328.67)</f>
        <v>1328.67</v>
      </c>
    </row>
    <row r="84">
      <c r="A84" s="2" t="str">
        <f>IFERROR(__xludf.DUMMYFUNCTION("""COMPUTED_VALUE"""),"PR024")</f>
        <v>PR024</v>
      </c>
      <c r="B84" s="2" t="str">
        <f>IFERROR(__xludf.DUMMYFUNCTION("""COMPUTED_VALUE"""),"VD019")</f>
        <v>VD019</v>
      </c>
      <c r="C84" s="2">
        <f>IFERROR(__xludf.DUMMYFUNCTION("""COMPUTED_VALUE"""),30.0)</f>
        <v>30</v>
      </c>
      <c r="D84" s="2">
        <f>IFERROR(__xludf.DUMMYFUNCTION("""COMPUTED_VALUE"""),8810.61)</f>
        <v>8810.61</v>
      </c>
    </row>
    <row r="85">
      <c r="A85" s="2" t="str">
        <f>IFERROR(__xludf.DUMMYFUNCTION("""COMPUTED_VALUE"""),"PR023")</f>
        <v>PR023</v>
      </c>
      <c r="B85" s="2" t="str">
        <f>IFERROR(__xludf.DUMMYFUNCTION("""COMPUTED_VALUE"""),"VD034")</f>
        <v>VD034</v>
      </c>
      <c r="C85" s="2">
        <f>IFERROR(__xludf.DUMMYFUNCTION("""COMPUTED_VALUE"""),18.0)</f>
        <v>18</v>
      </c>
      <c r="D85" s="2">
        <f>IFERROR(__xludf.DUMMYFUNCTION("""COMPUTED_VALUE"""),5082.97)</f>
        <v>5082.97</v>
      </c>
    </row>
    <row r="86">
      <c r="A86" s="2" t="str">
        <f>IFERROR(__xludf.DUMMYFUNCTION("""COMPUTED_VALUE"""),"PR010")</f>
        <v>PR010</v>
      </c>
      <c r="B86" s="2" t="str">
        <f>IFERROR(__xludf.DUMMYFUNCTION("""COMPUTED_VALUE"""),"VD028")</f>
        <v>VD028</v>
      </c>
      <c r="C86" s="2">
        <f>IFERROR(__xludf.DUMMYFUNCTION("""COMPUTED_VALUE"""),20.0)</f>
        <v>20</v>
      </c>
      <c r="D86" s="2">
        <f>IFERROR(__xludf.DUMMYFUNCTION("""COMPUTED_VALUE"""),1050.66)</f>
        <v>1050.66</v>
      </c>
    </row>
    <row r="87">
      <c r="A87" s="2" t="str">
        <f>IFERROR(__xludf.DUMMYFUNCTION("""COMPUTED_VALUE"""),"PR042")</f>
        <v>PR042</v>
      </c>
      <c r="B87" s="2" t="str">
        <f>IFERROR(__xludf.DUMMYFUNCTION("""COMPUTED_VALUE"""),"VD041")</f>
        <v>VD041</v>
      </c>
      <c r="C87" s="2">
        <f>IFERROR(__xludf.DUMMYFUNCTION("""COMPUTED_VALUE"""),24.0)</f>
        <v>24</v>
      </c>
      <c r="D87" s="2">
        <f>IFERROR(__xludf.DUMMYFUNCTION("""COMPUTED_VALUE"""),1502.06)</f>
        <v>1502.06</v>
      </c>
    </row>
    <row r="88">
      <c r="A88" s="2" t="str">
        <f>IFERROR(__xludf.DUMMYFUNCTION("""COMPUTED_VALUE"""),"PR057")</f>
        <v>PR057</v>
      </c>
      <c r="B88" s="2" t="str">
        <f>IFERROR(__xludf.DUMMYFUNCTION("""COMPUTED_VALUE"""),"VD015")</f>
        <v>VD015</v>
      </c>
      <c r="C88" s="2">
        <f>IFERROR(__xludf.DUMMYFUNCTION("""COMPUTED_VALUE"""),24.0)</f>
        <v>24</v>
      </c>
      <c r="D88" s="2">
        <f>IFERROR(__xludf.DUMMYFUNCTION("""COMPUTED_VALUE"""),2373.36)</f>
        <v>2373.36</v>
      </c>
    </row>
    <row r="89">
      <c r="A89" s="2" t="str">
        <f>IFERROR(__xludf.DUMMYFUNCTION("""COMPUTED_VALUE"""),"PR034")</f>
        <v>PR034</v>
      </c>
      <c r="B89" s="2" t="str">
        <f>IFERROR(__xludf.DUMMYFUNCTION("""COMPUTED_VALUE"""),"VD027")</f>
        <v>VD027</v>
      </c>
      <c r="C89" s="2">
        <f>IFERROR(__xludf.DUMMYFUNCTION("""COMPUTED_VALUE"""),6.0)</f>
        <v>6</v>
      </c>
      <c r="D89" s="2">
        <f>IFERROR(__xludf.DUMMYFUNCTION("""COMPUTED_VALUE"""),598.73)</f>
        <v>598.73</v>
      </c>
    </row>
    <row r="90">
      <c r="A90" s="2" t="str">
        <f>IFERROR(__xludf.DUMMYFUNCTION("""COMPUTED_VALUE"""),"PR031")</f>
        <v>PR031</v>
      </c>
      <c r="B90" s="2" t="str">
        <f>IFERROR(__xludf.DUMMYFUNCTION("""COMPUTED_VALUE"""),"VD024")</f>
        <v>VD024</v>
      </c>
      <c r="C90" s="2">
        <f>IFERROR(__xludf.DUMMYFUNCTION("""COMPUTED_VALUE"""),6.0)</f>
        <v>6</v>
      </c>
      <c r="D90" s="2">
        <f>IFERROR(__xludf.DUMMYFUNCTION("""COMPUTED_VALUE"""),1675.8)</f>
        <v>1675.8</v>
      </c>
    </row>
    <row r="91">
      <c r="A91" s="2" t="str">
        <f>IFERROR(__xludf.DUMMYFUNCTION("""COMPUTED_VALUE"""),"PR046")</f>
        <v>PR046</v>
      </c>
      <c r="B91" s="2" t="str">
        <f>IFERROR(__xludf.DUMMYFUNCTION("""COMPUTED_VALUE"""),"VD038")</f>
        <v>VD038</v>
      </c>
      <c r="C91" s="2">
        <f>IFERROR(__xludf.DUMMYFUNCTION("""COMPUTED_VALUE"""),8.0)</f>
        <v>8</v>
      </c>
      <c r="D91" s="2">
        <f>IFERROR(__xludf.DUMMYFUNCTION("""COMPUTED_VALUE"""),2620.7)</f>
        <v>2620.7</v>
      </c>
    </row>
    <row r="92">
      <c r="A92" s="2" t="str">
        <f>IFERROR(__xludf.DUMMYFUNCTION("""COMPUTED_VALUE"""),"PR033")</f>
        <v>PR033</v>
      </c>
      <c r="B92" s="2" t="str">
        <f>IFERROR(__xludf.DUMMYFUNCTION("""COMPUTED_VALUE"""),"VD014")</f>
        <v>VD014</v>
      </c>
      <c r="C92" s="2">
        <f>IFERROR(__xludf.DUMMYFUNCTION("""COMPUTED_VALUE"""),12.0)</f>
        <v>12</v>
      </c>
      <c r="D92" s="2">
        <f>IFERROR(__xludf.DUMMYFUNCTION("""COMPUTED_VALUE"""),3649.0)</f>
        <v>3649</v>
      </c>
    </row>
    <row r="93">
      <c r="A93" s="2" t="str">
        <f>IFERROR(__xludf.DUMMYFUNCTION("""COMPUTED_VALUE"""),"PR041")</f>
        <v>PR041</v>
      </c>
      <c r="B93" s="2" t="str">
        <f>IFERROR(__xludf.DUMMYFUNCTION("""COMPUTED_VALUE"""),"VD035")</f>
        <v>VD035</v>
      </c>
      <c r="C93" s="2">
        <f>IFERROR(__xludf.DUMMYFUNCTION("""COMPUTED_VALUE"""),18.0)</f>
        <v>18</v>
      </c>
      <c r="D93" s="2">
        <f>IFERROR(__xludf.DUMMYFUNCTION("""COMPUTED_VALUE"""),1166.08)</f>
        <v>1166.08</v>
      </c>
    </row>
    <row r="94">
      <c r="A94" s="2" t="str">
        <f>IFERROR(__xludf.DUMMYFUNCTION("""COMPUTED_VALUE"""),"PR001")</f>
        <v>PR001</v>
      </c>
      <c r="B94" s="2" t="str">
        <f>IFERROR(__xludf.DUMMYFUNCTION("""COMPUTED_VALUE"""),"VD045")</f>
        <v>VD045</v>
      </c>
      <c r="C94" s="2">
        <f>IFERROR(__xludf.DUMMYFUNCTION("""COMPUTED_VALUE"""),12.0)</f>
        <v>12</v>
      </c>
      <c r="D94" s="2">
        <f>IFERROR(__xludf.DUMMYFUNCTION("""COMPUTED_VALUE"""),941.05)</f>
        <v>941.05</v>
      </c>
    </row>
    <row r="95">
      <c r="A95" s="2" t="str">
        <f>IFERROR(__xludf.DUMMYFUNCTION("""COMPUTED_VALUE"""),"PR006")</f>
        <v>PR006</v>
      </c>
      <c r="B95" s="2" t="str">
        <f>IFERROR(__xludf.DUMMYFUNCTION("""COMPUTED_VALUE"""),"VD035")</f>
        <v>VD035</v>
      </c>
      <c r="C95" s="2">
        <f>IFERROR(__xludf.DUMMYFUNCTION("""COMPUTED_VALUE"""),12.0)</f>
        <v>12</v>
      </c>
      <c r="D95" s="2">
        <f>IFERROR(__xludf.DUMMYFUNCTION("""COMPUTED_VALUE"""),541.04)</f>
        <v>541.04</v>
      </c>
    </row>
    <row r="96">
      <c r="A96" s="2" t="str">
        <f>IFERROR(__xludf.DUMMYFUNCTION("""COMPUTED_VALUE"""),"PR049")</f>
        <v>PR049</v>
      </c>
      <c r="B96" s="2" t="str">
        <f>IFERROR(__xludf.DUMMYFUNCTION("""COMPUTED_VALUE"""),"VD039")</f>
        <v>VD039</v>
      </c>
      <c r="C96" s="2">
        <f>IFERROR(__xludf.DUMMYFUNCTION("""COMPUTED_VALUE"""),10.0)</f>
        <v>10</v>
      </c>
      <c r="D96" s="2">
        <f>IFERROR(__xludf.DUMMYFUNCTION("""COMPUTED_VALUE"""),388.22)</f>
        <v>388.22</v>
      </c>
    </row>
    <row r="97">
      <c r="A97" s="2" t="str">
        <f>IFERROR(__xludf.DUMMYFUNCTION("""COMPUTED_VALUE"""),"PR012")</f>
        <v>PR012</v>
      </c>
      <c r="B97" s="2" t="str">
        <f>IFERROR(__xludf.DUMMYFUNCTION("""COMPUTED_VALUE"""),"VD034")</f>
        <v>VD034</v>
      </c>
      <c r="C97" s="2">
        <f>IFERROR(__xludf.DUMMYFUNCTION("""COMPUTED_VALUE"""),27.0)</f>
        <v>27</v>
      </c>
      <c r="D97" s="2">
        <f>IFERROR(__xludf.DUMMYFUNCTION("""COMPUTED_VALUE"""),1584.36)</f>
        <v>1584.36</v>
      </c>
    </row>
    <row r="98">
      <c r="A98" s="2" t="str">
        <f>IFERROR(__xludf.DUMMYFUNCTION("""COMPUTED_VALUE"""),"PR060")</f>
        <v>PR060</v>
      </c>
      <c r="B98" s="2" t="str">
        <f>IFERROR(__xludf.DUMMYFUNCTION("""COMPUTED_VALUE"""),"VD019")</f>
        <v>VD019</v>
      </c>
      <c r="C98" s="2">
        <f>IFERROR(__xludf.DUMMYFUNCTION("""COMPUTED_VALUE"""),18.0)</f>
        <v>18</v>
      </c>
      <c r="D98" s="2">
        <f>IFERROR(__xludf.DUMMYFUNCTION("""COMPUTED_VALUE"""),3628.8)</f>
        <v>3628.8</v>
      </c>
    </row>
    <row r="99">
      <c r="A99" s="2" t="str">
        <f>IFERROR(__xludf.DUMMYFUNCTION("""COMPUTED_VALUE"""),"PR060")</f>
        <v>PR060</v>
      </c>
      <c r="B99" s="2" t="str">
        <f>IFERROR(__xludf.DUMMYFUNCTION("""COMPUTED_VALUE"""),"VD042")</f>
        <v>VD042</v>
      </c>
      <c r="C99" s="2">
        <f>IFERROR(__xludf.DUMMYFUNCTION("""COMPUTED_VALUE"""),10.0)</f>
        <v>10</v>
      </c>
      <c r="D99" s="2">
        <f>IFERROR(__xludf.DUMMYFUNCTION("""COMPUTED_VALUE"""),1980.0)</f>
        <v>1980</v>
      </c>
    </row>
    <row r="100">
      <c r="A100" s="2" t="str">
        <f>IFERROR(__xludf.DUMMYFUNCTION("""COMPUTED_VALUE"""),"PR014")</f>
        <v>PR014</v>
      </c>
      <c r="B100" s="2" t="str">
        <f>IFERROR(__xludf.DUMMYFUNCTION("""COMPUTED_VALUE"""),"VD010")</f>
        <v>VD010</v>
      </c>
      <c r="C100" s="2">
        <f>IFERROR(__xludf.DUMMYFUNCTION("""COMPUTED_VALUE"""),18.0)</f>
        <v>18</v>
      </c>
      <c r="D100" s="2">
        <f>IFERROR(__xludf.DUMMYFUNCTION("""COMPUTED_VALUE"""),790.02)</f>
        <v>790.02</v>
      </c>
    </row>
    <row r="101">
      <c r="A101" s="2" t="str">
        <f>IFERROR(__xludf.DUMMYFUNCTION("""COMPUTED_VALUE"""),"PR036")</f>
        <v>PR036</v>
      </c>
      <c r="B101" s="2" t="str">
        <f>IFERROR(__xludf.DUMMYFUNCTION("""COMPUTED_VALUE"""),"VD019")</f>
        <v>VD019</v>
      </c>
      <c r="C101" s="2">
        <f>IFERROR(__xludf.DUMMYFUNCTION("""COMPUTED_VALUE"""),27.0)</f>
        <v>27</v>
      </c>
      <c r="D101" s="2">
        <f>IFERROR(__xludf.DUMMYFUNCTION("""COMPUTED_VALUE"""),2953.67)</f>
        <v>2953.67</v>
      </c>
    </row>
    <row r="102">
      <c r="A102" s="2" t="str">
        <f>IFERROR(__xludf.DUMMYFUNCTION("""COMPUTED_VALUE"""),"PR035")</f>
        <v>PR035</v>
      </c>
      <c r="B102" s="2" t="str">
        <f>IFERROR(__xludf.DUMMYFUNCTION("""COMPUTED_VALUE"""),"VD012")</f>
        <v>VD012</v>
      </c>
      <c r="C102" s="2">
        <f>IFERROR(__xludf.DUMMYFUNCTION("""COMPUTED_VALUE"""),8.0)</f>
        <v>8</v>
      </c>
      <c r="D102" s="2">
        <f>IFERROR(__xludf.DUMMYFUNCTION("""COMPUTED_VALUE"""),862.82)</f>
        <v>862.82</v>
      </c>
    </row>
    <row r="103">
      <c r="A103" s="2" t="str">
        <f>IFERROR(__xludf.DUMMYFUNCTION("""COMPUTED_VALUE"""),"PR006")</f>
        <v>PR006</v>
      </c>
      <c r="B103" s="2" t="str">
        <f>IFERROR(__xludf.DUMMYFUNCTION("""COMPUTED_VALUE"""),"VD044")</f>
        <v>VD044</v>
      </c>
      <c r="C103" s="2">
        <f>IFERROR(__xludf.DUMMYFUNCTION("""COMPUTED_VALUE"""),16.0)</f>
        <v>16</v>
      </c>
      <c r="D103" s="2">
        <f>IFERROR(__xludf.DUMMYFUNCTION("""COMPUTED_VALUE"""),746.93)</f>
        <v>746.93</v>
      </c>
    </row>
    <row r="104">
      <c r="A104" s="2" t="str">
        <f>IFERROR(__xludf.DUMMYFUNCTION("""COMPUTED_VALUE"""),"PR010")</f>
        <v>PR010</v>
      </c>
      <c r="B104" s="2" t="str">
        <f>IFERROR(__xludf.DUMMYFUNCTION("""COMPUTED_VALUE"""),"VD049")</f>
        <v>VD049</v>
      </c>
      <c r="C104" s="2">
        <f>IFERROR(__xludf.DUMMYFUNCTION("""COMPUTED_VALUE"""),20.0)</f>
        <v>20</v>
      </c>
      <c r="D104" s="2">
        <f>IFERROR(__xludf.DUMMYFUNCTION("""COMPUTED_VALUE"""),1077.6)</f>
        <v>1077.6</v>
      </c>
    </row>
    <row r="105">
      <c r="A105" s="2" t="str">
        <f>IFERROR(__xludf.DUMMYFUNCTION("""COMPUTED_VALUE"""),"PR024")</f>
        <v>PR024</v>
      </c>
      <c r="B105" s="2" t="str">
        <f>IFERROR(__xludf.DUMMYFUNCTION("""COMPUTED_VALUE"""),"VD041")</f>
        <v>VD041</v>
      </c>
      <c r="C105" s="2">
        <f>IFERROR(__xludf.DUMMYFUNCTION("""COMPUTED_VALUE"""),27.0)</f>
        <v>27</v>
      </c>
      <c r="D105" s="2">
        <f>IFERROR(__xludf.DUMMYFUNCTION("""COMPUTED_VALUE"""),8350.59)</f>
        <v>8350.59</v>
      </c>
    </row>
    <row r="106">
      <c r="A106" s="2" t="str">
        <f>IFERROR(__xludf.DUMMYFUNCTION("""COMPUTED_VALUE"""),"PR023")</f>
        <v>PR023</v>
      </c>
      <c r="B106" s="2" t="str">
        <f>IFERROR(__xludf.DUMMYFUNCTION("""COMPUTED_VALUE"""),"VD038")</f>
        <v>VD038</v>
      </c>
      <c r="C106" s="2">
        <f>IFERROR(__xludf.DUMMYFUNCTION("""COMPUTED_VALUE"""),30.0)</f>
        <v>30</v>
      </c>
      <c r="D106" s="2">
        <f>IFERROR(__xludf.DUMMYFUNCTION("""COMPUTED_VALUE"""),8846.46)</f>
        <v>8846.46</v>
      </c>
    </row>
    <row r="107">
      <c r="A107" s="2" t="str">
        <f>IFERROR(__xludf.DUMMYFUNCTION("""COMPUTED_VALUE"""),"PR022")</f>
        <v>PR022</v>
      </c>
      <c r="B107" s="2" t="str">
        <f>IFERROR(__xludf.DUMMYFUNCTION("""COMPUTED_VALUE"""),"VD044")</f>
        <v>VD044</v>
      </c>
      <c r="C107" s="2">
        <f>IFERROR(__xludf.DUMMYFUNCTION("""COMPUTED_VALUE"""),12.0)</f>
        <v>12</v>
      </c>
      <c r="D107" s="2">
        <f>IFERROR(__xludf.DUMMYFUNCTION("""COMPUTED_VALUE"""),4032.0)</f>
        <v>4032</v>
      </c>
    </row>
    <row r="108">
      <c r="A108" s="2" t="str">
        <f>IFERROR(__xludf.DUMMYFUNCTION("""COMPUTED_VALUE"""),"PR053")</f>
        <v>PR053</v>
      </c>
      <c r="B108" s="2" t="str">
        <f>IFERROR(__xludf.DUMMYFUNCTION("""COMPUTED_VALUE"""),"VD010")</f>
        <v>VD010</v>
      </c>
      <c r="C108" s="2">
        <f>IFERROR(__xludf.DUMMYFUNCTION("""COMPUTED_VALUE"""),14.0)</f>
        <v>14</v>
      </c>
      <c r="D108" s="2">
        <f>IFERROR(__xludf.DUMMYFUNCTION("""COMPUTED_VALUE"""),810.38)</f>
        <v>810.38</v>
      </c>
    </row>
    <row r="109">
      <c r="A109" s="2" t="str">
        <f>IFERROR(__xludf.DUMMYFUNCTION("""COMPUTED_VALUE"""),"PR054")</f>
        <v>PR054</v>
      </c>
      <c r="B109" s="2" t="str">
        <f>IFERROR(__xludf.DUMMYFUNCTION("""COMPUTED_VALUE"""),"VD034")</f>
        <v>VD034</v>
      </c>
      <c r="C109" s="2">
        <f>IFERROR(__xludf.DUMMYFUNCTION("""COMPUTED_VALUE"""),21.0)</f>
        <v>21</v>
      </c>
      <c r="D109" s="2">
        <f>IFERROR(__xludf.DUMMYFUNCTION("""COMPUTED_VALUE"""),1236.52)</f>
        <v>1236.52</v>
      </c>
    </row>
    <row r="110">
      <c r="A110" s="2" t="str">
        <f>IFERROR(__xludf.DUMMYFUNCTION("""COMPUTED_VALUE"""),"PR058")</f>
        <v>PR058</v>
      </c>
      <c r="B110" s="2" t="str">
        <f>IFERROR(__xludf.DUMMYFUNCTION("""COMPUTED_VALUE"""),"VD044")</f>
        <v>VD044</v>
      </c>
      <c r="C110" s="2">
        <f>IFERROR(__xludf.DUMMYFUNCTION("""COMPUTED_VALUE"""),15.0)</f>
        <v>15</v>
      </c>
      <c r="D110" s="2">
        <f>IFERROR(__xludf.DUMMYFUNCTION("""COMPUTED_VALUE"""),3240.0)</f>
        <v>3240</v>
      </c>
    </row>
    <row r="111">
      <c r="A111" s="2" t="str">
        <f>IFERROR(__xludf.DUMMYFUNCTION("""COMPUTED_VALUE"""),"PR040")</f>
        <v>PR040</v>
      </c>
      <c r="B111" s="2" t="str">
        <f>IFERROR(__xludf.DUMMYFUNCTION("""COMPUTED_VALUE"""),"VD037")</f>
        <v>VD037</v>
      </c>
      <c r="C111" s="2">
        <f>IFERROR(__xludf.DUMMYFUNCTION("""COMPUTED_VALUE"""),12.0)</f>
        <v>12</v>
      </c>
      <c r="D111" s="2">
        <f>IFERROR(__xludf.DUMMYFUNCTION("""COMPUTED_VALUE"""),974.4)</f>
        <v>974.4</v>
      </c>
    </row>
    <row r="112">
      <c r="A112" s="2" t="str">
        <f>IFERROR(__xludf.DUMMYFUNCTION("""COMPUTED_VALUE"""),"PR031")</f>
        <v>PR031</v>
      </c>
      <c r="B112" s="2" t="str">
        <f>IFERROR(__xludf.DUMMYFUNCTION("""COMPUTED_VALUE"""),"VD037")</f>
        <v>VD037</v>
      </c>
      <c r="C112" s="2">
        <f>IFERROR(__xludf.DUMMYFUNCTION("""COMPUTED_VALUE"""),24.0)</f>
        <v>24</v>
      </c>
      <c r="D112" s="2">
        <f>IFERROR(__xludf.DUMMYFUNCTION("""COMPUTED_VALUE"""),6997.2)</f>
        <v>6997.2</v>
      </c>
    </row>
    <row r="113">
      <c r="A113" s="2" t="str">
        <f>IFERROR(__xludf.DUMMYFUNCTION("""COMPUTED_VALUE"""),"PR009")</f>
        <v>PR009</v>
      </c>
      <c r="B113" s="2" t="str">
        <f>IFERROR(__xludf.DUMMYFUNCTION("""COMPUTED_VALUE"""),"VD011")</f>
        <v>VD011</v>
      </c>
      <c r="C113" s="2">
        <f>IFERROR(__xludf.DUMMYFUNCTION("""COMPUTED_VALUE"""),21.0)</f>
        <v>21</v>
      </c>
      <c r="D113" s="2">
        <f>IFERROR(__xludf.DUMMYFUNCTION("""COMPUTED_VALUE"""),2185.01)</f>
        <v>2185.01</v>
      </c>
    </row>
    <row r="114">
      <c r="A114" s="2" t="str">
        <f>IFERROR(__xludf.DUMMYFUNCTION("""COMPUTED_VALUE"""),"PR029")</f>
        <v>PR029</v>
      </c>
      <c r="B114" s="2" t="str">
        <f>IFERROR(__xludf.DUMMYFUNCTION("""COMPUTED_VALUE"""),"VD047")</f>
        <v>VD047</v>
      </c>
      <c r="C114" s="2">
        <f>IFERROR(__xludf.DUMMYFUNCTION("""COMPUTED_VALUE"""),24.0)</f>
        <v>24</v>
      </c>
      <c r="D114" s="2">
        <f>IFERROR(__xludf.DUMMYFUNCTION("""COMPUTED_VALUE"""),6793.2)</f>
        <v>6793.2</v>
      </c>
    </row>
    <row r="115">
      <c r="A115" s="2" t="str">
        <f>IFERROR(__xludf.DUMMYFUNCTION("""COMPUTED_VALUE"""),"PR017")</f>
        <v>PR017</v>
      </c>
      <c r="B115" s="2" t="str">
        <f>IFERROR(__xludf.DUMMYFUNCTION("""COMPUTED_VALUE"""),"VD042")</f>
        <v>VD042</v>
      </c>
      <c r="C115" s="2">
        <f>IFERROR(__xludf.DUMMYFUNCTION("""COMPUTED_VALUE"""),27.0)</f>
        <v>27</v>
      </c>
      <c r="D115" s="2">
        <f>IFERROR(__xludf.DUMMYFUNCTION("""COMPUTED_VALUE"""),912.25)</f>
        <v>912.25</v>
      </c>
    </row>
    <row r="116">
      <c r="A116" s="2" t="str">
        <f>IFERROR(__xludf.DUMMYFUNCTION("""COMPUTED_VALUE"""),"PR003")</f>
        <v>PR003</v>
      </c>
      <c r="B116" s="2" t="str">
        <f>IFERROR(__xludf.DUMMYFUNCTION("""COMPUTED_VALUE"""),"VD032")</f>
        <v>VD032</v>
      </c>
      <c r="C116" s="2">
        <f>IFERROR(__xludf.DUMMYFUNCTION("""COMPUTED_VALUE"""),24.0)</f>
        <v>24</v>
      </c>
      <c r="D116" s="2">
        <f>IFERROR(__xludf.DUMMYFUNCTION("""COMPUTED_VALUE"""),2041.92)</f>
        <v>2041.92</v>
      </c>
    </row>
    <row r="117">
      <c r="A117" s="2" t="str">
        <f>IFERROR(__xludf.DUMMYFUNCTION("""COMPUTED_VALUE"""),"PR041")</f>
        <v>PR041</v>
      </c>
      <c r="B117" s="2" t="str">
        <f>IFERROR(__xludf.DUMMYFUNCTION("""COMPUTED_VALUE"""),"VD023")</f>
        <v>VD023</v>
      </c>
      <c r="C117" s="2">
        <f>IFERROR(__xludf.DUMMYFUNCTION("""COMPUTED_VALUE"""),18.0)</f>
        <v>18</v>
      </c>
      <c r="D117" s="2">
        <f>IFERROR(__xludf.DUMMYFUNCTION("""COMPUTED_VALUE"""),1136.43)</f>
        <v>1136.43</v>
      </c>
    </row>
    <row r="118">
      <c r="A118" s="2" t="str">
        <f>IFERROR(__xludf.DUMMYFUNCTION("""COMPUTED_VALUE"""),"PR029")</f>
        <v>PR029</v>
      </c>
      <c r="B118" s="2" t="str">
        <f>IFERROR(__xludf.DUMMYFUNCTION("""COMPUTED_VALUE"""),"VD036")</f>
        <v>VD036</v>
      </c>
      <c r="C118" s="2">
        <f>IFERROR(__xludf.DUMMYFUNCTION("""COMPUTED_VALUE"""),24.0)</f>
        <v>24</v>
      </c>
      <c r="D118" s="2">
        <f>IFERROR(__xludf.DUMMYFUNCTION("""COMPUTED_VALUE"""),6976.8)</f>
        <v>6976.8</v>
      </c>
    </row>
    <row r="119">
      <c r="A119" s="2" t="str">
        <f>IFERROR(__xludf.DUMMYFUNCTION("""COMPUTED_VALUE"""),"PR054")</f>
        <v>PR054</v>
      </c>
      <c r="B119" s="2" t="str">
        <f>IFERROR(__xludf.DUMMYFUNCTION("""COMPUTED_VALUE"""),"VD034")</f>
        <v>VD034</v>
      </c>
      <c r="C119" s="2">
        <f>IFERROR(__xludf.DUMMYFUNCTION("""COMPUTED_VALUE"""),18.0)</f>
        <v>18</v>
      </c>
      <c r="D119" s="2">
        <f>IFERROR(__xludf.DUMMYFUNCTION("""COMPUTED_VALUE"""),1059.88)</f>
        <v>1059.88</v>
      </c>
    </row>
    <row r="120">
      <c r="A120" s="2" t="str">
        <f>IFERROR(__xludf.DUMMYFUNCTION("""COMPUTED_VALUE"""),"PR047")</f>
        <v>PR047</v>
      </c>
      <c r="B120" s="2" t="str">
        <f>IFERROR(__xludf.DUMMYFUNCTION("""COMPUTED_VALUE"""),"VD034")</f>
        <v>VD034</v>
      </c>
      <c r="C120" s="2">
        <f>IFERROR(__xludf.DUMMYFUNCTION("""COMPUTED_VALUE"""),21.0)</f>
        <v>21</v>
      </c>
      <c r="D120" s="2">
        <f>IFERROR(__xludf.DUMMYFUNCTION("""COMPUTED_VALUE"""),7122.84)</f>
        <v>7122.84</v>
      </c>
    </row>
    <row r="121">
      <c r="A121" s="2" t="str">
        <f>IFERROR(__xludf.DUMMYFUNCTION("""COMPUTED_VALUE"""),"PR023")</f>
        <v>PR023</v>
      </c>
      <c r="B121" s="2" t="str">
        <f>IFERROR(__xludf.DUMMYFUNCTION("""COMPUTED_VALUE"""),"VD018")</f>
        <v>VD018</v>
      </c>
      <c r="C121" s="2">
        <f>IFERROR(__xludf.DUMMYFUNCTION("""COMPUTED_VALUE"""),12.0)</f>
        <v>12</v>
      </c>
      <c r="D121" s="2">
        <f>IFERROR(__xludf.DUMMYFUNCTION("""COMPUTED_VALUE"""),3598.56)</f>
        <v>3598.56</v>
      </c>
    </row>
    <row r="122">
      <c r="A122" s="2" t="str">
        <f>IFERROR(__xludf.DUMMYFUNCTION("""COMPUTED_VALUE"""),"PR017")</f>
        <v>PR017</v>
      </c>
      <c r="B122" s="2" t="str">
        <f>IFERROR(__xludf.DUMMYFUNCTION("""COMPUTED_VALUE"""),"VD043")</f>
        <v>VD043</v>
      </c>
      <c r="C122" s="2">
        <f>IFERROR(__xludf.DUMMYFUNCTION("""COMPUTED_VALUE"""),18.0)</f>
        <v>18</v>
      </c>
      <c r="D122" s="2">
        <f>IFERROR(__xludf.DUMMYFUNCTION("""COMPUTED_VALUE"""),592.02)</f>
        <v>592.02</v>
      </c>
    </row>
    <row r="123">
      <c r="A123" s="2" t="str">
        <f>IFERROR(__xludf.DUMMYFUNCTION("""COMPUTED_VALUE"""),"PR058")</f>
        <v>PR058</v>
      </c>
      <c r="B123" s="2" t="str">
        <f>IFERROR(__xludf.DUMMYFUNCTION("""COMPUTED_VALUE"""),"VD021")</f>
        <v>VD021</v>
      </c>
      <c r="C123" s="2">
        <f>IFERROR(__xludf.DUMMYFUNCTION("""COMPUTED_VALUE"""),10.0)</f>
        <v>10</v>
      </c>
      <c r="D123" s="2">
        <f>IFERROR(__xludf.DUMMYFUNCTION("""COMPUTED_VALUE"""),2070.0)</f>
        <v>2070</v>
      </c>
    </row>
    <row r="124">
      <c r="A124" s="2" t="str">
        <f>IFERROR(__xludf.DUMMYFUNCTION("""COMPUTED_VALUE"""),"PR012")</f>
        <v>PR012</v>
      </c>
      <c r="B124" s="2" t="str">
        <f>IFERROR(__xludf.DUMMYFUNCTION("""COMPUTED_VALUE"""),"VD031")</f>
        <v>VD031</v>
      </c>
      <c r="C124" s="2">
        <f>IFERROR(__xludf.DUMMYFUNCTION("""COMPUTED_VALUE"""),9.0)</f>
        <v>9</v>
      </c>
      <c r="D124" s="2">
        <f>IFERROR(__xludf.DUMMYFUNCTION("""COMPUTED_VALUE"""),523.72)</f>
        <v>523.72</v>
      </c>
    </row>
    <row r="125">
      <c r="A125" s="2" t="str">
        <f>IFERROR(__xludf.DUMMYFUNCTION("""COMPUTED_VALUE"""),"PR010")</f>
        <v>PR010</v>
      </c>
      <c r="B125" s="2" t="str">
        <f>IFERROR(__xludf.DUMMYFUNCTION("""COMPUTED_VALUE"""),"VD020")</f>
        <v>VD020</v>
      </c>
      <c r="C125" s="2">
        <f>IFERROR(__xludf.DUMMYFUNCTION("""COMPUTED_VALUE"""),27.0)</f>
        <v>27</v>
      </c>
      <c r="D125" s="2">
        <f>IFERROR(__xludf.DUMMYFUNCTION("""COMPUTED_VALUE"""),1357.78)</f>
        <v>1357.78</v>
      </c>
    </row>
    <row r="126">
      <c r="A126" s="2" t="str">
        <f>IFERROR(__xludf.DUMMYFUNCTION("""COMPUTED_VALUE"""),"PR038")</f>
        <v>PR038</v>
      </c>
      <c r="B126" s="2" t="str">
        <f>IFERROR(__xludf.DUMMYFUNCTION("""COMPUTED_VALUE"""),"VD024")</f>
        <v>VD024</v>
      </c>
      <c r="C126" s="2">
        <f>IFERROR(__xludf.DUMMYFUNCTION("""COMPUTED_VALUE"""),24.0)</f>
        <v>24</v>
      </c>
      <c r="D126" s="2">
        <f>IFERROR(__xludf.DUMMYFUNCTION("""COMPUTED_VALUE"""),4081.22)</f>
        <v>4081.22</v>
      </c>
    </row>
    <row r="127">
      <c r="A127" s="2" t="str">
        <f>IFERROR(__xludf.DUMMYFUNCTION("""COMPUTED_VALUE"""),"PR024")</f>
        <v>PR024</v>
      </c>
      <c r="B127" s="2" t="str">
        <f>IFERROR(__xludf.DUMMYFUNCTION("""COMPUTED_VALUE"""),"VD038")</f>
        <v>VD038</v>
      </c>
      <c r="C127" s="2">
        <f>IFERROR(__xludf.DUMMYFUNCTION("""COMPUTED_VALUE"""),18.0)</f>
        <v>18</v>
      </c>
      <c r="D127" s="2">
        <f>IFERROR(__xludf.DUMMYFUNCTION("""COMPUTED_VALUE"""),5567.06)</f>
        <v>5567.06</v>
      </c>
    </row>
    <row r="128">
      <c r="A128" s="2" t="str">
        <f>IFERROR(__xludf.DUMMYFUNCTION("""COMPUTED_VALUE"""),"PR029")</f>
        <v>PR029</v>
      </c>
      <c r="B128" s="2" t="str">
        <f>IFERROR(__xludf.DUMMYFUNCTION("""COMPUTED_VALUE"""),"VD048")</f>
        <v>VD048</v>
      </c>
      <c r="C128" s="2">
        <f>IFERROR(__xludf.DUMMYFUNCTION("""COMPUTED_VALUE"""),8.0)</f>
        <v>8</v>
      </c>
      <c r="D128" s="2">
        <f>IFERROR(__xludf.DUMMYFUNCTION("""COMPUTED_VALUE"""),2325.6)</f>
        <v>2325.6</v>
      </c>
    </row>
    <row r="129">
      <c r="A129" s="2" t="str">
        <f>IFERROR(__xludf.DUMMYFUNCTION("""COMPUTED_VALUE"""),"PR040")</f>
        <v>PR040</v>
      </c>
      <c r="B129" s="2" t="str">
        <f>IFERROR(__xludf.DUMMYFUNCTION("""COMPUTED_VALUE"""),"VD022")</f>
        <v>VD022</v>
      </c>
      <c r="C129" s="2">
        <f>IFERROR(__xludf.DUMMYFUNCTION("""COMPUTED_VALUE"""),18.0)</f>
        <v>18</v>
      </c>
      <c r="D129" s="2">
        <f>IFERROR(__xludf.DUMMYFUNCTION("""COMPUTED_VALUE"""),1423.8)</f>
        <v>1423.8</v>
      </c>
    </row>
    <row r="130">
      <c r="A130" s="2" t="str">
        <f>IFERROR(__xludf.DUMMYFUNCTION("""COMPUTED_VALUE"""),"PR045")</f>
        <v>PR045</v>
      </c>
      <c r="B130" s="2" t="str">
        <f>IFERROR(__xludf.DUMMYFUNCTION("""COMPUTED_VALUE"""),"VD023")</f>
        <v>VD023</v>
      </c>
      <c r="C130" s="2">
        <f>IFERROR(__xludf.DUMMYFUNCTION("""COMPUTED_VALUE"""),16.0)</f>
        <v>16</v>
      </c>
      <c r="D130" s="2">
        <f>IFERROR(__xludf.DUMMYFUNCTION("""COMPUTED_VALUE"""),1345.6)</f>
        <v>1345.6</v>
      </c>
    </row>
    <row r="131">
      <c r="A131" s="2" t="str">
        <f>IFERROR(__xludf.DUMMYFUNCTION("""COMPUTED_VALUE"""),"PR059")</f>
        <v>PR059</v>
      </c>
      <c r="B131" s="2" t="str">
        <f>IFERROR(__xludf.DUMMYFUNCTION("""COMPUTED_VALUE"""),"VD034")</f>
        <v>VD034</v>
      </c>
      <c r="C131" s="2">
        <f>IFERROR(__xludf.DUMMYFUNCTION("""COMPUTED_VALUE"""),18.0)</f>
        <v>18</v>
      </c>
      <c r="D131" s="2">
        <f>IFERROR(__xludf.DUMMYFUNCTION("""COMPUTED_VALUE"""),3888.0)</f>
        <v>3888</v>
      </c>
    </row>
    <row r="132">
      <c r="A132" s="2" t="str">
        <f>IFERROR(__xludf.DUMMYFUNCTION("""COMPUTED_VALUE"""),"PR031")</f>
        <v>PR031</v>
      </c>
      <c r="B132" s="2" t="str">
        <f>IFERROR(__xludf.DUMMYFUNCTION("""COMPUTED_VALUE"""),"VD039")</f>
        <v>VD039</v>
      </c>
      <c r="C132" s="2">
        <f>IFERROR(__xludf.DUMMYFUNCTION("""COMPUTED_VALUE"""),9.0)</f>
        <v>9</v>
      </c>
      <c r="D132" s="2">
        <f>IFERROR(__xludf.DUMMYFUNCTION("""COMPUTED_VALUE"""),2557.8)</f>
        <v>2557.8</v>
      </c>
    </row>
    <row r="133">
      <c r="A133" s="2" t="str">
        <f>IFERROR(__xludf.DUMMYFUNCTION("""COMPUTED_VALUE"""),"PR059")</f>
        <v>PR059</v>
      </c>
      <c r="B133" s="2" t="str">
        <f>IFERROR(__xludf.DUMMYFUNCTION("""COMPUTED_VALUE"""),"VD036")</f>
        <v>VD036</v>
      </c>
      <c r="C133" s="2">
        <f>IFERROR(__xludf.DUMMYFUNCTION("""COMPUTED_VALUE"""),15.0)</f>
        <v>15</v>
      </c>
      <c r="D133" s="2">
        <f>IFERROR(__xludf.DUMMYFUNCTION("""COMPUTED_VALUE"""),2997.0)</f>
        <v>2997</v>
      </c>
    </row>
    <row r="134">
      <c r="A134" s="2" t="str">
        <f>IFERROR(__xludf.DUMMYFUNCTION("""COMPUTED_VALUE"""),"PR058")</f>
        <v>PR058</v>
      </c>
      <c r="B134" s="2" t="str">
        <f>IFERROR(__xludf.DUMMYFUNCTION("""COMPUTED_VALUE"""),"VD027")</f>
        <v>VD027</v>
      </c>
      <c r="C134" s="2">
        <f>IFERROR(__xludf.DUMMYFUNCTION("""COMPUTED_VALUE"""),15.0)</f>
        <v>15</v>
      </c>
      <c r="D134" s="2">
        <f>IFERROR(__xludf.DUMMYFUNCTION("""COMPUTED_VALUE"""),3186.0)</f>
        <v>3186</v>
      </c>
    </row>
    <row r="135">
      <c r="A135" s="2" t="str">
        <f>IFERROR(__xludf.DUMMYFUNCTION("""COMPUTED_VALUE"""),"PR005")</f>
        <v>PR005</v>
      </c>
      <c r="B135" s="2" t="str">
        <f>IFERROR(__xludf.DUMMYFUNCTION("""COMPUTED_VALUE"""),"VD036")</f>
        <v>VD036</v>
      </c>
      <c r="C135" s="2">
        <f>IFERROR(__xludf.DUMMYFUNCTION("""COMPUTED_VALUE"""),27.0)</f>
        <v>27</v>
      </c>
      <c r="D135" s="2">
        <f>IFERROR(__xludf.DUMMYFUNCTION("""COMPUTED_VALUE"""),7929.55)</f>
        <v>7929.55</v>
      </c>
    </row>
    <row r="136">
      <c r="A136" s="2" t="str">
        <f>IFERROR(__xludf.DUMMYFUNCTION("""COMPUTED_VALUE"""),"PR017")</f>
        <v>PR017</v>
      </c>
      <c r="B136" s="2" t="str">
        <f>IFERROR(__xludf.DUMMYFUNCTION("""COMPUTED_VALUE"""),"VD022")</f>
        <v>VD022</v>
      </c>
      <c r="C136" s="2">
        <f>IFERROR(__xludf.DUMMYFUNCTION("""COMPUTED_VALUE"""),18.0)</f>
        <v>18</v>
      </c>
      <c r="D136" s="2">
        <f>IFERROR(__xludf.DUMMYFUNCTION("""COMPUTED_VALUE"""),592.02)</f>
        <v>592.02</v>
      </c>
    </row>
    <row r="137">
      <c r="A137" s="2" t="str">
        <f>IFERROR(__xludf.DUMMYFUNCTION("""COMPUTED_VALUE"""),"PR005")</f>
        <v>PR005</v>
      </c>
      <c r="B137" s="2" t="str">
        <f>IFERROR(__xludf.DUMMYFUNCTION("""COMPUTED_VALUE"""),"VD047")</f>
        <v>VD047</v>
      </c>
      <c r="C137" s="2">
        <f>IFERROR(__xludf.DUMMYFUNCTION("""COMPUTED_VALUE"""),15.0)</f>
        <v>15</v>
      </c>
      <c r="D137" s="2">
        <f>IFERROR(__xludf.DUMMYFUNCTION("""COMPUTED_VALUE"""),4561.25)</f>
        <v>4561.25</v>
      </c>
    </row>
    <row r="138">
      <c r="A138" s="2" t="str">
        <f>IFERROR(__xludf.DUMMYFUNCTION("""COMPUTED_VALUE"""),"PR015")</f>
        <v>PR015</v>
      </c>
      <c r="B138" s="2" t="str">
        <f>IFERROR(__xludf.DUMMYFUNCTION("""COMPUTED_VALUE"""),"VD022")</f>
        <v>VD022</v>
      </c>
      <c r="C138" s="2">
        <f>IFERROR(__xludf.DUMMYFUNCTION("""COMPUTED_VALUE"""),6.0)</f>
        <v>6</v>
      </c>
      <c r="D138" s="2">
        <f>IFERROR(__xludf.DUMMYFUNCTION("""COMPUTED_VALUE"""),306.0)</f>
        <v>306</v>
      </c>
    </row>
    <row r="139">
      <c r="A139" s="2" t="str">
        <f>IFERROR(__xludf.DUMMYFUNCTION("""COMPUTED_VALUE"""),"PR010")</f>
        <v>PR010</v>
      </c>
      <c r="B139" s="2" t="str">
        <f>IFERROR(__xludf.DUMMYFUNCTION("""COMPUTED_VALUE"""),"VD013")</f>
        <v>VD013</v>
      </c>
      <c r="C139" s="2">
        <f>IFERROR(__xludf.DUMMYFUNCTION("""COMPUTED_VALUE"""),8.0)</f>
        <v>8</v>
      </c>
      <c r="D139" s="2">
        <f>IFERROR(__xludf.DUMMYFUNCTION("""COMPUTED_VALUE"""),423.86)</f>
        <v>423.86</v>
      </c>
    </row>
    <row r="140">
      <c r="A140" s="2" t="str">
        <f>IFERROR(__xludf.DUMMYFUNCTION("""COMPUTED_VALUE"""),"PR057")</f>
        <v>PR057</v>
      </c>
      <c r="B140" s="2" t="str">
        <f>IFERROR(__xludf.DUMMYFUNCTION("""COMPUTED_VALUE"""),"VD023")</f>
        <v>VD023</v>
      </c>
      <c r="C140" s="2">
        <f>IFERROR(__xludf.DUMMYFUNCTION("""COMPUTED_VALUE"""),27.0)</f>
        <v>27</v>
      </c>
      <c r="D140" s="2">
        <f>IFERROR(__xludf.DUMMYFUNCTION("""COMPUTED_VALUE"""),2670.03)</f>
        <v>2670.03</v>
      </c>
    </row>
    <row r="141">
      <c r="A141" s="2" t="str">
        <f>IFERROR(__xludf.DUMMYFUNCTION("""COMPUTED_VALUE"""),"PR024")</f>
        <v>PR024</v>
      </c>
      <c r="B141" s="2" t="str">
        <f>IFERROR(__xludf.DUMMYFUNCTION("""COMPUTED_VALUE"""),"VD048")</f>
        <v>VD048</v>
      </c>
      <c r="C141" s="2">
        <f>IFERROR(__xludf.DUMMYFUNCTION("""COMPUTED_VALUE"""),16.0)</f>
        <v>16</v>
      </c>
      <c r="D141" s="2">
        <f>IFERROR(__xludf.DUMMYFUNCTION("""COMPUTED_VALUE"""),4823.74)</f>
        <v>4823.74</v>
      </c>
    </row>
    <row r="142">
      <c r="A142" s="2" t="str">
        <f>IFERROR(__xludf.DUMMYFUNCTION("""COMPUTED_VALUE"""),"PR050")</f>
        <v>PR050</v>
      </c>
      <c r="B142" s="2" t="str">
        <f>IFERROR(__xludf.DUMMYFUNCTION("""COMPUTED_VALUE"""),"VD019")</f>
        <v>VD019</v>
      </c>
      <c r="C142" s="2">
        <f>IFERROR(__xludf.DUMMYFUNCTION("""COMPUTED_VALUE"""),18.0)</f>
        <v>18</v>
      </c>
      <c r="D142" s="2">
        <f>IFERROR(__xludf.DUMMYFUNCTION("""COMPUTED_VALUE"""),681.03)</f>
        <v>681.03</v>
      </c>
    </row>
    <row r="143">
      <c r="A143" s="2" t="str">
        <f>IFERROR(__xludf.DUMMYFUNCTION("""COMPUTED_VALUE"""),"PR012")</f>
        <v>PR012</v>
      </c>
      <c r="B143" s="2" t="str">
        <f>IFERROR(__xludf.DUMMYFUNCTION("""COMPUTED_VALUE"""),"VD028")</f>
        <v>VD028</v>
      </c>
      <c r="C143" s="2">
        <f>IFERROR(__xludf.DUMMYFUNCTION("""COMPUTED_VALUE"""),12.0)</f>
        <v>12</v>
      </c>
      <c r="D143" s="2">
        <f>IFERROR(__xludf.DUMMYFUNCTION("""COMPUTED_VALUE"""),692.42)</f>
        <v>692.42</v>
      </c>
    </row>
    <row r="144">
      <c r="A144" s="2" t="str">
        <f>IFERROR(__xludf.DUMMYFUNCTION("""COMPUTED_VALUE"""),"PR010")</f>
        <v>PR010</v>
      </c>
      <c r="B144" s="2" t="str">
        <f>IFERROR(__xludf.DUMMYFUNCTION("""COMPUTED_VALUE"""),"VD011")</f>
        <v>VD011</v>
      </c>
      <c r="C144" s="2">
        <f>IFERROR(__xludf.DUMMYFUNCTION("""COMPUTED_VALUE"""),12.0)</f>
        <v>12</v>
      </c>
      <c r="D144" s="2">
        <f>IFERROR(__xludf.DUMMYFUNCTION("""COMPUTED_VALUE"""),646.56)</f>
        <v>646.56</v>
      </c>
    </row>
    <row r="145">
      <c r="A145" s="2" t="str">
        <f>IFERROR(__xludf.DUMMYFUNCTION("""COMPUTED_VALUE"""),"PR054")</f>
        <v>PR054</v>
      </c>
      <c r="B145" s="2" t="str">
        <f>IFERROR(__xludf.DUMMYFUNCTION("""COMPUTED_VALUE"""),"VD033")</f>
        <v>VD033</v>
      </c>
      <c r="C145" s="2">
        <f>IFERROR(__xludf.DUMMYFUNCTION("""COMPUTED_VALUE"""),20.0)</f>
        <v>20</v>
      </c>
      <c r="D145" s="2">
        <f>IFERROR(__xludf.DUMMYFUNCTION("""COMPUTED_VALUE"""),1147.7)</f>
        <v>1147.7</v>
      </c>
    </row>
    <row r="146">
      <c r="A146" s="2" t="str">
        <f>IFERROR(__xludf.DUMMYFUNCTION("""COMPUTED_VALUE"""),"PR007")</f>
        <v>PR007</v>
      </c>
      <c r="B146" s="2" t="str">
        <f>IFERROR(__xludf.DUMMYFUNCTION("""COMPUTED_VALUE"""),"VD031")</f>
        <v>VD031</v>
      </c>
      <c r="C146" s="2">
        <f>IFERROR(__xludf.DUMMYFUNCTION("""COMPUTED_VALUE"""),20.0)</f>
        <v>20</v>
      </c>
      <c r="D146" s="2">
        <f>IFERROR(__xludf.DUMMYFUNCTION("""COMPUTED_VALUE"""),1924.16)</f>
        <v>1924.16</v>
      </c>
    </row>
    <row r="147">
      <c r="A147" s="2" t="str">
        <f>IFERROR(__xludf.DUMMYFUNCTION("""COMPUTED_VALUE"""),"PR057")</f>
        <v>PR057</v>
      </c>
      <c r="B147" s="2" t="str">
        <f>IFERROR(__xludf.DUMMYFUNCTION("""COMPUTED_VALUE"""),"VD031")</f>
        <v>VD031</v>
      </c>
      <c r="C147" s="2">
        <f>IFERROR(__xludf.DUMMYFUNCTION("""COMPUTED_VALUE"""),30.0)</f>
        <v>30</v>
      </c>
      <c r="D147" s="2">
        <f>IFERROR(__xludf.DUMMYFUNCTION("""COMPUTED_VALUE"""),3020.64)</f>
        <v>3020.64</v>
      </c>
    </row>
    <row r="148">
      <c r="A148" s="2" t="str">
        <f>IFERROR(__xludf.DUMMYFUNCTION("""COMPUTED_VALUE"""),"PR020")</f>
        <v>PR020</v>
      </c>
      <c r="B148" s="2" t="str">
        <f>IFERROR(__xludf.DUMMYFUNCTION("""COMPUTED_VALUE"""),"VD040")</f>
        <v>VD040</v>
      </c>
      <c r="C148" s="2">
        <f>IFERROR(__xludf.DUMMYFUNCTION("""COMPUTED_VALUE"""),18.0)</f>
        <v>18</v>
      </c>
      <c r="D148" s="2">
        <f>IFERROR(__xludf.DUMMYFUNCTION("""COMPUTED_VALUE"""),5938.02)</f>
        <v>5938.02</v>
      </c>
    </row>
    <row r="149">
      <c r="A149" s="2" t="str">
        <f>IFERROR(__xludf.DUMMYFUNCTION("""COMPUTED_VALUE"""),"PR053")</f>
        <v>PR053</v>
      </c>
      <c r="B149" s="2" t="str">
        <f>IFERROR(__xludf.DUMMYFUNCTION("""COMPUTED_VALUE"""),"VD019")</f>
        <v>VD019</v>
      </c>
      <c r="C149" s="2">
        <f>IFERROR(__xludf.DUMMYFUNCTION("""COMPUTED_VALUE"""),12.0)</f>
        <v>12</v>
      </c>
      <c r="D149" s="2">
        <f>IFERROR(__xludf.DUMMYFUNCTION("""COMPUTED_VALUE"""),670.66)</f>
        <v>670.66</v>
      </c>
    </row>
    <row r="150">
      <c r="A150" s="2" t="str">
        <f>IFERROR(__xludf.DUMMYFUNCTION("""COMPUTED_VALUE"""),"PR049")</f>
        <v>PR049</v>
      </c>
      <c r="B150" s="2" t="str">
        <f>IFERROR(__xludf.DUMMYFUNCTION("""COMPUTED_VALUE"""),"VD016")</f>
        <v>VD016</v>
      </c>
      <c r="C150" s="2">
        <f>IFERROR(__xludf.DUMMYFUNCTION("""COMPUTED_VALUE"""),21.0)</f>
        <v>21</v>
      </c>
      <c r="D150" s="2">
        <f>IFERROR(__xludf.DUMMYFUNCTION("""COMPUTED_VALUE"""),766.9)</f>
        <v>766.9</v>
      </c>
    </row>
    <row r="151">
      <c r="A151" s="2" t="str">
        <f>IFERROR(__xludf.DUMMYFUNCTION("""COMPUTED_VALUE"""),"PR026")</f>
        <v>PR026</v>
      </c>
      <c r="B151" s="2" t="str">
        <f>IFERROR(__xludf.DUMMYFUNCTION("""COMPUTED_VALUE"""),"VD018")</f>
        <v>VD018</v>
      </c>
      <c r="C151" s="2">
        <f>IFERROR(__xludf.DUMMYFUNCTION("""COMPUTED_VALUE"""),9.0)</f>
        <v>9</v>
      </c>
      <c r="D151" s="2">
        <f>IFERROR(__xludf.DUMMYFUNCTION("""COMPUTED_VALUE"""),3589.97)</f>
        <v>3589.97</v>
      </c>
    </row>
    <row r="152">
      <c r="A152" s="2" t="str">
        <f>IFERROR(__xludf.DUMMYFUNCTION("""COMPUTED_VALUE"""),"PR055")</f>
        <v>PR055</v>
      </c>
      <c r="B152" s="2" t="str">
        <f>IFERROR(__xludf.DUMMYFUNCTION("""COMPUTED_VALUE"""),"VD045")</f>
        <v>VD045</v>
      </c>
      <c r="C152" s="2">
        <f>IFERROR(__xludf.DUMMYFUNCTION("""COMPUTED_VALUE"""),27.0)</f>
        <v>27</v>
      </c>
      <c r="D152" s="2">
        <f>IFERROR(__xludf.DUMMYFUNCTION("""COMPUTED_VALUE"""),2815.67)</f>
        <v>2815.67</v>
      </c>
    </row>
    <row r="153">
      <c r="A153" s="2" t="str">
        <f>IFERROR(__xludf.DUMMYFUNCTION("""COMPUTED_VALUE"""),"PR016")</f>
        <v>PR016</v>
      </c>
      <c r="B153" s="2" t="str">
        <f>IFERROR(__xludf.DUMMYFUNCTION("""COMPUTED_VALUE"""),"VD041")</f>
        <v>VD041</v>
      </c>
      <c r="C153" s="2">
        <f>IFERROR(__xludf.DUMMYFUNCTION("""COMPUTED_VALUE"""),30.0)</f>
        <v>30</v>
      </c>
      <c r="D153" s="2">
        <f>IFERROR(__xludf.DUMMYFUNCTION("""COMPUTED_VALUE"""),901.32)</f>
        <v>901.32</v>
      </c>
    </row>
    <row r="154">
      <c r="A154" s="2" t="str">
        <f>IFERROR(__xludf.DUMMYFUNCTION("""COMPUTED_VALUE"""),"PR002")</f>
        <v>PR002</v>
      </c>
      <c r="B154" s="2" t="str">
        <f>IFERROR(__xludf.DUMMYFUNCTION("""COMPUTED_VALUE"""),"VD018")</f>
        <v>VD018</v>
      </c>
      <c r="C154" s="2">
        <f>IFERROR(__xludf.DUMMYFUNCTION("""COMPUTED_VALUE"""),18.0)</f>
        <v>18</v>
      </c>
      <c r="D154" s="2">
        <f>IFERROR(__xludf.DUMMYFUNCTION("""COMPUTED_VALUE"""),1421.77)</f>
        <v>1421.77</v>
      </c>
    </row>
    <row r="155">
      <c r="A155" s="2" t="str">
        <f>IFERROR(__xludf.DUMMYFUNCTION("""COMPUTED_VALUE"""),"PR021")</f>
        <v>PR021</v>
      </c>
      <c r="B155" s="2" t="str">
        <f>IFERROR(__xludf.DUMMYFUNCTION("""COMPUTED_VALUE"""),"VD013")</f>
        <v>VD013</v>
      </c>
      <c r="C155" s="2">
        <f>IFERROR(__xludf.DUMMYFUNCTION("""COMPUTED_VALUE"""),20.0)</f>
        <v>20</v>
      </c>
      <c r="D155" s="2">
        <f>IFERROR(__xludf.DUMMYFUNCTION("""COMPUTED_VALUE"""),7209.02)</f>
        <v>7209.02</v>
      </c>
    </row>
    <row r="156">
      <c r="A156" s="2" t="str">
        <f>IFERROR(__xludf.DUMMYFUNCTION("""COMPUTED_VALUE"""),"PR042")</f>
        <v>PR042</v>
      </c>
      <c r="B156" s="2" t="str">
        <f>IFERROR(__xludf.DUMMYFUNCTION("""COMPUTED_VALUE"""),"VD046")</f>
        <v>VD046</v>
      </c>
      <c r="C156" s="2">
        <f>IFERROR(__xludf.DUMMYFUNCTION("""COMPUTED_VALUE"""),30.0)</f>
        <v>30</v>
      </c>
      <c r="D156" s="2">
        <f>IFERROR(__xludf.DUMMYFUNCTION("""COMPUTED_VALUE"""),1811.7)</f>
        <v>1811.7</v>
      </c>
    </row>
    <row r="157">
      <c r="A157" s="2" t="str">
        <f>IFERROR(__xludf.DUMMYFUNCTION("""COMPUTED_VALUE"""),"PR015")</f>
        <v>PR015</v>
      </c>
      <c r="B157" s="2" t="str">
        <f>IFERROR(__xludf.DUMMYFUNCTION("""COMPUTED_VALUE"""),"VD026")</f>
        <v>VD026</v>
      </c>
      <c r="C157" s="2">
        <f>IFERROR(__xludf.DUMMYFUNCTION("""COMPUTED_VALUE"""),24.0)</f>
        <v>24</v>
      </c>
      <c r="D157" s="2">
        <f>IFERROR(__xludf.DUMMYFUNCTION("""COMPUTED_VALUE"""),1183.2)</f>
        <v>1183.2</v>
      </c>
    </row>
    <row r="158">
      <c r="A158" s="2" t="str">
        <f>IFERROR(__xludf.DUMMYFUNCTION("""COMPUTED_VALUE"""),"PR015")</f>
        <v>PR015</v>
      </c>
      <c r="B158" s="2" t="str">
        <f>IFERROR(__xludf.DUMMYFUNCTION("""COMPUTED_VALUE"""),"VD044")</f>
        <v>VD044</v>
      </c>
      <c r="C158" s="2">
        <f>IFERROR(__xludf.DUMMYFUNCTION("""COMPUTED_VALUE"""),18.0)</f>
        <v>18</v>
      </c>
      <c r="D158" s="2">
        <f>IFERROR(__xludf.DUMMYFUNCTION("""COMPUTED_VALUE"""),918.0)</f>
        <v>918</v>
      </c>
    </row>
    <row r="159">
      <c r="A159" s="2" t="str">
        <f>IFERROR(__xludf.DUMMYFUNCTION("""COMPUTED_VALUE"""),"PR036")</f>
        <v>PR036</v>
      </c>
      <c r="B159" s="2" t="str">
        <f>IFERROR(__xludf.DUMMYFUNCTION("""COMPUTED_VALUE"""),"VD035")</f>
        <v>VD035</v>
      </c>
      <c r="C159" s="2">
        <f>IFERROR(__xludf.DUMMYFUNCTION("""COMPUTED_VALUE"""),20.0)</f>
        <v>20</v>
      </c>
      <c r="D159" s="2">
        <f>IFERROR(__xludf.DUMMYFUNCTION("""COMPUTED_VALUE"""),2187.9)</f>
        <v>2187.9</v>
      </c>
    </row>
    <row r="160">
      <c r="A160" s="2" t="str">
        <f>IFERROR(__xludf.DUMMYFUNCTION("""COMPUTED_VALUE"""),"PR029")</f>
        <v>PR029</v>
      </c>
      <c r="B160" s="2" t="str">
        <f>IFERROR(__xludf.DUMMYFUNCTION("""COMPUTED_VALUE"""),"VD040")</f>
        <v>VD040</v>
      </c>
      <c r="C160" s="2">
        <f>IFERROR(__xludf.DUMMYFUNCTION("""COMPUTED_VALUE"""),12.0)</f>
        <v>12</v>
      </c>
      <c r="D160" s="2">
        <f>IFERROR(__xludf.DUMMYFUNCTION("""COMPUTED_VALUE"""),3610.8)</f>
        <v>3610.8</v>
      </c>
    </row>
    <row r="161">
      <c r="A161" s="2" t="str">
        <f>IFERROR(__xludf.DUMMYFUNCTION("""COMPUTED_VALUE"""),"PR050")</f>
        <v>PR050</v>
      </c>
      <c r="B161" s="2" t="str">
        <f>IFERROR(__xludf.DUMMYFUNCTION("""COMPUTED_VALUE"""),"VD011")</f>
        <v>VD011</v>
      </c>
      <c r="C161" s="2">
        <f>IFERROR(__xludf.DUMMYFUNCTION("""COMPUTED_VALUE"""),18.0)</f>
        <v>18</v>
      </c>
      <c r="D161" s="2">
        <f>IFERROR(__xludf.DUMMYFUNCTION("""COMPUTED_VALUE"""),651.42)</f>
        <v>651.42</v>
      </c>
    </row>
    <row r="162">
      <c r="A162" s="2" t="str">
        <f>IFERROR(__xludf.DUMMYFUNCTION("""COMPUTED_VALUE"""),"PR034")</f>
        <v>PR034</v>
      </c>
      <c r="B162" s="2" t="str">
        <f>IFERROR(__xludf.DUMMYFUNCTION("""COMPUTED_VALUE"""),"VD018")</f>
        <v>VD018</v>
      </c>
      <c r="C162" s="2">
        <f>IFERROR(__xludf.DUMMYFUNCTION("""COMPUTED_VALUE"""),9.0)</f>
        <v>9</v>
      </c>
      <c r="D162" s="2">
        <f>IFERROR(__xludf.DUMMYFUNCTION("""COMPUTED_VALUE"""),954.74)</f>
        <v>954.74</v>
      </c>
    </row>
    <row r="163">
      <c r="A163" s="2" t="str">
        <f>IFERROR(__xludf.DUMMYFUNCTION("""COMPUTED_VALUE"""),"PR027")</f>
        <v>PR027</v>
      </c>
      <c r="B163" s="2" t="str">
        <f>IFERROR(__xludf.DUMMYFUNCTION("""COMPUTED_VALUE"""),"VD016")</f>
        <v>VD016</v>
      </c>
      <c r="C163" s="2">
        <f>IFERROR(__xludf.DUMMYFUNCTION("""COMPUTED_VALUE"""),10.0)</f>
        <v>10</v>
      </c>
      <c r="D163" s="2">
        <f>IFERROR(__xludf.DUMMYFUNCTION("""COMPUTED_VALUE"""),1428.0)</f>
        <v>1428</v>
      </c>
    </row>
    <row r="164">
      <c r="A164" s="2" t="str">
        <f>IFERROR(__xludf.DUMMYFUNCTION("""COMPUTED_VALUE"""),"PR015")</f>
        <v>PR015</v>
      </c>
      <c r="B164" s="2" t="str">
        <f>IFERROR(__xludf.DUMMYFUNCTION("""COMPUTED_VALUE"""),"VD043")</f>
        <v>VD043</v>
      </c>
      <c r="C164" s="2">
        <f>IFERROR(__xludf.DUMMYFUNCTION("""COMPUTED_VALUE"""),18.0)</f>
        <v>18</v>
      </c>
      <c r="D164" s="2">
        <f>IFERROR(__xludf.DUMMYFUNCTION("""COMPUTED_VALUE"""),872.1)</f>
        <v>872.1</v>
      </c>
    </row>
    <row r="165">
      <c r="A165" s="2" t="str">
        <f>IFERROR(__xludf.DUMMYFUNCTION("""COMPUTED_VALUE"""),"PR003")</f>
        <v>PR003</v>
      </c>
      <c r="B165" s="2" t="str">
        <f>IFERROR(__xludf.DUMMYFUNCTION("""COMPUTED_VALUE"""),"VD031")</f>
        <v>VD031</v>
      </c>
      <c r="C165" s="2">
        <f>IFERROR(__xludf.DUMMYFUNCTION("""COMPUTED_VALUE"""),9.0)</f>
        <v>9</v>
      </c>
      <c r="D165" s="2">
        <f>IFERROR(__xludf.DUMMYFUNCTION("""COMPUTED_VALUE"""),708.29)</f>
        <v>708.29</v>
      </c>
    </row>
    <row r="166">
      <c r="A166" s="2" t="str">
        <f>IFERROR(__xludf.DUMMYFUNCTION("""COMPUTED_VALUE"""),"PR026")</f>
        <v>PR026</v>
      </c>
      <c r="B166" s="2" t="str">
        <f>IFERROR(__xludf.DUMMYFUNCTION("""COMPUTED_VALUE"""),"VD032")</f>
        <v>VD032</v>
      </c>
      <c r="C166" s="2">
        <f>IFERROR(__xludf.DUMMYFUNCTION("""COMPUTED_VALUE"""),10.0)</f>
        <v>10</v>
      </c>
      <c r="D166" s="2">
        <f>IFERROR(__xludf.DUMMYFUNCTION("""COMPUTED_VALUE"""),4128.82)</f>
        <v>4128.82</v>
      </c>
    </row>
    <row r="167">
      <c r="A167" s="2" t="str">
        <f>IFERROR(__xludf.DUMMYFUNCTION("""COMPUTED_VALUE"""),"PR006")</f>
        <v>PR006</v>
      </c>
      <c r="B167" s="2" t="str">
        <f>IFERROR(__xludf.DUMMYFUNCTION("""COMPUTED_VALUE"""),"VD017")</f>
        <v>VD017</v>
      </c>
      <c r="C167" s="2">
        <f>IFERROR(__xludf.DUMMYFUNCTION("""COMPUTED_VALUE"""),16.0)</f>
        <v>16</v>
      </c>
      <c r="D167" s="2">
        <f>IFERROR(__xludf.DUMMYFUNCTION("""COMPUTED_VALUE"""),766.08)</f>
        <v>766.08</v>
      </c>
    </row>
    <row r="168">
      <c r="A168" s="2" t="str">
        <f>IFERROR(__xludf.DUMMYFUNCTION("""COMPUTED_VALUE"""),"PR050")</f>
        <v>PR050</v>
      </c>
      <c r="B168" s="2" t="str">
        <f>IFERROR(__xludf.DUMMYFUNCTION("""COMPUTED_VALUE"""),"VD015")</f>
        <v>VD015</v>
      </c>
      <c r="C168" s="2">
        <f>IFERROR(__xludf.DUMMYFUNCTION("""COMPUTED_VALUE"""),27.0)</f>
        <v>27</v>
      </c>
      <c r="D168" s="2">
        <f>IFERROR(__xludf.DUMMYFUNCTION("""COMPUTED_VALUE"""),1012.66)</f>
        <v>1012.66</v>
      </c>
    </row>
    <row r="169">
      <c r="A169" s="2" t="str">
        <f>IFERROR(__xludf.DUMMYFUNCTION("""COMPUTED_VALUE"""),"PR009")</f>
        <v>PR009</v>
      </c>
      <c r="B169" s="2" t="str">
        <f>IFERROR(__xludf.DUMMYFUNCTION("""COMPUTED_VALUE"""),"VD040")</f>
        <v>VD040</v>
      </c>
      <c r="C169" s="2">
        <f>IFERROR(__xludf.DUMMYFUNCTION("""COMPUTED_VALUE"""),30.0)</f>
        <v>30</v>
      </c>
      <c r="D169" s="2">
        <f>IFERROR(__xludf.DUMMYFUNCTION("""COMPUTED_VALUE"""),3065.7)</f>
        <v>3065.7</v>
      </c>
    </row>
    <row r="170">
      <c r="A170" s="2" t="str">
        <f>IFERROR(__xludf.DUMMYFUNCTION("""COMPUTED_VALUE"""),"PR013")</f>
        <v>PR013</v>
      </c>
      <c r="B170" s="2" t="str">
        <f>IFERROR(__xludf.DUMMYFUNCTION("""COMPUTED_VALUE"""),"VD021")</f>
        <v>VD021</v>
      </c>
      <c r="C170" s="2">
        <f>IFERROR(__xludf.DUMMYFUNCTION("""COMPUTED_VALUE"""),15.0)</f>
        <v>15</v>
      </c>
      <c r="D170" s="2">
        <f>IFERROR(__xludf.DUMMYFUNCTION("""COMPUTED_VALUE"""),706.23)</f>
        <v>706.23</v>
      </c>
    </row>
    <row r="171">
      <c r="A171" s="2" t="str">
        <f>IFERROR(__xludf.DUMMYFUNCTION("""COMPUTED_VALUE"""),"PR049")</f>
        <v>PR049</v>
      </c>
      <c r="B171" s="2" t="str">
        <f>IFERROR(__xludf.DUMMYFUNCTION("""COMPUTED_VALUE"""),"VD049")</f>
        <v>VD049</v>
      </c>
      <c r="C171" s="2">
        <f>IFERROR(__xludf.DUMMYFUNCTION("""COMPUTED_VALUE"""),21.0)</f>
        <v>21</v>
      </c>
      <c r="D171" s="2">
        <f>IFERROR(__xludf.DUMMYFUNCTION("""COMPUTED_VALUE"""),759.99)</f>
        <v>759.99</v>
      </c>
    </row>
    <row r="172">
      <c r="A172" s="2" t="str">
        <f>IFERROR(__xludf.DUMMYFUNCTION("""COMPUTED_VALUE"""),"PR004")</f>
        <v>PR004</v>
      </c>
      <c r="B172" s="2" t="str">
        <f>IFERROR(__xludf.DUMMYFUNCTION("""COMPUTED_VALUE"""),"VD035")</f>
        <v>VD035</v>
      </c>
      <c r="C172" s="2">
        <f>IFERROR(__xludf.DUMMYFUNCTION("""COMPUTED_VALUE"""),18.0)</f>
        <v>18</v>
      </c>
      <c r="D172" s="2">
        <f>IFERROR(__xludf.DUMMYFUNCTION("""COMPUTED_VALUE"""),2923.2)</f>
        <v>2923.2</v>
      </c>
    </row>
    <row r="173">
      <c r="A173" s="2" t="str">
        <f>IFERROR(__xludf.DUMMYFUNCTION("""COMPUTED_VALUE"""),"PR046")</f>
        <v>PR046</v>
      </c>
      <c r="B173" s="2" t="str">
        <f>IFERROR(__xludf.DUMMYFUNCTION("""COMPUTED_VALUE"""),"VD019")</f>
        <v>VD019</v>
      </c>
      <c r="C173" s="2">
        <f>IFERROR(__xludf.DUMMYFUNCTION("""COMPUTED_VALUE"""),20.0)</f>
        <v>20</v>
      </c>
      <c r="D173" s="2">
        <f>IFERROR(__xludf.DUMMYFUNCTION("""COMPUTED_VALUE"""),6725.68)</f>
        <v>6725.68</v>
      </c>
    </row>
    <row r="174">
      <c r="A174" s="2" t="str">
        <f>IFERROR(__xludf.DUMMYFUNCTION("""COMPUTED_VALUE"""),"PR047")</f>
        <v>PR047</v>
      </c>
      <c r="B174" s="2" t="str">
        <f>IFERROR(__xludf.DUMMYFUNCTION("""COMPUTED_VALUE"""),"VD046")</f>
        <v>VD046</v>
      </c>
      <c r="C174" s="2">
        <f>IFERROR(__xludf.DUMMYFUNCTION("""COMPUTED_VALUE"""),27.0)</f>
        <v>27</v>
      </c>
      <c r="D174" s="2">
        <f>IFERROR(__xludf.DUMMYFUNCTION("""COMPUTED_VALUE"""),8844.85)</f>
        <v>8844.85</v>
      </c>
    </row>
    <row r="175">
      <c r="A175" s="2" t="str">
        <f>IFERROR(__xludf.DUMMYFUNCTION("""COMPUTED_VALUE"""),"PR054")</f>
        <v>PR054</v>
      </c>
      <c r="B175" s="2" t="str">
        <f>IFERROR(__xludf.DUMMYFUNCTION("""COMPUTED_VALUE"""),"VD019")</f>
        <v>VD019</v>
      </c>
      <c r="C175" s="2">
        <f>IFERROR(__xludf.DUMMYFUNCTION("""COMPUTED_VALUE"""),18.0)</f>
        <v>18</v>
      </c>
      <c r="D175" s="2">
        <f>IFERROR(__xludf.DUMMYFUNCTION("""COMPUTED_VALUE"""),1077.84)</f>
        <v>1077.84</v>
      </c>
    </row>
    <row r="176">
      <c r="A176" s="2" t="str">
        <f>IFERROR(__xludf.DUMMYFUNCTION("""COMPUTED_VALUE"""),"PR041")</f>
        <v>PR041</v>
      </c>
      <c r="B176" s="2" t="str">
        <f>IFERROR(__xludf.DUMMYFUNCTION("""COMPUTED_VALUE"""),"VD033")</f>
        <v>VD033</v>
      </c>
      <c r="C176" s="2">
        <f>IFERROR(__xludf.DUMMYFUNCTION("""COMPUTED_VALUE"""),27.0)</f>
        <v>27</v>
      </c>
      <c r="D176" s="2">
        <f>IFERROR(__xludf.DUMMYFUNCTION("""COMPUTED_VALUE"""),1778.76)</f>
        <v>1778.76</v>
      </c>
    </row>
    <row r="177">
      <c r="A177" s="2" t="str">
        <f>IFERROR(__xludf.DUMMYFUNCTION("""COMPUTED_VALUE"""),"PR024")</f>
        <v>PR024</v>
      </c>
      <c r="B177" s="2" t="str">
        <f>IFERROR(__xludf.DUMMYFUNCTION("""COMPUTED_VALUE"""),"VD018")</f>
        <v>VD018</v>
      </c>
      <c r="C177" s="2">
        <f>IFERROR(__xludf.DUMMYFUNCTION("""COMPUTED_VALUE"""),8.0)</f>
        <v>8</v>
      </c>
      <c r="D177" s="2">
        <f>IFERROR(__xludf.DUMMYFUNCTION("""COMPUTED_VALUE"""),2453.46)</f>
        <v>2453.46</v>
      </c>
    </row>
    <row r="178">
      <c r="A178" s="2" t="str">
        <f>IFERROR(__xludf.DUMMYFUNCTION("""COMPUTED_VALUE"""),"PR024")</f>
        <v>PR024</v>
      </c>
      <c r="B178" s="2" t="str">
        <f>IFERROR(__xludf.DUMMYFUNCTION("""COMPUTED_VALUE"""),"VD048")</f>
        <v>VD048</v>
      </c>
      <c r="C178" s="2">
        <f>IFERROR(__xludf.DUMMYFUNCTION("""COMPUTED_VALUE"""),15.0)</f>
        <v>15</v>
      </c>
      <c r="D178" s="2">
        <f>IFERROR(__xludf.DUMMYFUNCTION("""COMPUTED_VALUE"""),4678.2)</f>
        <v>4678.2</v>
      </c>
    </row>
    <row r="179">
      <c r="A179" s="2" t="str">
        <f>IFERROR(__xludf.DUMMYFUNCTION("""COMPUTED_VALUE"""),"PR039")</f>
        <v>PR039</v>
      </c>
      <c r="B179" s="2" t="str">
        <f>IFERROR(__xludf.DUMMYFUNCTION("""COMPUTED_VALUE"""),"VD015")</f>
        <v>VD015</v>
      </c>
      <c r="C179" s="2">
        <f>IFERROR(__xludf.DUMMYFUNCTION("""COMPUTED_VALUE"""),15.0)</f>
        <v>15</v>
      </c>
      <c r="D179" s="2">
        <f>IFERROR(__xludf.DUMMYFUNCTION("""COMPUTED_VALUE"""),2430.9)</f>
        <v>2430.9</v>
      </c>
    </row>
    <row r="180">
      <c r="A180" s="2" t="str">
        <f>IFERROR(__xludf.DUMMYFUNCTION("""COMPUTED_VALUE"""),"PR032")</f>
        <v>PR032</v>
      </c>
      <c r="B180" s="2" t="str">
        <f>IFERROR(__xludf.DUMMYFUNCTION("""COMPUTED_VALUE"""),"VD016")</f>
        <v>VD016</v>
      </c>
      <c r="C180" s="2">
        <f>IFERROR(__xludf.DUMMYFUNCTION("""COMPUTED_VALUE"""),27.0)</f>
        <v>27</v>
      </c>
      <c r="D180" s="2">
        <f>IFERROR(__xludf.DUMMYFUNCTION("""COMPUTED_VALUE"""),7897.5)</f>
        <v>7897.5</v>
      </c>
    </row>
    <row r="181">
      <c r="A181" s="2" t="str">
        <f>IFERROR(__xludf.DUMMYFUNCTION("""COMPUTED_VALUE"""),"PR006")</f>
        <v>PR006</v>
      </c>
      <c r="B181" s="2" t="str">
        <f>IFERROR(__xludf.DUMMYFUNCTION("""COMPUTED_VALUE"""),"VD015")</f>
        <v>VD015</v>
      </c>
      <c r="C181" s="2">
        <f>IFERROR(__xludf.DUMMYFUNCTION("""COMPUTED_VALUE"""),24.0)</f>
        <v>24</v>
      </c>
      <c r="D181" s="2">
        <f>IFERROR(__xludf.DUMMYFUNCTION("""COMPUTED_VALUE"""),1139.54)</f>
        <v>1139.54</v>
      </c>
    </row>
    <row r="182">
      <c r="A182" s="2" t="str">
        <f>IFERROR(__xludf.DUMMYFUNCTION("""COMPUTED_VALUE"""),"PR006")</f>
        <v>PR006</v>
      </c>
      <c r="B182" s="2" t="str">
        <f>IFERROR(__xludf.DUMMYFUNCTION("""COMPUTED_VALUE"""),"VD035")</f>
        <v>VD035</v>
      </c>
      <c r="C182" s="2">
        <f>IFERROR(__xludf.DUMMYFUNCTION("""COMPUTED_VALUE"""),30.0)</f>
        <v>30</v>
      </c>
      <c r="D182" s="2">
        <f>IFERROR(__xludf.DUMMYFUNCTION("""COMPUTED_VALUE"""),1340.64)</f>
        <v>1340.64</v>
      </c>
    </row>
    <row r="183">
      <c r="A183" s="2" t="str">
        <f>IFERROR(__xludf.DUMMYFUNCTION("""COMPUTED_VALUE"""),"PR051")</f>
        <v>PR051</v>
      </c>
      <c r="B183" s="2" t="str">
        <f>IFERROR(__xludf.DUMMYFUNCTION("""COMPUTED_VALUE"""),"VD024")</f>
        <v>VD024</v>
      </c>
      <c r="C183" s="2">
        <f>IFERROR(__xludf.DUMMYFUNCTION("""COMPUTED_VALUE"""),30.0)</f>
        <v>30</v>
      </c>
      <c r="D183" s="2">
        <f>IFERROR(__xludf.DUMMYFUNCTION("""COMPUTED_VALUE"""),1135.05)</f>
        <v>1135.05</v>
      </c>
    </row>
    <row r="184">
      <c r="A184" s="2" t="str">
        <f>IFERROR(__xludf.DUMMYFUNCTION("""COMPUTED_VALUE"""),"PR047")</f>
        <v>PR047</v>
      </c>
      <c r="B184" s="2" t="str">
        <f>IFERROR(__xludf.DUMMYFUNCTION("""COMPUTED_VALUE"""),"VD019")</f>
        <v>VD019</v>
      </c>
      <c r="C184" s="2">
        <f>IFERROR(__xludf.DUMMYFUNCTION("""COMPUTED_VALUE"""),27.0)</f>
        <v>27</v>
      </c>
      <c r="D184" s="2">
        <f>IFERROR(__xludf.DUMMYFUNCTION("""COMPUTED_VALUE"""),9157.94)</f>
        <v>9157.94</v>
      </c>
    </row>
    <row r="185">
      <c r="A185" s="2" t="str">
        <f>IFERROR(__xludf.DUMMYFUNCTION("""COMPUTED_VALUE"""),"PR006")</f>
        <v>PR006</v>
      </c>
      <c r="B185" s="2" t="str">
        <f>IFERROR(__xludf.DUMMYFUNCTION("""COMPUTED_VALUE"""),"VD030")</f>
        <v>VD030</v>
      </c>
      <c r="C185" s="2">
        <f>IFERROR(__xludf.DUMMYFUNCTION("""COMPUTED_VALUE"""),9.0)</f>
        <v>9</v>
      </c>
      <c r="D185" s="2">
        <f>IFERROR(__xludf.DUMMYFUNCTION("""COMPUTED_VALUE"""),395.01)</f>
        <v>395.01</v>
      </c>
    </row>
    <row r="186">
      <c r="A186" s="2" t="str">
        <f>IFERROR(__xludf.DUMMYFUNCTION("""COMPUTED_VALUE"""),"PR050")</f>
        <v>PR050</v>
      </c>
      <c r="B186" s="2" t="str">
        <f>IFERROR(__xludf.DUMMYFUNCTION("""COMPUTED_VALUE"""),"VD016")</f>
        <v>VD016</v>
      </c>
      <c r="C186" s="2">
        <f>IFERROR(__xludf.DUMMYFUNCTION("""COMPUTED_VALUE"""),27.0)</f>
        <v>27</v>
      </c>
      <c r="D186" s="2">
        <f>IFERROR(__xludf.DUMMYFUNCTION("""COMPUTED_VALUE"""),1030.43)</f>
        <v>1030.43</v>
      </c>
    </row>
    <row r="187">
      <c r="A187" s="2" t="str">
        <f>IFERROR(__xludf.DUMMYFUNCTION("""COMPUTED_VALUE"""),"PR019")</f>
        <v>PR019</v>
      </c>
      <c r="B187" s="2" t="str">
        <f>IFERROR(__xludf.DUMMYFUNCTION("""COMPUTED_VALUE"""),"VD042")</f>
        <v>VD042</v>
      </c>
      <c r="C187" s="2">
        <f>IFERROR(__xludf.DUMMYFUNCTION("""COMPUTED_VALUE"""),18.0)</f>
        <v>18</v>
      </c>
      <c r="D187" s="2">
        <f>IFERROR(__xludf.DUMMYFUNCTION("""COMPUTED_VALUE"""),1014.97)</f>
        <v>1014.97</v>
      </c>
    </row>
    <row r="188">
      <c r="A188" s="2" t="str">
        <f>IFERROR(__xludf.DUMMYFUNCTION("""COMPUTED_VALUE"""),"PR044")</f>
        <v>PR044</v>
      </c>
      <c r="B188" s="2" t="str">
        <f>IFERROR(__xludf.DUMMYFUNCTION("""COMPUTED_VALUE"""),"VD011")</f>
        <v>VD011</v>
      </c>
      <c r="C188" s="2">
        <f>IFERROR(__xludf.DUMMYFUNCTION("""COMPUTED_VALUE"""),27.0)</f>
        <v>27</v>
      </c>
      <c r="D188" s="2">
        <f>IFERROR(__xludf.DUMMYFUNCTION("""COMPUTED_VALUE"""),2153.25)</f>
        <v>2153.25</v>
      </c>
    </row>
    <row r="189">
      <c r="A189" s="2" t="str">
        <f>IFERROR(__xludf.DUMMYFUNCTION("""COMPUTED_VALUE"""),"PR017")</f>
        <v>PR017</v>
      </c>
      <c r="B189" s="2" t="str">
        <f>IFERROR(__xludf.DUMMYFUNCTION("""COMPUTED_VALUE"""),"VD019")</f>
        <v>VD019</v>
      </c>
      <c r="C189" s="2">
        <f>IFERROR(__xludf.DUMMYFUNCTION("""COMPUTED_VALUE"""),18.0)</f>
        <v>18</v>
      </c>
      <c r="D189" s="2">
        <f>IFERROR(__xludf.DUMMYFUNCTION("""COMPUTED_VALUE"""),613.55)</f>
        <v>613.55</v>
      </c>
    </row>
    <row r="190">
      <c r="A190" s="2" t="str">
        <f>IFERROR(__xludf.DUMMYFUNCTION("""COMPUTED_VALUE"""),"PR004")</f>
        <v>PR004</v>
      </c>
      <c r="B190" s="2" t="str">
        <f>IFERROR(__xludf.DUMMYFUNCTION("""COMPUTED_VALUE"""),"VD033")</f>
        <v>VD033</v>
      </c>
      <c r="C190" s="2">
        <f>IFERROR(__xludf.DUMMYFUNCTION("""COMPUTED_VALUE"""),24.0)</f>
        <v>24</v>
      </c>
      <c r="D190" s="2">
        <f>IFERROR(__xludf.DUMMYFUNCTION("""COMPUTED_VALUE"""),4141.2)</f>
        <v>4141.2</v>
      </c>
    </row>
    <row r="191">
      <c r="A191" s="2" t="str">
        <f>IFERROR(__xludf.DUMMYFUNCTION("""COMPUTED_VALUE"""),"PR059")</f>
        <v>PR059</v>
      </c>
      <c r="B191" s="2" t="str">
        <f>IFERROR(__xludf.DUMMYFUNCTION("""COMPUTED_VALUE"""),"VD028")</f>
        <v>VD028</v>
      </c>
      <c r="C191" s="2">
        <f>IFERROR(__xludf.DUMMYFUNCTION("""COMPUTED_VALUE"""),12.0)</f>
        <v>12</v>
      </c>
      <c r="D191" s="2">
        <f>IFERROR(__xludf.DUMMYFUNCTION("""COMPUTED_VALUE"""),2527.2)</f>
        <v>2527.2</v>
      </c>
    </row>
    <row r="192">
      <c r="A192" s="2" t="str">
        <f>IFERROR(__xludf.DUMMYFUNCTION("""COMPUTED_VALUE"""),"PR003")</f>
        <v>PR003</v>
      </c>
      <c r="B192" s="2" t="str">
        <f>IFERROR(__xludf.DUMMYFUNCTION("""COMPUTED_VALUE"""),"VD040")</f>
        <v>VD040</v>
      </c>
      <c r="C192" s="2">
        <f>IFERROR(__xludf.DUMMYFUNCTION("""COMPUTED_VALUE"""),16.0)</f>
        <v>16</v>
      </c>
      <c r="D192" s="2">
        <f>IFERROR(__xludf.DUMMYFUNCTION("""COMPUTED_VALUE"""),1247.84)</f>
        <v>1247.84</v>
      </c>
    </row>
    <row r="193">
      <c r="A193" s="2" t="str">
        <f>IFERROR(__xludf.DUMMYFUNCTION("""COMPUTED_VALUE"""),"PR055")</f>
        <v>PR055</v>
      </c>
      <c r="B193" s="2" t="str">
        <f>IFERROR(__xludf.DUMMYFUNCTION("""COMPUTED_VALUE"""),"VD018")</f>
        <v>VD018</v>
      </c>
      <c r="C193" s="2">
        <f>IFERROR(__xludf.DUMMYFUNCTION("""COMPUTED_VALUE"""),14.0)</f>
        <v>14</v>
      </c>
      <c r="D193" s="2">
        <f>IFERROR(__xludf.DUMMYFUNCTION("""COMPUTED_VALUE"""),1485.15)</f>
        <v>1485.15</v>
      </c>
    </row>
    <row r="194">
      <c r="A194" s="2" t="str">
        <f>IFERROR(__xludf.DUMMYFUNCTION("""COMPUTED_VALUE"""),"PR041")</f>
        <v>PR041</v>
      </c>
      <c r="B194" s="2" t="str">
        <f>IFERROR(__xludf.DUMMYFUNCTION("""COMPUTED_VALUE"""),"VD031")</f>
        <v>VD031</v>
      </c>
      <c r="C194" s="2">
        <f>IFERROR(__xludf.DUMMYFUNCTION("""COMPUTED_VALUE"""),21.0)</f>
        <v>21</v>
      </c>
      <c r="D194" s="2">
        <f>IFERROR(__xludf.DUMMYFUNCTION("""COMPUTED_VALUE"""),1314.31)</f>
        <v>1314.31</v>
      </c>
    </row>
    <row r="195">
      <c r="A195" s="2" t="str">
        <f>IFERROR(__xludf.DUMMYFUNCTION("""COMPUTED_VALUE"""),"PR056")</f>
        <v>PR056</v>
      </c>
      <c r="B195" s="2" t="str">
        <f>IFERROR(__xludf.DUMMYFUNCTION("""COMPUTED_VALUE"""),"VD040")</f>
        <v>VD040</v>
      </c>
      <c r="C195" s="2">
        <f>IFERROR(__xludf.DUMMYFUNCTION("""COMPUTED_VALUE"""),16.0)</f>
        <v>16</v>
      </c>
      <c r="D195" s="2">
        <f>IFERROR(__xludf.DUMMYFUNCTION("""COMPUTED_VALUE"""),1639.78)</f>
        <v>1639.78</v>
      </c>
    </row>
    <row r="196">
      <c r="A196" s="2" t="str">
        <f>IFERROR(__xludf.DUMMYFUNCTION("""COMPUTED_VALUE"""),"PR038")</f>
        <v>PR038</v>
      </c>
      <c r="B196" s="2" t="str">
        <f>IFERROR(__xludf.DUMMYFUNCTION("""COMPUTED_VALUE"""),"VD028")</f>
        <v>VD028</v>
      </c>
      <c r="C196" s="2">
        <f>IFERROR(__xludf.DUMMYFUNCTION("""COMPUTED_VALUE"""),24.0)</f>
        <v>24</v>
      </c>
      <c r="D196" s="2">
        <f>IFERROR(__xludf.DUMMYFUNCTION("""COMPUTED_VALUE"""),3772.56)</f>
        <v>3772.56</v>
      </c>
    </row>
    <row r="197">
      <c r="A197" s="2" t="str">
        <f>IFERROR(__xludf.DUMMYFUNCTION("""COMPUTED_VALUE"""),"PR022")</f>
        <v>PR022</v>
      </c>
      <c r="B197" s="2" t="str">
        <f>IFERROR(__xludf.DUMMYFUNCTION("""COMPUTED_VALUE"""),"VD045")</f>
        <v>VD045</v>
      </c>
      <c r="C197" s="2">
        <f>IFERROR(__xludf.DUMMYFUNCTION("""COMPUTED_VALUE"""),21.0)</f>
        <v>21</v>
      </c>
      <c r="D197" s="2">
        <f>IFERROR(__xludf.DUMMYFUNCTION("""COMPUTED_VALUE"""),7371.0)</f>
        <v>7371</v>
      </c>
    </row>
    <row r="198">
      <c r="A198" s="2" t="str">
        <f>IFERROR(__xludf.DUMMYFUNCTION("""COMPUTED_VALUE"""),"PR023")</f>
        <v>PR023</v>
      </c>
      <c r="B198" s="2" t="str">
        <f>IFERROR(__xludf.DUMMYFUNCTION("""COMPUTED_VALUE"""),"VD024")</f>
        <v>VD024</v>
      </c>
      <c r="C198" s="2">
        <f>IFERROR(__xludf.DUMMYFUNCTION("""COMPUTED_VALUE"""),14.0)</f>
        <v>14</v>
      </c>
      <c r="D198" s="2">
        <f>IFERROR(__xludf.DUMMYFUNCTION("""COMPUTED_VALUE"""),4093.36)</f>
        <v>4093.36</v>
      </c>
    </row>
    <row r="199">
      <c r="A199" s="2" t="str">
        <f>IFERROR(__xludf.DUMMYFUNCTION("""COMPUTED_VALUE"""),"PR053")</f>
        <v>PR053</v>
      </c>
      <c r="B199" s="2" t="str">
        <f>IFERROR(__xludf.DUMMYFUNCTION("""COMPUTED_VALUE"""),"VD019")</f>
        <v>VD019</v>
      </c>
      <c r="C199" s="2">
        <f>IFERROR(__xludf.DUMMYFUNCTION("""COMPUTED_VALUE"""),21.0)</f>
        <v>21</v>
      </c>
      <c r="D199" s="2">
        <f>IFERROR(__xludf.DUMMYFUNCTION("""COMPUTED_VALUE"""),1152.69)</f>
        <v>1152.69</v>
      </c>
    </row>
    <row r="200">
      <c r="A200" s="2" t="str">
        <f>IFERROR(__xludf.DUMMYFUNCTION("""COMPUTED_VALUE"""),"PR046")</f>
        <v>PR046</v>
      </c>
      <c r="B200" s="2" t="str">
        <f>IFERROR(__xludf.DUMMYFUNCTION("""COMPUTED_VALUE"""),"VD047")</f>
        <v>VD047</v>
      </c>
      <c r="C200" s="2">
        <f>IFERROR(__xludf.DUMMYFUNCTION("""COMPUTED_VALUE"""),16.0)</f>
        <v>16</v>
      </c>
      <c r="D200" s="2">
        <f>IFERROR(__xludf.DUMMYFUNCTION("""COMPUTED_VALUE"""),5566.08)</f>
        <v>5566.08</v>
      </c>
    </row>
    <row r="201">
      <c r="A201" s="2" t="str">
        <f>IFERROR(__xludf.DUMMYFUNCTION("""COMPUTED_VALUE"""),"PR048")</f>
        <v>PR048</v>
      </c>
      <c r="B201" s="2" t="str">
        <f>IFERROR(__xludf.DUMMYFUNCTION("""COMPUTED_VALUE"""),"VD027")</f>
        <v>VD027</v>
      </c>
      <c r="C201" s="2">
        <f>IFERROR(__xludf.DUMMYFUNCTION("""COMPUTED_VALUE"""),27.0)</f>
        <v>27</v>
      </c>
      <c r="D201" s="2">
        <f>IFERROR(__xludf.DUMMYFUNCTION("""COMPUTED_VALUE"""),9392.76)</f>
        <v>9392.76</v>
      </c>
    </row>
    <row r="202">
      <c r="A202" s="2" t="str">
        <f>IFERROR(__xludf.DUMMYFUNCTION("""COMPUTED_VALUE"""),"PR055")</f>
        <v>PR055</v>
      </c>
      <c r="B202" s="2" t="str">
        <f>IFERROR(__xludf.DUMMYFUNCTION("""COMPUTED_VALUE"""),"VD033")</f>
        <v>VD033</v>
      </c>
      <c r="C202" s="2">
        <f>IFERROR(__xludf.DUMMYFUNCTION("""COMPUTED_VALUE"""),14.0)</f>
        <v>14</v>
      </c>
      <c r="D202" s="2">
        <f>IFERROR(__xludf.DUMMYFUNCTION("""COMPUTED_VALUE"""),1397.05)</f>
        <v>1397.05</v>
      </c>
    </row>
    <row r="203">
      <c r="A203" s="2" t="str">
        <f>IFERROR(__xludf.DUMMYFUNCTION("""COMPUTED_VALUE"""),"PR017")</f>
        <v>PR017</v>
      </c>
      <c r="B203" s="2" t="str">
        <f>IFERROR(__xludf.DUMMYFUNCTION("""COMPUTED_VALUE"""),"VD036")</f>
        <v>VD036</v>
      </c>
      <c r="C203" s="2">
        <f>IFERROR(__xludf.DUMMYFUNCTION("""COMPUTED_VALUE"""),21.0)</f>
        <v>21</v>
      </c>
      <c r="D203" s="2">
        <f>IFERROR(__xludf.DUMMYFUNCTION("""COMPUTED_VALUE"""),753.48)</f>
        <v>753.48</v>
      </c>
    </row>
    <row r="204">
      <c r="A204" s="2" t="str">
        <f>IFERROR(__xludf.DUMMYFUNCTION("""COMPUTED_VALUE"""),"PR029")</f>
        <v>PR029</v>
      </c>
      <c r="B204" s="2" t="str">
        <f>IFERROR(__xludf.DUMMYFUNCTION("""COMPUTED_VALUE"""),"VD035")</f>
        <v>VD035</v>
      </c>
      <c r="C204" s="2">
        <f>IFERROR(__xludf.DUMMYFUNCTION("""COMPUTED_VALUE"""),12.0)</f>
        <v>12</v>
      </c>
      <c r="D204" s="2">
        <f>IFERROR(__xludf.DUMMYFUNCTION("""COMPUTED_VALUE"""),3610.8)</f>
        <v>3610.8</v>
      </c>
    </row>
    <row r="205">
      <c r="A205" s="2" t="str">
        <f>IFERROR(__xludf.DUMMYFUNCTION("""COMPUTED_VALUE"""),"PR005")</f>
        <v>PR005</v>
      </c>
      <c r="B205" s="2" t="str">
        <f>IFERROR(__xludf.DUMMYFUNCTION("""COMPUTED_VALUE"""),"VD037")</f>
        <v>VD037</v>
      </c>
      <c r="C205" s="2">
        <f>IFERROR(__xludf.DUMMYFUNCTION("""COMPUTED_VALUE"""),20.0)</f>
        <v>20</v>
      </c>
      <c r="D205" s="2">
        <f>IFERROR(__xludf.DUMMYFUNCTION("""COMPUTED_VALUE"""),6185.62)</f>
        <v>6185.62</v>
      </c>
    </row>
    <row r="206">
      <c r="A206" s="2" t="str">
        <f>IFERROR(__xludf.DUMMYFUNCTION("""COMPUTED_VALUE"""),"PR058")</f>
        <v>PR058</v>
      </c>
      <c r="B206" s="2" t="str">
        <f>IFERROR(__xludf.DUMMYFUNCTION("""COMPUTED_VALUE"""),"VD048")</f>
        <v>VD048</v>
      </c>
      <c r="C206" s="2">
        <f>IFERROR(__xludf.DUMMYFUNCTION("""COMPUTED_VALUE"""),15.0)</f>
        <v>15</v>
      </c>
      <c r="D206" s="2">
        <f>IFERROR(__xludf.DUMMYFUNCTION("""COMPUTED_VALUE"""),3105.0)</f>
        <v>3105</v>
      </c>
    </row>
    <row r="207">
      <c r="A207" s="2" t="str">
        <f>IFERROR(__xludf.DUMMYFUNCTION("""COMPUTED_VALUE"""),"PR025")</f>
        <v>PR025</v>
      </c>
      <c r="B207" s="2" t="str">
        <f>IFERROR(__xludf.DUMMYFUNCTION("""COMPUTED_VALUE"""),"VD035")</f>
        <v>VD035</v>
      </c>
      <c r="C207" s="2">
        <f>IFERROR(__xludf.DUMMYFUNCTION("""COMPUTED_VALUE"""),12.0)</f>
        <v>12</v>
      </c>
      <c r="D207" s="2">
        <f>IFERROR(__xludf.DUMMYFUNCTION("""COMPUTED_VALUE"""),4102.63)</f>
        <v>4102.63</v>
      </c>
    </row>
    <row r="208">
      <c r="A208" s="2" t="str">
        <f>IFERROR(__xludf.DUMMYFUNCTION("""COMPUTED_VALUE"""),"PR042")</f>
        <v>PR042</v>
      </c>
      <c r="B208" s="2" t="str">
        <f>IFERROR(__xludf.DUMMYFUNCTION("""COMPUTED_VALUE"""),"VD017")</f>
        <v>VD017</v>
      </c>
      <c r="C208" s="2">
        <f>IFERROR(__xludf.DUMMYFUNCTION("""COMPUTED_VALUE"""),3.0)</f>
        <v>3</v>
      </c>
      <c r="D208" s="2">
        <f>IFERROR(__xludf.DUMMYFUNCTION("""COMPUTED_VALUE"""),197.64)</f>
        <v>197.64</v>
      </c>
    </row>
    <row r="209">
      <c r="A209" s="2" t="str">
        <f>IFERROR(__xludf.DUMMYFUNCTION("""COMPUTED_VALUE"""),"PR046")</f>
        <v>PR046</v>
      </c>
      <c r="B209" s="2" t="str">
        <f>IFERROR(__xludf.DUMMYFUNCTION("""COMPUTED_VALUE"""),"VD039")</f>
        <v>VD039</v>
      </c>
      <c r="C209" s="2">
        <f>IFERROR(__xludf.DUMMYFUNCTION("""COMPUTED_VALUE"""),15.0)</f>
        <v>15</v>
      </c>
      <c r="D209" s="2">
        <f>IFERROR(__xludf.DUMMYFUNCTION("""COMPUTED_VALUE"""),4870.32)</f>
        <v>4870.32</v>
      </c>
    </row>
    <row r="210">
      <c r="A210" s="2" t="str">
        <f>IFERROR(__xludf.DUMMYFUNCTION("""COMPUTED_VALUE"""),"PR006")</f>
        <v>PR006</v>
      </c>
      <c r="B210" s="2" t="str">
        <f>IFERROR(__xludf.DUMMYFUNCTION("""COMPUTED_VALUE"""),"VD044")</f>
        <v>VD044</v>
      </c>
      <c r="C210" s="2">
        <f>IFERROR(__xludf.DUMMYFUNCTION("""COMPUTED_VALUE"""),27.0)</f>
        <v>27</v>
      </c>
      <c r="D210" s="2">
        <f>IFERROR(__xludf.DUMMYFUNCTION("""COMPUTED_VALUE"""),1238.9)</f>
        <v>1238.9</v>
      </c>
    </row>
    <row r="211">
      <c r="A211" s="2" t="str">
        <f>IFERROR(__xludf.DUMMYFUNCTION("""COMPUTED_VALUE"""),"PR053")</f>
        <v>PR053</v>
      </c>
      <c r="B211" s="2" t="str">
        <f>IFERROR(__xludf.DUMMYFUNCTION("""COMPUTED_VALUE"""),"VD047")</f>
        <v>VD047</v>
      </c>
      <c r="C211" s="2">
        <f>IFERROR(__xludf.DUMMYFUNCTION("""COMPUTED_VALUE"""),12.0)</f>
        <v>12</v>
      </c>
      <c r="D211" s="2">
        <f>IFERROR(__xludf.DUMMYFUNCTION("""COMPUTED_VALUE"""),676.64)</f>
        <v>676.64</v>
      </c>
    </row>
    <row r="212">
      <c r="A212" s="2" t="str">
        <f>IFERROR(__xludf.DUMMYFUNCTION("""COMPUTED_VALUE"""),"PR042")</f>
        <v>PR042</v>
      </c>
      <c r="B212" s="2" t="str">
        <f>IFERROR(__xludf.DUMMYFUNCTION("""COMPUTED_VALUE"""),"VD018")</f>
        <v>VD018</v>
      </c>
      <c r="C212" s="2">
        <f>IFERROR(__xludf.DUMMYFUNCTION("""COMPUTED_VALUE"""),8.0)</f>
        <v>8</v>
      </c>
      <c r="D212" s="2">
        <f>IFERROR(__xludf.DUMMYFUNCTION("""COMPUTED_VALUE"""),491.9)</f>
        <v>491.9</v>
      </c>
    </row>
    <row r="213">
      <c r="A213" s="2" t="str">
        <f>IFERROR(__xludf.DUMMYFUNCTION("""COMPUTED_VALUE"""),"PR002")</f>
        <v>PR002</v>
      </c>
      <c r="B213" s="2" t="str">
        <f>IFERROR(__xludf.DUMMYFUNCTION("""COMPUTED_VALUE"""),"VD034")</f>
        <v>VD034</v>
      </c>
      <c r="C213" s="2">
        <f>IFERROR(__xludf.DUMMYFUNCTION("""COMPUTED_VALUE"""),3.0)</f>
        <v>3</v>
      </c>
      <c r="D213" s="2">
        <f>IFERROR(__xludf.DUMMYFUNCTION("""COMPUTED_VALUE"""),245.35)</f>
        <v>245.35</v>
      </c>
    </row>
    <row r="214">
      <c r="A214" s="2" t="str">
        <f>IFERROR(__xludf.DUMMYFUNCTION("""COMPUTED_VALUE"""),"PR016")</f>
        <v>PR016</v>
      </c>
      <c r="B214" s="2" t="str">
        <f>IFERROR(__xludf.DUMMYFUNCTION("""COMPUTED_VALUE"""),"VD019")</f>
        <v>VD019</v>
      </c>
      <c r="C214" s="2">
        <f>IFERROR(__xludf.DUMMYFUNCTION("""COMPUTED_VALUE"""),16.0)</f>
        <v>16</v>
      </c>
      <c r="D214" s="2">
        <f>IFERROR(__xludf.DUMMYFUNCTION("""COMPUTED_VALUE"""),472.42)</f>
        <v>472.42</v>
      </c>
    </row>
    <row r="215">
      <c r="A215" s="2" t="str">
        <f>IFERROR(__xludf.DUMMYFUNCTION("""COMPUTED_VALUE"""),"PR055")</f>
        <v>PR055</v>
      </c>
      <c r="B215" s="2" t="str">
        <f>IFERROR(__xludf.DUMMYFUNCTION("""COMPUTED_VALUE"""),"VD029")</f>
        <v>VD029</v>
      </c>
      <c r="C215" s="2">
        <f>IFERROR(__xludf.DUMMYFUNCTION("""COMPUTED_VALUE"""),2.0)</f>
        <v>2</v>
      </c>
      <c r="D215" s="2">
        <f>IFERROR(__xludf.DUMMYFUNCTION("""COMPUTED_VALUE"""),213.96)</f>
        <v>213.96</v>
      </c>
    </row>
    <row r="216">
      <c r="A216" s="2" t="str">
        <f>IFERROR(__xludf.DUMMYFUNCTION("""COMPUTED_VALUE"""),"PR057")</f>
        <v>PR057</v>
      </c>
      <c r="B216" s="2" t="str">
        <f>IFERROR(__xludf.DUMMYFUNCTION("""COMPUTED_VALUE"""),"VD037")</f>
        <v>VD037</v>
      </c>
      <c r="C216" s="2">
        <f>IFERROR(__xludf.DUMMYFUNCTION("""COMPUTED_VALUE"""),3.0)</f>
        <v>3</v>
      </c>
      <c r="D216" s="2">
        <f>IFERROR(__xludf.DUMMYFUNCTION("""COMPUTED_VALUE"""),315.55)</f>
        <v>315.55</v>
      </c>
    </row>
    <row r="217">
      <c r="A217" s="2" t="str">
        <f>IFERROR(__xludf.DUMMYFUNCTION("""COMPUTED_VALUE"""),"PR011")</f>
        <v>PR011</v>
      </c>
      <c r="B217" s="2" t="str">
        <f>IFERROR(__xludf.DUMMYFUNCTION("""COMPUTED_VALUE"""),"VD030")</f>
        <v>VD030</v>
      </c>
      <c r="C217" s="2">
        <f>IFERROR(__xludf.DUMMYFUNCTION("""COMPUTED_VALUE"""),7.0)</f>
        <v>7</v>
      </c>
      <c r="D217" s="2">
        <f>IFERROR(__xludf.DUMMYFUNCTION("""COMPUTED_VALUE"""),380.83)</f>
        <v>380.83</v>
      </c>
    </row>
    <row r="218">
      <c r="A218" s="2" t="str">
        <f>IFERROR(__xludf.DUMMYFUNCTION("""COMPUTED_VALUE"""),"PR006")</f>
        <v>PR006</v>
      </c>
      <c r="B218" s="2" t="str">
        <f>IFERROR(__xludf.DUMMYFUNCTION("""COMPUTED_VALUE"""),"VD047")</f>
        <v>VD047</v>
      </c>
      <c r="C218" s="2">
        <f>IFERROR(__xludf.DUMMYFUNCTION("""COMPUTED_VALUE"""),16.0)</f>
        <v>16</v>
      </c>
      <c r="D218" s="2">
        <f>IFERROR(__xludf.DUMMYFUNCTION("""COMPUTED_VALUE"""),766.08)</f>
        <v>766.08</v>
      </c>
    </row>
    <row r="219">
      <c r="A219" s="2" t="str">
        <f>IFERROR(__xludf.DUMMYFUNCTION("""COMPUTED_VALUE"""),"PR019")</f>
        <v>PR019</v>
      </c>
      <c r="B219" s="2" t="str">
        <f>IFERROR(__xludf.DUMMYFUNCTION("""COMPUTED_VALUE"""),"VD034")</f>
        <v>VD034</v>
      </c>
      <c r="C219" s="2">
        <f>IFERROR(__xludf.DUMMYFUNCTION("""COMPUTED_VALUE"""),12.0)</f>
        <v>12</v>
      </c>
      <c r="D219" s="2">
        <f>IFERROR(__xludf.DUMMYFUNCTION("""COMPUTED_VALUE"""),670.66)</f>
        <v>670.66</v>
      </c>
    </row>
    <row r="220">
      <c r="A220" s="2" t="str">
        <f>IFERROR(__xludf.DUMMYFUNCTION("""COMPUTED_VALUE"""),"PR006")</f>
        <v>PR006</v>
      </c>
      <c r="B220" s="2" t="str">
        <f>IFERROR(__xludf.DUMMYFUNCTION("""COMPUTED_VALUE"""),"VD037")</f>
        <v>VD037</v>
      </c>
      <c r="C220" s="2">
        <f>IFERROR(__xludf.DUMMYFUNCTION("""COMPUTED_VALUE"""),10.0)</f>
        <v>10</v>
      </c>
      <c r="D220" s="2">
        <f>IFERROR(__xludf.DUMMYFUNCTION("""COMPUTED_VALUE"""),462.84)</f>
        <v>462.84</v>
      </c>
    </row>
    <row r="221">
      <c r="A221" s="2" t="str">
        <f>IFERROR(__xludf.DUMMYFUNCTION("""COMPUTED_VALUE"""),"PR026")</f>
        <v>PR026</v>
      </c>
      <c r="B221" s="2" t="str">
        <f>IFERROR(__xludf.DUMMYFUNCTION("""COMPUTED_VALUE"""),"VD032")</f>
        <v>VD032</v>
      </c>
      <c r="C221" s="2">
        <f>IFERROR(__xludf.DUMMYFUNCTION("""COMPUTED_VALUE"""),6.0)</f>
        <v>6</v>
      </c>
      <c r="D221" s="2">
        <f>IFERROR(__xludf.DUMMYFUNCTION("""COMPUTED_VALUE"""),2393.32)</f>
        <v>2393.32</v>
      </c>
    </row>
    <row r="222">
      <c r="A222" s="2" t="str">
        <f>IFERROR(__xludf.DUMMYFUNCTION("""COMPUTED_VALUE"""),"PR058")</f>
        <v>PR058</v>
      </c>
      <c r="B222" s="2" t="str">
        <f>IFERROR(__xludf.DUMMYFUNCTION("""COMPUTED_VALUE"""),"VD027")</f>
        <v>VD027</v>
      </c>
      <c r="C222" s="2">
        <f>IFERROR(__xludf.DUMMYFUNCTION("""COMPUTED_VALUE"""),2.0)</f>
        <v>2</v>
      </c>
      <c r="D222" s="2">
        <f>IFERROR(__xludf.DUMMYFUNCTION("""COMPUTED_VALUE"""),417.6)</f>
        <v>417.6</v>
      </c>
    </row>
    <row r="223">
      <c r="A223" s="2" t="str">
        <f>IFERROR(__xludf.DUMMYFUNCTION("""COMPUTED_VALUE"""),"PR013")</f>
        <v>PR013</v>
      </c>
      <c r="B223" s="2" t="str">
        <f>IFERROR(__xludf.DUMMYFUNCTION("""COMPUTED_VALUE"""),"VD011")</f>
        <v>VD011</v>
      </c>
      <c r="C223" s="2">
        <f>IFERROR(__xludf.DUMMYFUNCTION("""COMPUTED_VALUE"""),15.0)</f>
        <v>15</v>
      </c>
      <c r="D223" s="2">
        <f>IFERROR(__xludf.DUMMYFUNCTION("""COMPUTED_VALUE"""),712.22)</f>
        <v>712.22</v>
      </c>
    </row>
    <row r="224">
      <c r="A224" s="2" t="str">
        <f>IFERROR(__xludf.DUMMYFUNCTION("""COMPUTED_VALUE"""),"PR058")</f>
        <v>PR058</v>
      </c>
      <c r="B224" s="2" t="str">
        <f>IFERROR(__xludf.DUMMYFUNCTION("""COMPUTED_VALUE"""),"VD017")</f>
        <v>VD017</v>
      </c>
      <c r="C224" s="2">
        <f>IFERROR(__xludf.DUMMYFUNCTION("""COMPUTED_VALUE"""),7.0)</f>
        <v>7</v>
      </c>
      <c r="D224" s="2">
        <f>IFERROR(__xludf.DUMMYFUNCTION("""COMPUTED_VALUE"""),1486.8)</f>
        <v>1486.8</v>
      </c>
    </row>
    <row r="225">
      <c r="A225" s="2" t="str">
        <f>IFERROR(__xludf.DUMMYFUNCTION("""COMPUTED_VALUE"""),"PR030")</f>
        <v>PR030</v>
      </c>
      <c r="B225" s="2" t="str">
        <f>IFERROR(__xludf.DUMMYFUNCTION("""COMPUTED_VALUE"""),"VD036")</f>
        <v>VD036</v>
      </c>
      <c r="C225" s="2">
        <f>IFERROR(__xludf.DUMMYFUNCTION("""COMPUTED_VALUE"""),9.0)</f>
        <v>9</v>
      </c>
      <c r="D225" s="2">
        <f>IFERROR(__xludf.DUMMYFUNCTION("""COMPUTED_VALUE"""),2689.97)</f>
        <v>2689.97</v>
      </c>
    </row>
    <row r="226">
      <c r="A226" s="2" t="str">
        <f>IFERROR(__xludf.DUMMYFUNCTION("""COMPUTED_VALUE"""),"PR015")</f>
        <v>PR015</v>
      </c>
      <c r="B226" s="2" t="str">
        <f>IFERROR(__xludf.DUMMYFUNCTION("""COMPUTED_VALUE"""),"VD049")</f>
        <v>VD049</v>
      </c>
      <c r="C226" s="2">
        <f>IFERROR(__xludf.DUMMYFUNCTION("""COMPUTED_VALUE"""),30.0)</f>
        <v>30</v>
      </c>
      <c r="D226" s="2">
        <f>IFERROR(__xludf.DUMMYFUNCTION("""COMPUTED_VALUE"""),1415.25)</f>
        <v>1415.25</v>
      </c>
    </row>
    <row r="227">
      <c r="A227" s="2" t="str">
        <f>IFERROR(__xludf.DUMMYFUNCTION("""COMPUTED_VALUE"""),"PR001")</f>
        <v>PR001</v>
      </c>
      <c r="B227" s="2" t="str">
        <f>IFERROR(__xludf.DUMMYFUNCTION("""COMPUTED_VALUE"""),"VD013")</f>
        <v>VD013</v>
      </c>
      <c r="C227" s="2">
        <f>IFERROR(__xludf.DUMMYFUNCTION("""COMPUTED_VALUE"""),16.0)</f>
        <v>16</v>
      </c>
      <c r="D227" s="2">
        <f>IFERROR(__xludf.DUMMYFUNCTION("""COMPUTED_VALUE"""),1254.74)</f>
        <v>1254.74</v>
      </c>
    </row>
    <row r="228">
      <c r="A228" s="2" t="str">
        <f>IFERROR(__xludf.DUMMYFUNCTION("""COMPUTED_VALUE"""),"PR053")</f>
        <v>PR053</v>
      </c>
      <c r="B228" s="2" t="str">
        <f>IFERROR(__xludf.DUMMYFUNCTION("""COMPUTED_VALUE"""),"VD012")</f>
        <v>VD012</v>
      </c>
      <c r="C228" s="2">
        <f>IFERROR(__xludf.DUMMYFUNCTION("""COMPUTED_VALUE"""),3.0)</f>
        <v>3</v>
      </c>
      <c r="D228" s="2">
        <f>IFERROR(__xludf.DUMMYFUNCTION("""COMPUTED_VALUE"""),166.17)</f>
        <v>166.17</v>
      </c>
    </row>
    <row r="229">
      <c r="A229" s="2" t="str">
        <f>IFERROR(__xludf.DUMMYFUNCTION("""COMPUTED_VALUE"""),"PR041")</f>
        <v>PR041</v>
      </c>
      <c r="B229" s="2" t="str">
        <f>IFERROR(__xludf.DUMMYFUNCTION("""COMPUTED_VALUE"""),"VD037")</f>
        <v>VD037</v>
      </c>
      <c r="C229" s="2">
        <f>IFERROR(__xludf.DUMMYFUNCTION("""COMPUTED_VALUE"""),2.0)</f>
        <v>2</v>
      </c>
      <c r="D229" s="2">
        <f>IFERROR(__xludf.DUMMYFUNCTION("""COMPUTED_VALUE"""),122.98)</f>
        <v>122.98</v>
      </c>
    </row>
    <row r="230">
      <c r="A230" s="2" t="str">
        <f>IFERROR(__xludf.DUMMYFUNCTION("""COMPUTED_VALUE"""),"PR002")</f>
        <v>PR002</v>
      </c>
      <c r="B230" s="2" t="str">
        <f>IFERROR(__xludf.DUMMYFUNCTION("""COMPUTED_VALUE"""),"VD047")</f>
        <v>VD047</v>
      </c>
      <c r="C230" s="2">
        <f>IFERROR(__xludf.DUMMYFUNCTION("""COMPUTED_VALUE"""),2.0)</f>
        <v>2</v>
      </c>
      <c r="D230" s="2">
        <f>IFERROR(__xludf.DUMMYFUNCTION("""COMPUTED_VALUE"""),153.78)</f>
        <v>153.78</v>
      </c>
    </row>
    <row r="231">
      <c r="A231" s="2" t="str">
        <f>IFERROR(__xludf.DUMMYFUNCTION("""COMPUTED_VALUE"""),"PR021")</f>
        <v>PR021</v>
      </c>
      <c r="B231" s="2" t="str">
        <f>IFERROR(__xludf.DUMMYFUNCTION("""COMPUTED_VALUE"""),"VD039")</f>
        <v>VD039</v>
      </c>
      <c r="C231" s="2">
        <f>IFERROR(__xludf.DUMMYFUNCTION("""COMPUTED_VALUE"""),27.0)</f>
        <v>27</v>
      </c>
      <c r="D231" s="2">
        <f>IFERROR(__xludf.DUMMYFUNCTION("""COMPUTED_VALUE"""),9241.48)</f>
        <v>9241.48</v>
      </c>
    </row>
    <row r="232">
      <c r="A232" s="2" t="str">
        <f>IFERROR(__xludf.DUMMYFUNCTION("""COMPUTED_VALUE"""),"PR035")</f>
        <v>PR035</v>
      </c>
      <c r="B232" s="2" t="str">
        <f>IFERROR(__xludf.DUMMYFUNCTION("""COMPUTED_VALUE"""),"VD026")</f>
        <v>VD026</v>
      </c>
      <c r="C232" s="2">
        <f>IFERROR(__xludf.DUMMYFUNCTION("""COMPUTED_VALUE"""),6.0)</f>
        <v>6</v>
      </c>
      <c r="D232" s="2">
        <f>IFERROR(__xludf.DUMMYFUNCTION("""COMPUTED_VALUE"""),608.72)</f>
        <v>608.72</v>
      </c>
    </row>
    <row r="233">
      <c r="A233" s="2" t="str">
        <f>IFERROR(__xludf.DUMMYFUNCTION("""COMPUTED_VALUE"""),"PR008")</f>
        <v>PR008</v>
      </c>
      <c r="B233" s="2" t="str">
        <f>IFERROR(__xludf.DUMMYFUNCTION("""COMPUTED_VALUE"""),"VD036")</f>
        <v>VD036</v>
      </c>
      <c r="C233" s="2">
        <f>IFERROR(__xludf.DUMMYFUNCTION("""COMPUTED_VALUE"""),6.0)</f>
        <v>6</v>
      </c>
      <c r="D233" s="2">
        <f>IFERROR(__xludf.DUMMYFUNCTION("""COMPUTED_VALUE"""),593.34)</f>
        <v>593.34</v>
      </c>
    </row>
    <row r="234">
      <c r="A234" s="2" t="str">
        <f>IFERROR(__xludf.DUMMYFUNCTION("""COMPUTED_VALUE"""),"PR045")</f>
        <v>PR045</v>
      </c>
      <c r="B234" s="2" t="str">
        <f>IFERROR(__xludf.DUMMYFUNCTION("""COMPUTED_VALUE"""),"VD045")</f>
        <v>VD045</v>
      </c>
      <c r="C234" s="2">
        <f>IFERROR(__xludf.DUMMYFUNCTION("""COMPUTED_VALUE"""),6.0)</f>
        <v>6</v>
      </c>
      <c r="D234" s="2">
        <f>IFERROR(__xludf.DUMMYFUNCTION("""COMPUTED_VALUE"""),513.3)</f>
        <v>513.3</v>
      </c>
    </row>
    <row r="235">
      <c r="A235" s="2" t="str">
        <f>IFERROR(__xludf.DUMMYFUNCTION("""COMPUTED_VALUE"""),"PR037")</f>
        <v>PR037</v>
      </c>
      <c r="B235" s="2" t="str">
        <f>IFERROR(__xludf.DUMMYFUNCTION("""COMPUTED_VALUE"""),"VD021")</f>
        <v>VD021</v>
      </c>
      <c r="C235" s="2">
        <f>IFERROR(__xludf.DUMMYFUNCTION("""COMPUTED_VALUE"""),9.0)</f>
        <v>9</v>
      </c>
      <c r="D235" s="2">
        <f>IFERROR(__xludf.DUMMYFUNCTION("""COMPUTED_VALUE"""),1398.6)</f>
        <v>1398.6</v>
      </c>
    </row>
    <row r="236">
      <c r="A236" s="2" t="str">
        <f>IFERROR(__xludf.DUMMYFUNCTION("""COMPUTED_VALUE"""),"PR016")</f>
        <v>PR016</v>
      </c>
      <c r="B236" s="2" t="str">
        <f>IFERROR(__xludf.DUMMYFUNCTION("""COMPUTED_VALUE"""),"VD041")</f>
        <v>VD041</v>
      </c>
      <c r="C236" s="2">
        <f>IFERROR(__xludf.DUMMYFUNCTION("""COMPUTED_VALUE"""),2.0)</f>
        <v>2</v>
      </c>
      <c r="D236" s="2">
        <f>IFERROR(__xludf.DUMMYFUNCTION("""COMPUTED_VALUE"""),57.5)</f>
        <v>57.5</v>
      </c>
    </row>
    <row r="237">
      <c r="A237" s="2" t="str">
        <f>IFERROR(__xludf.DUMMYFUNCTION("""COMPUTED_VALUE"""),"PR053")</f>
        <v>PR053</v>
      </c>
      <c r="B237" s="2" t="str">
        <f>IFERROR(__xludf.DUMMYFUNCTION("""COMPUTED_VALUE"""),"VD013")</f>
        <v>VD013</v>
      </c>
      <c r="C237" s="2">
        <f>IFERROR(__xludf.DUMMYFUNCTION("""COMPUTED_VALUE"""),21.0)</f>
        <v>21</v>
      </c>
      <c r="D237" s="2">
        <f>IFERROR(__xludf.DUMMYFUNCTION("""COMPUTED_VALUE"""),1247.0)</f>
        <v>1247</v>
      </c>
    </row>
    <row r="238">
      <c r="A238" s="2" t="str">
        <f>IFERROR(__xludf.DUMMYFUNCTION("""COMPUTED_VALUE"""),"PR001")</f>
        <v>PR001</v>
      </c>
      <c r="B238" s="2" t="str">
        <f>IFERROR(__xludf.DUMMYFUNCTION("""COMPUTED_VALUE"""),"VD019")</f>
        <v>VD019</v>
      </c>
      <c r="C238" s="2">
        <f>IFERROR(__xludf.DUMMYFUNCTION("""COMPUTED_VALUE"""),21.0)</f>
        <v>21</v>
      </c>
      <c r="D238" s="2">
        <f>IFERROR(__xludf.DUMMYFUNCTION("""COMPUTED_VALUE"""),1577.65)</f>
        <v>1577.65</v>
      </c>
    </row>
    <row r="239">
      <c r="A239" s="2" t="str">
        <f>IFERROR(__xludf.DUMMYFUNCTION("""COMPUTED_VALUE"""),"PR052")</f>
        <v>PR052</v>
      </c>
      <c r="B239" s="2" t="str">
        <f>IFERROR(__xludf.DUMMYFUNCTION("""COMPUTED_VALUE"""),"VD032")</f>
        <v>VD032</v>
      </c>
      <c r="C239" s="2">
        <f>IFERROR(__xludf.DUMMYFUNCTION("""COMPUTED_VALUE"""),2.0)</f>
        <v>2</v>
      </c>
      <c r="D239" s="2">
        <f>IFERROR(__xludf.DUMMYFUNCTION("""COMPUTED_VALUE"""),114.77)</f>
        <v>114.77</v>
      </c>
    </row>
    <row r="240">
      <c r="A240" s="2" t="str">
        <f>IFERROR(__xludf.DUMMYFUNCTION("""COMPUTED_VALUE"""),"PR027")</f>
        <v>PR027</v>
      </c>
      <c r="B240" s="2" t="str">
        <f>IFERROR(__xludf.DUMMYFUNCTION("""COMPUTED_VALUE"""),"VD018")</f>
        <v>VD018</v>
      </c>
      <c r="C240" s="2">
        <f>IFERROR(__xludf.DUMMYFUNCTION("""COMPUTED_VALUE"""),8.0)</f>
        <v>8</v>
      </c>
      <c r="D240" s="2">
        <f>IFERROR(__xludf.DUMMYFUNCTION("""COMPUTED_VALUE"""),1056.0)</f>
        <v>1056</v>
      </c>
    </row>
    <row r="241">
      <c r="A241" s="2" t="str">
        <f>IFERROR(__xludf.DUMMYFUNCTION("""COMPUTED_VALUE"""),"PR049")</f>
        <v>PR049</v>
      </c>
      <c r="B241" s="2" t="str">
        <f>IFERROR(__xludf.DUMMYFUNCTION("""COMPUTED_VALUE"""),"VD013")</f>
        <v>VD013</v>
      </c>
      <c r="C241" s="2">
        <f>IFERROR(__xludf.DUMMYFUNCTION("""COMPUTED_VALUE"""),14.0)</f>
        <v>14</v>
      </c>
      <c r="D241" s="2">
        <f>IFERROR(__xludf.DUMMYFUNCTION("""COMPUTED_VALUE"""),515.87)</f>
        <v>515.87</v>
      </c>
    </row>
    <row r="242">
      <c r="A242" s="2" t="str">
        <f>IFERROR(__xludf.DUMMYFUNCTION("""COMPUTED_VALUE"""),"PR021")</f>
        <v>PR021</v>
      </c>
      <c r="B242" s="2" t="str">
        <f>IFERROR(__xludf.DUMMYFUNCTION("""COMPUTED_VALUE"""),"VD035")</f>
        <v>VD035</v>
      </c>
      <c r="C242" s="2">
        <f>IFERROR(__xludf.DUMMYFUNCTION("""COMPUTED_VALUE"""),7.0)</f>
        <v>7</v>
      </c>
      <c r="D242" s="2">
        <f>IFERROR(__xludf.DUMMYFUNCTION("""COMPUTED_VALUE"""),2417.14)</f>
        <v>2417.14</v>
      </c>
    </row>
    <row r="243">
      <c r="A243" s="2" t="str">
        <f>IFERROR(__xludf.DUMMYFUNCTION("""COMPUTED_VALUE"""),"PR055")</f>
        <v>PR055</v>
      </c>
      <c r="B243" s="2" t="str">
        <f>IFERROR(__xludf.DUMMYFUNCTION("""COMPUTED_VALUE"""),"VD030")</f>
        <v>VD030</v>
      </c>
      <c r="C243" s="2">
        <f>IFERROR(__xludf.DUMMYFUNCTION("""COMPUTED_VALUE"""),10.0)</f>
        <v>10</v>
      </c>
      <c r="D243" s="2">
        <f>IFERROR(__xludf.DUMMYFUNCTION("""COMPUTED_VALUE"""),1024.86)</f>
        <v>1024.86</v>
      </c>
    </row>
    <row r="244">
      <c r="A244" s="2" t="str">
        <f>IFERROR(__xludf.DUMMYFUNCTION("""COMPUTED_VALUE"""),"PR022")</f>
        <v>PR022</v>
      </c>
      <c r="B244" s="2" t="str">
        <f>IFERROR(__xludf.DUMMYFUNCTION("""COMPUTED_VALUE"""),"VD022")</f>
        <v>VD022</v>
      </c>
      <c r="C244" s="2">
        <f>IFERROR(__xludf.DUMMYFUNCTION("""COMPUTED_VALUE"""),8.0)</f>
        <v>8</v>
      </c>
      <c r="D244" s="2">
        <f>IFERROR(__xludf.DUMMYFUNCTION("""COMPUTED_VALUE"""),2712.0)</f>
        <v>2712</v>
      </c>
    </row>
    <row r="245">
      <c r="A245" s="2" t="str">
        <f>IFERROR(__xludf.DUMMYFUNCTION("""COMPUTED_VALUE"""),"PR043")</f>
        <v>PR043</v>
      </c>
      <c r="B245" s="2" t="str">
        <f>IFERROR(__xludf.DUMMYFUNCTION("""COMPUTED_VALUE"""),"VD037")</f>
        <v>VD037</v>
      </c>
      <c r="C245" s="2">
        <f>IFERROR(__xludf.DUMMYFUNCTION("""COMPUTED_VALUE"""),27.0)</f>
        <v>27</v>
      </c>
      <c r="D245" s="2">
        <f>IFERROR(__xludf.DUMMYFUNCTION("""COMPUTED_VALUE"""),2349.0)</f>
        <v>2349</v>
      </c>
    </row>
    <row r="246">
      <c r="A246" s="2" t="str">
        <f>IFERROR(__xludf.DUMMYFUNCTION("""COMPUTED_VALUE"""),"PR008")</f>
        <v>PR008</v>
      </c>
      <c r="B246" s="2" t="str">
        <f>IFERROR(__xludf.DUMMYFUNCTION("""COMPUTED_VALUE"""),"VD023")</f>
        <v>VD023</v>
      </c>
      <c r="C246" s="2">
        <f>IFERROR(__xludf.DUMMYFUNCTION("""COMPUTED_VALUE"""),6.0)</f>
        <v>6</v>
      </c>
      <c r="D246" s="2">
        <f>IFERROR(__xludf.DUMMYFUNCTION("""COMPUTED_VALUE"""),593.34)</f>
        <v>593.34</v>
      </c>
    </row>
    <row r="247">
      <c r="A247" s="2" t="str">
        <f>IFERROR(__xludf.DUMMYFUNCTION("""COMPUTED_VALUE"""),"PR004")</f>
        <v>PR004</v>
      </c>
      <c r="B247" s="2" t="str">
        <f>IFERROR(__xludf.DUMMYFUNCTION("""COMPUTED_VALUE"""),"VD017")</f>
        <v>VD017</v>
      </c>
      <c r="C247" s="2">
        <f>IFERROR(__xludf.DUMMYFUNCTION("""COMPUTED_VALUE"""),3.0)</f>
        <v>3</v>
      </c>
      <c r="D247" s="2">
        <f>IFERROR(__xludf.DUMMYFUNCTION("""COMPUTED_VALUE"""),491.55)</f>
        <v>491.55</v>
      </c>
    </row>
    <row r="248">
      <c r="A248" s="2" t="str">
        <f>IFERROR(__xludf.DUMMYFUNCTION("""COMPUTED_VALUE"""),"PR012")</f>
        <v>PR012</v>
      </c>
      <c r="B248" s="2" t="str">
        <f>IFERROR(__xludf.DUMMYFUNCTION("""COMPUTED_VALUE"""),"VD039")</f>
        <v>VD039</v>
      </c>
      <c r="C248" s="2">
        <f>IFERROR(__xludf.DUMMYFUNCTION("""COMPUTED_VALUE"""),2.0)</f>
        <v>2</v>
      </c>
      <c r="D248" s="2">
        <f>IFERROR(__xludf.DUMMYFUNCTION("""COMPUTED_VALUE"""),113.45)</f>
        <v>113.45</v>
      </c>
    </row>
    <row r="249">
      <c r="A249" s="2" t="str">
        <f>IFERROR(__xludf.DUMMYFUNCTION("""COMPUTED_VALUE"""),"PR024")</f>
        <v>PR024</v>
      </c>
      <c r="B249" s="2" t="str">
        <f>IFERROR(__xludf.DUMMYFUNCTION("""COMPUTED_VALUE"""),"VD032")</f>
        <v>VD032</v>
      </c>
      <c r="C249" s="2">
        <f>IFERROR(__xludf.DUMMYFUNCTION("""COMPUTED_VALUE"""),18.0)</f>
        <v>18</v>
      </c>
      <c r="D249" s="2">
        <f>IFERROR(__xludf.DUMMYFUNCTION("""COMPUTED_VALUE"""),5192.8)</f>
        <v>5192.8</v>
      </c>
    </row>
    <row r="250">
      <c r="A250" s="2" t="str">
        <f>IFERROR(__xludf.DUMMYFUNCTION("""COMPUTED_VALUE"""),"PR047")</f>
        <v>PR047</v>
      </c>
      <c r="B250" s="2" t="str">
        <f>IFERROR(__xludf.DUMMYFUNCTION("""COMPUTED_VALUE"""),"VD045")</f>
        <v>VD045</v>
      </c>
      <c r="C250" s="2">
        <f>IFERROR(__xludf.DUMMYFUNCTION("""COMPUTED_VALUE"""),8.0)</f>
        <v>8</v>
      </c>
      <c r="D250" s="2">
        <f>IFERROR(__xludf.DUMMYFUNCTION("""COMPUTED_VALUE"""),2736.66)</f>
        <v>2736.66</v>
      </c>
    </row>
    <row r="251">
      <c r="A251" s="2" t="str">
        <f>IFERROR(__xludf.DUMMYFUNCTION("""COMPUTED_VALUE"""),"PR030")</f>
        <v>PR030</v>
      </c>
      <c r="B251" s="2" t="str">
        <f>IFERROR(__xludf.DUMMYFUNCTION("""COMPUTED_VALUE"""),"VD022")</f>
        <v>VD022</v>
      </c>
      <c r="C251" s="2">
        <f>IFERROR(__xludf.DUMMYFUNCTION("""COMPUTED_VALUE"""),6.0)</f>
        <v>6</v>
      </c>
      <c r="D251" s="2">
        <f>IFERROR(__xludf.DUMMYFUNCTION("""COMPUTED_VALUE"""),1730.93)</f>
        <v>1730.93</v>
      </c>
    </row>
    <row r="252">
      <c r="A252" s="2" t="str">
        <f>IFERROR(__xludf.DUMMYFUNCTION("""COMPUTED_VALUE"""),"PR006")</f>
        <v>PR006</v>
      </c>
      <c r="B252" s="2" t="str">
        <f>IFERROR(__xludf.DUMMYFUNCTION("""COMPUTED_VALUE"""),"VD032")</f>
        <v>VD032</v>
      </c>
      <c r="C252" s="2">
        <f>IFERROR(__xludf.DUMMYFUNCTION("""COMPUTED_VALUE"""),7.0)</f>
        <v>7</v>
      </c>
      <c r="D252" s="2">
        <f>IFERROR(__xludf.DUMMYFUNCTION("""COMPUTED_VALUE"""),318.4)</f>
        <v>318.4</v>
      </c>
    </row>
    <row r="253">
      <c r="A253" s="2" t="str">
        <f>IFERROR(__xludf.DUMMYFUNCTION("""COMPUTED_VALUE"""),"PR032")</f>
        <v>PR032</v>
      </c>
      <c r="B253" s="2" t="str">
        <f>IFERROR(__xludf.DUMMYFUNCTION("""COMPUTED_VALUE"""),"VD014")</f>
        <v>VD014</v>
      </c>
      <c r="C253" s="2">
        <f>IFERROR(__xludf.DUMMYFUNCTION("""COMPUTED_VALUE"""),6.0)</f>
        <v>6</v>
      </c>
      <c r="D253" s="2">
        <f>IFERROR(__xludf.DUMMYFUNCTION("""COMPUTED_VALUE"""),1800.0)</f>
        <v>1800</v>
      </c>
    </row>
    <row r="254">
      <c r="A254" s="2" t="str">
        <f>IFERROR(__xludf.DUMMYFUNCTION("""COMPUTED_VALUE"""),"PR031")</f>
        <v>PR031</v>
      </c>
      <c r="B254" s="2" t="str">
        <f>IFERROR(__xludf.DUMMYFUNCTION("""COMPUTED_VALUE"""),"VD038")</f>
        <v>VD038</v>
      </c>
      <c r="C254" s="2">
        <f>IFERROR(__xludf.DUMMYFUNCTION("""COMPUTED_VALUE"""),16.0)</f>
        <v>16</v>
      </c>
      <c r="D254" s="2">
        <f>IFERROR(__xludf.DUMMYFUNCTION("""COMPUTED_VALUE"""),4664.8)</f>
        <v>4664.8</v>
      </c>
    </row>
    <row r="255">
      <c r="A255" s="2" t="str">
        <f>IFERROR(__xludf.DUMMYFUNCTION("""COMPUTED_VALUE"""),"PR029")</f>
        <v>PR029</v>
      </c>
      <c r="B255" s="2" t="str">
        <f>IFERROR(__xludf.DUMMYFUNCTION("""COMPUTED_VALUE"""),"VD027")</f>
        <v>VD027</v>
      </c>
      <c r="C255" s="2">
        <f>IFERROR(__xludf.DUMMYFUNCTION("""COMPUTED_VALUE"""),8.0)</f>
        <v>8</v>
      </c>
      <c r="D255" s="2">
        <f>IFERROR(__xludf.DUMMYFUNCTION("""COMPUTED_VALUE"""),2427.6)</f>
        <v>2427.6</v>
      </c>
    </row>
    <row r="256">
      <c r="A256" s="2" t="str">
        <f>IFERROR(__xludf.DUMMYFUNCTION("""COMPUTED_VALUE"""),"PR021")</f>
        <v>PR021</v>
      </c>
      <c r="B256" s="2" t="str">
        <f>IFERROR(__xludf.DUMMYFUNCTION("""COMPUTED_VALUE"""),"VD011")</f>
        <v>VD011</v>
      </c>
      <c r="C256" s="2">
        <f>IFERROR(__xludf.DUMMYFUNCTION("""COMPUTED_VALUE"""),5.0)</f>
        <v>5</v>
      </c>
      <c r="D256" s="2">
        <f>IFERROR(__xludf.DUMMYFUNCTION("""COMPUTED_VALUE"""),1696.24)</f>
        <v>1696.24</v>
      </c>
    </row>
    <row r="257">
      <c r="A257" s="2" t="str">
        <f>IFERROR(__xludf.DUMMYFUNCTION("""COMPUTED_VALUE"""),"PR039")</f>
        <v>PR039</v>
      </c>
      <c r="B257" s="2" t="str">
        <f>IFERROR(__xludf.DUMMYFUNCTION("""COMPUTED_VALUE"""),"VD017")</f>
        <v>VD017</v>
      </c>
      <c r="C257" s="2">
        <f>IFERROR(__xludf.DUMMYFUNCTION("""COMPUTED_VALUE"""),6.0)</f>
        <v>6</v>
      </c>
      <c r="D257" s="2">
        <f>IFERROR(__xludf.DUMMYFUNCTION("""COMPUTED_VALUE"""),1033.68)</f>
        <v>1033.68</v>
      </c>
    </row>
    <row r="258">
      <c r="A258" s="2" t="str">
        <f>IFERROR(__xludf.DUMMYFUNCTION("""COMPUTED_VALUE"""),"PR024")</f>
        <v>PR024</v>
      </c>
      <c r="B258" s="2" t="str">
        <f>IFERROR(__xludf.DUMMYFUNCTION("""COMPUTED_VALUE"""),"VD021")</f>
        <v>VD021</v>
      </c>
      <c r="C258" s="2">
        <f>IFERROR(__xludf.DUMMYFUNCTION("""COMPUTED_VALUE"""),12.0)</f>
        <v>12</v>
      </c>
      <c r="D258" s="2">
        <f>IFERROR(__xludf.DUMMYFUNCTION("""COMPUTED_VALUE"""),3617.81)</f>
        <v>3617.81</v>
      </c>
    </row>
    <row r="259">
      <c r="A259" s="2" t="str">
        <f>IFERROR(__xludf.DUMMYFUNCTION("""COMPUTED_VALUE"""),"PR039")</f>
        <v>PR039</v>
      </c>
      <c r="B259" s="2" t="str">
        <f>IFERROR(__xludf.DUMMYFUNCTION("""COMPUTED_VALUE"""),"VD042")</f>
        <v>VD042</v>
      </c>
      <c r="C259" s="2">
        <f>IFERROR(__xludf.DUMMYFUNCTION("""COMPUTED_VALUE"""),14.0)</f>
        <v>14</v>
      </c>
      <c r="D259" s="2">
        <f>IFERROR(__xludf.DUMMYFUNCTION("""COMPUTED_VALUE"""),2289.28)</f>
        <v>2289.28</v>
      </c>
    </row>
    <row r="260">
      <c r="A260" s="2" t="str">
        <f>IFERROR(__xludf.DUMMYFUNCTION("""COMPUTED_VALUE"""),"PR050")</f>
        <v>PR050</v>
      </c>
      <c r="B260" s="2" t="str">
        <f>IFERROR(__xludf.DUMMYFUNCTION("""COMPUTED_VALUE"""),"VD042")</f>
        <v>VD042</v>
      </c>
      <c r="C260" s="2">
        <f>IFERROR(__xludf.DUMMYFUNCTION("""COMPUTED_VALUE"""),8.0)</f>
        <v>8</v>
      </c>
      <c r="D260" s="2">
        <f>IFERROR(__xludf.DUMMYFUNCTION("""COMPUTED_VALUE"""),313.21)</f>
        <v>313.21</v>
      </c>
    </row>
    <row r="261">
      <c r="A261" s="2" t="str">
        <f>IFERROR(__xludf.DUMMYFUNCTION("""COMPUTED_VALUE"""),"PR032")</f>
        <v>PR032</v>
      </c>
      <c r="B261" s="2" t="str">
        <f>IFERROR(__xludf.DUMMYFUNCTION("""COMPUTED_VALUE"""),"VD036")</f>
        <v>VD036</v>
      </c>
      <c r="C261" s="2">
        <f>IFERROR(__xludf.DUMMYFUNCTION("""COMPUTED_VALUE"""),30.0)</f>
        <v>30</v>
      </c>
      <c r="D261" s="2">
        <f>IFERROR(__xludf.DUMMYFUNCTION("""COMPUTED_VALUE"""),8925.0)</f>
        <v>8925</v>
      </c>
    </row>
    <row r="262">
      <c r="A262" s="2" t="str">
        <f>IFERROR(__xludf.DUMMYFUNCTION("""COMPUTED_VALUE"""),"PR047")</f>
        <v>PR047</v>
      </c>
      <c r="B262" s="2" t="str">
        <f>IFERROR(__xludf.DUMMYFUNCTION("""COMPUTED_VALUE"""),"VD027")</f>
        <v>VD027</v>
      </c>
      <c r="C262" s="2">
        <f>IFERROR(__xludf.DUMMYFUNCTION("""COMPUTED_VALUE"""),8.0)</f>
        <v>8</v>
      </c>
      <c r="D262" s="2">
        <f>IFERROR(__xludf.DUMMYFUNCTION("""COMPUTED_VALUE"""),2481.54)</f>
        <v>2481.54</v>
      </c>
    </row>
    <row r="263">
      <c r="A263" s="2" t="str">
        <f>IFERROR(__xludf.DUMMYFUNCTION("""COMPUTED_VALUE"""),"PR016")</f>
        <v>PR016</v>
      </c>
      <c r="B263" s="2" t="str">
        <f>IFERROR(__xludf.DUMMYFUNCTION("""COMPUTED_VALUE"""),"VD023")</f>
        <v>VD023</v>
      </c>
      <c r="C263" s="2">
        <f>IFERROR(__xludf.DUMMYFUNCTION("""COMPUTED_VALUE"""),18.0)</f>
        <v>18</v>
      </c>
      <c r="D263" s="2">
        <f>IFERROR(__xludf.DUMMYFUNCTION("""COMPUTED_VALUE"""),470.86)</f>
        <v>470.86</v>
      </c>
    </row>
    <row r="264">
      <c r="A264" s="2" t="str">
        <f>IFERROR(__xludf.DUMMYFUNCTION("""COMPUTED_VALUE"""),"PR029")</f>
        <v>PR029</v>
      </c>
      <c r="B264" s="2" t="str">
        <f>IFERROR(__xludf.DUMMYFUNCTION("""COMPUTED_VALUE"""),"VD033")</f>
        <v>VD033</v>
      </c>
      <c r="C264" s="2">
        <f>IFERROR(__xludf.DUMMYFUNCTION("""COMPUTED_VALUE"""),16.0)</f>
        <v>16</v>
      </c>
      <c r="D264" s="2">
        <f>IFERROR(__xludf.DUMMYFUNCTION("""COMPUTED_VALUE"""),4161.6)</f>
        <v>4161.6</v>
      </c>
    </row>
    <row r="265">
      <c r="A265" s="2" t="str">
        <f>IFERROR(__xludf.DUMMYFUNCTION("""COMPUTED_VALUE"""),"PR050")</f>
        <v>PR050</v>
      </c>
      <c r="B265" s="2" t="str">
        <f>IFERROR(__xludf.DUMMYFUNCTION("""COMPUTED_VALUE"""),"VD036")</f>
        <v>VD036</v>
      </c>
      <c r="C265" s="2">
        <f>IFERROR(__xludf.DUMMYFUNCTION("""COMPUTED_VALUE"""),10.0)</f>
        <v>10</v>
      </c>
      <c r="D265" s="2">
        <f>IFERROR(__xludf.DUMMYFUNCTION("""COMPUTED_VALUE"""),345.45)</f>
        <v>345.45</v>
      </c>
    </row>
    <row r="266">
      <c r="A266" s="2" t="str">
        <f>IFERROR(__xludf.DUMMYFUNCTION("""COMPUTED_VALUE"""),"PR045")</f>
        <v>PR045</v>
      </c>
      <c r="B266" s="2" t="str">
        <f>IFERROR(__xludf.DUMMYFUNCTION("""COMPUTED_VALUE"""),"VD045")</f>
        <v>VD045</v>
      </c>
      <c r="C266" s="2">
        <f>IFERROR(__xludf.DUMMYFUNCTION("""COMPUTED_VALUE"""),3.0)</f>
        <v>3</v>
      </c>
      <c r="D266" s="2">
        <f>IFERROR(__xludf.DUMMYFUNCTION("""COMPUTED_VALUE"""),237.08)</f>
        <v>237.08</v>
      </c>
    </row>
    <row r="267">
      <c r="A267" s="2" t="str">
        <f>IFERROR(__xludf.DUMMYFUNCTION("""COMPUTED_VALUE"""),"PR053")</f>
        <v>PR053</v>
      </c>
      <c r="B267" s="2" t="str">
        <f>IFERROR(__xludf.DUMMYFUNCTION("""COMPUTED_VALUE"""),"VD022")</f>
        <v>VD022</v>
      </c>
      <c r="C267" s="2">
        <f>IFERROR(__xludf.DUMMYFUNCTION("""COMPUTED_VALUE"""),10.0)</f>
        <v>10</v>
      </c>
      <c r="D267" s="2">
        <f>IFERROR(__xludf.DUMMYFUNCTION("""COMPUTED_VALUE"""),543.91)</f>
        <v>543.91</v>
      </c>
    </row>
    <row r="268">
      <c r="A268" s="2" t="str">
        <f>IFERROR(__xludf.DUMMYFUNCTION("""COMPUTED_VALUE"""),"PR042")</f>
        <v>PR042</v>
      </c>
      <c r="B268" s="2" t="str">
        <f>IFERROR(__xludf.DUMMYFUNCTION("""COMPUTED_VALUE"""),"VD020")</f>
        <v>VD020</v>
      </c>
      <c r="C268" s="2">
        <f>IFERROR(__xludf.DUMMYFUNCTION("""COMPUTED_VALUE"""),3.0)</f>
        <v>3</v>
      </c>
      <c r="D268" s="2">
        <f>IFERROR(__xludf.DUMMYFUNCTION("""COMPUTED_VALUE"""),167.99)</f>
        <v>167.99</v>
      </c>
    </row>
    <row r="269">
      <c r="A269" s="2" t="str">
        <f>IFERROR(__xludf.DUMMYFUNCTION("""COMPUTED_VALUE"""),"PR049")</f>
        <v>PR049</v>
      </c>
      <c r="B269" s="2" t="str">
        <f>IFERROR(__xludf.DUMMYFUNCTION("""COMPUTED_VALUE"""),"VD019")</f>
        <v>VD019</v>
      </c>
      <c r="C269" s="2">
        <f>IFERROR(__xludf.DUMMYFUNCTION("""COMPUTED_VALUE"""),4.0)</f>
        <v>4</v>
      </c>
      <c r="D269" s="2">
        <f>IFERROR(__xludf.DUMMYFUNCTION("""COMPUTED_VALUE"""),132.92)</f>
        <v>132.92</v>
      </c>
    </row>
    <row r="270">
      <c r="A270" s="2" t="str">
        <f>IFERROR(__xludf.DUMMYFUNCTION("""COMPUTED_VALUE"""),"PR045")</f>
        <v>PR045</v>
      </c>
      <c r="B270" s="2" t="str">
        <f>IFERROR(__xludf.DUMMYFUNCTION("""COMPUTED_VALUE"""),"VD015")</f>
        <v>VD015</v>
      </c>
      <c r="C270" s="2">
        <f>IFERROR(__xludf.DUMMYFUNCTION("""COMPUTED_VALUE"""),18.0)</f>
        <v>18</v>
      </c>
      <c r="D270" s="2">
        <f>IFERROR(__xludf.DUMMYFUNCTION("""COMPUTED_VALUE"""),1357.2)</f>
        <v>1357.2</v>
      </c>
    </row>
    <row r="271">
      <c r="A271" s="2" t="str">
        <f>IFERROR(__xludf.DUMMYFUNCTION("""COMPUTED_VALUE"""),"PR037")</f>
        <v>PR037</v>
      </c>
      <c r="B271" s="2" t="str">
        <f>IFERROR(__xludf.DUMMYFUNCTION("""COMPUTED_VALUE"""),"VD029")</f>
        <v>VD029</v>
      </c>
      <c r="C271" s="2">
        <f>IFERROR(__xludf.DUMMYFUNCTION("""COMPUTED_VALUE"""),6.0)</f>
        <v>6</v>
      </c>
      <c r="D271" s="2">
        <f>IFERROR(__xludf.DUMMYFUNCTION("""COMPUTED_VALUE"""),915.6)</f>
        <v>915.6</v>
      </c>
    </row>
    <row r="272">
      <c r="A272" s="2" t="str">
        <f>IFERROR(__xludf.DUMMYFUNCTION("""COMPUTED_VALUE"""),"PR021")</f>
        <v>PR021</v>
      </c>
      <c r="B272" s="2" t="str">
        <f>IFERROR(__xludf.DUMMYFUNCTION("""COMPUTED_VALUE"""),"VD017")</f>
        <v>VD017</v>
      </c>
      <c r="C272" s="2">
        <f>IFERROR(__xludf.DUMMYFUNCTION("""COMPUTED_VALUE"""),10.0)</f>
        <v>10</v>
      </c>
      <c r="D272" s="2">
        <f>IFERROR(__xludf.DUMMYFUNCTION("""COMPUTED_VALUE"""),3331.9)</f>
        <v>3331.9</v>
      </c>
    </row>
    <row r="273">
      <c r="A273" s="2" t="str">
        <f>IFERROR(__xludf.DUMMYFUNCTION("""COMPUTED_VALUE"""),"PR034")</f>
        <v>PR034</v>
      </c>
      <c r="B273" s="2" t="str">
        <f>IFERROR(__xludf.DUMMYFUNCTION("""COMPUTED_VALUE"""),"VD045")</f>
        <v>VD045</v>
      </c>
      <c r="C273" s="2">
        <f>IFERROR(__xludf.DUMMYFUNCTION("""COMPUTED_VALUE"""),8.0)</f>
        <v>8</v>
      </c>
      <c r="D273" s="2">
        <f>IFERROR(__xludf.DUMMYFUNCTION("""COMPUTED_VALUE"""),719.2)</f>
        <v>719.2</v>
      </c>
    </row>
    <row r="274">
      <c r="A274" s="2" t="str">
        <f>IFERROR(__xludf.DUMMYFUNCTION("""COMPUTED_VALUE"""),"PR047")</f>
        <v>PR047</v>
      </c>
      <c r="B274" s="2" t="str">
        <f>IFERROR(__xludf.DUMMYFUNCTION("""COMPUTED_VALUE"""),"VD041")</f>
        <v>VD041</v>
      </c>
      <c r="C274" s="2">
        <f>IFERROR(__xludf.DUMMYFUNCTION("""COMPUTED_VALUE"""),8.0)</f>
        <v>8</v>
      </c>
      <c r="D274" s="2">
        <f>IFERROR(__xludf.DUMMYFUNCTION("""COMPUTED_VALUE"""),2388.78)</f>
        <v>2388.78</v>
      </c>
    </row>
    <row r="275">
      <c r="A275" s="2" t="str">
        <f>IFERROR(__xludf.DUMMYFUNCTION("""COMPUTED_VALUE"""),"PR025")</f>
        <v>PR025</v>
      </c>
      <c r="B275" s="2" t="str">
        <f>IFERROR(__xludf.DUMMYFUNCTION("""COMPUTED_VALUE"""),"VD033")</f>
        <v>VD033</v>
      </c>
      <c r="C275" s="2">
        <f>IFERROR(__xludf.DUMMYFUNCTION("""COMPUTED_VALUE"""),4.0)</f>
        <v>4</v>
      </c>
      <c r="D275" s="2">
        <f>IFERROR(__xludf.DUMMYFUNCTION("""COMPUTED_VALUE"""),1295.57)</f>
        <v>1295.57</v>
      </c>
    </row>
    <row r="276">
      <c r="A276" s="2" t="str">
        <f>IFERROR(__xludf.DUMMYFUNCTION("""COMPUTED_VALUE"""),"PR056")</f>
        <v>PR056</v>
      </c>
      <c r="B276" s="2" t="str">
        <f>IFERROR(__xludf.DUMMYFUNCTION("""COMPUTED_VALUE"""),"VD025")</f>
        <v>VD025</v>
      </c>
      <c r="C276" s="2">
        <f>IFERROR(__xludf.DUMMYFUNCTION("""COMPUTED_VALUE"""),30.0)</f>
        <v>30</v>
      </c>
      <c r="D276" s="2">
        <f>IFERROR(__xludf.DUMMYFUNCTION("""COMPUTED_VALUE"""),2697.0)</f>
        <v>2697</v>
      </c>
    </row>
    <row r="277">
      <c r="A277" s="2" t="str">
        <f>IFERROR(__xludf.DUMMYFUNCTION("""COMPUTED_VALUE"""),"PR017")</f>
        <v>PR017</v>
      </c>
      <c r="B277" s="2" t="str">
        <f>IFERROR(__xludf.DUMMYFUNCTION("""COMPUTED_VALUE"""),"VD014")</f>
        <v>VD014</v>
      </c>
      <c r="C277" s="2">
        <f>IFERROR(__xludf.DUMMYFUNCTION("""COMPUTED_VALUE"""),10.0)</f>
        <v>10</v>
      </c>
      <c r="D277" s="2">
        <f>IFERROR(__xludf.DUMMYFUNCTION("""COMPUTED_VALUE"""),310.96)</f>
        <v>310.96</v>
      </c>
    </row>
    <row r="278">
      <c r="A278" s="2" t="str">
        <f>IFERROR(__xludf.DUMMYFUNCTION("""COMPUTED_VALUE"""),"PR057")</f>
        <v>PR057</v>
      </c>
      <c r="B278" s="2" t="str">
        <f>IFERROR(__xludf.DUMMYFUNCTION("""COMPUTED_VALUE"""),"VD025")</f>
        <v>VD025</v>
      </c>
      <c r="C278" s="2">
        <f>IFERROR(__xludf.DUMMYFUNCTION("""COMPUTED_VALUE"""),3.0)</f>
        <v>3</v>
      </c>
      <c r="D278" s="2">
        <f>IFERROR(__xludf.DUMMYFUNCTION("""COMPUTED_VALUE"""),269.7)</f>
        <v>269.7</v>
      </c>
    </row>
    <row r="279">
      <c r="A279" s="2" t="str">
        <f>IFERROR(__xludf.DUMMYFUNCTION("""COMPUTED_VALUE"""),"PR033")</f>
        <v>PR033</v>
      </c>
      <c r="B279" s="2" t="str">
        <f>IFERROR(__xludf.DUMMYFUNCTION("""COMPUTED_VALUE"""),"VD016")</f>
        <v>VD016</v>
      </c>
      <c r="C279" s="2">
        <f>IFERROR(__xludf.DUMMYFUNCTION("""COMPUTED_VALUE"""),3.0)</f>
        <v>3</v>
      </c>
      <c r="D279" s="2">
        <f>IFERROR(__xludf.DUMMYFUNCTION("""COMPUTED_VALUE"""),818.69)</f>
        <v>818.69</v>
      </c>
    </row>
    <row r="280">
      <c r="A280" s="2" t="str">
        <f>IFERROR(__xludf.DUMMYFUNCTION("""COMPUTED_VALUE"""),"PR029")</f>
        <v>PR029</v>
      </c>
      <c r="B280" s="2" t="str">
        <f>IFERROR(__xludf.DUMMYFUNCTION("""COMPUTED_VALUE"""),"VD038")</f>
        <v>VD038</v>
      </c>
      <c r="C280" s="2">
        <f>IFERROR(__xludf.DUMMYFUNCTION("""COMPUTED_VALUE"""),3.0)</f>
        <v>3</v>
      </c>
      <c r="D280" s="2">
        <f>IFERROR(__xludf.DUMMYFUNCTION("""COMPUTED_VALUE"""),818.55)</f>
        <v>818.55</v>
      </c>
    </row>
    <row r="281">
      <c r="A281" s="2" t="str">
        <f>IFERROR(__xludf.DUMMYFUNCTION("""COMPUTED_VALUE"""),"PR060")</f>
        <v>PR060</v>
      </c>
      <c r="B281" s="2" t="str">
        <f>IFERROR(__xludf.DUMMYFUNCTION("""COMPUTED_VALUE"""),"VD039")</f>
        <v>VD039</v>
      </c>
      <c r="C281" s="2">
        <f>IFERROR(__xludf.DUMMYFUNCTION("""COMPUTED_VALUE"""),7.0)</f>
        <v>7</v>
      </c>
      <c r="D281" s="2">
        <f>IFERROR(__xludf.DUMMYFUNCTION("""COMPUTED_VALUE"""),1386.0)</f>
        <v>1386</v>
      </c>
    </row>
    <row r="282">
      <c r="A282" s="2" t="str">
        <f>IFERROR(__xludf.DUMMYFUNCTION("""COMPUTED_VALUE"""),"PR031")</f>
        <v>PR031</v>
      </c>
      <c r="B282" s="2" t="str">
        <f>IFERROR(__xludf.DUMMYFUNCTION("""COMPUTED_VALUE"""),"VD029")</f>
        <v>VD029</v>
      </c>
      <c r="C282" s="2">
        <f>IFERROR(__xludf.DUMMYFUNCTION("""COMPUTED_VALUE"""),6.0)</f>
        <v>6</v>
      </c>
      <c r="D282" s="2">
        <f>IFERROR(__xludf.DUMMYFUNCTION("""COMPUTED_VALUE"""),1484.7)</f>
        <v>1484.7</v>
      </c>
    </row>
    <row r="283">
      <c r="A283" s="2" t="str">
        <f>IFERROR(__xludf.DUMMYFUNCTION("""COMPUTED_VALUE"""),"PR038")</f>
        <v>PR038</v>
      </c>
      <c r="B283" s="2" t="str">
        <f>IFERROR(__xludf.DUMMYFUNCTION("""COMPUTED_VALUE"""),"VD036")</f>
        <v>VD036</v>
      </c>
      <c r="C283" s="2">
        <f>IFERROR(__xludf.DUMMYFUNCTION("""COMPUTED_VALUE"""),21.0)</f>
        <v>21</v>
      </c>
      <c r="D283" s="2">
        <f>IFERROR(__xludf.DUMMYFUNCTION("""COMPUTED_VALUE"""),3240.97)</f>
        <v>3240.97</v>
      </c>
    </row>
    <row r="284">
      <c r="A284" s="2" t="str">
        <f>IFERROR(__xludf.DUMMYFUNCTION("""COMPUTED_VALUE"""),"PR054")</f>
        <v>PR054</v>
      </c>
      <c r="B284" s="2" t="str">
        <f>IFERROR(__xludf.DUMMYFUNCTION("""COMPUTED_VALUE"""),"VD041")</f>
        <v>VD041</v>
      </c>
      <c r="C284" s="2">
        <f>IFERROR(__xludf.DUMMYFUNCTION("""COMPUTED_VALUE"""),10.0)</f>
        <v>10</v>
      </c>
      <c r="D284" s="2">
        <f>IFERROR(__xludf.DUMMYFUNCTION("""COMPUTED_VALUE"""),499.0)</f>
        <v>499</v>
      </c>
    </row>
    <row r="285">
      <c r="A285" s="2" t="str">
        <f>IFERROR(__xludf.DUMMYFUNCTION("""COMPUTED_VALUE"""),"PR022")</f>
        <v>PR022</v>
      </c>
      <c r="B285" s="2" t="str">
        <f>IFERROR(__xludf.DUMMYFUNCTION("""COMPUTED_VALUE"""),"VD045")</f>
        <v>VD045</v>
      </c>
      <c r="C285" s="2">
        <f>IFERROR(__xludf.DUMMYFUNCTION("""COMPUTED_VALUE"""),1.0)</f>
        <v>1</v>
      </c>
      <c r="D285" s="2">
        <f>IFERROR(__xludf.DUMMYFUNCTION("""COMPUTED_VALUE"""),306.0)</f>
        <v>306</v>
      </c>
    </row>
    <row r="286">
      <c r="A286" s="2" t="str">
        <f>IFERROR(__xludf.DUMMYFUNCTION("""COMPUTED_VALUE"""),"PR034")</f>
        <v>PR034</v>
      </c>
      <c r="B286" s="2" t="str">
        <f>IFERROR(__xludf.DUMMYFUNCTION("""COMPUTED_VALUE"""),"VD033")</f>
        <v>VD033</v>
      </c>
      <c r="C286" s="2">
        <f>IFERROR(__xludf.DUMMYFUNCTION("""COMPUTED_VALUE"""),18.0)</f>
        <v>18</v>
      </c>
      <c r="D286" s="2">
        <f>IFERROR(__xludf.DUMMYFUNCTION("""COMPUTED_VALUE"""),1747.66)</f>
        <v>1747.66</v>
      </c>
    </row>
    <row r="287">
      <c r="A287" s="2" t="str">
        <f>IFERROR(__xludf.DUMMYFUNCTION("""COMPUTED_VALUE"""),"PR010")</f>
        <v>PR010</v>
      </c>
      <c r="B287" s="2" t="str">
        <f>IFERROR(__xludf.DUMMYFUNCTION("""COMPUTED_VALUE"""),"VD034")</f>
        <v>VD034</v>
      </c>
      <c r="C287" s="2">
        <f>IFERROR(__xludf.DUMMYFUNCTION("""COMPUTED_VALUE"""),12.0)</f>
        <v>12</v>
      </c>
      <c r="D287" s="2">
        <f>IFERROR(__xludf.DUMMYFUNCTION("""COMPUTED_VALUE"""),538.8)</f>
        <v>538.8</v>
      </c>
    </row>
    <row r="288">
      <c r="A288" s="2" t="str">
        <f>IFERROR(__xludf.DUMMYFUNCTION("""COMPUTED_VALUE"""),"PR058")</f>
        <v>PR058</v>
      </c>
      <c r="B288" s="2" t="str">
        <f>IFERROR(__xludf.DUMMYFUNCTION("""COMPUTED_VALUE"""),"VD031")</f>
        <v>VD031</v>
      </c>
      <c r="C288" s="2">
        <f>IFERROR(__xludf.DUMMYFUNCTION("""COMPUTED_VALUE"""),10.0)</f>
        <v>10</v>
      </c>
      <c r="D288" s="2">
        <f>IFERROR(__xludf.DUMMYFUNCTION("""COMPUTED_VALUE"""),1890.0)</f>
        <v>1890</v>
      </c>
    </row>
    <row r="289">
      <c r="A289" s="2" t="str">
        <f>IFERROR(__xludf.DUMMYFUNCTION("""COMPUTED_VALUE"""),"PR012")</f>
        <v>PR012</v>
      </c>
      <c r="B289" s="2" t="str">
        <f>IFERROR(__xludf.DUMMYFUNCTION("""COMPUTED_VALUE"""),"VD015")</f>
        <v>VD015</v>
      </c>
      <c r="C289" s="2">
        <f>IFERROR(__xludf.DUMMYFUNCTION("""COMPUTED_VALUE"""),2.0)</f>
        <v>2</v>
      </c>
      <c r="D289" s="2">
        <f>IFERROR(__xludf.DUMMYFUNCTION("""COMPUTED_VALUE"""),103.67)</f>
        <v>103.67</v>
      </c>
    </row>
    <row r="290">
      <c r="A290" s="2" t="str">
        <f>IFERROR(__xludf.DUMMYFUNCTION("""COMPUTED_VALUE"""),"PR004")</f>
        <v>PR004</v>
      </c>
      <c r="B290" s="2" t="str">
        <f>IFERROR(__xludf.DUMMYFUNCTION("""COMPUTED_VALUE"""),"VD031")</f>
        <v>VD031</v>
      </c>
      <c r="C290" s="2">
        <f>IFERROR(__xludf.DUMMYFUNCTION("""COMPUTED_VALUE"""),1.0)</f>
        <v>1</v>
      </c>
      <c r="D290" s="2">
        <f>IFERROR(__xludf.DUMMYFUNCTION("""COMPUTED_VALUE"""),149.35)</f>
        <v>149.35</v>
      </c>
    </row>
    <row r="291">
      <c r="A291" s="2" t="str">
        <f>IFERROR(__xludf.DUMMYFUNCTION("""COMPUTED_VALUE"""),"PR027")</f>
        <v>PR027</v>
      </c>
      <c r="B291" s="2" t="str">
        <f>IFERROR(__xludf.DUMMYFUNCTION("""COMPUTED_VALUE"""),"VD030")</f>
        <v>VD030</v>
      </c>
      <c r="C291" s="2">
        <f>IFERROR(__xludf.DUMMYFUNCTION("""COMPUTED_VALUE"""),6.0)</f>
        <v>6</v>
      </c>
      <c r="D291" s="2">
        <f>IFERROR(__xludf.DUMMYFUNCTION("""COMPUTED_VALUE"""),770.4)</f>
        <v>770.4</v>
      </c>
    </row>
    <row r="292">
      <c r="A292" s="2" t="str">
        <f>IFERROR(__xludf.DUMMYFUNCTION("""COMPUTED_VALUE"""),"PR020")</f>
        <v>PR020</v>
      </c>
      <c r="B292" s="2" t="str">
        <f>IFERROR(__xludf.DUMMYFUNCTION("""COMPUTED_VALUE"""),"VD032")</f>
        <v>VD032</v>
      </c>
      <c r="C292" s="2">
        <f>IFERROR(__xludf.DUMMYFUNCTION("""COMPUTED_VALUE"""),18.0)</f>
        <v>18</v>
      </c>
      <c r="D292" s="2">
        <f>IFERROR(__xludf.DUMMYFUNCTION("""COMPUTED_VALUE"""),5668.11)</f>
        <v>5668.11</v>
      </c>
    </row>
    <row r="293">
      <c r="A293" s="2" t="str">
        <f>IFERROR(__xludf.DUMMYFUNCTION("""COMPUTED_VALUE"""),"PR016")</f>
        <v>PR016</v>
      </c>
      <c r="B293" s="2" t="str">
        <f>IFERROR(__xludf.DUMMYFUNCTION("""COMPUTED_VALUE"""),"VD032")</f>
        <v>VD032</v>
      </c>
      <c r="C293" s="2">
        <f>IFERROR(__xludf.DUMMYFUNCTION("""COMPUTED_VALUE"""),12.0)</f>
        <v>12</v>
      </c>
      <c r="D293" s="2">
        <f>IFERROR(__xludf.DUMMYFUNCTION("""COMPUTED_VALUE"""),320.12)</f>
        <v>320.12</v>
      </c>
    </row>
    <row r="294">
      <c r="A294" s="2" t="str">
        <f>IFERROR(__xludf.DUMMYFUNCTION("""COMPUTED_VALUE"""),"PR056")</f>
        <v>PR056</v>
      </c>
      <c r="B294" s="2" t="str">
        <f>IFERROR(__xludf.DUMMYFUNCTION("""COMPUTED_VALUE"""),"VD015")</f>
        <v>VD015</v>
      </c>
      <c r="C294" s="2">
        <f>IFERROR(__xludf.DUMMYFUNCTION("""COMPUTED_VALUE"""),1.0)</f>
        <v>1</v>
      </c>
      <c r="D294" s="2">
        <f>IFERROR(__xludf.DUMMYFUNCTION("""COMPUTED_VALUE"""),96.19)</f>
        <v>96.19</v>
      </c>
    </row>
    <row r="295">
      <c r="A295" s="2" t="str">
        <f>IFERROR(__xludf.DUMMYFUNCTION("""COMPUTED_VALUE"""),"PR017")</f>
        <v>PR017</v>
      </c>
      <c r="B295" s="2" t="str">
        <f>IFERROR(__xludf.DUMMYFUNCTION("""COMPUTED_VALUE"""),"VD016")</f>
        <v>VD016</v>
      </c>
      <c r="C295" s="2">
        <f>IFERROR(__xludf.DUMMYFUNCTION("""COMPUTED_VALUE"""),8.0)</f>
        <v>8</v>
      </c>
      <c r="D295" s="2">
        <f>IFERROR(__xludf.DUMMYFUNCTION("""COMPUTED_VALUE"""),241.59)</f>
        <v>241.59</v>
      </c>
    </row>
    <row r="296">
      <c r="A296" s="2" t="str">
        <f>IFERROR(__xludf.DUMMYFUNCTION("""COMPUTED_VALUE"""),"PR001")</f>
        <v>PR001</v>
      </c>
      <c r="B296" s="2" t="str">
        <f>IFERROR(__xludf.DUMMYFUNCTION("""COMPUTED_VALUE"""),"VD044")</f>
        <v>VD044</v>
      </c>
      <c r="C296" s="2">
        <f>IFERROR(__xludf.DUMMYFUNCTION("""COMPUTED_VALUE"""),6.0)</f>
        <v>6</v>
      </c>
      <c r="D296" s="2">
        <f>IFERROR(__xludf.DUMMYFUNCTION("""COMPUTED_VALUE"""),403.31)</f>
        <v>403.31</v>
      </c>
    </row>
    <row r="297">
      <c r="A297" s="2" t="str">
        <f>IFERROR(__xludf.DUMMYFUNCTION("""COMPUTED_VALUE"""),"PR059")</f>
        <v>PR059</v>
      </c>
      <c r="B297" s="2" t="str">
        <f>IFERROR(__xludf.DUMMYFUNCTION("""COMPUTED_VALUE"""),"VD042")</f>
        <v>VD042</v>
      </c>
      <c r="C297" s="2">
        <f>IFERROR(__xludf.DUMMYFUNCTION("""COMPUTED_VALUE"""),21.0)</f>
        <v>21</v>
      </c>
      <c r="D297" s="2">
        <f>IFERROR(__xludf.DUMMYFUNCTION("""COMPUTED_VALUE"""),3817.8)</f>
        <v>3817.8</v>
      </c>
    </row>
    <row r="298">
      <c r="A298" s="2" t="str">
        <f>IFERROR(__xludf.DUMMYFUNCTION("""COMPUTED_VALUE"""),"PR039")</f>
        <v>PR039</v>
      </c>
      <c r="B298" s="2" t="str">
        <f>IFERROR(__xludf.DUMMYFUNCTION("""COMPUTED_VALUE"""),"VD013")</f>
        <v>VD013</v>
      </c>
      <c r="C298" s="2">
        <f>IFERROR(__xludf.DUMMYFUNCTION("""COMPUTED_VALUE"""),3.0)</f>
        <v>3</v>
      </c>
      <c r="D298" s="2">
        <f>IFERROR(__xludf.DUMMYFUNCTION("""COMPUTED_VALUE"""),438.0)</f>
        <v>438</v>
      </c>
    </row>
    <row r="299">
      <c r="A299" s="2" t="str">
        <f>IFERROR(__xludf.DUMMYFUNCTION("""COMPUTED_VALUE"""),"PR035")</f>
        <v>PR035</v>
      </c>
      <c r="B299" s="2" t="str">
        <f>IFERROR(__xludf.DUMMYFUNCTION("""COMPUTED_VALUE"""),"VD011")</f>
        <v>VD011</v>
      </c>
      <c r="C299" s="2">
        <f>IFERROR(__xludf.DUMMYFUNCTION("""COMPUTED_VALUE"""),4.0)</f>
        <v>4</v>
      </c>
      <c r="D299" s="2">
        <f>IFERROR(__xludf.DUMMYFUNCTION("""COMPUTED_VALUE"""),383.88)</f>
        <v>383.88</v>
      </c>
    </row>
    <row r="300">
      <c r="A300" s="2" t="str">
        <f>IFERROR(__xludf.DUMMYFUNCTION("""COMPUTED_VALUE"""),"PR051")</f>
        <v>PR051</v>
      </c>
      <c r="B300" s="2" t="str">
        <f>IFERROR(__xludf.DUMMYFUNCTION("""COMPUTED_VALUE"""),"VD041")</f>
        <v>VD041</v>
      </c>
      <c r="C300" s="2">
        <f>IFERROR(__xludf.DUMMYFUNCTION("""COMPUTED_VALUE"""),30.0)</f>
        <v>30</v>
      </c>
      <c r="D300" s="2">
        <f>IFERROR(__xludf.DUMMYFUNCTION("""COMPUTED_VALUE"""),1026.48)</f>
        <v>1026.48</v>
      </c>
    </row>
    <row r="301">
      <c r="A301" s="2" t="str">
        <f>IFERROR(__xludf.DUMMYFUNCTION("""COMPUTED_VALUE"""),"PR047")</f>
        <v>PR047</v>
      </c>
      <c r="B301" s="2" t="str">
        <f>IFERROR(__xludf.DUMMYFUNCTION("""COMPUTED_VALUE"""),"VD034")</f>
        <v>VD034</v>
      </c>
      <c r="C301" s="2">
        <f>IFERROR(__xludf.DUMMYFUNCTION("""COMPUTED_VALUE"""),6.0)</f>
        <v>6</v>
      </c>
      <c r="D301" s="2">
        <f>IFERROR(__xludf.DUMMYFUNCTION("""COMPUTED_VALUE"""),1774.19)</f>
        <v>1774.19</v>
      </c>
    </row>
    <row r="302">
      <c r="A302" s="2" t="str">
        <f>IFERROR(__xludf.DUMMYFUNCTION("""COMPUTED_VALUE"""),"PR008")</f>
        <v>PR008</v>
      </c>
      <c r="B302" s="2" t="str">
        <f>IFERROR(__xludf.DUMMYFUNCTION("""COMPUTED_VALUE"""),"VD025")</f>
        <v>VD025</v>
      </c>
      <c r="C302" s="2">
        <f>IFERROR(__xludf.DUMMYFUNCTION("""COMPUTED_VALUE"""),12.0)</f>
        <v>12</v>
      </c>
      <c r="D302" s="2">
        <f>IFERROR(__xludf.DUMMYFUNCTION("""COMPUTED_VALUE"""),1121.95)</f>
        <v>1121.95</v>
      </c>
    </row>
    <row r="303">
      <c r="A303" s="2" t="str">
        <f>IFERROR(__xludf.DUMMYFUNCTION("""COMPUTED_VALUE"""),"PR045")</f>
        <v>PR045</v>
      </c>
      <c r="B303" s="2" t="str">
        <f>IFERROR(__xludf.DUMMYFUNCTION("""COMPUTED_VALUE"""),"VD035")</f>
        <v>VD035</v>
      </c>
      <c r="C303" s="2">
        <f>IFERROR(__xludf.DUMMYFUNCTION("""COMPUTED_VALUE"""),8.0)</f>
        <v>8</v>
      </c>
      <c r="D303" s="2">
        <f>IFERROR(__xludf.DUMMYFUNCTION("""COMPUTED_VALUE"""),609.0)</f>
        <v>609</v>
      </c>
    </row>
    <row r="304">
      <c r="A304" s="2" t="str">
        <f>IFERROR(__xludf.DUMMYFUNCTION("""COMPUTED_VALUE"""),"PR029")</f>
        <v>PR029</v>
      </c>
      <c r="B304" s="2" t="str">
        <f>IFERROR(__xludf.DUMMYFUNCTION("""COMPUTED_VALUE"""),"VD043")</f>
        <v>VD043</v>
      </c>
      <c r="C304" s="2">
        <f>IFERROR(__xludf.DUMMYFUNCTION("""COMPUTED_VALUE"""),21.0)</f>
        <v>21</v>
      </c>
      <c r="D304" s="2">
        <f>IFERROR(__xludf.DUMMYFUNCTION("""COMPUTED_VALUE"""),5462.1)</f>
        <v>5462.1</v>
      </c>
    </row>
    <row r="305">
      <c r="A305" s="2" t="str">
        <f>IFERROR(__xludf.DUMMYFUNCTION("""COMPUTED_VALUE"""),"PR054")</f>
        <v>PR054</v>
      </c>
      <c r="B305" s="2" t="str">
        <f>IFERROR(__xludf.DUMMYFUNCTION("""COMPUTED_VALUE"""),"VD015")</f>
        <v>VD015</v>
      </c>
      <c r="C305" s="2">
        <f>IFERROR(__xludf.DUMMYFUNCTION("""COMPUTED_VALUE"""),2.0)</f>
        <v>2</v>
      </c>
      <c r="D305" s="2">
        <f>IFERROR(__xludf.DUMMYFUNCTION("""COMPUTED_VALUE"""),105.79)</f>
        <v>105.79</v>
      </c>
    </row>
    <row r="306">
      <c r="A306" s="2" t="str">
        <f>IFERROR(__xludf.DUMMYFUNCTION("""COMPUTED_VALUE"""),"PR033")</f>
        <v>PR033</v>
      </c>
      <c r="B306" s="2" t="str">
        <f>IFERROR(__xludf.DUMMYFUNCTION("""COMPUTED_VALUE"""),"VD025")</f>
        <v>VD025</v>
      </c>
      <c r="C306" s="2">
        <f>IFERROR(__xludf.DUMMYFUNCTION("""COMPUTED_VALUE"""),4.0)</f>
        <v>4</v>
      </c>
      <c r="D306" s="2">
        <f>IFERROR(__xludf.DUMMYFUNCTION("""COMPUTED_VALUE"""),1133.16)</f>
        <v>1133.16</v>
      </c>
    </row>
    <row r="307">
      <c r="A307" s="2" t="str">
        <f>IFERROR(__xludf.DUMMYFUNCTION("""COMPUTED_VALUE"""),"PR001")</f>
        <v>PR001</v>
      </c>
      <c r="B307" s="2" t="str">
        <f>IFERROR(__xludf.DUMMYFUNCTION("""COMPUTED_VALUE"""),"VD021")</f>
        <v>VD021</v>
      </c>
      <c r="C307" s="2">
        <f>IFERROR(__xludf.DUMMYFUNCTION("""COMPUTED_VALUE"""),6.0)</f>
        <v>6</v>
      </c>
      <c r="D307" s="2">
        <f>IFERROR(__xludf.DUMMYFUNCTION("""COMPUTED_VALUE"""),430.99)</f>
        <v>430.99</v>
      </c>
    </row>
    <row r="308">
      <c r="A308" s="2" t="str">
        <f>IFERROR(__xludf.DUMMYFUNCTION("""COMPUTED_VALUE"""),"PR010")</f>
        <v>PR010</v>
      </c>
      <c r="B308" s="2" t="str">
        <f>IFERROR(__xludf.DUMMYFUNCTION("""COMPUTED_VALUE"""),"VD029")</f>
        <v>VD029</v>
      </c>
      <c r="C308" s="2">
        <f>IFERROR(__xludf.DUMMYFUNCTION("""COMPUTED_VALUE"""),3.0)</f>
        <v>3</v>
      </c>
      <c r="D308" s="2">
        <f>IFERROR(__xludf.DUMMYFUNCTION("""COMPUTED_VALUE"""),134.7)</f>
        <v>134.7</v>
      </c>
    </row>
    <row r="309">
      <c r="A309" s="2" t="str">
        <f>IFERROR(__xludf.DUMMYFUNCTION("""COMPUTED_VALUE"""),"PR005")</f>
        <v>PR005</v>
      </c>
      <c r="B309" s="2" t="str">
        <f>IFERROR(__xludf.DUMMYFUNCTION("""COMPUTED_VALUE"""),"VD038")</f>
        <v>VD038</v>
      </c>
      <c r="C309" s="2">
        <f>IFERROR(__xludf.DUMMYFUNCTION("""COMPUTED_VALUE"""),10.0)</f>
        <v>10</v>
      </c>
      <c r="D309" s="2">
        <f>IFERROR(__xludf.DUMMYFUNCTION("""COMPUTED_VALUE"""),2728.95)</f>
        <v>2728.95</v>
      </c>
    </row>
    <row r="310">
      <c r="A310" s="2" t="str">
        <f>IFERROR(__xludf.DUMMYFUNCTION("""COMPUTED_VALUE"""),"PR040")</f>
        <v>PR040</v>
      </c>
      <c r="B310" s="2" t="str">
        <f>IFERROR(__xludf.DUMMYFUNCTION("""COMPUTED_VALUE"""),"VD045")</f>
        <v>VD045</v>
      </c>
      <c r="C310" s="2">
        <f>IFERROR(__xludf.DUMMYFUNCTION("""COMPUTED_VALUE"""),21.0)</f>
        <v>21</v>
      </c>
      <c r="D310" s="2">
        <f>IFERROR(__xludf.DUMMYFUNCTION("""COMPUTED_VALUE"""),1543.5)</f>
        <v>1543.5</v>
      </c>
    </row>
    <row r="311">
      <c r="A311" s="2" t="str">
        <f>IFERROR(__xludf.DUMMYFUNCTION("""COMPUTED_VALUE"""),"PR017")</f>
        <v>PR017</v>
      </c>
      <c r="B311" s="2" t="str">
        <f>IFERROR(__xludf.DUMMYFUNCTION("""COMPUTED_VALUE"""),"VD029")</f>
        <v>VD029</v>
      </c>
      <c r="C311" s="2">
        <f>IFERROR(__xludf.DUMMYFUNCTION("""COMPUTED_VALUE"""),27.0)</f>
        <v>27</v>
      </c>
      <c r="D311" s="2">
        <f>IFERROR(__xludf.DUMMYFUNCTION("""COMPUTED_VALUE"""),815.37)</f>
        <v>815.37</v>
      </c>
    </row>
    <row r="312">
      <c r="A312" s="2" t="str">
        <f>IFERROR(__xludf.DUMMYFUNCTION("""COMPUTED_VALUE"""),"PR045")</f>
        <v>PR045</v>
      </c>
      <c r="B312" s="2" t="str">
        <f>IFERROR(__xludf.DUMMYFUNCTION("""COMPUTED_VALUE"""),"VD041")</f>
        <v>VD041</v>
      </c>
      <c r="C312" s="2">
        <f>IFERROR(__xludf.DUMMYFUNCTION("""COMPUTED_VALUE"""),10.0)</f>
        <v>10</v>
      </c>
      <c r="D312" s="2">
        <f>IFERROR(__xludf.DUMMYFUNCTION("""COMPUTED_VALUE"""),768.5)</f>
        <v>768.5</v>
      </c>
    </row>
    <row r="313">
      <c r="A313" s="2" t="str">
        <f>IFERROR(__xludf.DUMMYFUNCTION("""COMPUTED_VALUE"""),"PR014")</f>
        <v>PR014</v>
      </c>
      <c r="B313" s="2" t="str">
        <f>IFERROR(__xludf.DUMMYFUNCTION("""COMPUTED_VALUE"""),"VD018")</f>
        <v>VD018</v>
      </c>
      <c r="C313" s="2">
        <f>IFERROR(__xludf.DUMMYFUNCTION("""COMPUTED_VALUE"""),27.0)</f>
        <v>27</v>
      </c>
      <c r="D313" s="2">
        <f>IFERROR(__xludf.DUMMYFUNCTION("""COMPUTED_VALUE"""),1141.94)</f>
        <v>1141.94</v>
      </c>
    </row>
    <row r="314">
      <c r="A314" s="2" t="str">
        <f>IFERROR(__xludf.DUMMYFUNCTION("""COMPUTED_VALUE"""),"PR028")</f>
        <v>PR028</v>
      </c>
      <c r="B314" s="2" t="str">
        <f>IFERROR(__xludf.DUMMYFUNCTION("""COMPUTED_VALUE"""),"VD015")</f>
        <v>VD015</v>
      </c>
      <c r="C314" s="2">
        <f>IFERROR(__xludf.DUMMYFUNCTION("""COMPUTED_VALUE"""),15.0)</f>
        <v>15</v>
      </c>
      <c r="D314" s="2">
        <f>IFERROR(__xludf.DUMMYFUNCTION("""COMPUTED_VALUE"""),3785.99)</f>
        <v>3785.99</v>
      </c>
    </row>
    <row r="315">
      <c r="A315" s="2" t="str">
        <f>IFERROR(__xludf.DUMMYFUNCTION("""COMPUTED_VALUE"""),"PR046")</f>
        <v>PR046</v>
      </c>
      <c r="B315" s="2" t="str">
        <f>IFERROR(__xludf.DUMMYFUNCTION("""COMPUTED_VALUE"""),"VD021")</f>
        <v>VD021</v>
      </c>
      <c r="C315" s="2">
        <f>IFERROR(__xludf.DUMMYFUNCTION("""COMPUTED_VALUE"""),14.0)</f>
        <v>14</v>
      </c>
      <c r="D315" s="2">
        <f>IFERROR(__xludf.DUMMYFUNCTION("""COMPUTED_VALUE"""),4180.36)</f>
        <v>4180.36</v>
      </c>
    </row>
    <row r="316">
      <c r="A316" s="2" t="str">
        <f>IFERROR(__xludf.DUMMYFUNCTION("""COMPUTED_VALUE"""),"PR043")</f>
        <v>PR043</v>
      </c>
      <c r="B316" s="2" t="str">
        <f>IFERROR(__xludf.DUMMYFUNCTION("""COMPUTED_VALUE"""),"VD015")</f>
        <v>VD015</v>
      </c>
      <c r="C316" s="2">
        <f>IFERROR(__xludf.DUMMYFUNCTION("""COMPUTED_VALUE"""),20.0)</f>
        <v>20</v>
      </c>
      <c r="D316" s="2">
        <f>IFERROR(__xludf.DUMMYFUNCTION("""COMPUTED_VALUE"""),1595.0)</f>
        <v>1595</v>
      </c>
    </row>
    <row r="317">
      <c r="A317" s="2" t="str">
        <f>IFERROR(__xludf.DUMMYFUNCTION("""COMPUTED_VALUE"""),"PR030")</f>
        <v>PR030</v>
      </c>
      <c r="B317" s="2" t="str">
        <f>IFERROR(__xludf.DUMMYFUNCTION("""COMPUTED_VALUE"""),"VD017")</f>
        <v>VD017</v>
      </c>
      <c r="C317" s="2">
        <f>IFERROR(__xludf.DUMMYFUNCTION("""COMPUTED_VALUE"""),18.0)</f>
        <v>18</v>
      </c>
      <c r="D317" s="2">
        <f>IFERROR(__xludf.DUMMYFUNCTION("""COMPUTED_VALUE"""),4865.33)</f>
        <v>4865.33</v>
      </c>
    </row>
    <row r="318">
      <c r="A318" s="2" t="str">
        <f>IFERROR(__xludf.DUMMYFUNCTION("""COMPUTED_VALUE"""),"PR047")</f>
        <v>PR047</v>
      </c>
      <c r="B318" s="2" t="str">
        <f>IFERROR(__xludf.DUMMYFUNCTION("""COMPUTED_VALUE"""),"VD024")</f>
        <v>VD024</v>
      </c>
      <c r="C318" s="2">
        <f>IFERROR(__xludf.DUMMYFUNCTION("""COMPUTED_VALUE"""),24.0)</f>
        <v>24</v>
      </c>
      <c r="D318" s="2">
        <f>IFERROR(__xludf.DUMMYFUNCTION("""COMPUTED_VALUE"""),7027.18)</f>
        <v>7027.18</v>
      </c>
    </row>
    <row r="319">
      <c r="A319" s="2" t="str">
        <f>IFERROR(__xludf.DUMMYFUNCTION("""COMPUTED_VALUE"""),"PR010")</f>
        <v>PR010</v>
      </c>
      <c r="B319" s="2" t="str">
        <f>IFERROR(__xludf.DUMMYFUNCTION("""COMPUTED_VALUE"""),"VD028")</f>
        <v>VD028</v>
      </c>
      <c r="C319" s="2">
        <f>IFERROR(__xludf.DUMMYFUNCTION("""COMPUTED_VALUE"""),2.0)</f>
        <v>2</v>
      </c>
      <c r="D319" s="2">
        <f>IFERROR(__xludf.DUMMYFUNCTION("""COMPUTED_VALUE"""),95.19)</f>
        <v>95.19</v>
      </c>
    </row>
    <row r="320">
      <c r="A320" s="2" t="str">
        <f>IFERROR(__xludf.DUMMYFUNCTION("""COMPUTED_VALUE"""),"PR001")</f>
        <v>PR001</v>
      </c>
      <c r="B320" s="2" t="str">
        <f>IFERROR(__xludf.DUMMYFUNCTION("""COMPUTED_VALUE"""),"VD035")</f>
        <v>VD035</v>
      </c>
      <c r="C320" s="2">
        <f>IFERROR(__xludf.DUMMYFUNCTION("""COMPUTED_VALUE"""),1.0)</f>
        <v>1</v>
      </c>
      <c r="D320" s="2">
        <f>IFERROR(__xludf.DUMMYFUNCTION("""COMPUTED_VALUE"""),72.49)</f>
        <v>72.49</v>
      </c>
    </row>
    <row r="321">
      <c r="A321" s="2" t="str">
        <f>IFERROR(__xludf.DUMMYFUNCTION("""COMPUTED_VALUE"""),"PR014")</f>
        <v>PR014</v>
      </c>
      <c r="B321" s="2" t="str">
        <f>IFERROR(__xludf.DUMMYFUNCTION("""COMPUTED_VALUE"""),"VD030")</f>
        <v>VD030</v>
      </c>
      <c r="C321" s="2">
        <f>IFERROR(__xludf.DUMMYFUNCTION("""COMPUTED_VALUE"""),9.0)</f>
        <v>9</v>
      </c>
      <c r="D321" s="2">
        <f>IFERROR(__xludf.DUMMYFUNCTION("""COMPUTED_VALUE"""),377.06)</f>
        <v>377.06</v>
      </c>
    </row>
    <row r="322">
      <c r="A322" s="2" t="str">
        <f>IFERROR(__xludf.DUMMYFUNCTION("""COMPUTED_VALUE"""),"PR041")</f>
        <v>PR041</v>
      </c>
      <c r="B322" s="2" t="str">
        <f>IFERROR(__xludf.DUMMYFUNCTION("""COMPUTED_VALUE"""),"VD042")</f>
        <v>VD042</v>
      </c>
      <c r="C322" s="2">
        <f>IFERROR(__xludf.DUMMYFUNCTION("""COMPUTED_VALUE"""),2.0)</f>
        <v>2</v>
      </c>
      <c r="D322" s="2">
        <f>IFERROR(__xludf.DUMMYFUNCTION("""COMPUTED_VALUE"""),109.8)</f>
        <v>109.8</v>
      </c>
    </row>
    <row r="323">
      <c r="A323" s="2" t="str">
        <f>IFERROR(__xludf.DUMMYFUNCTION("""COMPUTED_VALUE"""),"PR037")</f>
        <v>PR037</v>
      </c>
      <c r="B323" s="2" t="str">
        <f>IFERROR(__xludf.DUMMYFUNCTION("""COMPUTED_VALUE"""),"VD028")</f>
        <v>VD028</v>
      </c>
      <c r="C323" s="2">
        <f>IFERROR(__xludf.DUMMYFUNCTION("""COMPUTED_VALUE"""),8.0)</f>
        <v>8</v>
      </c>
      <c r="D323" s="2">
        <f>IFERROR(__xludf.DUMMYFUNCTION("""COMPUTED_VALUE"""),1187.2)</f>
        <v>1187.2</v>
      </c>
    </row>
    <row r="324">
      <c r="A324" s="2" t="str">
        <f>IFERROR(__xludf.DUMMYFUNCTION("""COMPUTED_VALUE"""),"PR003")</f>
        <v>PR003</v>
      </c>
      <c r="B324" s="2" t="str">
        <f>IFERROR(__xludf.DUMMYFUNCTION("""COMPUTED_VALUE"""),"VD048")</f>
        <v>VD048</v>
      </c>
      <c r="C324" s="2">
        <f>IFERROR(__xludf.DUMMYFUNCTION("""COMPUTED_VALUE"""),3.0)</f>
        <v>3</v>
      </c>
      <c r="D324" s="2">
        <f>IFERROR(__xludf.DUMMYFUNCTION("""COMPUTED_VALUE"""),227.59)</f>
        <v>227.59</v>
      </c>
    </row>
    <row r="325">
      <c r="A325" s="2" t="str">
        <f>IFERROR(__xludf.DUMMYFUNCTION("""COMPUTED_VALUE"""),"PR006")</f>
        <v>PR006</v>
      </c>
      <c r="B325" s="2" t="str">
        <f>IFERROR(__xludf.DUMMYFUNCTION("""COMPUTED_VALUE"""),"VD012")</f>
        <v>VD012</v>
      </c>
      <c r="C325" s="2">
        <f>IFERROR(__xludf.DUMMYFUNCTION("""COMPUTED_VALUE"""),3.0)</f>
        <v>3</v>
      </c>
      <c r="D325" s="2">
        <f>IFERROR(__xludf.DUMMYFUNCTION("""COMPUTED_VALUE"""),122.09)</f>
        <v>122.09</v>
      </c>
    </row>
    <row r="326">
      <c r="A326" s="2" t="str">
        <f>IFERROR(__xludf.DUMMYFUNCTION("""COMPUTED_VALUE"""),"PR012")</f>
        <v>PR012</v>
      </c>
      <c r="B326" s="2" t="str">
        <f>IFERROR(__xludf.DUMMYFUNCTION("""COMPUTED_VALUE"""),"VD023")</f>
        <v>VD023</v>
      </c>
      <c r="C326" s="2">
        <f>IFERROR(__xludf.DUMMYFUNCTION("""COMPUTED_VALUE"""),16.0)</f>
        <v>16</v>
      </c>
      <c r="D326" s="2">
        <f>IFERROR(__xludf.DUMMYFUNCTION("""COMPUTED_VALUE"""),805.87)</f>
        <v>805.87</v>
      </c>
    </row>
    <row r="327">
      <c r="A327" s="2" t="str">
        <f>IFERROR(__xludf.DUMMYFUNCTION("""COMPUTED_VALUE"""),"PR028")</f>
        <v>PR028</v>
      </c>
      <c r="B327" s="2" t="str">
        <f>IFERROR(__xludf.DUMMYFUNCTION("""COMPUTED_VALUE"""),"VD015")</f>
        <v>VD015</v>
      </c>
      <c r="C327" s="2">
        <f>IFERROR(__xludf.DUMMYFUNCTION("""COMPUTED_VALUE"""),2.0)</f>
        <v>2</v>
      </c>
      <c r="D327" s="2">
        <f>IFERROR(__xludf.DUMMYFUNCTION("""COMPUTED_VALUE"""),549.78)</f>
        <v>549.78</v>
      </c>
    </row>
    <row r="328">
      <c r="A328" s="2" t="str">
        <f>IFERROR(__xludf.DUMMYFUNCTION("""COMPUTED_VALUE"""),"PR043")</f>
        <v>PR043</v>
      </c>
      <c r="B328" s="2" t="str">
        <f>IFERROR(__xludf.DUMMYFUNCTION("""COMPUTED_VALUE"""),"VD031")</f>
        <v>VD031</v>
      </c>
      <c r="C328" s="2">
        <f>IFERROR(__xludf.DUMMYFUNCTION("""COMPUTED_VALUE"""),6.0)</f>
        <v>6</v>
      </c>
      <c r="D328" s="2">
        <f>IFERROR(__xludf.DUMMYFUNCTION("""COMPUTED_VALUE"""),443.7)</f>
        <v>443.7</v>
      </c>
    </row>
    <row r="329">
      <c r="A329" s="2" t="str">
        <f>IFERROR(__xludf.DUMMYFUNCTION("""COMPUTED_VALUE"""),"PR031")</f>
        <v>PR031</v>
      </c>
      <c r="B329" s="2" t="str">
        <f>IFERROR(__xludf.DUMMYFUNCTION("""COMPUTED_VALUE"""),"VD023")</f>
        <v>VD023</v>
      </c>
      <c r="C329" s="2">
        <f>IFERROR(__xludf.DUMMYFUNCTION("""COMPUTED_VALUE"""),8.0)</f>
        <v>8</v>
      </c>
      <c r="D329" s="2">
        <f>IFERROR(__xludf.DUMMYFUNCTION("""COMPUTED_VALUE"""),1999.2)</f>
        <v>1999.2</v>
      </c>
    </row>
    <row r="330">
      <c r="A330" s="2" t="str">
        <f>IFERROR(__xludf.DUMMYFUNCTION("""COMPUTED_VALUE"""),"PR005")</f>
        <v>PR005</v>
      </c>
      <c r="B330" s="2" t="str">
        <f>IFERROR(__xludf.DUMMYFUNCTION("""COMPUTED_VALUE"""),"VD030")</f>
        <v>VD030</v>
      </c>
      <c r="C330" s="2">
        <f>IFERROR(__xludf.DUMMYFUNCTION("""COMPUTED_VALUE"""),15.0)</f>
        <v>15</v>
      </c>
      <c r="D330" s="2">
        <f>IFERROR(__xludf.DUMMYFUNCTION("""COMPUTED_VALUE"""),4210.38)</f>
        <v>4210.38</v>
      </c>
    </row>
    <row r="331">
      <c r="A331" s="2" t="str">
        <f>IFERROR(__xludf.DUMMYFUNCTION("""COMPUTED_VALUE"""),"PR051")</f>
        <v>PR051</v>
      </c>
      <c r="B331" s="2" t="str">
        <f>IFERROR(__xludf.DUMMYFUNCTION("""COMPUTED_VALUE"""),"VD041")</f>
        <v>VD041</v>
      </c>
      <c r="C331" s="2">
        <f>IFERROR(__xludf.DUMMYFUNCTION("""COMPUTED_VALUE"""),5.0)</f>
        <v>5</v>
      </c>
      <c r="D331" s="2">
        <f>IFERROR(__xludf.DUMMYFUNCTION("""COMPUTED_VALUE"""),171.08)</f>
        <v>171.08</v>
      </c>
    </row>
    <row r="332">
      <c r="A332" s="2" t="str">
        <f>IFERROR(__xludf.DUMMYFUNCTION("""COMPUTED_VALUE"""),"PR018")</f>
        <v>PR018</v>
      </c>
      <c r="B332" s="2" t="str">
        <f>IFERROR(__xludf.DUMMYFUNCTION("""COMPUTED_VALUE"""),"VD028")</f>
        <v>VD028</v>
      </c>
      <c r="C332" s="2">
        <f>IFERROR(__xludf.DUMMYFUNCTION("""COMPUTED_VALUE"""),12.0)</f>
        <v>12</v>
      </c>
      <c r="D332" s="2">
        <f>IFERROR(__xludf.DUMMYFUNCTION("""COMPUTED_VALUE"""),430.33)</f>
        <v>430.33</v>
      </c>
    </row>
    <row r="333">
      <c r="A333" s="2" t="str">
        <f>IFERROR(__xludf.DUMMYFUNCTION("""COMPUTED_VALUE"""),"PR016")</f>
        <v>PR016</v>
      </c>
      <c r="B333" s="2" t="str">
        <f>IFERROR(__xludf.DUMMYFUNCTION("""COMPUTED_VALUE"""),"VD042")</f>
        <v>VD042</v>
      </c>
      <c r="C333" s="2">
        <f>IFERROR(__xludf.DUMMYFUNCTION("""COMPUTED_VALUE"""),5.0)</f>
        <v>5</v>
      </c>
      <c r="D333" s="2">
        <f>IFERROR(__xludf.DUMMYFUNCTION("""COMPUTED_VALUE"""),138.57)</f>
        <v>138.57</v>
      </c>
    </row>
    <row r="334">
      <c r="A334" s="2" t="str">
        <f>IFERROR(__xludf.DUMMYFUNCTION("""COMPUTED_VALUE"""),"PR048")</f>
        <v>PR048</v>
      </c>
      <c r="B334" s="2" t="str">
        <f>IFERROR(__xludf.DUMMYFUNCTION("""COMPUTED_VALUE"""),"VD019")</f>
        <v>VD019</v>
      </c>
      <c r="C334" s="2">
        <f>IFERROR(__xludf.DUMMYFUNCTION("""COMPUTED_VALUE"""),2.0)</f>
        <v>2</v>
      </c>
      <c r="D334" s="2">
        <f>IFERROR(__xludf.DUMMYFUNCTION("""COMPUTED_VALUE"""),614.59)</f>
        <v>614.59</v>
      </c>
    </row>
    <row r="335">
      <c r="A335" s="2" t="str">
        <f>IFERROR(__xludf.DUMMYFUNCTION("""COMPUTED_VALUE"""),"PR036")</f>
        <v>PR036</v>
      </c>
      <c r="B335" s="2" t="str">
        <f>IFERROR(__xludf.DUMMYFUNCTION("""COMPUTED_VALUE"""),"VD036")</f>
        <v>VD036</v>
      </c>
      <c r="C335" s="2">
        <f>IFERROR(__xludf.DUMMYFUNCTION("""COMPUTED_VALUE"""),16.0)</f>
        <v>16</v>
      </c>
      <c r="D335" s="2">
        <f>IFERROR(__xludf.DUMMYFUNCTION("""COMPUTED_VALUE"""),1630.64)</f>
        <v>1630.64</v>
      </c>
    </row>
    <row r="336">
      <c r="A336" s="2" t="str">
        <f>IFERROR(__xludf.DUMMYFUNCTION("""COMPUTED_VALUE"""),"PR023")</f>
        <v>PR023</v>
      </c>
      <c r="B336" s="2" t="str">
        <f>IFERROR(__xludf.DUMMYFUNCTION("""COMPUTED_VALUE"""),"VD032")</f>
        <v>VD032</v>
      </c>
      <c r="C336" s="2">
        <f>IFERROR(__xludf.DUMMYFUNCTION("""COMPUTED_VALUE"""),8.0)</f>
        <v>8</v>
      </c>
      <c r="D336" s="2">
        <f>IFERROR(__xludf.DUMMYFUNCTION("""COMPUTED_VALUE"""),2199.12)</f>
        <v>2199.12</v>
      </c>
    </row>
    <row r="337">
      <c r="A337" s="2" t="str">
        <f>IFERROR(__xludf.DUMMYFUNCTION("""COMPUTED_VALUE"""),"PR038")</f>
        <v>PR038</v>
      </c>
      <c r="B337" s="2" t="str">
        <f>IFERROR(__xludf.DUMMYFUNCTION("""COMPUTED_VALUE"""),"VD032")</f>
        <v>VD032</v>
      </c>
      <c r="C337" s="2">
        <f>IFERROR(__xludf.DUMMYFUNCTION("""COMPUTED_VALUE"""),15.0)</f>
        <v>15</v>
      </c>
      <c r="D337" s="2">
        <f>IFERROR(__xludf.DUMMYFUNCTION("""COMPUTED_VALUE"""),2357.85)</f>
        <v>2357.85</v>
      </c>
    </row>
    <row r="338">
      <c r="A338" s="2" t="str">
        <f>IFERROR(__xludf.DUMMYFUNCTION("""COMPUTED_VALUE"""),"PR037")</f>
        <v>PR037</v>
      </c>
      <c r="B338" s="2" t="str">
        <f>IFERROR(__xludf.DUMMYFUNCTION("""COMPUTED_VALUE"""),"VD025")</f>
        <v>VD025</v>
      </c>
      <c r="C338" s="2">
        <f>IFERROR(__xludf.DUMMYFUNCTION("""COMPUTED_VALUE"""),27.0)</f>
        <v>27</v>
      </c>
      <c r="D338" s="2">
        <f>IFERROR(__xludf.DUMMYFUNCTION("""COMPUTED_VALUE"""),3780.0)</f>
        <v>3780</v>
      </c>
    </row>
    <row r="339">
      <c r="A339" s="2" t="str">
        <f>IFERROR(__xludf.DUMMYFUNCTION("""COMPUTED_VALUE"""),"PR020")</f>
        <v>PR020</v>
      </c>
      <c r="B339" s="2" t="str">
        <f>IFERROR(__xludf.DUMMYFUNCTION("""COMPUTED_VALUE"""),"VD016")</f>
        <v>VD016</v>
      </c>
      <c r="C339" s="2">
        <f>IFERROR(__xludf.DUMMYFUNCTION("""COMPUTED_VALUE"""),12.0)</f>
        <v>12</v>
      </c>
      <c r="D339" s="2">
        <f>IFERROR(__xludf.DUMMYFUNCTION("""COMPUTED_VALUE"""),3778.74)</f>
        <v>3778.74</v>
      </c>
    </row>
    <row r="340">
      <c r="A340" s="2" t="str">
        <f>IFERROR(__xludf.DUMMYFUNCTION("""COMPUTED_VALUE"""),"PR049")</f>
        <v>PR049</v>
      </c>
      <c r="B340" s="2" t="str">
        <f>IFERROR(__xludf.DUMMYFUNCTION("""COMPUTED_VALUE"""),"VD017")</f>
        <v>VD017</v>
      </c>
      <c r="C340" s="2">
        <f>IFERROR(__xludf.DUMMYFUNCTION("""COMPUTED_VALUE"""),21.0)</f>
        <v>21</v>
      </c>
      <c r="D340" s="2">
        <f>IFERROR(__xludf.DUMMYFUNCTION("""COMPUTED_VALUE"""),753.08)</f>
        <v>753.08</v>
      </c>
    </row>
    <row r="341">
      <c r="A341" s="2" t="str">
        <f>IFERROR(__xludf.DUMMYFUNCTION("""COMPUTED_VALUE"""),"PR007")</f>
        <v>PR007</v>
      </c>
      <c r="B341" s="2" t="str">
        <f>IFERROR(__xludf.DUMMYFUNCTION("""COMPUTED_VALUE"""),"VD029")</f>
        <v>VD029</v>
      </c>
      <c r="C341" s="2">
        <f>IFERROR(__xludf.DUMMYFUNCTION("""COMPUTED_VALUE"""),18.0)</f>
        <v>18</v>
      </c>
      <c r="D341" s="2">
        <f>IFERROR(__xludf.DUMMYFUNCTION("""COMPUTED_VALUE"""),1561.66)</f>
        <v>1561.66</v>
      </c>
    </row>
    <row r="342">
      <c r="A342" s="2" t="str">
        <f>IFERROR(__xludf.DUMMYFUNCTION("""COMPUTED_VALUE"""),"PR056")</f>
        <v>PR056</v>
      </c>
      <c r="B342" s="2" t="str">
        <f>IFERROR(__xludf.DUMMYFUNCTION("""COMPUTED_VALUE"""),"VD043")</f>
        <v>VD043</v>
      </c>
      <c r="C342" s="2">
        <f>IFERROR(__xludf.DUMMYFUNCTION("""COMPUTED_VALUE"""),3.0)</f>
        <v>3</v>
      </c>
      <c r="D342" s="2">
        <f>IFERROR(__xludf.DUMMYFUNCTION("""COMPUTED_VALUE"""),272.4)</f>
        <v>272.4</v>
      </c>
    </row>
    <row r="343">
      <c r="A343" s="2" t="str">
        <f>IFERROR(__xludf.DUMMYFUNCTION("""COMPUTED_VALUE"""),"PR019")</f>
        <v>PR019</v>
      </c>
      <c r="B343" s="2" t="str">
        <f>IFERROR(__xludf.DUMMYFUNCTION("""COMPUTED_VALUE"""),"VD039")</f>
        <v>VD039</v>
      </c>
      <c r="C343" s="2">
        <f>IFERROR(__xludf.DUMMYFUNCTION("""COMPUTED_VALUE"""),20.0)</f>
        <v>20</v>
      </c>
      <c r="D343" s="2">
        <f>IFERROR(__xludf.DUMMYFUNCTION("""COMPUTED_VALUE"""),1057.88)</f>
        <v>1057.88</v>
      </c>
    </row>
    <row r="344">
      <c r="A344" s="2" t="str">
        <f>IFERROR(__xludf.DUMMYFUNCTION("""COMPUTED_VALUE"""),"PR015")</f>
        <v>PR015</v>
      </c>
      <c r="B344" s="2" t="str">
        <f>IFERROR(__xludf.DUMMYFUNCTION("""COMPUTED_VALUE"""),"VD046")</f>
        <v>VD046</v>
      </c>
      <c r="C344" s="2">
        <f>IFERROR(__xludf.DUMMYFUNCTION("""COMPUTED_VALUE"""),3.0)</f>
        <v>3</v>
      </c>
      <c r="D344" s="2">
        <f>IFERROR(__xludf.DUMMYFUNCTION("""COMPUTED_VALUE"""),135.15)</f>
        <v>135.15</v>
      </c>
    </row>
    <row r="345">
      <c r="A345" s="2" t="str">
        <f>IFERROR(__xludf.DUMMYFUNCTION("""COMPUTED_VALUE"""),"PR019")</f>
        <v>PR019</v>
      </c>
      <c r="B345" s="2" t="str">
        <f>IFERROR(__xludf.DUMMYFUNCTION("""COMPUTED_VALUE"""),"VD043")</f>
        <v>VD043</v>
      </c>
      <c r="C345" s="2">
        <f>IFERROR(__xludf.DUMMYFUNCTION("""COMPUTED_VALUE"""),21.0)</f>
        <v>21</v>
      </c>
      <c r="D345" s="2">
        <f>IFERROR(__xludf.DUMMYFUNCTION("""COMPUTED_VALUE"""),1100.3)</f>
        <v>1100.3</v>
      </c>
    </row>
    <row r="346">
      <c r="A346" s="2" t="str">
        <f>IFERROR(__xludf.DUMMYFUNCTION("""COMPUTED_VALUE"""),"PR043")</f>
        <v>PR043</v>
      </c>
      <c r="B346" s="2" t="str">
        <f>IFERROR(__xludf.DUMMYFUNCTION("""COMPUTED_VALUE"""),"VD031")</f>
        <v>VD031</v>
      </c>
      <c r="C346" s="2">
        <f>IFERROR(__xludf.DUMMYFUNCTION("""COMPUTED_VALUE"""),9.0)</f>
        <v>9</v>
      </c>
      <c r="D346" s="2">
        <f>IFERROR(__xludf.DUMMYFUNCTION("""COMPUTED_VALUE"""),698.18)</f>
        <v>698.18</v>
      </c>
    </row>
    <row r="347">
      <c r="A347" s="2" t="str">
        <f>IFERROR(__xludf.DUMMYFUNCTION("""COMPUTED_VALUE"""),"PR038")</f>
        <v>PR038</v>
      </c>
      <c r="B347" s="2" t="str">
        <f>IFERROR(__xludf.DUMMYFUNCTION("""COMPUTED_VALUE"""),"VD015")</f>
        <v>VD015</v>
      </c>
      <c r="C347" s="2">
        <f>IFERROR(__xludf.DUMMYFUNCTION("""COMPUTED_VALUE"""),12.0)</f>
        <v>12</v>
      </c>
      <c r="D347" s="2">
        <f>IFERROR(__xludf.DUMMYFUNCTION("""COMPUTED_VALUE"""),1869.13)</f>
        <v>1869.13</v>
      </c>
    </row>
    <row r="348">
      <c r="A348" s="2" t="str">
        <f>IFERROR(__xludf.DUMMYFUNCTION("""COMPUTED_VALUE"""),"PR050")</f>
        <v>PR050</v>
      </c>
      <c r="B348" s="2" t="str">
        <f>IFERROR(__xludf.DUMMYFUNCTION("""COMPUTED_VALUE"""),"VD042")</f>
        <v>VD042</v>
      </c>
      <c r="C348" s="2">
        <f>IFERROR(__xludf.DUMMYFUNCTION("""COMPUTED_VALUE"""),1.0)</f>
        <v>1</v>
      </c>
      <c r="D348" s="2">
        <f>IFERROR(__xludf.DUMMYFUNCTION("""COMPUTED_VALUE"""),33.89)</f>
        <v>33.89</v>
      </c>
    </row>
    <row r="349">
      <c r="A349" s="2" t="str">
        <f>IFERROR(__xludf.DUMMYFUNCTION("""COMPUTED_VALUE"""),"PR005")</f>
        <v>PR005</v>
      </c>
      <c r="B349" s="2" t="str">
        <f>IFERROR(__xludf.DUMMYFUNCTION("""COMPUTED_VALUE"""),"VD022")</f>
        <v>VD022</v>
      </c>
      <c r="C349" s="2">
        <f>IFERROR(__xludf.DUMMYFUNCTION("""COMPUTED_VALUE"""),6.0)</f>
        <v>6</v>
      </c>
      <c r="D349" s="2">
        <f>IFERROR(__xludf.DUMMYFUNCTION("""COMPUTED_VALUE"""),1574.99)</f>
        <v>1574.99</v>
      </c>
    </row>
    <row r="350">
      <c r="A350" s="2" t="str">
        <f>IFERROR(__xludf.DUMMYFUNCTION("""COMPUTED_VALUE"""),"PR018")</f>
        <v>PR018</v>
      </c>
      <c r="B350" s="2" t="str">
        <f>IFERROR(__xludf.DUMMYFUNCTION("""COMPUTED_VALUE"""),"VD047")</f>
        <v>VD047</v>
      </c>
      <c r="C350" s="2">
        <f>IFERROR(__xludf.DUMMYFUNCTION("""COMPUTED_VALUE"""),6.0)</f>
        <v>6</v>
      </c>
      <c r="D350" s="2">
        <f>IFERROR(__xludf.DUMMYFUNCTION("""COMPUTED_VALUE"""),197.4)</f>
        <v>197.4</v>
      </c>
    </row>
    <row r="351">
      <c r="A351" s="2" t="str">
        <f>IFERROR(__xludf.DUMMYFUNCTION("""COMPUTED_VALUE"""),"PR057")</f>
        <v>PR057</v>
      </c>
      <c r="B351" s="2" t="str">
        <f>IFERROR(__xludf.DUMMYFUNCTION("""COMPUTED_VALUE"""),"VD043")</f>
        <v>VD043</v>
      </c>
      <c r="C351" s="2">
        <f>IFERROR(__xludf.DUMMYFUNCTION("""COMPUTED_VALUE"""),1.0)</f>
        <v>1</v>
      </c>
      <c r="D351" s="2">
        <f>IFERROR(__xludf.DUMMYFUNCTION("""COMPUTED_VALUE"""),96.19)</f>
        <v>96.19</v>
      </c>
    </row>
    <row r="352">
      <c r="A352" s="2" t="str">
        <f>IFERROR(__xludf.DUMMYFUNCTION("""COMPUTED_VALUE"""),"PR010")</f>
        <v>PR010</v>
      </c>
      <c r="B352" s="2" t="str">
        <f>IFERROR(__xludf.DUMMYFUNCTION("""COMPUTED_VALUE"""),"VD042")</f>
        <v>VD042</v>
      </c>
      <c r="C352" s="2">
        <f>IFERROR(__xludf.DUMMYFUNCTION("""COMPUTED_VALUE"""),16.0)</f>
        <v>16</v>
      </c>
      <c r="D352" s="2">
        <f>IFERROR(__xludf.DUMMYFUNCTION("""COMPUTED_VALUE"""),732.77)</f>
        <v>732.77</v>
      </c>
    </row>
    <row r="353">
      <c r="A353" s="2" t="str">
        <f>IFERROR(__xludf.DUMMYFUNCTION("""COMPUTED_VALUE"""),"PR001")</f>
        <v>PR001</v>
      </c>
      <c r="B353" s="2" t="str">
        <f>IFERROR(__xludf.DUMMYFUNCTION("""COMPUTED_VALUE"""),"VD034")</f>
        <v>VD034</v>
      </c>
      <c r="C353" s="2">
        <f>IFERROR(__xludf.DUMMYFUNCTION("""COMPUTED_VALUE"""),6.0)</f>
        <v>6</v>
      </c>
      <c r="D353" s="2">
        <f>IFERROR(__xludf.DUMMYFUNCTION("""COMPUTED_VALUE"""),419.12)</f>
        <v>419.12</v>
      </c>
    </row>
    <row r="354">
      <c r="A354" s="2" t="str">
        <f>IFERROR(__xludf.DUMMYFUNCTION("""COMPUTED_VALUE"""),"PR036")</f>
        <v>PR036</v>
      </c>
      <c r="B354" s="2" t="str">
        <f>IFERROR(__xludf.DUMMYFUNCTION("""COMPUTED_VALUE"""),"VD046")</f>
        <v>VD046</v>
      </c>
      <c r="C354" s="2">
        <f>IFERROR(__xludf.DUMMYFUNCTION("""COMPUTED_VALUE"""),7.0)</f>
        <v>7</v>
      </c>
      <c r="D354" s="2">
        <f>IFERROR(__xludf.DUMMYFUNCTION("""COMPUTED_VALUE"""),706.86)</f>
        <v>706.86</v>
      </c>
    </row>
    <row r="355">
      <c r="A355" s="2" t="str">
        <f>IFERROR(__xludf.DUMMYFUNCTION("""COMPUTED_VALUE"""),"PR051")</f>
        <v>PR051</v>
      </c>
      <c r="B355" s="2" t="str">
        <f>IFERROR(__xludf.DUMMYFUNCTION("""COMPUTED_VALUE"""),"VD026")</f>
        <v>VD026</v>
      </c>
      <c r="C355" s="2">
        <f>IFERROR(__xludf.DUMMYFUNCTION("""COMPUTED_VALUE"""),20.0)</f>
        <v>20</v>
      </c>
      <c r="D355" s="2">
        <f>IFERROR(__xludf.DUMMYFUNCTION("""COMPUTED_VALUE"""),704.06)</f>
        <v>704.06</v>
      </c>
    </row>
    <row r="356">
      <c r="A356" s="2" t="str">
        <f>IFERROR(__xludf.DUMMYFUNCTION("""COMPUTED_VALUE"""),"PR030")</f>
        <v>PR030</v>
      </c>
      <c r="B356" s="2" t="str">
        <f>IFERROR(__xludf.DUMMYFUNCTION("""COMPUTED_VALUE"""),"VD036")</f>
        <v>VD036</v>
      </c>
      <c r="C356" s="2">
        <f>IFERROR(__xludf.DUMMYFUNCTION("""COMPUTED_VALUE"""),21.0)</f>
        <v>21</v>
      </c>
      <c r="D356" s="2">
        <f>IFERROR(__xludf.DUMMYFUNCTION("""COMPUTED_VALUE"""),5457.9)</f>
        <v>5457.9</v>
      </c>
    </row>
    <row r="357">
      <c r="A357" s="2" t="str">
        <f>IFERROR(__xludf.DUMMYFUNCTION("""COMPUTED_VALUE"""),"PR045")</f>
        <v>PR045</v>
      </c>
      <c r="B357" s="2" t="str">
        <f>IFERROR(__xludf.DUMMYFUNCTION("""COMPUTED_VALUE"""),"VD039")</f>
        <v>VD039</v>
      </c>
      <c r="C357" s="2">
        <f>IFERROR(__xludf.DUMMYFUNCTION("""COMPUTED_VALUE"""),18.0)</f>
        <v>18</v>
      </c>
      <c r="D357" s="2">
        <f>IFERROR(__xludf.DUMMYFUNCTION("""COMPUTED_VALUE"""),1409.4)</f>
        <v>1409.4</v>
      </c>
    </row>
    <row r="358">
      <c r="A358" s="2" t="str">
        <f>IFERROR(__xludf.DUMMYFUNCTION("""COMPUTED_VALUE"""),"PR025")</f>
        <v>PR025</v>
      </c>
      <c r="B358" s="2" t="str">
        <f>IFERROR(__xludf.DUMMYFUNCTION("""COMPUTED_VALUE"""),"VD013")</f>
        <v>VD013</v>
      </c>
      <c r="C358" s="2">
        <f>IFERROR(__xludf.DUMMYFUNCTION("""COMPUTED_VALUE"""),6.0)</f>
        <v>6</v>
      </c>
      <c r="D358" s="2">
        <f>IFERROR(__xludf.DUMMYFUNCTION("""COMPUTED_VALUE"""),1817.39)</f>
        <v>1817.39</v>
      </c>
    </row>
    <row r="359">
      <c r="A359" s="2" t="str">
        <f>IFERROR(__xludf.DUMMYFUNCTION("""COMPUTED_VALUE"""),"PR025")</f>
        <v>PR025</v>
      </c>
      <c r="B359" s="2" t="str">
        <f>IFERROR(__xludf.DUMMYFUNCTION("""COMPUTED_VALUE"""),"VD043")</f>
        <v>VD043</v>
      </c>
      <c r="C359" s="2">
        <f>IFERROR(__xludf.DUMMYFUNCTION("""COMPUTED_VALUE"""),16.0)</f>
        <v>16</v>
      </c>
      <c r="D359" s="2">
        <f>IFERROR(__xludf.DUMMYFUNCTION("""COMPUTED_VALUE"""),4990.34)</f>
        <v>4990.34</v>
      </c>
    </row>
    <row r="360">
      <c r="A360" s="2" t="str">
        <f>IFERROR(__xludf.DUMMYFUNCTION("""COMPUTED_VALUE"""),"PR047")</f>
        <v>PR047</v>
      </c>
      <c r="B360" s="2" t="str">
        <f>IFERROR(__xludf.DUMMYFUNCTION("""COMPUTED_VALUE"""),"VD011")</f>
        <v>VD011</v>
      </c>
      <c r="C360" s="2">
        <f>IFERROR(__xludf.DUMMYFUNCTION("""COMPUTED_VALUE"""),3.0)</f>
        <v>3</v>
      </c>
      <c r="D360" s="2">
        <f>IFERROR(__xludf.DUMMYFUNCTION("""COMPUTED_VALUE"""),913.19)</f>
        <v>913.19</v>
      </c>
    </row>
    <row r="361">
      <c r="A361" s="2" t="str">
        <f>IFERROR(__xludf.DUMMYFUNCTION("""COMPUTED_VALUE"""),"PR060")</f>
        <v>PR060</v>
      </c>
      <c r="B361" s="2" t="str">
        <f>IFERROR(__xludf.DUMMYFUNCTION("""COMPUTED_VALUE"""),"VD044")</f>
        <v>VD044</v>
      </c>
      <c r="C361" s="2">
        <f>IFERROR(__xludf.DUMMYFUNCTION("""COMPUTED_VALUE"""),6.0)</f>
        <v>6</v>
      </c>
      <c r="D361" s="2">
        <f>IFERROR(__xludf.DUMMYFUNCTION("""COMPUTED_VALUE"""),1101.6)</f>
        <v>1101.6</v>
      </c>
    </row>
    <row r="362">
      <c r="A362" s="2" t="str">
        <f>IFERROR(__xludf.DUMMYFUNCTION("""COMPUTED_VALUE"""),"PR012")</f>
        <v>PR012</v>
      </c>
      <c r="B362" s="2" t="str">
        <f>IFERROR(__xludf.DUMMYFUNCTION("""COMPUTED_VALUE"""),"VD022")</f>
        <v>VD022</v>
      </c>
      <c r="C362" s="2">
        <f>IFERROR(__xludf.DUMMYFUNCTION("""COMPUTED_VALUE"""),27.0)</f>
        <v>27</v>
      </c>
      <c r="D362" s="2">
        <f>IFERROR(__xludf.DUMMYFUNCTION("""COMPUTED_VALUE"""),1333.5)</f>
        <v>1333.5</v>
      </c>
    </row>
    <row r="363">
      <c r="A363" s="2" t="str">
        <f>IFERROR(__xludf.DUMMYFUNCTION("""COMPUTED_VALUE"""),"PR009")</f>
        <v>PR009</v>
      </c>
      <c r="B363" s="2" t="str">
        <f>IFERROR(__xludf.DUMMYFUNCTION("""COMPUTED_VALUE"""),"VD019")</f>
        <v>VD019</v>
      </c>
      <c r="C363" s="2">
        <f>IFERROR(__xludf.DUMMYFUNCTION("""COMPUTED_VALUE"""),2.0)</f>
        <v>2</v>
      </c>
      <c r="D363" s="2">
        <f>IFERROR(__xludf.DUMMYFUNCTION("""COMPUTED_VALUE"""),185.8)</f>
        <v>185.8</v>
      </c>
    </row>
    <row r="364">
      <c r="A364" s="2" t="str">
        <f>IFERROR(__xludf.DUMMYFUNCTION("""COMPUTED_VALUE"""),"PR010")</f>
        <v>PR010</v>
      </c>
      <c r="B364" s="2" t="str">
        <f>IFERROR(__xludf.DUMMYFUNCTION("""COMPUTED_VALUE"""),"VD041")</f>
        <v>VD041</v>
      </c>
      <c r="C364" s="2">
        <f>IFERROR(__xludf.DUMMYFUNCTION("""COMPUTED_VALUE"""),5.0)</f>
        <v>5</v>
      </c>
      <c r="D364" s="2">
        <f>IFERROR(__xludf.DUMMYFUNCTION("""COMPUTED_VALUE"""),237.97)</f>
        <v>237.97</v>
      </c>
    </row>
    <row r="365">
      <c r="A365" s="2" t="str">
        <f>IFERROR(__xludf.DUMMYFUNCTION("""COMPUTED_VALUE"""),"PR049")</f>
        <v>PR049</v>
      </c>
      <c r="B365" s="2" t="str">
        <f>IFERROR(__xludf.DUMMYFUNCTION("""COMPUTED_VALUE"""),"VD049")</f>
        <v>VD049</v>
      </c>
      <c r="C365" s="2">
        <f>IFERROR(__xludf.DUMMYFUNCTION("""COMPUTED_VALUE"""),4.0)</f>
        <v>4</v>
      </c>
      <c r="D365" s="2">
        <f>IFERROR(__xludf.DUMMYFUNCTION("""COMPUTED_VALUE"""),143.44)</f>
        <v>143.44</v>
      </c>
    </row>
    <row r="366">
      <c r="A366" s="2" t="str">
        <f>IFERROR(__xludf.DUMMYFUNCTION("""COMPUTED_VALUE"""),"PR016")</f>
        <v>PR016</v>
      </c>
      <c r="B366" s="2" t="str">
        <f>IFERROR(__xludf.DUMMYFUNCTION("""COMPUTED_VALUE"""),"VD044")</f>
        <v>VD044</v>
      </c>
      <c r="C366" s="2">
        <f>IFERROR(__xludf.DUMMYFUNCTION("""COMPUTED_VALUE"""),6.0)</f>
        <v>6</v>
      </c>
      <c r="D366" s="2">
        <f>IFERROR(__xludf.DUMMYFUNCTION("""COMPUTED_VALUE"""),161.62)</f>
        <v>161.62</v>
      </c>
    </row>
    <row r="367">
      <c r="A367" s="2" t="str">
        <f>IFERROR(__xludf.DUMMYFUNCTION("""COMPUTED_VALUE"""),"PR008")</f>
        <v>PR008</v>
      </c>
      <c r="B367" s="2" t="str">
        <f>IFERROR(__xludf.DUMMYFUNCTION("""COMPUTED_VALUE"""),"VD033")</f>
        <v>VD033</v>
      </c>
      <c r="C367" s="2">
        <f>IFERROR(__xludf.DUMMYFUNCTION("""COMPUTED_VALUE"""),27.0)</f>
        <v>27</v>
      </c>
      <c r="D367" s="2">
        <f>IFERROR(__xludf.DUMMYFUNCTION("""COMPUTED_VALUE"""),2548.67)</f>
        <v>2548.67</v>
      </c>
    </row>
    <row r="368">
      <c r="A368" s="2" t="str">
        <f>IFERROR(__xludf.DUMMYFUNCTION("""COMPUTED_VALUE"""),"PR018")</f>
        <v>PR018</v>
      </c>
      <c r="B368" s="2" t="str">
        <f>IFERROR(__xludf.DUMMYFUNCTION("""COMPUTED_VALUE"""),"VD033")</f>
        <v>VD033</v>
      </c>
      <c r="C368" s="2">
        <f>IFERROR(__xludf.DUMMYFUNCTION("""COMPUTED_VALUE"""),1.0)</f>
        <v>1</v>
      </c>
      <c r="D368" s="2">
        <f>IFERROR(__xludf.DUMMYFUNCTION("""COMPUTED_VALUE"""),34.87)</f>
        <v>34.87</v>
      </c>
    </row>
    <row r="369">
      <c r="A369" s="2" t="str">
        <f>IFERROR(__xludf.DUMMYFUNCTION("""COMPUTED_VALUE"""),"PR017")</f>
        <v>PR017</v>
      </c>
      <c r="B369" s="2" t="str">
        <f>IFERROR(__xludf.DUMMYFUNCTION("""COMPUTED_VALUE"""),"VD013")</f>
        <v>VD013</v>
      </c>
      <c r="C369" s="2">
        <f>IFERROR(__xludf.DUMMYFUNCTION("""COMPUTED_VALUE"""),9.0)</f>
        <v>9</v>
      </c>
      <c r="D369" s="2">
        <f>IFERROR(__xludf.DUMMYFUNCTION("""COMPUTED_VALUE"""),293.32)</f>
        <v>293.32</v>
      </c>
    </row>
    <row r="370">
      <c r="A370" s="2" t="str">
        <f>IFERROR(__xludf.DUMMYFUNCTION("""COMPUTED_VALUE"""),"PR050")</f>
        <v>PR050</v>
      </c>
      <c r="B370" s="2" t="str">
        <f>IFERROR(__xludf.DUMMYFUNCTION("""COMPUTED_VALUE"""),"VD030")</f>
        <v>VD030</v>
      </c>
      <c r="C370" s="2">
        <f>IFERROR(__xludf.DUMMYFUNCTION("""COMPUTED_VALUE"""),6.0)</f>
        <v>6</v>
      </c>
      <c r="D370" s="2">
        <f>IFERROR(__xludf.DUMMYFUNCTION("""COMPUTED_VALUE"""),205.3)</f>
        <v>205.3</v>
      </c>
    </row>
    <row r="371">
      <c r="A371" s="2" t="str">
        <f>IFERROR(__xludf.DUMMYFUNCTION("""COMPUTED_VALUE"""),"PR018")</f>
        <v>PR018</v>
      </c>
      <c r="B371" s="2" t="str">
        <f>IFERROR(__xludf.DUMMYFUNCTION("""COMPUTED_VALUE"""),"VD040")</f>
        <v>VD040</v>
      </c>
      <c r="C371" s="2">
        <f>IFERROR(__xludf.DUMMYFUNCTION("""COMPUTED_VALUE"""),20.0)</f>
        <v>20</v>
      </c>
      <c r="D371" s="2">
        <f>IFERROR(__xludf.DUMMYFUNCTION("""COMPUTED_VALUE"""),671.16)</f>
        <v>671.16</v>
      </c>
    </row>
    <row r="372">
      <c r="A372" s="2" t="str">
        <f>IFERROR(__xludf.DUMMYFUNCTION("""COMPUTED_VALUE"""),"PR001")</f>
        <v>PR001</v>
      </c>
      <c r="B372" s="2" t="str">
        <f>IFERROR(__xludf.DUMMYFUNCTION("""COMPUTED_VALUE"""),"VD045")</f>
        <v>VD045</v>
      </c>
      <c r="C372" s="2">
        <f>IFERROR(__xludf.DUMMYFUNCTION("""COMPUTED_VALUE"""),9.0)</f>
        <v>9</v>
      </c>
      <c r="D372" s="2">
        <f>IFERROR(__xludf.DUMMYFUNCTION("""COMPUTED_VALUE"""),634.62)</f>
        <v>634.62</v>
      </c>
    </row>
    <row r="373">
      <c r="A373" s="2" t="str">
        <f>IFERROR(__xludf.DUMMYFUNCTION("""COMPUTED_VALUE"""),"PR053")</f>
        <v>PR053</v>
      </c>
      <c r="B373" s="2" t="str">
        <f>IFERROR(__xludf.DUMMYFUNCTION("""COMPUTED_VALUE"""),"VD033")</f>
        <v>VD033</v>
      </c>
      <c r="C373" s="2">
        <f>IFERROR(__xludf.DUMMYFUNCTION("""COMPUTED_VALUE"""),6.0)</f>
        <v>6</v>
      </c>
      <c r="D373" s="2">
        <f>IFERROR(__xludf.DUMMYFUNCTION("""COMPUTED_VALUE"""),314.37)</f>
        <v>314.37</v>
      </c>
    </row>
    <row r="374">
      <c r="A374" s="2" t="str">
        <f>IFERROR(__xludf.DUMMYFUNCTION("""COMPUTED_VALUE"""),"PR011")</f>
        <v>PR011</v>
      </c>
      <c r="B374" s="2" t="str">
        <f>IFERROR(__xludf.DUMMYFUNCTION("""COMPUTED_VALUE"""),"VD046")</f>
        <v>VD046</v>
      </c>
      <c r="C374" s="2">
        <f>IFERROR(__xludf.DUMMYFUNCTION("""COMPUTED_VALUE"""),8.0)</f>
        <v>8</v>
      </c>
      <c r="D374" s="2">
        <f>IFERROR(__xludf.DUMMYFUNCTION("""COMPUTED_VALUE"""),375.2)</f>
        <v>375.2</v>
      </c>
    </row>
    <row r="375">
      <c r="A375" s="2" t="str">
        <f>IFERROR(__xludf.DUMMYFUNCTION("""COMPUTED_VALUE"""),"PR036")</f>
        <v>PR036</v>
      </c>
      <c r="B375" s="2" t="str">
        <f>IFERROR(__xludf.DUMMYFUNCTION("""COMPUTED_VALUE"""),"VD044")</f>
        <v>VD044</v>
      </c>
      <c r="C375" s="2">
        <f>IFERROR(__xludf.DUMMYFUNCTION("""COMPUTED_VALUE"""),9.0)</f>
        <v>9</v>
      </c>
      <c r="D375" s="2">
        <f>IFERROR(__xludf.DUMMYFUNCTION("""COMPUTED_VALUE"""),849.92)</f>
        <v>849.92</v>
      </c>
    </row>
    <row r="376">
      <c r="A376" s="2" t="str">
        <f>IFERROR(__xludf.DUMMYFUNCTION("""COMPUTED_VALUE"""),"PR007")</f>
        <v>PR007</v>
      </c>
      <c r="B376" s="2" t="str">
        <f>IFERROR(__xludf.DUMMYFUNCTION("""COMPUTED_VALUE"""),"VD035")</f>
        <v>VD035</v>
      </c>
      <c r="C376" s="2">
        <f>IFERROR(__xludf.DUMMYFUNCTION("""COMPUTED_VALUE"""),8.0)</f>
        <v>8</v>
      </c>
      <c r="D376" s="2">
        <f>IFERROR(__xludf.DUMMYFUNCTION("""COMPUTED_VALUE"""),700.94)</f>
        <v>700.94</v>
      </c>
    </row>
    <row r="377">
      <c r="A377" s="2" t="str">
        <f>IFERROR(__xludf.DUMMYFUNCTION("""COMPUTED_VALUE"""),"PR017")</f>
        <v>PR017</v>
      </c>
      <c r="B377" s="2" t="str">
        <f>IFERROR(__xludf.DUMMYFUNCTION("""COMPUTED_VALUE"""),"VD013")</f>
        <v>VD013</v>
      </c>
      <c r="C377" s="2">
        <f>IFERROR(__xludf.DUMMYFUNCTION("""COMPUTED_VALUE"""),2.0)</f>
        <v>2</v>
      </c>
      <c r="D377" s="2">
        <f>IFERROR(__xludf.DUMMYFUNCTION("""COMPUTED_VALUE"""),62.79)</f>
        <v>62.79</v>
      </c>
    </row>
    <row r="378">
      <c r="A378" s="2" t="str">
        <f>IFERROR(__xludf.DUMMYFUNCTION("""COMPUTED_VALUE"""),"PR029")</f>
        <v>PR029</v>
      </c>
      <c r="B378" s="2" t="str">
        <f>IFERROR(__xludf.DUMMYFUNCTION("""COMPUTED_VALUE"""),"VD022")</f>
        <v>VD022</v>
      </c>
      <c r="C378" s="2">
        <f>IFERROR(__xludf.DUMMYFUNCTION("""COMPUTED_VALUE"""),24.0)</f>
        <v>24</v>
      </c>
      <c r="D378" s="2">
        <f>IFERROR(__xludf.DUMMYFUNCTION("""COMPUTED_VALUE"""),6364.8)</f>
        <v>6364.8</v>
      </c>
    </row>
    <row r="379">
      <c r="A379" s="2" t="str">
        <f>IFERROR(__xludf.DUMMYFUNCTION("""COMPUTED_VALUE"""),"PR049")</f>
        <v>PR049</v>
      </c>
      <c r="B379" s="2" t="str">
        <f>IFERROR(__xludf.DUMMYFUNCTION("""COMPUTED_VALUE"""),"VD046")</f>
        <v>VD046</v>
      </c>
      <c r="C379" s="2">
        <f>IFERROR(__xludf.DUMMYFUNCTION("""COMPUTED_VALUE"""),2.0)</f>
        <v>2</v>
      </c>
      <c r="D379" s="2">
        <f>IFERROR(__xludf.DUMMYFUNCTION("""COMPUTED_VALUE"""),71.72)</f>
        <v>71.72</v>
      </c>
    </row>
    <row r="380">
      <c r="A380" s="2" t="str">
        <f>IFERROR(__xludf.DUMMYFUNCTION("""COMPUTED_VALUE"""),"PR036")</f>
        <v>PR036</v>
      </c>
      <c r="B380" s="2" t="str">
        <f>IFERROR(__xludf.DUMMYFUNCTION("""COMPUTED_VALUE"""),"VD035")</f>
        <v>VD035</v>
      </c>
      <c r="C380" s="2">
        <f>IFERROR(__xludf.DUMMYFUNCTION("""COMPUTED_VALUE"""),18.0)</f>
        <v>18</v>
      </c>
      <c r="D380" s="2">
        <f>IFERROR(__xludf.DUMMYFUNCTION("""COMPUTED_VALUE"""),1783.98)</f>
        <v>1783.98</v>
      </c>
    </row>
    <row r="381">
      <c r="A381" s="2" t="str">
        <f>IFERROR(__xludf.DUMMYFUNCTION("""COMPUTED_VALUE"""),"PR039")</f>
        <v>PR039</v>
      </c>
      <c r="B381" s="2" t="str">
        <f>IFERROR(__xludf.DUMMYFUNCTION("""COMPUTED_VALUE"""),"VD047")</f>
        <v>VD047</v>
      </c>
      <c r="C381" s="2">
        <f>IFERROR(__xludf.DUMMYFUNCTION("""COMPUTED_VALUE"""),14.0)</f>
        <v>14</v>
      </c>
      <c r="D381" s="2">
        <f>IFERROR(__xludf.DUMMYFUNCTION("""COMPUTED_VALUE"""),2227.96)</f>
        <v>2227.96</v>
      </c>
    </row>
    <row r="382">
      <c r="A382" s="2" t="str">
        <f>IFERROR(__xludf.DUMMYFUNCTION("""COMPUTED_VALUE"""),"PR043")</f>
        <v>PR043</v>
      </c>
      <c r="B382" s="2" t="str">
        <f>IFERROR(__xludf.DUMMYFUNCTION("""COMPUTED_VALUE"""),"VD049")</f>
        <v>VD049</v>
      </c>
      <c r="C382" s="2">
        <f>IFERROR(__xludf.DUMMYFUNCTION("""COMPUTED_VALUE"""),8.0)</f>
        <v>8</v>
      </c>
      <c r="D382" s="2">
        <f>IFERROR(__xludf.DUMMYFUNCTION("""COMPUTED_VALUE"""),585.8)</f>
        <v>585.8</v>
      </c>
    </row>
    <row r="383">
      <c r="A383" s="2" t="str">
        <f>IFERROR(__xludf.DUMMYFUNCTION("""COMPUTED_VALUE"""),"PR039")</f>
        <v>PR039</v>
      </c>
      <c r="B383" s="2" t="str">
        <f>IFERROR(__xludf.DUMMYFUNCTION("""COMPUTED_VALUE"""),"VD036")</f>
        <v>VD036</v>
      </c>
      <c r="C383" s="2">
        <f>IFERROR(__xludf.DUMMYFUNCTION("""COMPUTED_VALUE"""),7.0)</f>
        <v>7</v>
      </c>
      <c r="D383" s="2">
        <f>IFERROR(__xludf.DUMMYFUNCTION("""COMPUTED_VALUE"""),1124.2)</f>
        <v>1124.2</v>
      </c>
    </row>
    <row r="384">
      <c r="A384" s="2" t="str">
        <f>IFERROR(__xludf.DUMMYFUNCTION("""COMPUTED_VALUE"""),"PR039")</f>
        <v>PR039</v>
      </c>
      <c r="B384" s="2" t="str">
        <f>IFERROR(__xludf.DUMMYFUNCTION("""COMPUTED_VALUE"""),"VD032")</f>
        <v>VD032</v>
      </c>
      <c r="C384" s="2">
        <f>IFERROR(__xludf.DUMMYFUNCTION("""COMPUTED_VALUE"""),2.0)</f>
        <v>2</v>
      </c>
      <c r="D384" s="2">
        <f>IFERROR(__xludf.DUMMYFUNCTION("""COMPUTED_VALUE"""),312.44)</f>
        <v>312.44</v>
      </c>
    </row>
    <row r="385">
      <c r="A385" s="2" t="str">
        <f>IFERROR(__xludf.DUMMYFUNCTION("""COMPUTED_VALUE"""),"PR043")</f>
        <v>PR043</v>
      </c>
      <c r="B385" s="2" t="str">
        <f>IFERROR(__xludf.DUMMYFUNCTION("""COMPUTED_VALUE"""),"VD038")</f>
        <v>VD038</v>
      </c>
      <c r="C385" s="2">
        <f>IFERROR(__xludf.DUMMYFUNCTION("""COMPUTED_VALUE"""),3.0)</f>
        <v>3</v>
      </c>
      <c r="D385" s="2">
        <f>IFERROR(__xludf.DUMMYFUNCTION("""COMPUTED_VALUE"""),221.85)</f>
        <v>221.85</v>
      </c>
    </row>
    <row r="386">
      <c r="A386" s="2" t="str">
        <f>IFERROR(__xludf.DUMMYFUNCTION("""COMPUTED_VALUE"""),"PR005")</f>
        <v>PR005</v>
      </c>
      <c r="B386" s="2" t="str">
        <f>IFERROR(__xludf.DUMMYFUNCTION("""COMPUTED_VALUE"""),"VD021")</f>
        <v>VD021</v>
      </c>
      <c r="C386" s="2">
        <f>IFERROR(__xludf.DUMMYFUNCTION("""COMPUTED_VALUE"""),14.0)</f>
        <v>14</v>
      </c>
      <c r="D386" s="2">
        <f>IFERROR(__xludf.DUMMYFUNCTION("""COMPUTED_VALUE"""),3893.3)</f>
        <v>3893.3</v>
      </c>
    </row>
    <row r="387">
      <c r="A387" s="2" t="str">
        <f>IFERROR(__xludf.DUMMYFUNCTION("""COMPUTED_VALUE"""),"PR012")</f>
        <v>PR012</v>
      </c>
      <c r="B387" s="2" t="str">
        <f>IFERROR(__xludf.DUMMYFUNCTION("""COMPUTED_VALUE"""),"VD047")</f>
        <v>VD047</v>
      </c>
      <c r="C387" s="2">
        <f>IFERROR(__xludf.DUMMYFUNCTION("""COMPUTED_VALUE"""),2.0)</f>
        <v>2</v>
      </c>
      <c r="D387" s="2">
        <f>IFERROR(__xludf.DUMMYFUNCTION("""COMPUTED_VALUE"""),101.71)</f>
        <v>101.71</v>
      </c>
    </row>
    <row r="388">
      <c r="A388" s="2" t="str">
        <f>IFERROR(__xludf.DUMMYFUNCTION("""COMPUTED_VALUE"""),"PR039")</f>
        <v>PR039</v>
      </c>
      <c r="B388" s="2" t="str">
        <f>IFERROR(__xludf.DUMMYFUNCTION("""COMPUTED_VALUE"""),"VD042")</f>
        <v>VD042</v>
      </c>
      <c r="C388" s="2">
        <f>IFERROR(__xludf.DUMMYFUNCTION("""COMPUTED_VALUE"""),2.0)</f>
        <v>2</v>
      </c>
      <c r="D388" s="2">
        <f>IFERROR(__xludf.DUMMYFUNCTION("""COMPUTED_VALUE"""),292.0)</f>
        <v>292</v>
      </c>
    </row>
    <row r="389">
      <c r="A389" s="2" t="str">
        <f>IFERROR(__xludf.DUMMYFUNCTION("""COMPUTED_VALUE"""),"PR040")</f>
        <v>PR040</v>
      </c>
      <c r="B389" s="2" t="str">
        <f>IFERROR(__xludf.DUMMYFUNCTION("""COMPUTED_VALUE"""),"VD038")</f>
        <v>VD038</v>
      </c>
      <c r="C389" s="2">
        <f>IFERROR(__xludf.DUMMYFUNCTION("""COMPUTED_VALUE"""),2.0)</f>
        <v>2</v>
      </c>
      <c r="D389" s="2">
        <f>IFERROR(__xludf.DUMMYFUNCTION("""COMPUTED_VALUE"""),145.6)</f>
        <v>145.6</v>
      </c>
    </row>
    <row r="390">
      <c r="A390" s="2" t="str">
        <f>IFERROR(__xludf.DUMMYFUNCTION("""COMPUTED_VALUE"""),"PR053")</f>
        <v>PR053</v>
      </c>
      <c r="B390" s="2" t="str">
        <f>IFERROR(__xludf.DUMMYFUNCTION("""COMPUTED_VALUE"""),"VD031")</f>
        <v>VD031</v>
      </c>
      <c r="C390" s="2">
        <f>IFERROR(__xludf.DUMMYFUNCTION("""COMPUTED_VALUE"""),10.0)</f>
        <v>10</v>
      </c>
      <c r="D390" s="2">
        <f>IFERROR(__xludf.DUMMYFUNCTION("""COMPUTED_VALUE"""),523.95)</f>
        <v>523.95</v>
      </c>
    </row>
    <row r="391">
      <c r="A391" s="2" t="str">
        <f>IFERROR(__xludf.DUMMYFUNCTION("""COMPUTED_VALUE"""),"PR033")</f>
        <v>PR033</v>
      </c>
      <c r="B391" s="2" t="str">
        <f>IFERROR(__xludf.DUMMYFUNCTION("""COMPUTED_VALUE"""),"VD030")</f>
        <v>VD030</v>
      </c>
      <c r="C391" s="2">
        <f>IFERROR(__xludf.DUMMYFUNCTION("""COMPUTED_VALUE"""),10.0)</f>
        <v>10</v>
      </c>
      <c r="D391" s="2">
        <f>IFERROR(__xludf.DUMMYFUNCTION("""COMPUTED_VALUE"""),2858.9)</f>
        <v>2858.9</v>
      </c>
    </row>
    <row r="392">
      <c r="A392" s="2" t="str">
        <f>IFERROR(__xludf.DUMMYFUNCTION("""COMPUTED_VALUE"""),"PR045")</f>
        <v>PR045</v>
      </c>
      <c r="B392" s="2" t="str">
        <f>IFERROR(__xludf.DUMMYFUNCTION("""COMPUTED_VALUE"""),"VD026")</f>
        <v>VD026</v>
      </c>
      <c r="C392" s="2">
        <f>IFERROR(__xludf.DUMMYFUNCTION("""COMPUTED_VALUE"""),12.0)</f>
        <v>12</v>
      </c>
      <c r="D392" s="2">
        <f>IFERROR(__xludf.DUMMYFUNCTION("""COMPUTED_VALUE"""),913.5)</f>
        <v>913.5</v>
      </c>
    </row>
    <row r="393">
      <c r="A393" s="2" t="str">
        <f>IFERROR(__xludf.DUMMYFUNCTION("""COMPUTED_VALUE"""),"PR012")</f>
        <v>PR012</v>
      </c>
      <c r="B393" s="2" t="str">
        <f>IFERROR(__xludf.DUMMYFUNCTION("""COMPUTED_VALUE"""),"VD042")</f>
        <v>VD042</v>
      </c>
      <c r="C393" s="2">
        <f>IFERROR(__xludf.DUMMYFUNCTION("""COMPUTED_VALUE"""),10.0)</f>
        <v>10</v>
      </c>
      <c r="D393" s="2">
        <f>IFERROR(__xludf.DUMMYFUNCTION("""COMPUTED_VALUE"""),498.78)</f>
        <v>498.78</v>
      </c>
    </row>
    <row r="394">
      <c r="A394" s="2" t="str">
        <f>IFERROR(__xludf.DUMMYFUNCTION("""COMPUTED_VALUE"""),"PR002")</f>
        <v>PR002</v>
      </c>
      <c r="B394" s="2" t="str">
        <f>IFERROR(__xludf.DUMMYFUNCTION("""COMPUTED_VALUE"""),"VD037")</f>
        <v>VD037</v>
      </c>
      <c r="C394" s="2">
        <f>IFERROR(__xludf.DUMMYFUNCTION("""COMPUTED_VALUE"""),3.0)</f>
        <v>3</v>
      </c>
      <c r="D394" s="2">
        <f>IFERROR(__xludf.DUMMYFUNCTION("""COMPUTED_VALUE"""),215.99)</f>
        <v>215.99</v>
      </c>
    </row>
    <row r="395">
      <c r="A395" s="2" t="str">
        <f>IFERROR(__xludf.DUMMYFUNCTION("""COMPUTED_VALUE"""),"PR024")</f>
        <v>PR024</v>
      </c>
      <c r="B395" s="2" t="str">
        <f>IFERROR(__xludf.DUMMYFUNCTION("""COMPUTED_VALUE"""),"VD023")</f>
        <v>VD023</v>
      </c>
      <c r="C395" s="2">
        <f>IFERROR(__xludf.DUMMYFUNCTION("""COMPUTED_VALUE"""),9.0)</f>
        <v>9</v>
      </c>
      <c r="D395" s="2">
        <f>IFERROR(__xludf.DUMMYFUNCTION("""COMPUTED_VALUE"""),2549.62)</f>
        <v>2549.62</v>
      </c>
    </row>
    <row r="396">
      <c r="A396" s="2" t="str">
        <f>IFERROR(__xludf.DUMMYFUNCTION("""COMPUTED_VALUE"""),"PR039")</f>
        <v>PR039</v>
      </c>
      <c r="B396" s="2" t="str">
        <f>IFERROR(__xludf.DUMMYFUNCTION("""COMPUTED_VALUE"""),"VD028")</f>
        <v>VD028</v>
      </c>
      <c r="C396" s="2">
        <f>IFERROR(__xludf.DUMMYFUNCTION("""COMPUTED_VALUE"""),4.0)</f>
        <v>4</v>
      </c>
      <c r="D396" s="2">
        <f>IFERROR(__xludf.DUMMYFUNCTION("""COMPUTED_VALUE"""),601.52)</f>
        <v>601.52</v>
      </c>
    </row>
    <row r="397">
      <c r="A397" s="2" t="str">
        <f>IFERROR(__xludf.DUMMYFUNCTION("""COMPUTED_VALUE"""),"PR058")</f>
        <v>PR058</v>
      </c>
      <c r="B397" s="2" t="str">
        <f>IFERROR(__xludf.DUMMYFUNCTION("""COMPUTED_VALUE"""),"VD028")</f>
        <v>VD028</v>
      </c>
      <c r="C397" s="2">
        <f>IFERROR(__xludf.DUMMYFUNCTION("""COMPUTED_VALUE"""),3.0)</f>
        <v>3</v>
      </c>
      <c r="D397" s="2">
        <f>IFERROR(__xludf.DUMMYFUNCTION("""COMPUTED_VALUE"""),594.0)</f>
        <v>594</v>
      </c>
    </row>
    <row r="398">
      <c r="A398" s="2" t="str">
        <f>IFERROR(__xludf.DUMMYFUNCTION("""COMPUTED_VALUE"""),"PR027")</f>
        <v>PR027</v>
      </c>
      <c r="B398" s="2" t="str">
        <f>IFERROR(__xludf.DUMMYFUNCTION("""COMPUTED_VALUE"""),"VD040")</f>
        <v>VD040</v>
      </c>
      <c r="C398" s="2">
        <f>IFERROR(__xludf.DUMMYFUNCTION("""COMPUTED_VALUE"""),14.0)</f>
        <v>14</v>
      </c>
      <c r="D398" s="2">
        <f>IFERROR(__xludf.DUMMYFUNCTION("""COMPUTED_VALUE"""),1730.4)</f>
        <v>1730.4</v>
      </c>
    </row>
    <row r="399">
      <c r="A399" s="2" t="str">
        <f>IFERROR(__xludf.DUMMYFUNCTION("""COMPUTED_VALUE"""),"PR003")</f>
        <v>PR003</v>
      </c>
      <c r="B399" s="2" t="str">
        <f>IFERROR(__xludf.DUMMYFUNCTION("""COMPUTED_VALUE"""),"VD029")</f>
        <v>VD029</v>
      </c>
      <c r="C399" s="2">
        <f>IFERROR(__xludf.DUMMYFUNCTION("""COMPUTED_VALUE"""),24.0)</f>
        <v>24</v>
      </c>
      <c r="D399" s="2">
        <f>IFERROR(__xludf.DUMMYFUNCTION("""COMPUTED_VALUE"""),1769.66)</f>
        <v>1769.66</v>
      </c>
    </row>
    <row r="400">
      <c r="A400" s="2" t="str">
        <f>IFERROR(__xludf.DUMMYFUNCTION("""COMPUTED_VALUE"""),"PR032")</f>
        <v>PR032</v>
      </c>
      <c r="B400" s="2" t="str">
        <f>IFERROR(__xludf.DUMMYFUNCTION("""COMPUTED_VALUE"""),"VD016")</f>
        <v>VD016</v>
      </c>
      <c r="C400" s="2">
        <f>IFERROR(__xludf.DUMMYFUNCTION("""COMPUTED_VALUE"""),4.0)</f>
        <v>4</v>
      </c>
      <c r="D400" s="2">
        <f>IFERROR(__xludf.DUMMYFUNCTION("""COMPUTED_VALUE"""),1060.0)</f>
        <v>1060</v>
      </c>
    </row>
    <row r="401">
      <c r="A401" s="2" t="str">
        <f>IFERROR(__xludf.DUMMYFUNCTION("""COMPUTED_VALUE"""),"PR049")</f>
        <v>PR049</v>
      </c>
      <c r="B401" s="2" t="str">
        <f>IFERROR(__xludf.DUMMYFUNCTION("""COMPUTED_VALUE"""),"VD015")</f>
        <v>VD015</v>
      </c>
      <c r="C401" s="2">
        <f>IFERROR(__xludf.DUMMYFUNCTION("""COMPUTED_VALUE"""),12.0)</f>
        <v>12</v>
      </c>
      <c r="D401" s="2">
        <f>IFERROR(__xludf.DUMMYFUNCTION("""COMPUTED_VALUE"""),406.64)</f>
        <v>406.64</v>
      </c>
    </row>
    <row r="402">
      <c r="A402" s="2" t="str">
        <f>IFERROR(__xludf.DUMMYFUNCTION("""COMPUTED_VALUE"""),"PR011")</f>
        <v>PR011</v>
      </c>
      <c r="B402" s="2" t="str">
        <f>IFERROR(__xludf.DUMMYFUNCTION("""COMPUTED_VALUE"""),"VD016")</f>
        <v>VD016</v>
      </c>
      <c r="C402" s="2">
        <f>IFERROR(__xludf.DUMMYFUNCTION("""COMPUTED_VALUE"""),18.0)</f>
        <v>18</v>
      </c>
      <c r="D402" s="2">
        <f>IFERROR(__xludf.DUMMYFUNCTION("""COMPUTED_VALUE"""),903.29)</f>
        <v>903.29</v>
      </c>
    </row>
    <row r="403">
      <c r="A403" s="2" t="str">
        <f>IFERROR(__xludf.DUMMYFUNCTION("""COMPUTED_VALUE"""),"PR015")</f>
        <v>PR015</v>
      </c>
      <c r="B403" s="2" t="str">
        <f>IFERROR(__xludf.DUMMYFUNCTION("""COMPUTED_VALUE"""),"VD028")</f>
        <v>VD028</v>
      </c>
      <c r="C403" s="2">
        <f>IFERROR(__xludf.DUMMYFUNCTION("""COMPUTED_VALUE"""),1.0)</f>
        <v>1</v>
      </c>
      <c r="D403" s="2">
        <f>IFERROR(__xludf.DUMMYFUNCTION("""COMPUTED_VALUE"""),42.93)</f>
        <v>42.93</v>
      </c>
    </row>
    <row r="404">
      <c r="A404" s="2" t="str">
        <f>IFERROR(__xludf.DUMMYFUNCTION("""COMPUTED_VALUE"""),"PR025")</f>
        <v>PR025</v>
      </c>
      <c r="B404" s="2" t="str">
        <f>IFERROR(__xludf.DUMMYFUNCTION("""COMPUTED_VALUE"""),"VD025")</f>
        <v>VD025</v>
      </c>
      <c r="C404" s="2">
        <f>IFERROR(__xludf.DUMMYFUNCTION("""COMPUTED_VALUE"""),16.0)</f>
        <v>16</v>
      </c>
      <c r="D404" s="2">
        <f>IFERROR(__xludf.DUMMYFUNCTION("""COMPUTED_VALUE"""),4942.35)</f>
        <v>4942.35</v>
      </c>
    </row>
    <row r="405">
      <c r="A405" s="2" t="str">
        <f>IFERROR(__xludf.DUMMYFUNCTION("""COMPUTED_VALUE"""),"PR023")</f>
        <v>PR023</v>
      </c>
      <c r="B405" s="2" t="str">
        <f>IFERROR(__xludf.DUMMYFUNCTION("""COMPUTED_VALUE"""),"VD047")</f>
        <v>VD047</v>
      </c>
      <c r="C405" s="2">
        <f>IFERROR(__xludf.DUMMYFUNCTION("""COMPUTED_VALUE"""),2.0)</f>
        <v>2</v>
      </c>
      <c r="D405" s="2">
        <f>IFERROR(__xludf.DUMMYFUNCTION("""COMPUTED_VALUE"""),539.78)</f>
        <v>539.78</v>
      </c>
    </row>
    <row r="406">
      <c r="A406" s="2" t="str">
        <f>IFERROR(__xludf.DUMMYFUNCTION("""COMPUTED_VALUE"""),"PR031")</f>
        <v>PR031</v>
      </c>
      <c r="B406" s="2" t="str">
        <f>IFERROR(__xludf.DUMMYFUNCTION("""COMPUTED_VALUE"""),"VD035")</f>
        <v>VD035</v>
      </c>
      <c r="C406" s="2">
        <f>IFERROR(__xludf.DUMMYFUNCTION("""COMPUTED_VALUE"""),9.0)</f>
        <v>9</v>
      </c>
      <c r="D406" s="2">
        <f>IFERROR(__xludf.DUMMYFUNCTION("""COMPUTED_VALUE"""),2337.3)</f>
        <v>2337.3</v>
      </c>
    </row>
    <row r="407">
      <c r="A407" s="2" t="str">
        <f>IFERROR(__xludf.DUMMYFUNCTION("""COMPUTED_VALUE"""),"PR004")</f>
        <v>PR004</v>
      </c>
      <c r="B407" s="2" t="str">
        <f>IFERROR(__xludf.DUMMYFUNCTION("""COMPUTED_VALUE"""),"VD030")</f>
        <v>VD030</v>
      </c>
      <c r="C407" s="2">
        <f>IFERROR(__xludf.DUMMYFUNCTION("""COMPUTED_VALUE"""),5.0)</f>
        <v>5</v>
      </c>
      <c r="D407" s="2">
        <f>IFERROR(__xludf.DUMMYFUNCTION("""COMPUTED_VALUE"""),768.5)</f>
        <v>768.5</v>
      </c>
    </row>
    <row r="408">
      <c r="A408" s="2" t="str">
        <f>IFERROR(__xludf.DUMMYFUNCTION("""COMPUTED_VALUE"""),"PR001")</f>
        <v>PR001</v>
      </c>
      <c r="B408" s="2" t="str">
        <f>IFERROR(__xludf.DUMMYFUNCTION("""COMPUTED_VALUE"""),"VD037")</f>
        <v>VD037</v>
      </c>
      <c r="C408" s="2">
        <f>IFERROR(__xludf.DUMMYFUNCTION("""COMPUTED_VALUE"""),4.0)</f>
        <v>4</v>
      </c>
      <c r="D408" s="2">
        <f>IFERROR(__xludf.DUMMYFUNCTION("""COMPUTED_VALUE"""),263.6)</f>
        <v>263.6</v>
      </c>
    </row>
    <row r="409">
      <c r="A409" s="2" t="str">
        <f>IFERROR(__xludf.DUMMYFUNCTION("""COMPUTED_VALUE"""),"PR006")</f>
        <v>PR006</v>
      </c>
      <c r="B409" s="2" t="str">
        <f>IFERROR(__xludf.DUMMYFUNCTION("""COMPUTED_VALUE"""),"VD025")</f>
        <v>VD025</v>
      </c>
      <c r="C409" s="2">
        <f>IFERROR(__xludf.DUMMYFUNCTION("""COMPUTED_VALUE"""),8.0)</f>
        <v>8</v>
      </c>
      <c r="D409" s="2">
        <f>IFERROR(__xludf.DUMMYFUNCTION("""COMPUTED_VALUE"""),328.78)</f>
        <v>328.78</v>
      </c>
    </row>
    <row r="410">
      <c r="A410" s="2" t="str">
        <f>IFERROR(__xludf.DUMMYFUNCTION("""COMPUTED_VALUE"""),"PR019")</f>
        <v>PR019</v>
      </c>
      <c r="B410" s="2" t="str">
        <f>IFERROR(__xludf.DUMMYFUNCTION("""COMPUTED_VALUE"""),"VD030")</f>
        <v>VD030</v>
      </c>
      <c r="C410" s="2">
        <f>IFERROR(__xludf.DUMMYFUNCTION("""COMPUTED_VALUE"""),6.0)</f>
        <v>6</v>
      </c>
      <c r="D410" s="2">
        <f>IFERROR(__xludf.DUMMYFUNCTION("""COMPUTED_VALUE"""),299.4)</f>
        <v>299.4</v>
      </c>
    </row>
    <row r="411">
      <c r="A411" s="2" t="str">
        <f>IFERROR(__xludf.DUMMYFUNCTION("""COMPUTED_VALUE"""),"PR048")</f>
        <v>PR048</v>
      </c>
      <c r="B411" s="2" t="str">
        <f>IFERROR(__xludf.DUMMYFUNCTION("""COMPUTED_VALUE"""),"VD037")</f>
        <v>VD037</v>
      </c>
      <c r="C411" s="2">
        <f>IFERROR(__xludf.DUMMYFUNCTION("""COMPUTED_VALUE"""),6.0)</f>
        <v>6</v>
      </c>
      <c r="D411" s="2">
        <f>IFERROR(__xludf.DUMMYFUNCTION("""COMPUTED_VALUE"""),1861.16)</f>
        <v>1861.16</v>
      </c>
    </row>
    <row r="412">
      <c r="A412" s="2" t="str">
        <f>IFERROR(__xludf.DUMMYFUNCTION("""COMPUTED_VALUE"""),"PR060")</f>
        <v>PR060</v>
      </c>
      <c r="B412" s="2" t="str">
        <f>IFERROR(__xludf.DUMMYFUNCTION("""COMPUTED_VALUE"""),"VD032")</f>
        <v>VD032</v>
      </c>
      <c r="C412" s="2">
        <f>IFERROR(__xludf.DUMMYFUNCTION("""COMPUTED_VALUE"""),30.0)</f>
        <v>30</v>
      </c>
      <c r="D412" s="2">
        <f>IFERROR(__xludf.DUMMYFUNCTION("""COMPUTED_VALUE"""),5832.0)</f>
        <v>5832</v>
      </c>
    </row>
    <row r="413">
      <c r="A413" s="2" t="str">
        <f>IFERROR(__xludf.DUMMYFUNCTION("""COMPUTED_VALUE"""),"PR045")</f>
        <v>PR045</v>
      </c>
      <c r="B413" s="2" t="str">
        <f>IFERROR(__xludf.DUMMYFUNCTION("""COMPUTED_VALUE"""),"VD041")</f>
        <v>VD041</v>
      </c>
      <c r="C413" s="2">
        <f>IFERROR(__xludf.DUMMYFUNCTION("""COMPUTED_VALUE"""),7.0)</f>
        <v>7</v>
      </c>
      <c r="D413" s="2">
        <f>IFERROR(__xludf.DUMMYFUNCTION("""COMPUTED_VALUE"""),553.18)</f>
        <v>553.18</v>
      </c>
    </row>
    <row r="414">
      <c r="A414" s="2" t="str">
        <f>IFERROR(__xludf.DUMMYFUNCTION("""COMPUTED_VALUE"""),"PR003")</f>
        <v>PR003</v>
      </c>
      <c r="B414" s="2" t="str">
        <f>IFERROR(__xludf.DUMMYFUNCTION("""COMPUTED_VALUE"""),"VD012")</f>
        <v>VD012</v>
      </c>
      <c r="C414" s="2">
        <f>IFERROR(__xludf.DUMMYFUNCTION("""COMPUTED_VALUE"""),27.0)</f>
        <v>27</v>
      </c>
      <c r="D414" s="2">
        <f>IFERROR(__xludf.DUMMYFUNCTION("""COMPUTED_VALUE"""),1914.3)</f>
        <v>1914.3</v>
      </c>
    </row>
    <row r="415">
      <c r="A415" s="2" t="str">
        <f>IFERROR(__xludf.DUMMYFUNCTION("""COMPUTED_VALUE"""),"PR056")</f>
        <v>PR056</v>
      </c>
      <c r="B415" s="2" t="str">
        <f>IFERROR(__xludf.DUMMYFUNCTION("""COMPUTED_VALUE"""),"VD030")</f>
        <v>VD030</v>
      </c>
      <c r="C415" s="2">
        <f>IFERROR(__xludf.DUMMYFUNCTION("""COMPUTED_VALUE"""),12.0)</f>
        <v>12</v>
      </c>
      <c r="D415" s="2">
        <f>IFERROR(__xludf.DUMMYFUNCTION("""COMPUTED_VALUE"""),1089.59)</f>
        <v>1089.59</v>
      </c>
    </row>
    <row r="416">
      <c r="A416" s="2" t="str">
        <f>IFERROR(__xludf.DUMMYFUNCTION("""COMPUTED_VALUE"""),"PR033")</f>
        <v>PR033</v>
      </c>
      <c r="B416" s="2" t="str">
        <f>IFERROR(__xludf.DUMMYFUNCTION("""COMPUTED_VALUE"""),"VD014")</f>
        <v>VD014</v>
      </c>
      <c r="C416" s="2">
        <f>IFERROR(__xludf.DUMMYFUNCTION("""COMPUTED_VALUE"""),10.0)</f>
        <v>10</v>
      </c>
      <c r="D416" s="2">
        <f>IFERROR(__xludf.DUMMYFUNCTION("""COMPUTED_VALUE"""),2702.96)</f>
        <v>2702.96</v>
      </c>
    </row>
    <row r="417">
      <c r="A417" s="2" t="str">
        <f>IFERROR(__xludf.DUMMYFUNCTION("""COMPUTED_VALUE"""),"PR041")</f>
        <v>PR041</v>
      </c>
      <c r="B417" s="2" t="str">
        <f>IFERROR(__xludf.DUMMYFUNCTION("""COMPUTED_VALUE"""),"VD014")</f>
        <v>VD014</v>
      </c>
      <c r="C417" s="2">
        <f>IFERROR(__xludf.DUMMYFUNCTION("""COMPUTED_VALUE"""),20.0)</f>
        <v>20</v>
      </c>
      <c r="D417" s="2">
        <f>IFERROR(__xludf.DUMMYFUNCTION("""COMPUTED_VALUE"""),1108.98)</f>
        <v>1108.98</v>
      </c>
    </row>
    <row r="418">
      <c r="A418" s="2" t="str">
        <f>IFERROR(__xludf.DUMMYFUNCTION("""COMPUTED_VALUE"""),"PR004")</f>
        <v>PR004</v>
      </c>
      <c r="B418" s="2" t="str">
        <f>IFERROR(__xludf.DUMMYFUNCTION("""COMPUTED_VALUE"""),"VD011")</f>
        <v>VD011</v>
      </c>
      <c r="C418" s="2">
        <f>IFERROR(__xludf.DUMMYFUNCTION("""COMPUTED_VALUE"""),10.0)</f>
        <v>10</v>
      </c>
      <c r="D418" s="2">
        <f>IFERROR(__xludf.DUMMYFUNCTION("""COMPUTED_VALUE"""),1464.5)</f>
        <v>1464.5</v>
      </c>
    </row>
    <row r="419">
      <c r="A419" s="2" t="str">
        <f>IFERROR(__xludf.DUMMYFUNCTION("""COMPUTED_VALUE"""),"PR007")</f>
        <v>PR007</v>
      </c>
      <c r="B419" s="2" t="str">
        <f>IFERROR(__xludf.DUMMYFUNCTION("""COMPUTED_VALUE"""),"VD020")</f>
        <v>VD020</v>
      </c>
      <c r="C419" s="2">
        <f>IFERROR(__xludf.DUMMYFUNCTION("""COMPUTED_VALUE"""),9.0)</f>
        <v>9</v>
      </c>
      <c r="D419" s="2">
        <f>IFERROR(__xludf.DUMMYFUNCTION("""COMPUTED_VALUE"""),850.41)</f>
        <v>850.41</v>
      </c>
    </row>
    <row r="420">
      <c r="A420" s="2" t="str">
        <f>IFERROR(__xludf.DUMMYFUNCTION("""COMPUTED_VALUE"""),"PR046")</f>
        <v>PR046</v>
      </c>
      <c r="B420" s="2" t="str">
        <f>IFERROR(__xludf.DUMMYFUNCTION("""COMPUTED_VALUE"""),"VD015")</f>
        <v>VD015</v>
      </c>
      <c r="C420" s="2">
        <f>IFERROR(__xludf.DUMMYFUNCTION("""COMPUTED_VALUE"""),9.0)</f>
        <v>9</v>
      </c>
      <c r="D420" s="2">
        <f>IFERROR(__xludf.DUMMYFUNCTION("""COMPUTED_VALUE"""),2713.46)</f>
        <v>2713.46</v>
      </c>
    </row>
    <row r="421">
      <c r="A421" s="2" t="str">
        <f>IFERROR(__xludf.DUMMYFUNCTION("""COMPUTED_VALUE"""),"PR024")</f>
        <v>PR024</v>
      </c>
      <c r="B421" s="2" t="str">
        <f>IFERROR(__xludf.DUMMYFUNCTION("""COMPUTED_VALUE"""),"VD011")</f>
        <v>VD011</v>
      </c>
      <c r="C421" s="2">
        <f>IFERROR(__xludf.DUMMYFUNCTION("""COMPUTED_VALUE"""),3.0)</f>
        <v>3</v>
      </c>
      <c r="D421" s="2">
        <f>IFERROR(__xludf.DUMMYFUNCTION("""COMPUTED_VALUE"""),834.28)</f>
        <v>834.28</v>
      </c>
    </row>
    <row r="422">
      <c r="A422" s="2" t="str">
        <f>IFERROR(__xludf.DUMMYFUNCTION("""COMPUTED_VALUE"""),"PR047")</f>
        <v>PR047</v>
      </c>
      <c r="B422" s="2" t="str">
        <f>IFERROR(__xludf.DUMMYFUNCTION("""COMPUTED_VALUE"""),"VD033")</f>
        <v>VD033</v>
      </c>
      <c r="C422" s="2">
        <f>IFERROR(__xludf.DUMMYFUNCTION("""COMPUTED_VALUE"""),1.0)</f>
        <v>1</v>
      </c>
      <c r="D422" s="2">
        <f>IFERROR(__xludf.DUMMYFUNCTION("""COMPUTED_VALUE"""),307.29)</f>
        <v>307.29</v>
      </c>
    </row>
    <row r="423">
      <c r="A423" s="2" t="str">
        <f>IFERROR(__xludf.DUMMYFUNCTION("""COMPUTED_VALUE"""),"PR032")</f>
        <v>PR032</v>
      </c>
      <c r="B423" s="2" t="str">
        <f>IFERROR(__xludf.DUMMYFUNCTION("""COMPUTED_VALUE"""),"VD025")</f>
        <v>VD025</v>
      </c>
      <c r="C423" s="2">
        <f>IFERROR(__xludf.DUMMYFUNCTION("""COMPUTED_VALUE"""),16.0)</f>
        <v>16</v>
      </c>
      <c r="D423" s="2">
        <f>IFERROR(__xludf.DUMMYFUNCTION("""COMPUTED_VALUE"""),4080.0)</f>
        <v>4080</v>
      </c>
    </row>
    <row r="424">
      <c r="A424" s="2" t="str">
        <f>IFERROR(__xludf.DUMMYFUNCTION("""COMPUTED_VALUE"""),"PR020")</f>
        <v>PR020</v>
      </c>
      <c r="B424" s="2" t="str">
        <f>IFERROR(__xludf.DUMMYFUNCTION("""COMPUTED_VALUE"""),"VD015")</f>
        <v>VD015</v>
      </c>
      <c r="C424" s="2">
        <f>IFERROR(__xludf.DUMMYFUNCTION("""COMPUTED_VALUE"""),10.0)</f>
        <v>10</v>
      </c>
      <c r="D424" s="2">
        <f>IFERROR(__xludf.DUMMYFUNCTION("""COMPUTED_VALUE"""),3088.97)</f>
        <v>3088.97</v>
      </c>
    </row>
    <row r="425">
      <c r="A425" s="2" t="str">
        <f>IFERROR(__xludf.DUMMYFUNCTION("""COMPUTED_VALUE"""),"PR006")</f>
        <v>PR006</v>
      </c>
      <c r="B425" s="2" t="str">
        <f>IFERROR(__xludf.DUMMYFUNCTION("""COMPUTED_VALUE"""),"VD012")</f>
        <v>VD012</v>
      </c>
      <c r="C425" s="2">
        <f>IFERROR(__xludf.DUMMYFUNCTION("""COMPUTED_VALUE"""),15.0)</f>
        <v>15</v>
      </c>
      <c r="D425" s="2">
        <f>IFERROR(__xludf.DUMMYFUNCTION("""COMPUTED_VALUE"""),634.41)</f>
        <v>634.41</v>
      </c>
    </row>
    <row r="426">
      <c r="A426" s="2" t="str">
        <f>IFERROR(__xludf.DUMMYFUNCTION("""COMPUTED_VALUE"""),"PR031")</f>
        <v>PR031</v>
      </c>
      <c r="B426" s="2" t="str">
        <f>IFERROR(__xludf.DUMMYFUNCTION("""COMPUTED_VALUE"""),"VD034")</f>
        <v>VD034</v>
      </c>
      <c r="C426" s="2">
        <f>IFERROR(__xludf.DUMMYFUNCTION("""COMPUTED_VALUE"""),9.0)</f>
        <v>9</v>
      </c>
      <c r="D426" s="2">
        <f>IFERROR(__xludf.DUMMYFUNCTION("""COMPUTED_VALUE"""),2227.05)</f>
        <v>2227.05</v>
      </c>
    </row>
    <row r="427">
      <c r="A427" s="2" t="str">
        <f>IFERROR(__xludf.DUMMYFUNCTION("""COMPUTED_VALUE"""),"PR052")</f>
        <v>PR052</v>
      </c>
      <c r="B427" s="2" t="str">
        <f>IFERROR(__xludf.DUMMYFUNCTION("""COMPUTED_VALUE"""),"VD044")</f>
        <v>VD044</v>
      </c>
      <c r="C427" s="2">
        <f>IFERROR(__xludf.DUMMYFUNCTION("""COMPUTED_VALUE"""),12.0)</f>
        <v>12</v>
      </c>
      <c r="D427" s="2">
        <f>IFERROR(__xludf.DUMMYFUNCTION("""COMPUTED_VALUE"""),658.68)</f>
        <v>658.68</v>
      </c>
    </row>
    <row r="428">
      <c r="A428" s="2" t="str">
        <f>IFERROR(__xludf.DUMMYFUNCTION("""COMPUTED_VALUE"""),"PR050")</f>
        <v>PR050</v>
      </c>
      <c r="B428" s="2" t="str">
        <f>IFERROR(__xludf.DUMMYFUNCTION("""COMPUTED_VALUE"""),"VD018")</f>
        <v>VD018</v>
      </c>
      <c r="C428" s="2">
        <f>IFERROR(__xludf.DUMMYFUNCTION("""COMPUTED_VALUE"""),14.0)</f>
        <v>14</v>
      </c>
      <c r="D428" s="2">
        <f>IFERROR(__xludf.DUMMYFUNCTION("""COMPUTED_VALUE"""),502.05)</f>
        <v>502.05</v>
      </c>
    </row>
    <row r="429">
      <c r="A429" s="2" t="str">
        <f>IFERROR(__xludf.DUMMYFUNCTION("""COMPUTED_VALUE"""),"PR042")</f>
        <v>PR042</v>
      </c>
      <c r="B429" s="2" t="str">
        <f>IFERROR(__xludf.DUMMYFUNCTION("""COMPUTED_VALUE"""),"VD018")</f>
        <v>VD018</v>
      </c>
      <c r="C429" s="2">
        <f>IFERROR(__xludf.DUMMYFUNCTION("""COMPUTED_VALUE"""),4.0)</f>
        <v>4</v>
      </c>
      <c r="D429" s="2">
        <f>IFERROR(__xludf.DUMMYFUNCTION("""COMPUTED_VALUE"""),228.38)</f>
        <v>228.38</v>
      </c>
    </row>
    <row r="430">
      <c r="A430" s="2" t="str">
        <f>IFERROR(__xludf.DUMMYFUNCTION("""COMPUTED_VALUE"""),"PR006")</f>
        <v>PR006</v>
      </c>
      <c r="B430" s="2" t="str">
        <f>IFERROR(__xludf.DUMMYFUNCTION("""COMPUTED_VALUE"""),"VD021")</f>
        <v>VD021</v>
      </c>
      <c r="C430" s="2">
        <f>IFERROR(__xludf.DUMMYFUNCTION("""COMPUTED_VALUE"""),8.0)</f>
        <v>8</v>
      </c>
      <c r="D430" s="2">
        <f>IFERROR(__xludf.DUMMYFUNCTION("""COMPUTED_VALUE"""),347.93)</f>
        <v>347.93</v>
      </c>
    </row>
    <row r="431">
      <c r="A431" s="2" t="str">
        <f>IFERROR(__xludf.DUMMYFUNCTION("""COMPUTED_VALUE"""),"PR016")</f>
        <v>PR016</v>
      </c>
      <c r="B431" s="2" t="str">
        <f>IFERROR(__xludf.DUMMYFUNCTION("""COMPUTED_VALUE"""),"VD017")</f>
        <v>VD017</v>
      </c>
      <c r="C431" s="2">
        <f>IFERROR(__xludf.DUMMYFUNCTION("""COMPUTED_VALUE"""),12.0)</f>
        <v>12</v>
      </c>
      <c r="D431" s="2">
        <f>IFERROR(__xludf.DUMMYFUNCTION("""COMPUTED_VALUE"""),341.88)</f>
        <v>341.88</v>
      </c>
    </row>
    <row r="432">
      <c r="A432" s="2" t="str">
        <f>IFERROR(__xludf.DUMMYFUNCTION("""COMPUTED_VALUE"""),"PR015")</f>
        <v>PR015</v>
      </c>
      <c r="B432" s="2" t="str">
        <f>IFERROR(__xludf.DUMMYFUNCTION("""COMPUTED_VALUE"""),"VD034")</f>
        <v>VD034</v>
      </c>
      <c r="C432" s="2">
        <f>IFERROR(__xludf.DUMMYFUNCTION("""COMPUTED_VALUE"""),5.0)</f>
        <v>5</v>
      </c>
      <c r="D432" s="2">
        <f>IFERROR(__xludf.DUMMYFUNCTION("""COMPUTED_VALUE"""),233.75)</f>
        <v>233.75</v>
      </c>
    </row>
    <row r="433">
      <c r="A433" s="2" t="str">
        <f>IFERROR(__xludf.DUMMYFUNCTION("""COMPUTED_VALUE"""),"PR003")</f>
        <v>PR003</v>
      </c>
      <c r="B433" s="2" t="str">
        <f>IFERROR(__xludf.DUMMYFUNCTION("""COMPUTED_VALUE"""),"VD041")</f>
        <v>VD041</v>
      </c>
      <c r="C433" s="2">
        <f>IFERROR(__xludf.DUMMYFUNCTION("""COMPUTED_VALUE"""),5.0)</f>
        <v>5</v>
      </c>
      <c r="D433" s="2">
        <f>IFERROR(__xludf.DUMMYFUNCTION("""COMPUTED_VALUE"""),361.59)</f>
        <v>361.59</v>
      </c>
    </row>
    <row r="434">
      <c r="A434" s="2" t="str">
        <f>IFERROR(__xludf.DUMMYFUNCTION("""COMPUTED_VALUE"""),"PR007")</f>
        <v>PR007</v>
      </c>
      <c r="B434" s="2" t="str">
        <f>IFERROR(__xludf.DUMMYFUNCTION("""COMPUTED_VALUE"""),"VD025")</f>
        <v>VD025</v>
      </c>
      <c r="C434" s="2">
        <f>IFERROR(__xludf.DUMMYFUNCTION("""COMPUTED_VALUE"""),1.0)</f>
        <v>1</v>
      </c>
      <c r="D434" s="2">
        <f>IFERROR(__xludf.DUMMYFUNCTION("""COMPUTED_VALUE"""),88.48)</f>
        <v>88.48</v>
      </c>
    </row>
    <row r="435">
      <c r="A435" s="2" t="str">
        <f>IFERROR(__xludf.DUMMYFUNCTION("""COMPUTED_VALUE"""),"PR031")</f>
        <v>PR031</v>
      </c>
      <c r="B435" s="2" t="str">
        <f>IFERROR(__xludf.DUMMYFUNCTION("""COMPUTED_VALUE"""),"VD046")</f>
        <v>VD046</v>
      </c>
      <c r="C435" s="2">
        <f>IFERROR(__xludf.DUMMYFUNCTION("""COMPUTED_VALUE"""),4.0)</f>
        <v>4</v>
      </c>
      <c r="D435" s="2">
        <f>IFERROR(__xludf.DUMMYFUNCTION("""COMPUTED_VALUE"""),1078.0)</f>
        <v>1078</v>
      </c>
    </row>
    <row r="436">
      <c r="A436" s="2" t="str">
        <f>IFERROR(__xludf.DUMMYFUNCTION("""COMPUTED_VALUE"""),"PR037")</f>
        <v>PR037</v>
      </c>
      <c r="B436" s="2" t="str">
        <f>IFERROR(__xludf.DUMMYFUNCTION("""COMPUTED_VALUE"""),"VD021")</f>
        <v>VD021</v>
      </c>
      <c r="C436" s="2">
        <f>IFERROR(__xludf.DUMMYFUNCTION("""COMPUTED_VALUE"""),4.0)</f>
        <v>4</v>
      </c>
      <c r="D436" s="2">
        <f>IFERROR(__xludf.DUMMYFUNCTION("""COMPUTED_VALUE"""),604.8)</f>
        <v>604.8</v>
      </c>
    </row>
    <row r="437">
      <c r="A437" s="2" t="str">
        <f>IFERROR(__xludf.DUMMYFUNCTION("""COMPUTED_VALUE"""),"PR043")</f>
        <v>PR043</v>
      </c>
      <c r="B437" s="2" t="str">
        <f>IFERROR(__xludf.DUMMYFUNCTION("""COMPUTED_VALUE"""),"VD036")</f>
        <v>VD036</v>
      </c>
      <c r="C437" s="2">
        <f>IFERROR(__xludf.DUMMYFUNCTION("""COMPUTED_VALUE"""),27.0)</f>
        <v>27</v>
      </c>
      <c r="D437" s="2">
        <f>IFERROR(__xludf.DUMMYFUNCTION("""COMPUTED_VALUE"""),2074.95)</f>
        <v>2074.95</v>
      </c>
    </row>
    <row r="438">
      <c r="A438" s="2" t="str">
        <f>IFERROR(__xludf.DUMMYFUNCTION("""COMPUTED_VALUE"""),"PR038")</f>
        <v>PR038</v>
      </c>
      <c r="B438" s="2" t="str">
        <f>IFERROR(__xludf.DUMMYFUNCTION("""COMPUTED_VALUE"""),"VD036")</f>
        <v>VD036</v>
      </c>
      <c r="C438" s="2">
        <f>IFERROR(__xludf.DUMMYFUNCTION("""COMPUTED_VALUE"""),12.0)</f>
        <v>12</v>
      </c>
      <c r="D438" s="2">
        <f>IFERROR(__xludf.DUMMYFUNCTION("""COMPUTED_VALUE"""),1817.69)</f>
        <v>1817.69</v>
      </c>
    </row>
    <row r="439">
      <c r="A439" s="2" t="str">
        <f>IFERROR(__xludf.DUMMYFUNCTION("""COMPUTED_VALUE"""),"PR048")</f>
        <v>PR048</v>
      </c>
      <c r="B439" s="2" t="str">
        <f>IFERROR(__xludf.DUMMYFUNCTION("""COMPUTED_VALUE"""),"VD032")</f>
        <v>VD032</v>
      </c>
      <c r="C439" s="2">
        <f>IFERROR(__xludf.DUMMYFUNCTION("""COMPUTED_VALUE"""),9.0)</f>
        <v>9</v>
      </c>
      <c r="D439" s="2">
        <f>IFERROR(__xludf.DUMMYFUNCTION("""COMPUTED_VALUE"""),2817.83)</f>
        <v>2817.83</v>
      </c>
    </row>
    <row r="440">
      <c r="A440" s="2" t="str">
        <f>IFERROR(__xludf.DUMMYFUNCTION("""COMPUTED_VALUE"""),"PR051")</f>
        <v>PR051</v>
      </c>
      <c r="B440" s="2" t="str">
        <f>IFERROR(__xludf.DUMMYFUNCTION("""COMPUTED_VALUE"""),"VD039")</f>
        <v>VD039</v>
      </c>
      <c r="C440" s="2">
        <f>IFERROR(__xludf.DUMMYFUNCTION("""COMPUTED_VALUE"""),15.0)</f>
        <v>15</v>
      </c>
      <c r="D440" s="2">
        <f>IFERROR(__xludf.DUMMYFUNCTION("""COMPUTED_VALUE"""),537.92)</f>
        <v>537.92</v>
      </c>
    </row>
    <row r="441">
      <c r="A441" s="2" t="str">
        <f>IFERROR(__xludf.DUMMYFUNCTION("""COMPUTED_VALUE"""),"PR047")</f>
        <v>PR047</v>
      </c>
      <c r="B441" s="2" t="str">
        <f>IFERROR(__xludf.DUMMYFUNCTION("""COMPUTED_VALUE"""),"VD039")</f>
        <v>VD039</v>
      </c>
      <c r="C441" s="2">
        <f>IFERROR(__xludf.DUMMYFUNCTION("""COMPUTED_VALUE"""),8.0)</f>
        <v>8</v>
      </c>
      <c r="D441" s="2">
        <f>IFERROR(__xludf.DUMMYFUNCTION("""COMPUTED_VALUE"""),2504.74)</f>
        <v>2504.74</v>
      </c>
    </row>
    <row r="442">
      <c r="A442" s="2" t="str">
        <f>IFERROR(__xludf.DUMMYFUNCTION("""COMPUTED_VALUE"""),"PR014")</f>
        <v>PR014</v>
      </c>
      <c r="B442" s="2" t="str">
        <f>IFERROR(__xludf.DUMMYFUNCTION("""COMPUTED_VALUE"""),"VD017")</f>
        <v>VD017</v>
      </c>
      <c r="C442" s="2">
        <f>IFERROR(__xludf.DUMMYFUNCTION("""COMPUTED_VALUE"""),5.0)</f>
        <v>5</v>
      </c>
      <c r="D442" s="2">
        <f>IFERROR(__xludf.DUMMYFUNCTION("""COMPUTED_VALUE"""),217.46)</f>
        <v>217.46</v>
      </c>
    </row>
    <row r="443">
      <c r="A443" s="2" t="str">
        <f>IFERROR(__xludf.DUMMYFUNCTION("""COMPUTED_VALUE"""),"PR009")</f>
        <v>PR009</v>
      </c>
      <c r="B443" s="2" t="str">
        <f>IFERROR(__xludf.DUMMYFUNCTION("""COMPUTED_VALUE"""),"VD010")</f>
        <v>VD010</v>
      </c>
      <c r="C443" s="2">
        <f>IFERROR(__xludf.DUMMYFUNCTION("""COMPUTED_VALUE"""),5.0)</f>
        <v>5</v>
      </c>
      <c r="D443" s="2">
        <f>IFERROR(__xludf.DUMMYFUNCTION("""COMPUTED_VALUE"""),478.44)</f>
        <v>478.44</v>
      </c>
    </row>
    <row r="444">
      <c r="A444" s="2" t="str">
        <f>IFERROR(__xludf.DUMMYFUNCTION("""COMPUTED_VALUE"""),"PR029")</f>
        <v>PR029</v>
      </c>
      <c r="B444" s="2" t="str">
        <f>IFERROR(__xludf.DUMMYFUNCTION("""COMPUTED_VALUE"""),"VD014")</f>
        <v>VD014</v>
      </c>
      <c r="C444" s="2">
        <f>IFERROR(__xludf.DUMMYFUNCTION("""COMPUTED_VALUE"""),6.0)</f>
        <v>6</v>
      </c>
      <c r="D444" s="2">
        <f>IFERROR(__xludf.DUMMYFUNCTION("""COMPUTED_VALUE"""),1575.9)</f>
        <v>1575.9</v>
      </c>
    </row>
    <row r="445">
      <c r="A445" s="2" t="str">
        <f>IFERROR(__xludf.DUMMYFUNCTION("""COMPUTED_VALUE"""),"PR019")</f>
        <v>PR019</v>
      </c>
      <c r="B445" s="2" t="str">
        <f>IFERROR(__xludf.DUMMYFUNCTION("""COMPUTED_VALUE"""),"VD020")</f>
        <v>VD020</v>
      </c>
      <c r="C445" s="2">
        <f>IFERROR(__xludf.DUMMYFUNCTION("""COMPUTED_VALUE"""),6.0)</f>
        <v>6</v>
      </c>
      <c r="D445" s="2">
        <f>IFERROR(__xludf.DUMMYFUNCTION("""COMPUTED_VALUE"""),317.36)</f>
        <v>317.36</v>
      </c>
    </row>
    <row r="446">
      <c r="A446" s="2" t="str">
        <f>IFERROR(__xludf.DUMMYFUNCTION("""COMPUTED_VALUE"""),"PR007")</f>
        <v>PR007</v>
      </c>
      <c r="B446" s="2" t="str">
        <f>IFERROR(__xludf.DUMMYFUNCTION("""COMPUTED_VALUE"""),"VD028")</f>
        <v>VD028</v>
      </c>
      <c r="C446" s="2">
        <f>IFERROR(__xludf.DUMMYFUNCTION("""COMPUTED_VALUE"""),14.0)</f>
        <v>14</v>
      </c>
      <c r="D446" s="2">
        <f>IFERROR(__xludf.DUMMYFUNCTION("""COMPUTED_VALUE"""),1226.65)</f>
        <v>1226.65</v>
      </c>
    </row>
    <row r="447">
      <c r="A447" s="2" t="str">
        <f>IFERROR(__xludf.DUMMYFUNCTION("""COMPUTED_VALUE"""),"PR032")</f>
        <v>PR032</v>
      </c>
      <c r="B447" s="2" t="str">
        <f>IFERROR(__xludf.DUMMYFUNCTION("""COMPUTED_VALUE"""),"VD033")</f>
        <v>VD033</v>
      </c>
      <c r="C447" s="2">
        <f>IFERROR(__xludf.DUMMYFUNCTION("""COMPUTED_VALUE"""),30.0)</f>
        <v>30</v>
      </c>
      <c r="D447" s="2">
        <f>IFERROR(__xludf.DUMMYFUNCTION("""COMPUTED_VALUE"""),7950.0)</f>
        <v>7950</v>
      </c>
    </row>
    <row r="448">
      <c r="A448" s="2" t="str">
        <f>IFERROR(__xludf.DUMMYFUNCTION("""COMPUTED_VALUE"""),"PR052")</f>
        <v>PR052</v>
      </c>
      <c r="B448" s="2" t="str">
        <f>IFERROR(__xludf.DUMMYFUNCTION("""COMPUTED_VALUE"""),"VD037")</f>
        <v>VD037</v>
      </c>
      <c r="C448" s="2">
        <f>IFERROR(__xludf.DUMMYFUNCTION("""COMPUTED_VALUE"""),16.0)</f>
        <v>16</v>
      </c>
      <c r="D448" s="2">
        <f>IFERROR(__xludf.DUMMYFUNCTION("""COMPUTED_VALUE"""),870.26)</f>
        <v>870.26</v>
      </c>
    </row>
    <row r="449">
      <c r="A449" s="2" t="str">
        <f>IFERROR(__xludf.DUMMYFUNCTION("""COMPUTED_VALUE"""),"PR055")</f>
        <v>PR055</v>
      </c>
      <c r="B449" s="2" t="str">
        <f>IFERROR(__xludf.DUMMYFUNCTION("""COMPUTED_VALUE"""),"VD036")</f>
        <v>VD036</v>
      </c>
      <c r="C449" s="2">
        <f>IFERROR(__xludf.DUMMYFUNCTION("""COMPUTED_VALUE"""),1.0)</f>
        <v>1</v>
      </c>
      <c r="D449" s="2">
        <f>IFERROR(__xludf.DUMMYFUNCTION("""COMPUTED_VALUE"""),89.9)</f>
        <v>89.9</v>
      </c>
    </row>
    <row r="450">
      <c r="A450" s="2" t="str">
        <f>IFERROR(__xludf.DUMMYFUNCTION("""COMPUTED_VALUE"""),"PR027")</f>
        <v>PR027</v>
      </c>
      <c r="B450" s="2" t="str">
        <f>IFERROR(__xludf.DUMMYFUNCTION("""COMPUTED_VALUE"""),"VD019")</f>
        <v>VD019</v>
      </c>
      <c r="C450" s="2">
        <f>IFERROR(__xludf.DUMMYFUNCTION("""COMPUTED_VALUE"""),8.0)</f>
        <v>8</v>
      </c>
      <c r="D450" s="2">
        <f>IFERROR(__xludf.DUMMYFUNCTION("""COMPUTED_VALUE"""),988.8)</f>
        <v>988.8</v>
      </c>
    </row>
    <row r="451">
      <c r="A451" s="2" t="str">
        <f>IFERROR(__xludf.DUMMYFUNCTION("""COMPUTED_VALUE"""),"PR034")</f>
        <v>PR034</v>
      </c>
      <c r="B451" s="2" t="str">
        <f>IFERROR(__xludf.DUMMYFUNCTION("""COMPUTED_VALUE"""),"VD048")</f>
        <v>VD048</v>
      </c>
      <c r="C451" s="2">
        <f>IFERROR(__xludf.DUMMYFUNCTION("""COMPUTED_VALUE"""),30.0)</f>
        <v>30</v>
      </c>
      <c r="D451" s="2">
        <f>IFERROR(__xludf.DUMMYFUNCTION("""COMPUTED_VALUE"""),2777.91)</f>
        <v>2777.91</v>
      </c>
    </row>
    <row r="452">
      <c r="A452" s="2" t="str">
        <f>IFERROR(__xludf.DUMMYFUNCTION("""COMPUTED_VALUE"""),"PR028")</f>
        <v>PR028</v>
      </c>
      <c r="B452" s="2" t="str">
        <f>IFERROR(__xludf.DUMMYFUNCTION("""COMPUTED_VALUE"""),"VD042")</f>
        <v>VD042</v>
      </c>
      <c r="C452" s="2">
        <f>IFERROR(__xludf.DUMMYFUNCTION("""COMPUTED_VALUE"""),3.0)</f>
        <v>3</v>
      </c>
      <c r="D452" s="2">
        <f>IFERROR(__xludf.DUMMYFUNCTION("""COMPUTED_VALUE"""),749.7)</f>
        <v>749.7</v>
      </c>
    </row>
    <row r="453">
      <c r="A453" s="2" t="str">
        <f>IFERROR(__xludf.DUMMYFUNCTION("""COMPUTED_VALUE"""),"PR039")</f>
        <v>PR039</v>
      </c>
      <c r="B453" s="2" t="str">
        <f>IFERROR(__xludf.DUMMYFUNCTION("""COMPUTED_VALUE"""),"VD023")</f>
        <v>VD023</v>
      </c>
      <c r="C453" s="2">
        <f>IFERROR(__xludf.DUMMYFUNCTION("""COMPUTED_VALUE"""),9.0)</f>
        <v>9</v>
      </c>
      <c r="D453" s="2">
        <f>IFERROR(__xludf.DUMMYFUNCTION("""COMPUTED_VALUE"""),1445.4)</f>
        <v>1445.4</v>
      </c>
    </row>
    <row r="454">
      <c r="A454" s="2" t="str">
        <f>IFERROR(__xludf.DUMMYFUNCTION("""COMPUTED_VALUE"""),"PR053")</f>
        <v>PR053</v>
      </c>
      <c r="B454" s="2" t="str">
        <f>IFERROR(__xludf.DUMMYFUNCTION("""COMPUTED_VALUE"""),"VD024")</f>
        <v>VD024</v>
      </c>
      <c r="C454" s="2">
        <f>IFERROR(__xludf.DUMMYFUNCTION("""COMPUTED_VALUE"""),6.0)</f>
        <v>6</v>
      </c>
      <c r="D454" s="2">
        <f>IFERROR(__xludf.DUMMYFUNCTION("""COMPUTED_VALUE"""),308.38)</f>
        <v>308.38</v>
      </c>
    </row>
    <row r="455">
      <c r="A455" s="2" t="str">
        <f>IFERROR(__xludf.DUMMYFUNCTION("""COMPUTED_VALUE"""),"PR032")</f>
        <v>PR032</v>
      </c>
      <c r="B455" s="2" t="str">
        <f>IFERROR(__xludf.DUMMYFUNCTION("""COMPUTED_VALUE"""),"VD011")</f>
        <v>VD011</v>
      </c>
      <c r="C455" s="2">
        <f>IFERROR(__xludf.DUMMYFUNCTION("""COMPUTED_VALUE"""),27.0)</f>
        <v>27</v>
      </c>
      <c r="D455" s="2">
        <f>IFERROR(__xludf.DUMMYFUNCTION("""COMPUTED_VALUE"""),7020.0)</f>
        <v>7020</v>
      </c>
    </row>
    <row r="456">
      <c r="A456" s="2" t="str">
        <f>IFERROR(__xludf.DUMMYFUNCTION("""COMPUTED_VALUE"""),"PR027")</f>
        <v>PR027</v>
      </c>
      <c r="B456" s="2" t="str">
        <f>IFERROR(__xludf.DUMMYFUNCTION("""COMPUTED_VALUE"""),"VD030")</f>
        <v>VD030</v>
      </c>
      <c r="C456" s="2">
        <f>IFERROR(__xludf.DUMMYFUNCTION("""COMPUTED_VALUE"""),3.0)</f>
        <v>3</v>
      </c>
      <c r="D456" s="2">
        <f>IFERROR(__xludf.DUMMYFUNCTION("""COMPUTED_VALUE"""),381.6)</f>
        <v>381.6</v>
      </c>
    </row>
    <row r="457">
      <c r="A457" s="2" t="str">
        <f>IFERROR(__xludf.DUMMYFUNCTION("""COMPUTED_VALUE"""),"PR049")</f>
        <v>PR049</v>
      </c>
      <c r="B457" s="2" t="str">
        <f>IFERROR(__xludf.DUMMYFUNCTION("""COMPUTED_VALUE"""),"VD017")</f>
        <v>VD017</v>
      </c>
      <c r="C457" s="2">
        <f>IFERROR(__xludf.DUMMYFUNCTION("""COMPUTED_VALUE"""),24.0)</f>
        <v>24</v>
      </c>
      <c r="D457" s="2">
        <f>IFERROR(__xludf.DUMMYFUNCTION("""COMPUTED_VALUE"""),868.56)</f>
        <v>868.56</v>
      </c>
    </row>
    <row r="458">
      <c r="A458" s="2" t="str">
        <f>IFERROR(__xludf.DUMMYFUNCTION("""COMPUTED_VALUE"""),"PR050")</f>
        <v>PR050</v>
      </c>
      <c r="B458" s="2" t="str">
        <f>IFERROR(__xludf.DUMMYFUNCTION("""COMPUTED_VALUE"""),"VD018")</f>
        <v>VD018</v>
      </c>
      <c r="C458" s="2">
        <f>IFERROR(__xludf.DUMMYFUNCTION("""COMPUTED_VALUE"""),30.0)</f>
        <v>30</v>
      </c>
      <c r="D458" s="2">
        <f>IFERROR(__xludf.DUMMYFUNCTION("""COMPUTED_VALUE"""),987.0)</f>
        <v>987</v>
      </c>
    </row>
    <row r="459">
      <c r="A459" s="2" t="str">
        <f>IFERROR(__xludf.DUMMYFUNCTION("""COMPUTED_VALUE"""),"PR051")</f>
        <v>PR051</v>
      </c>
      <c r="B459" s="2" t="str">
        <f>IFERROR(__xludf.DUMMYFUNCTION("""COMPUTED_VALUE"""),"VD021")</f>
        <v>VD021</v>
      </c>
      <c r="C459" s="2">
        <f>IFERROR(__xludf.DUMMYFUNCTION("""COMPUTED_VALUE"""),9.0)</f>
        <v>9</v>
      </c>
      <c r="D459" s="2">
        <f>IFERROR(__xludf.DUMMYFUNCTION("""COMPUTED_VALUE"""),302.02)</f>
        <v>302.02</v>
      </c>
    </row>
    <row r="460">
      <c r="A460" s="2" t="str">
        <f>IFERROR(__xludf.DUMMYFUNCTION("""COMPUTED_VALUE"""),"PR031")</f>
        <v>PR031</v>
      </c>
      <c r="B460" s="2" t="str">
        <f>IFERROR(__xludf.DUMMYFUNCTION("""COMPUTED_VALUE"""),"VD018")</f>
        <v>VD018</v>
      </c>
      <c r="C460" s="2">
        <f>IFERROR(__xludf.DUMMYFUNCTION("""COMPUTED_VALUE"""),12.0)</f>
        <v>12</v>
      </c>
      <c r="D460" s="2">
        <f>IFERROR(__xludf.DUMMYFUNCTION("""COMPUTED_VALUE"""),3175.2)</f>
        <v>3175.2</v>
      </c>
    </row>
    <row r="461">
      <c r="A461" s="2" t="str">
        <f>IFERROR(__xludf.DUMMYFUNCTION("""COMPUTED_VALUE"""),"PR017")</f>
        <v>PR017</v>
      </c>
      <c r="B461" s="2" t="str">
        <f>IFERROR(__xludf.DUMMYFUNCTION("""COMPUTED_VALUE"""),"VD014")</f>
        <v>VD014</v>
      </c>
      <c r="C461" s="2">
        <f>IFERROR(__xludf.DUMMYFUNCTION("""COMPUTED_VALUE"""),6.0)</f>
        <v>6</v>
      </c>
      <c r="D461" s="2">
        <f>IFERROR(__xludf.DUMMYFUNCTION("""COMPUTED_VALUE"""),197.34)</f>
        <v>197.34</v>
      </c>
    </row>
    <row r="462">
      <c r="A462" s="2" t="str">
        <f>IFERROR(__xludf.DUMMYFUNCTION("""COMPUTED_VALUE"""),"PR044")</f>
        <v>PR044</v>
      </c>
      <c r="B462" s="2" t="str">
        <f>IFERROR(__xludf.DUMMYFUNCTION("""COMPUTED_VALUE"""),"VD025")</f>
        <v>VD025</v>
      </c>
      <c r="C462" s="2">
        <f>IFERROR(__xludf.DUMMYFUNCTION("""COMPUTED_VALUE"""),1.0)</f>
        <v>1</v>
      </c>
      <c r="D462" s="2">
        <f>IFERROR(__xludf.DUMMYFUNCTION("""COMPUTED_VALUE"""),76.13)</f>
        <v>76.13</v>
      </c>
    </row>
    <row r="463">
      <c r="A463" s="2" t="str">
        <f>IFERROR(__xludf.DUMMYFUNCTION("""COMPUTED_VALUE"""),"PR018")</f>
        <v>PR018</v>
      </c>
      <c r="B463" s="2" t="str">
        <f>IFERROR(__xludf.DUMMYFUNCTION("""COMPUTED_VALUE"""),"VD019")</f>
        <v>VD019</v>
      </c>
      <c r="C463" s="2">
        <f>IFERROR(__xludf.DUMMYFUNCTION("""COMPUTED_VALUE"""),3.0)</f>
        <v>3</v>
      </c>
      <c r="D463" s="2">
        <f>IFERROR(__xludf.DUMMYFUNCTION("""COMPUTED_VALUE"""),98.7)</f>
        <v>98.7</v>
      </c>
    </row>
    <row r="464">
      <c r="A464" s="2" t="str">
        <f>IFERROR(__xludf.DUMMYFUNCTION("""COMPUTED_VALUE"""),"PR010")</f>
        <v>PR010</v>
      </c>
      <c r="B464" s="2" t="str">
        <f>IFERROR(__xludf.DUMMYFUNCTION("""COMPUTED_VALUE"""),"VD042")</f>
        <v>VD042</v>
      </c>
      <c r="C464" s="2">
        <f>IFERROR(__xludf.DUMMYFUNCTION("""COMPUTED_VALUE"""),10.0)</f>
        <v>10</v>
      </c>
      <c r="D464" s="2">
        <f>IFERROR(__xludf.DUMMYFUNCTION("""COMPUTED_VALUE"""),489.41)</f>
        <v>489.41</v>
      </c>
    </row>
    <row r="465">
      <c r="A465" s="2" t="str">
        <f>IFERROR(__xludf.DUMMYFUNCTION("""COMPUTED_VALUE"""),"PR041")</f>
        <v>PR041</v>
      </c>
      <c r="B465" s="2" t="str">
        <f>IFERROR(__xludf.DUMMYFUNCTION("""COMPUTED_VALUE"""),"VD032")</f>
        <v>VD032</v>
      </c>
      <c r="C465" s="2">
        <f>IFERROR(__xludf.DUMMYFUNCTION("""COMPUTED_VALUE"""),10.0)</f>
        <v>10</v>
      </c>
      <c r="D465" s="2">
        <f>IFERROR(__xludf.DUMMYFUNCTION("""COMPUTED_VALUE"""),554.49)</f>
        <v>554.49</v>
      </c>
    </row>
    <row r="466">
      <c r="A466" s="2" t="str">
        <f>IFERROR(__xludf.DUMMYFUNCTION("""COMPUTED_VALUE"""),"PR050")</f>
        <v>PR050</v>
      </c>
      <c r="B466" s="2" t="str">
        <f>IFERROR(__xludf.DUMMYFUNCTION("""COMPUTED_VALUE"""),"VD042")</f>
        <v>VD042</v>
      </c>
      <c r="C466" s="2">
        <f>IFERROR(__xludf.DUMMYFUNCTION("""COMPUTED_VALUE"""),2.0)</f>
        <v>2</v>
      </c>
      <c r="D466" s="2">
        <f>IFERROR(__xludf.DUMMYFUNCTION("""COMPUTED_VALUE"""),68.43)</f>
        <v>68.43</v>
      </c>
    </row>
    <row r="467">
      <c r="A467" s="2" t="str">
        <f>IFERROR(__xludf.DUMMYFUNCTION("""COMPUTED_VALUE"""),"PR022")</f>
        <v>PR022</v>
      </c>
      <c r="B467" s="2" t="str">
        <f>IFERROR(__xludf.DUMMYFUNCTION("""COMPUTED_VALUE"""),"VD031")</f>
        <v>VD031</v>
      </c>
      <c r="C467" s="2">
        <f>IFERROR(__xludf.DUMMYFUNCTION("""COMPUTED_VALUE"""),10.0)</f>
        <v>10</v>
      </c>
      <c r="D467" s="2">
        <f>IFERROR(__xludf.DUMMYFUNCTION("""COMPUTED_VALUE"""),3270.0)</f>
        <v>3270</v>
      </c>
    </row>
    <row r="468">
      <c r="A468" s="2" t="str">
        <f>IFERROR(__xludf.DUMMYFUNCTION("""COMPUTED_VALUE"""),"PR048")</f>
        <v>PR048</v>
      </c>
      <c r="B468" s="2" t="str">
        <f>IFERROR(__xludf.DUMMYFUNCTION("""COMPUTED_VALUE"""),"VD016")</f>
        <v>VD016</v>
      </c>
      <c r="C468" s="2">
        <f>IFERROR(__xludf.DUMMYFUNCTION("""COMPUTED_VALUE"""),16.0)</f>
        <v>16</v>
      </c>
      <c r="D468" s="2">
        <f>IFERROR(__xludf.DUMMYFUNCTION("""COMPUTED_VALUE"""),5009.47)</f>
        <v>5009.47</v>
      </c>
    </row>
    <row r="469">
      <c r="A469" s="2" t="str">
        <f>IFERROR(__xludf.DUMMYFUNCTION("""COMPUTED_VALUE"""),"PR028")</f>
        <v>PR028</v>
      </c>
      <c r="B469" s="2" t="str">
        <f>IFERROR(__xludf.DUMMYFUNCTION("""COMPUTED_VALUE"""),"VD041")</f>
        <v>VD041</v>
      </c>
      <c r="C469" s="2">
        <f>IFERROR(__xludf.DUMMYFUNCTION("""COMPUTED_VALUE"""),16.0)</f>
        <v>16</v>
      </c>
      <c r="D469" s="2">
        <f>IFERROR(__xludf.DUMMYFUNCTION("""COMPUTED_VALUE"""),4038.38)</f>
        <v>4038.38</v>
      </c>
    </row>
    <row r="470">
      <c r="A470" s="2" t="str">
        <f>IFERROR(__xludf.DUMMYFUNCTION("""COMPUTED_VALUE"""),"PR002")</f>
        <v>PR002</v>
      </c>
      <c r="B470" s="2" t="str">
        <f>IFERROR(__xludf.DUMMYFUNCTION("""COMPUTED_VALUE"""),"VD027")</f>
        <v>VD027</v>
      </c>
      <c r="C470" s="2">
        <f>IFERROR(__xludf.DUMMYFUNCTION("""COMPUTED_VALUE"""),2.0)</f>
        <v>2</v>
      </c>
      <c r="D470" s="2">
        <f>IFERROR(__xludf.DUMMYFUNCTION("""COMPUTED_VALUE"""),153.78)</f>
        <v>153.78</v>
      </c>
    </row>
    <row r="471">
      <c r="A471" s="2" t="str">
        <f>IFERROR(__xludf.DUMMYFUNCTION("""COMPUTED_VALUE"""),"PR043")</f>
        <v>PR043</v>
      </c>
      <c r="B471" s="2" t="str">
        <f>IFERROR(__xludf.DUMMYFUNCTION("""COMPUTED_VALUE"""),"VD046")</f>
        <v>VD046</v>
      </c>
      <c r="C471" s="2">
        <f>IFERROR(__xludf.DUMMYFUNCTION("""COMPUTED_VALUE"""),2.0)</f>
        <v>2</v>
      </c>
      <c r="D471" s="2">
        <f>IFERROR(__xludf.DUMMYFUNCTION("""COMPUTED_VALUE"""),146.45)</f>
        <v>146.45</v>
      </c>
    </row>
    <row r="472">
      <c r="A472" s="2" t="str">
        <f>IFERROR(__xludf.DUMMYFUNCTION("""COMPUTED_VALUE"""),"PR033")</f>
        <v>PR033</v>
      </c>
      <c r="B472" s="2" t="str">
        <f>IFERROR(__xludf.DUMMYFUNCTION("""COMPUTED_VALUE"""),"VD042")</f>
        <v>VD042</v>
      </c>
      <c r="C472" s="2">
        <f>IFERROR(__xludf.DUMMYFUNCTION("""COMPUTED_VALUE"""),10.0)</f>
        <v>10</v>
      </c>
      <c r="D472" s="2">
        <f>IFERROR(__xludf.DUMMYFUNCTION("""COMPUTED_VALUE"""),2832.91)</f>
        <v>2832.91</v>
      </c>
    </row>
    <row r="473">
      <c r="A473" s="2" t="str">
        <f>IFERROR(__xludf.DUMMYFUNCTION("""COMPUTED_VALUE"""),"PR041")</f>
        <v>PR041</v>
      </c>
      <c r="B473" s="2" t="str">
        <f>IFERROR(__xludf.DUMMYFUNCTION("""COMPUTED_VALUE"""),"VD020")</f>
        <v>VD020</v>
      </c>
      <c r="C473" s="2">
        <f>IFERROR(__xludf.DUMMYFUNCTION("""COMPUTED_VALUE"""),7.0)</f>
        <v>7</v>
      </c>
      <c r="D473" s="2">
        <f>IFERROR(__xludf.DUMMYFUNCTION("""COMPUTED_VALUE"""),388.14)</f>
        <v>388.14</v>
      </c>
    </row>
    <row r="474">
      <c r="A474" s="2" t="str">
        <f>IFERROR(__xludf.DUMMYFUNCTION("""COMPUTED_VALUE"""),"PR030")</f>
        <v>PR030</v>
      </c>
      <c r="B474" s="2" t="str">
        <f>IFERROR(__xludf.DUMMYFUNCTION("""COMPUTED_VALUE"""),"VD045")</f>
        <v>VD045</v>
      </c>
      <c r="C474" s="2">
        <f>IFERROR(__xludf.DUMMYFUNCTION("""COMPUTED_VALUE"""),5.0)</f>
        <v>5</v>
      </c>
      <c r="D474" s="2">
        <f>IFERROR(__xludf.DUMMYFUNCTION("""COMPUTED_VALUE"""),1312.5)</f>
        <v>1312.5</v>
      </c>
    </row>
    <row r="475">
      <c r="A475" s="2" t="str">
        <f>IFERROR(__xludf.DUMMYFUNCTION("""COMPUTED_VALUE"""),"PR060")</f>
        <v>PR060</v>
      </c>
      <c r="B475" s="2" t="str">
        <f>IFERROR(__xludf.DUMMYFUNCTION("""COMPUTED_VALUE"""),"VD032")</f>
        <v>VD032</v>
      </c>
      <c r="C475" s="2">
        <f>IFERROR(__xludf.DUMMYFUNCTION("""COMPUTED_VALUE"""),6.0)</f>
        <v>6</v>
      </c>
      <c r="D475" s="2">
        <f>IFERROR(__xludf.DUMMYFUNCTION("""COMPUTED_VALUE"""),1090.8)</f>
        <v>1090.8</v>
      </c>
    </row>
    <row r="476">
      <c r="A476" s="2" t="str">
        <f>IFERROR(__xludf.DUMMYFUNCTION("""COMPUTED_VALUE"""),"PR051")</f>
        <v>PR051</v>
      </c>
      <c r="B476" s="2" t="str">
        <f>IFERROR(__xludf.DUMMYFUNCTION("""COMPUTED_VALUE"""),"VD034")</f>
        <v>VD034</v>
      </c>
      <c r="C476" s="2">
        <f>IFERROR(__xludf.DUMMYFUNCTION("""COMPUTED_VALUE"""),20.0)</f>
        <v>20</v>
      </c>
      <c r="D476" s="2">
        <f>IFERROR(__xludf.DUMMYFUNCTION("""COMPUTED_VALUE"""),658.0)</f>
        <v>658</v>
      </c>
    </row>
    <row r="477">
      <c r="A477" s="2" t="str">
        <f>IFERROR(__xludf.DUMMYFUNCTION("""COMPUTED_VALUE"""),"PR005")</f>
        <v>PR005</v>
      </c>
      <c r="B477" s="2" t="str">
        <f>IFERROR(__xludf.DUMMYFUNCTION("""COMPUTED_VALUE"""),"VD011")</f>
        <v>VD011</v>
      </c>
      <c r="C477" s="2">
        <f>IFERROR(__xludf.DUMMYFUNCTION("""COMPUTED_VALUE"""),10.0)</f>
        <v>10</v>
      </c>
      <c r="D477" s="2">
        <f>IFERROR(__xludf.DUMMYFUNCTION("""COMPUTED_VALUE"""),2676.97)</f>
        <v>2676.97</v>
      </c>
    </row>
    <row r="478">
      <c r="A478" s="2" t="str">
        <f>IFERROR(__xludf.DUMMYFUNCTION("""COMPUTED_VALUE"""),"PR013")</f>
        <v>PR013</v>
      </c>
      <c r="B478" s="2" t="str">
        <f>IFERROR(__xludf.DUMMYFUNCTION("""COMPUTED_VALUE"""),"VD012")</f>
        <v>VD012</v>
      </c>
      <c r="C478" s="2">
        <f>IFERROR(__xludf.DUMMYFUNCTION("""COMPUTED_VALUE"""),20.0)</f>
        <v>20</v>
      </c>
      <c r="D478" s="2">
        <f>IFERROR(__xludf.DUMMYFUNCTION("""COMPUTED_VALUE"""),845.88)</f>
        <v>845.88</v>
      </c>
    </row>
    <row r="479">
      <c r="A479" s="2" t="str">
        <f>IFERROR(__xludf.DUMMYFUNCTION("""COMPUTED_VALUE"""),"PR037")</f>
        <v>PR037</v>
      </c>
      <c r="B479" s="2" t="str">
        <f>IFERROR(__xludf.DUMMYFUNCTION("""COMPUTED_VALUE"""),"VD039")</f>
        <v>VD039</v>
      </c>
      <c r="C479" s="2">
        <f>IFERROR(__xludf.DUMMYFUNCTION("""COMPUTED_VALUE"""),14.0)</f>
        <v>14</v>
      </c>
      <c r="D479" s="2">
        <f>IFERROR(__xludf.DUMMYFUNCTION("""COMPUTED_VALUE"""),1979.6)</f>
        <v>1979.6</v>
      </c>
    </row>
    <row r="480">
      <c r="A480" s="2" t="str">
        <f>IFERROR(__xludf.DUMMYFUNCTION("""COMPUTED_VALUE"""),"PR032")</f>
        <v>PR032</v>
      </c>
      <c r="B480" s="2" t="str">
        <f>IFERROR(__xludf.DUMMYFUNCTION("""COMPUTED_VALUE"""),"VD022")</f>
        <v>VD022</v>
      </c>
      <c r="C480" s="2">
        <f>IFERROR(__xludf.DUMMYFUNCTION("""COMPUTED_VALUE"""),16.0)</f>
        <v>16</v>
      </c>
      <c r="D480" s="2">
        <f>IFERROR(__xludf.DUMMYFUNCTION("""COMPUTED_VALUE"""),4160.0)</f>
        <v>4160</v>
      </c>
    </row>
    <row r="481">
      <c r="A481" s="2" t="str">
        <f>IFERROR(__xludf.DUMMYFUNCTION("""COMPUTED_VALUE"""),"PR052")</f>
        <v>PR052</v>
      </c>
      <c r="B481" s="2" t="str">
        <f>IFERROR(__xludf.DUMMYFUNCTION("""COMPUTED_VALUE"""),"VD045")</f>
        <v>VD045</v>
      </c>
      <c r="C481" s="2">
        <f>IFERROR(__xludf.DUMMYFUNCTION("""COMPUTED_VALUE"""),5.0)</f>
        <v>5</v>
      </c>
      <c r="D481" s="2">
        <f>IFERROR(__xludf.DUMMYFUNCTION("""COMPUTED_VALUE"""),269.46)</f>
        <v>269.46</v>
      </c>
    </row>
    <row r="482">
      <c r="A482" s="2" t="str">
        <f>IFERROR(__xludf.DUMMYFUNCTION("""COMPUTED_VALUE"""),"PR038")</f>
        <v>PR038</v>
      </c>
      <c r="B482" s="2" t="str">
        <f>IFERROR(__xludf.DUMMYFUNCTION("""COMPUTED_VALUE"""),"VD020")</f>
        <v>VD020</v>
      </c>
      <c r="C482" s="2">
        <f>IFERROR(__xludf.DUMMYFUNCTION("""COMPUTED_VALUE"""),2.0)</f>
        <v>2</v>
      </c>
      <c r="D482" s="2">
        <f>IFERROR(__xludf.DUMMYFUNCTION("""COMPUTED_VALUE"""),305.81)</f>
        <v>305.81</v>
      </c>
    </row>
    <row r="483">
      <c r="A483" s="2" t="str">
        <f>IFERROR(__xludf.DUMMYFUNCTION("""COMPUTED_VALUE"""),"PR049")</f>
        <v>PR049</v>
      </c>
      <c r="B483" s="2" t="str">
        <f>IFERROR(__xludf.DUMMYFUNCTION("""COMPUTED_VALUE"""),"VD029")</f>
        <v>VD029</v>
      </c>
      <c r="C483" s="2">
        <f>IFERROR(__xludf.DUMMYFUNCTION("""COMPUTED_VALUE"""),9.0)</f>
        <v>9</v>
      </c>
      <c r="D483" s="2">
        <f>IFERROR(__xludf.DUMMYFUNCTION("""COMPUTED_VALUE"""),310.91)</f>
        <v>310.91</v>
      </c>
    </row>
    <row r="484">
      <c r="A484" s="2" t="str">
        <f>IFERROR(__xludf.DUMMYFUNCTION("""COMPUTED_VALUE"""),"PR022")</f>
        <v>PR022</v>
      </c>
      <c r="B484" s="2" t="str">
        <f>IFERROR(__xludf.DUMMYFUNCTION("""COMPUTED_VALUE"""),"VD015")</f>
        <v>VD015</v>
      </c>
      <c r="C484" s="2">
        <f>IFERROR(__xludf.DUMMYFUNCTION("""COMPUTED_VALUE"""),12.0)</f>
        <v>12</v>
      </c>
      <c r="D484" s="2">
        <f>IFERROR(__xludf.DUMMYFUNCTION("""COMPUTED_VALUE"""),3672.0)</f>
        <v>3672</v>
      </c>
    </row>
    <row r="485">
      <c r="A485" s="2" t="str">
        <f>IFERROR(__xludf.DUMMYFUNCTION("""COMPUTED_VALUE"""),"PR015")</f>
        <v>PR015</v>
      </c>
      <c r="B485" s="2" t="str">
        <f>IFERROR(__xludf.DUMMYFUNCTION("""COMPUTED_VALUE"""),"VD020")</f>
        <v>VD020</v>
      </c>
      <c r="C485" s="2">
        <f>IFERROR(__xludf.DUMMYFUNCTION("""COMPUTED_VALUE"""),10.0)</f>
        <v>10</v>
      </c>
      <c r="D485" s="2">
        <f>IFERROR(__xludf.DUMMYFUNCTION("""COMPUTED_VALUE"""),442.0)</f>
        <v>442</v>
      </c>
    </row>
    <row r="486">
      <c r="A486" s="2" t="str">
        <f>IFERROR(__xludf.DUMMYFUNCTION("""COMPUTED_VALUE"""),"PR039")</f>
        <v>PR039</v>
      </c>
      <c r="B486" s="2" t="str">
        <f>IFERROR(__xludf.DUMMYFUNCTION("""COMPUTED_VALUE"""),"VD020")</f>
        <v>VD020</v>
      </c>
      <c r="C486" s="2">
        <f>IFERROR(__xludf.DUMMYFUNCTION("""COMPUTED_VALUE"""),9.0)</f>
        <v>9</v>
      </c>
      <c r="D486" s="2">
        <f>IFERROR(__xludf.DUMMYFUNCTION("""COMPUTED_VALUE"""),1445.4)</f>
        <v>1445.4</v>
      </c>
    </row>
    <row r="487">
      <c r="A487" s="2" t="str">
        <f>IFERROR(__xludf.DUMMYFUNCTION("""COMPUTED_VALUE"""),"PR035")</f>
        <v>PR035</v>
      </c>
      <c r="B487" s="2" t="str">
        <f>IFERROR(__xludf.DUMMYFUNCTION("""COMPUTED_VALUE"""),"VD017")</f>
        <v>VD017</v>
      </c>
      <c r="C487" s="2">
        <f>IFERROR(__xludf.DUMMYFUNCTION("""COMPUTED_VALUE"""),14.0)</f>
        <v>14</v>
      </c>
      <c r="D487" s="2">
        <f>IFERROR(__xludf.DUMMYFUNCTION("""COMPUTED_VALUE"""),1343.58)</f>
        <v>1343.58</v>
      </c>
    </row>
    <row r="488">
      <c r="A488" s="2" t="str">
        <f>IFERROR(__xludf.DUMMYFUNCTION("""COMPUTED_VALUE"""),"PR025")</f>
        <v>PR025</v>
      </c>
      <c r="B488" s="2" t="str">
        <f>IFERROR(__xludf.DUMMYFUNCTION("""COMPUTED_VALUE"""),"VD012")</f>
        <v>VD012</v>
      </c>
      <c r="C488" s="2">
        <f>IFERROR(__xludf.DUMMYFUNCTION("""COMPUTED_VALUE"""),3.0)</f>
        <v>3</v>
      </c>
      <c r="D488" s="2">
        <f>IFERROR(__xludf.DUMMYFUNCTION("""COMPUTED_VALUE"""),962.68)</f>
        <v>962.68</v>
      </c>
    </row>
    <row r="489">
      <c r="A489" s="2" t="str">
        <f>IFERROR(__xludf.DUMMYFUNCTION("""COMPUTED_VALUE"""),"PR027")</f>
        <v>PR027</v>
      </c>
      <c r="B489" s="2" t="str">
        <f>IFERROR(__xludf.DUMMYFUNCTION("""COMPUTED_VALUE"""),"VD031")</f>
        <v>VD031</v>
      </c>
      <c r="C489" s="2">
        <f>IFERROR(__xludf.DUMMYFUNCTION("""COMPUTED_VALUE"""),8.0)</f>
        <v>8</v>
      </c>
      <c r="D489" s="2">
        <f>IFERROR(__xludf.DUMMYFUNCTION("""COMPUTED_VALUE"""),969.6)</f>
        <v>969.6</v>
      </c>
    </row>
    <row r="490">
      <c r="A490" s="2" t="str">
        <f>IFERROR(__xludf.DUMMYFUNCTION("""COMPUTED_VALUE"""),"PR020")</f>
        <v>PR020</v>
      </c>
      <c r="B490" s="2" t="str">
        <f>IFERROR(__xludf.DUMMYFUNCTION("""COMPUTED_VALUE"""),"VD022")</f>
        <v>VD022</v>
      </c>
      <c r="C490" s="2">
        <f>IFERROR(__xludf.DUMMYFUNCTION("""COMPUTED_VALUE"""),6.0)</f>
        <v>6</v>
      </c>
      <c r="D490" s="2">
        <f>IFERROR(__xludf.DUMMYFUNCTION("""COMPUTED_VALUE"""),1853.38)</f>
        <v>1853.38</v>
      </c>
    </row>
    <row r="491">
      <c r="A491" s="2" t="str">
        <f>IFERROR(__xludf.DUMMYFUNCTION("""COMPUTED_VALUE"""),"PR050")</f>
        <v>PR050</v>
      </c>
      <c r="B491" s="2" t="str">
        <f>IFERROR(__xludf.DUMMYFUNCTION("""COMPUTED_VALUE"""),"VD047")</f>
        <v>VD047</v>
      </c>
      <c r="C491" s="2">
        <f>IFERROR(__xludf.DUMMYFUNCTION("""COMPUTED_VALUE"""),8.0)</f>
        <v>8</v>
      </c>
      <c r="D491" s="2">
        <f>IFERROR(__xludf.DUMMYFUNCTION("""COMPUTED_VALUE"""),289.52)</f>
        <v>289.52</v>
      </c>
    </row>
    <row r="492">
      <c r="A492" s="2" t="str">
        <f>IFERROR(__xludf.DUMMYFUNCTION("""COMPUTED_VALUE"""),"PR053")</f>
        <v>PR053</v>
      </c>
      <c r="B492" s="2" t="str">
        <f>IFERROR(__xludf.DUMMYFUNCTION("""COMPUTED_VALUE"""),"VD041")</f>
        <v>VD041</v>
      </c>
      <c r="C492" s="2">
        <f>IFERROR(__xludf.DUMMYFUNCTION("""COMPUTED_VALUE"""),5.0)</f>
        <v>5</v>
      </c>
      <c r="D492" s="2">
        <f>IFERROR(__xludf.DUMMYFUNCTION("""COMPUTED_VALUE"""),274.45)</f>
        <v>274.45</v>
      </c>
    </row>
    <row r="493">
      <c r="A493" s="2" t="str">
        <f>IFERROR(__xludf.DUMMYFUNCTION("""COMPUTED_VALUE"""),"PR042")</f>
        <v>PR042</v>
      </c>
      <c r="B493" s="2" t="str">
        <f>IFERROR(__xludf.DUMMYFUNCTION("""COMPUTED_VALUE"""),"VD018")</f>
        <v>VD018</v>
      </c>
      <c r="C493" s="2">
        <f>IFERROR(__xludf.DUMMYFUNCTION("""COMPUTED_VALUE"""),14.0)</f>
        <v>14</v>
      </c>
      <c r="D493" s="2">
        <f>IFERROR(__xludf.DUMMYFUNCTION("""COMPUTED_VALUE"""),822.4)</f>
        <v>822.4</v>
      </c>
    </row>
    <row r="494">
      <c r="A494" s="2" t="str">
        <f>IFERROR(__xludf.DUMMYFUNCTION("""COMPUTED_VALUE"""),"PR041")</f>
        <v>PR041</v>
      </c>
      <c r="B494" s="2" t="str">
        <f>IFERROR(__xludf.DUMMYFUNCTION("""COMPUTED_VALUE"""),"VD049")</f>
        <v>VD049</v>
      </c>
      <c r="C494" s="2">
        <f>IFERROR(__xludf.DUMMYFUNCTION("""COMPUTED_VALUE"""),6.0)</f>
        <v>6</v>
      </c>
      <c r="D494" s="2">
        <f>IFERROR(__xludf.DUMMYFUNCTION("""COMPUTED_VALUE"""),352.46)</f>
        <v>352.46</v>
      </c>
    </row>
    <row r="495">
      <c r="A495" s="2" t="str">
        <f>IFERROR(__xludf.DUMMYFUNCTION("""COMPUTED_VALUE"""),"PR043")</f>
        <v>PR043</v>
      </c>
      <c r="B495" s="2" t="str">
        <f>IFERROR(__xludf.DUMMYFUNCTION("""COMPUTED_VALUE"""),"VD032")</f>
        <v>VD032</v>
      </c>
      <c r="C495" s="2">
        <f>IFERROR(__xludf.DUMMYFUNCTION("""COMPUTED_VALUE"""),2.0)</f>
        <v>2</v>
      </c>
      <c r="D495" s="2">
        <f>IFERROR(__xludf.DUMMYFUNCTION("""COMPUTED_VALUE"""),155.15)</f>
        <v>155.15</v>
      </c>
    </row>
    <row r="496">
      <c r="A496" s="2" t="str">
        <f>IFERROR(__xludf.DUMMYFUNCTION("""COMPUTED_VALUE"""),"PR006")</f>
        <v>PR006</v>
      </c>
      <c r="B496" s="2" t="str">
        <f>IFERROR(__xludf.DUMMYFUNCTION("""COMPUTED_VALUE"""),"VD044")</f>
        <v>VD044</v>
      </c>
      <c r="C496" s="2">
        <f>IFERROR(__xludf.DUMMYFUNCTION("""COMPUTED_VALUE"""),8.0)</f>
        <v>8</v>
      </c>
      <c r="D496" s="2">
        <f>IFERROR(__xludf.DUMMYFUNCTION("""COMPUTED_VALUE"""),341.54)</f>
        <v>341.54</v>
      </c>
    </row>
    <row r="497">
      <c r="A497" s="2" t="str">
        <f>IFERROR(__xludf.DUMMYFUNCTION("""COMPUTED_VALUE"""),"PR058")</f>
        <v>PR058</v>
      </c>
      <c r="B497" s="2" t="str">
        <f>IFERROR(__xludf.DUMMYFUNCTION("""COMPUTED_VALUE"""),"VD018")</f>
        <v>VD018</v>
      </c>
      <c r="C497" s="2">
        <f>IFERROR(__xludf.DUMMYFUNCTION("""COMPUTED_VALUE"""),4.0)</f>
        <v>4</v>
      </c>
      <c r="D497" s="2">
        <f>IFERROR(__xludf.DUMMYFUNCTION("""COMPUTED_VALUE"""),792.0)</f>
        <v>792</v>
      </c>
    </row>
    <row r="498">
      <c r="A498" s="2" t="str">
        <f>IFERROR(__xludf.DUMMYFUNCTION("""COMPUTED_VALUE"""),"PR038")</f>
        <v>PR038</v>
      </c>
      <c r="B498" s="2" t="str">
        <f>IFERROR(__xludf.DUMMYFUNCTION("""COMPUTED_VALUE"""),"VD032")</f>
        <v>VD032</v>
      </c>
      <c r="C498" s="2">
        <f>IFERROR(__xludf.DUMMYFUNCTION("""COMPUTED_VALUE"""),4.0)</f>
        <v>4</v>
      </c>
      <c r="D498" s="2">
        <f>IFERROR(__xludf.DUMMYFUNCTION("""COMPUTED_VALUE"""),600.18)</f>
        <v>600.18</v>
      </c>
    </row>
    <row r="499">
      <c r="A499" s="2" t="str">
        <f>IFERROR(__xludf.DUMMYFUNCTION("""COMPUTED_VALUE"""),"PR022")</f>
        <v>PR022</v>
      </c>
      <c r="B499" s="2" t="str">
        <f>IFERROR(__xludf.DUMMYFUNCTION("""COMPUTED_VALUE"""),"VD026")</f>
        <v>VD026</v>
      </c>
      <c r="C499" s="2">
        <f>IFERROR(__xludf.DUMMYFUNCTION("""COMPUTED_VALUE"""),9.0)</f>
        <v>9</v>
      </c>
      <c r="D499" s="2">
        <f>IFERROR(__xludf.DUMMYFUNCTION("""COMPUTED_VALUE"""),2916.0)</f>
        <v>2916</v>
      </c>
    </row>
    <row r="500">
      <c r="A500" s="2" t="str">
        <f>IFERROR(__xludf.DUMMYFUNCTION("""COMPUTED_VALUE"""),"PR035")</f>
        <v>PR035</v>
      </c>
      <c r="B500" s="2" t="str">
        <f>IFERROR(__xludf.DUMMYFUNCTION("""COMPUTED_VALUE"""),"VD046")</f>
        <v>VD046</v>
      </c>
      <c r="C500" s="2">
        <f>IFERROR(__xludf.DUMMYFUNCTION("""COMPUTED_VALUE"""),5.0)</f>
        <v>5</v>
      </c>
      <c r="D500" s="2">
        <f>IFERROR(__xludf.DUMMYFUNCTION("""COMPUTED_VALUE"""),479.85)</f>
        <v>479.85</v>
      </c>
    </row>
    <row r="501">
      <c r="A501" s="2" t="str">
        <f>IFERROR(__xludf.DUMMYFUNCTION("""COMPUTED_VALUE"""),"PR015")</f>
        <v>PR015</v>
      </c>
      <c r="B501" s="2" t="str">
        <f>IFERROR(__xludf.DUMMYFUNCTION("""COMPUTED_VALUE"""),"VD032")</f>
        <v>VD032</v>
      </c>
      <c r="C501" s="2">
        <f>IFERROR(__xludf.DUMMYFUNCTION("""COMPUTED_VALUE"""),5.0)</f>
        <v>5</v>
      </c>
      <c r="D501" s="2">
        <f>IFERROR(__xludf.DUMMYFUNCTION("""COMPUTED_VALUE"""),223.13)</f>
        <v>223.13</v>
      </c>
    </row>
    <row r="502">
      <c r="A502" s="2" t="str">
        <f>IFERROR(__xludf.DUMMYFUNCTION("""COMPUTED_VALUE"""),"PR020")</f>
        <v>PR020</v>
      </c>
      <c r="B502" s="2" t="str">
        <f>IFERROR(__xludf.DUMMYFUNCTION("""COMPUTED_VALUE"""),"VD021")</f>
        <v>VD021</v>
      </c>
      <c r="C502" s="2">
        <f>IFERROR(__xludf.DUMMYFUNCTION("""COMPUTED_VALUE"""),9.0)</f>
        <v>9</v>
      </c>
      <c r="D502" s="2">
        <f>IFERROR(__xludf.DUMMYFUNCTION("""COMPUTED_VALUE"""),2753.08)</f>
        <v>2753.08</v>
      </c>
    </row>
    <row r="503">
      <c r="A503" s="2" t="str">
        <f>IFERROR(__xludf.DUMMYFUNCTION("""COMPUTED_VALUE"""),"PR011")</f>
        <v>PR011</v>
      </c>
      <c r="B503" s="2" t="str">
        <f>IFERROR(__xludf.DUMMYFUNCTION("""COMPUTED_VALUE"""),"VD014")</f>
        <v>VD014</v>
      </c>
      <c r="C503" s="2">
        <f>IFERROR(__xludf.DUMMYFUNCTION("""COMPUTED_VALUE"""),9.0)</f>
        <v>9</v>
      </c>
      <c r="D503" s="2">
        <f>IFERROR(__xludf.DUMMYFUNCTION("""COMPUTED_VALUE"""),455.87)</f>
        <v>455.87</v>
      </c>
    </row>
    <row r="504">
      <c r="A504" s="2" t="str">
        <f>IFERROR(__xludf.DUMMYFUNCTION("""COMPUTED_VALUE"""),"PR050")</f>
        <v>PR050</v>
      </c>
      <c r="B504" s="2" t="str">
        <f>IFERROR(__xludf.DUMMYFUNCTION("""COMPUTED_VALUE"""),"VD040")</f>
        <v>VD040</v>
      </c>
      <c r="C504" s="2">
        <f>IFERROR(__xludf.DUMMYFUNCTION("""COMPUTED_VALUE"""),1.0)</f>
        <v>1</v>
      </c>
      <c r="D504" s="2">
        <f>IFERROR(__xludf.DUMMYFUNCTION("""COMPUTED_VALUE"""),33.56)</f>
        <v>33.56</v>
      </c>
    </row>
    <row r="505">
      <c r="A505" s="2" t="str">
        <f>IFERROR(__xludf.DUMMYFUNCTION("""COMPUTED_VALUE"""),"PR046")</f>
        <v>PR046</v>
      </c>
      <c r="B505" s="2" t="str">
        <f>IFERROR(__xludf.DUMMYFUNCTION("""COMPUTED_VALUE"""),"VD019")</f>
        <v>VD019</v>
      </c>
      <c r="C505" s="2">
        <f>IFERROR(__xludf.DUMMYFUNCTION("""COMPUTED_VALUE"""),4.0)</f>
        <v>4</v>
      </c>
      <c r="D505" s="2">
        <f>IFERROR(__xludf.DUMMYFUNCTION("""COMPUTED_VALUE"""),1263.96)</f>
        <v>1263.96</v>
      </c>
    </row>
    <row r="506">
      <c r="A506" s="2" t="str">
        <f>IFERROR(__xludf.DUMMYFUNCTION("""COMPUTED_VALUE"""),"PR016")</f>
        <v>PR016</v>
      </c>
      <c r="B506" s="2" t="str">
        <f>IFERROR(__xludf.DUMMYFUNCTION("""COMPUTED_VALUE"""),"VD012")</f>
        <v>VD012</v>
      </c>
      <c r="C506" s="2">
        <f>IFERROR(__xludf.DUMMYFUNCTION("""COMPUTED_VALUE"""),2.0)</f>
        <v>2</v>
      </c>
      <c r="D506" s="2">
        <f>IFERROR(__xludf.DUMMYFUNCTION("""COMPUTED_VALUE"""),53.35)</f>
        <v>53.35</v>
      </c>
    </row>
    <row r="507">
      <c r="A507" s="2" t="str">
        <f>IFERROR(__xludf.DUMMYFUNCTION("""COMPUTED_VALUE"""),"PR041")</f>
        <v>PR041</v>
      </c>
      <c r="B507" s="2" t="str">
        <f>IFERROR(__xludf.DUMMYFUNCTION("""COMPUTED_VALUE"""),"VD049")</f>
        <v>VD049</v>
      </c>
      <c r="C507" s="2">
        <f>IFERROR(__xludf.DUMMYFUNCTION("""COMPUTED_VALUE"""),1.0)</f>
        <v>1</v>
      </c>
      <c r="D507" s="2">
        <f>IFERROR(__xludf.DUMMYFUNCTION("""COMPUTED_VALUE"""),59.84)</f>
        <v>59.84</v>
      </c>
    </row>
    <row r="508">
      <c r="A508" s="2" t="str">
        <f>IFERROR(__xludf.DUMMYFUNCTION("""COMPUTED_VALUE"""),"PR037")</f>
        <v>PR037</v>
      </c>
      <c r="B508" s="2" t="str">
        <f>IFERROR(__xludf.DUMMYFUNCTION("""COMPUTED_VALUE"""),"VD038")</f>
        <v>VD038</v>
      </c>
      <c r="C508" s="2">
        <f>IFERROR(__xludf.DUMMYFUNCTION("""COMPUTED_VALUE"""),14.0)</f>
        <v>14</v>
      </c>
      <c r="D508" s="2">
        <f>IFERROR(__xludf.DUMMYFUNCTION("""COMPUTED_VALUE"""),1960.0)</f>
        <v>1960</v>
      </c>
    </row>
    <row r="509">
      <c r="A509" s="2" t="str">
        <f>IFERROR(__xludf.DUMMYFUNCTION("""COMPUTED_VALUE"""),"PR019")</f>
        <v>PR019</v>
      </c>
      <c r="B509" s="2" t="str">
        <f>IFERROR(__xludf.DUMMYFUNCTION("""COMPUTED_VALUE"""),"VD018")</f>
        <v>VD018</v>
      </c>
      <c r="C509" s="2">
        <f>IFERROR(__xludf.DUMMYFUNCTION("""COMPUTED_VALUE"""),4.0)</f>
        <v>4</v>
      </c>
      <c r="D509" s="2">
        <f>IFERROR(__xludf.DUMMYFUNCTION("""COMPUTED_VALUE"""),213.57)</f>
        <v>213.57</v>
      </c>
    </row>
    <row r="510">
      <c r="A510" s="2" t="str">
        <f>IFERROR(__xludf.DUMMYFUNCTION("""COMPUTED_VALUE"""),"PR052")</f>
        <v>PR052</v>
      </c>
      <c r="B510" s="2" t="str">
        <f>IFERROR(__xludf.DUMMYFUNCTION("""COMPUTED_VALUE"""),"VD043")</f>
        <v>VD043</v>
      </c>
      <c r="C510" s="2">
        <f>IFERROR(__xludf.DUMMYFUNCTION("""COMPUTED_VALUE"""),7.0)</f>
        <v>7</v>
      </c>
      <c r="D510" s="2">
        <f>IFERROR(__xludf.DUMMYFUNCTION("""COMPUTED_VALUE"""),356.29)</f>
        <v>356.29</v>
      </c>
    </row>
    <row r="511">
      <c r="A511" s="2" t="str">
        <f>IFERROR(__xludf.DUMMYFUNCTION("""COMPUTED_VALUE"""),"PR011")</f>
        <v>PR011</v>
      </c>
      <c r="B511" s="2" t="str">
        <f>IFERROR(__xludf.DUMMYFUNCTION("""COMPUTED_VALUE"""),"VD042")</f>
        <v>VD042</v>
      </c>
      <c r="C511" s="2">
        <f>IFERROR(__xludf.DUMMYFUNCTION("""COMPUTED_VALUE"""),1.0)</f>
        <v>1</v>
      </c>
      <c r="D511" s="2">
        <f>IFERROR(__xludf.DUMMYFUNCTION("""COMPUTED_VALUE"""),50.65)</f>
        <v>50.65</v>
      </c>
    </row>
    <row r="512">
      <c r="A512" s="2" t="str">
        <f>IFERROR(__xludf.DUMMYFUNCTION("""COMPUTED_VALUE"""),"PR058")</f>
        <v>PR058</v>
      </c>
      <c r="B512" s="2" t="str">
        <f>IFERROR(__xludf.DUMMYFUNCTION("""COMPUTED_VALUE"""),"VD048")</f>
        <v>VD048</v>
      </c>
      <c r="C512" s="2">
        <f>IFERROR(__xludf.DUMMYFUNCTION("""COMPUTED_VALUE"""),8.0)</f>
        <v>8</v>
      </c>
      <c r="D512" s="2">
        <f>IFERROR(__xludf.DUMMYFUNCTION("""COMPUTED_VALUE"""),1526.4)</f>
        <v>1526.4</v>
      </c>
    </row>
    <row r="513">
      <c r="A513" s="2" t="str">
        <f>IFERROR(__xludf.DUMMYFUNCTION("""COMPUTED_VALUE"""),"PR042")</f>
        <v>PR042</v>
      </c>
      <c r="B513" s="2" t="str">
        <f>IFERROR(__xludf.DUMMYFUNCTION("""COMPUTED_VALUE"""),"VD024")</f>
        <v>VD024</v>
      </c>
      <c r="C513" s="2">
        <f>IFERROR(__xludf.DUMMYFUNCTION("""COMPUTED_VALUE"""),3.0)</f>
        <v>3</v>
      </c>
      <c r="D513" s="2">
        <f>IFERROR(__xludf.DUMMYFUNCTION("""COMPUTED_VALUE"""),169.64)</f>
        <v>169.64</v>
      </c>
    </row>
    <row r="514">
      <c r="A514" s="2" t="str">
        <f>IFERROR(__xludf.DUMMYFUNCTION("""COMPUTED_VALUE"""),"PR009")</f>
        <v>PR009</v>
      </c>
      <c r="B514" s="2" t="str">
        <f>IFERROR(__xludf.DUMMYFUNCTION("""COMPUTED_VALUE"""),"VD037")</f>
        <v>VD037</v>
      </c>
      <c r="C514" s="2">
        <f>IFERROR(__xludf.DUMMYFUNCTION("""COMPUTED_VALUE"""),6.0)</f>
        <v>6</v>
      </c>
      <c r="D514" s="2">
        <f>IFERROR(__xludf.DUMMYFUNCTION("""COMPUTED_VALUE"""),568.55)</f>
        <v>568.55</v>
      </c>
    </row>
    <row r="515">
      <c r="A515" s="2" t="str">
        <f>IFERROR(__xludf.DUMMYFUNCTION("""COMPUTED_VALUE"""),"PR017")</f>
        <v>PR017</v>
      </c>
      <c r="B515" s="2" t="str">
        <f>IFERROR(__xludf.DUMMYFUNCTION("""COMPUTED_VALUE"""),"VD043")</f>
        <v>VD043</v>
      </c>
      <c r="C515" s="2">
        <f>IFERROR(__xludf.DUMMYFUNCTION("""COMPUTED_VALUE"""),2.0)</f>
        <v>2</v>
      </c>
      <c r="D515" s="2">
        <f>IFERROR(__xludf.DUMMYFUNCTION("""COMPUTED_VALUE"""),65.18)</f>
        <v>65.18</v>
      </c>
    </row>
    <row r="516">
      <c r="A516" s="2" t="str">
        <f>IFERROR(__xludf.DUMMYFUNCTION("""COMPUTED_VALUE"""),"PR009")</f>
        <v>PR009</v>
      </c>
      <c r="B516" s="2" t="str">
        <f>IFERROR(__xludf.DUMMYFUNCTION("""COMPUTED_VALUE"""),"VD025")</f>
        <v>VD025</v>
      </c>
      <c r="C516" s="2">
        <f>IFERROR(__xludf.DUMMYFUNCTION("""COMPUTED_VALUE"""),5.0)</f>
        <v>5</v>
      </c>
      <c r="D516" s="2">
        <f>IFERROR(__xludf.DUMMYFUNCTION("""COMPUTED_VALUE"""),478.44)</f>
        <v>478.44</v>
      </c>
    </row>
    <row r="517">
      <c r="A517" s="2" t="str">
        <f>IFERROR(__xludf.DUMMYFUNCTION("""COMPUTED_VALUE"""),"PR026")</f>
        <v>PR026</v>
      </c>
      <c r="B517" s="2" t="str">
        <f>IFERROR(__xludf.DUMMYFUNCTION("""COMPUTED_VALUE"""),"VD033")</f>
        <v>VD033</v>
      </c>
      <c r="C517" s="2">
        <f>IFERROR(__xludf.DUMMYFUNCTION("""COMPUTED_VALUE"""),12.0)</f>
        <v>12</v>
      </c>
      <c r="D517" s="2">
        <f>IFERROR(__xludf.DUMMYFUNCTION("""COMPUTED_VALUE"""),4324.76)</f>
        <v>4324.76</v>
      </c>
    </row>
    <row r="518">
      <c r="A518" s="2" t="str">
        <f>IFERROR(__xludf.DUMMYFUNCTION("""COMPUTED_VALUE"""),"PR058")</f>
        <v>PR058</v>
      </c>
      <c r="B518" s="2" t="str">
        <f>IFERROR(__xludf.DUMMYFUNCTION("""COMPUTED_VALUE"""),"VD046")</f>
        <v>VD046</v>
      </c>
      <c r="C518" s="2">
        <f>IFERROR(__xludf.DUMMYFUNCTION("""COMPUTED_VALUE"""),3.0)</f>
        <v>3</v>
      </c>
      <c r="D518" s="2">
        <f>IFERROR(__xludf.DUMMYFUNCTION("""COMPUTED_VALUE"""),577.8)</f>
        <v>577.8</v>
      </c>
    </row>
    <row r="519">
      <c r="A519" s="2" t="str">
        <f>IFERROR(__xludf.DUMMYFUNCTION("""COMPUTED_VALUE"""),"PR011")</f>
        <v>PR011</v>
      </c>
      <c r="B519" s="2" t="str">
        <f>IFERROR(__xludf.DUMMYFUNCTION("""COMPUTED_VALUE"""),"VD039")</f>
        <v>VD039</v>
      </c>
      <c r="C519" s="2">
        <f>IFERROR(__xludf.DUMMYFUNCTION("""COMPUTED_VALUE"""),2.0)</f>
        <v>2</v>
      </c>
      <c r="D519" s="2">
        <f>IFERROR(__xludf.DUMMYFUNCTION("""COMPUTED_VALUE"""),99.43)</f>
        <v>99.43</v>
      </c>
    </row>
    <row r="520">
      <c r="A520" s="2" t="str">
        <f>IFERROR(__xludf.DUMMYFUNCTION("""COMPUTED_VALUE"""),"PR030")</f>
        <v>PR030</v>
      </c>
      <c r="B520" s="2" t="str">
        <f>IFERROR(__xludf.DUMMYFUNCTION("""COMPUTED_VALUE"""),"VD027")</f>
        <v>VD027</v>
      </c>
      <c r="C520" s="2">
        <f>IFERROR(__xludf.DUMMYFUNCTION("""COMPUTED_VALUE"""),8.0)</f>
        <v>8</v>
      </c>
      <c r="D520" s="2">
        <f>IFERROR(__xludf.DUMMYFUNCTION("""COMPUTED_VALUE"""),2079.2)</f>
        <v>2079.2</v>
      </c>
    </row>
    <row r="521">
      <c r="A521" s="2" t="str">
        <f>IFERROR(__xludf.DUMMYFUNCTION("""COMPUTED_VALUE"""),"PR032")</f>
        <v>PR032</v>
      </c>
      <c r="B521" s="2" t="str">
        <f>IFERROR(__xludf.DUMMYFUNCTION("""COMPUTED_VALUE"""),"VD031")</f>
        <v>VD031</v>
      </c>
      <c r="C521" s="2">
        <f>IFERROR(__xludf.DUMMYFUNCTION("""COMPUTED_VALUE"""),20.0)</f>
        <v>20</v>
      </c>
      <c r="D521" s="2">
        <f>IFERROR(__xludf.DUMMYFUNCTION("""COMPUTED_VALUE"""),5300.0)</f>
        <v>5300</v>
      </c>
    </row>
    <row r="522">
      <c r="A522" s="2" t="str">
        <f>IFERROR(__xludf.DUMMYFUNCTION("""COMPUTED_VALUE"""),"PR039")</f>
        <v>PR039</v>
      </c>
      <c r="B522" s="2" t="str">
        <f>IFERROR(__xludf.DUMMYFUNCTION("""COMPUTED_VALUE"""),"VD021")</f>
        <v>VD021</v>
      </c>
      <c r="C522" s="2">
        <f>IFERROR(__xludf.DUMMYFUNCTION("""COMPUTED_VALUE"""),2.0)</f>
        <v>2</v>
      </c>
      <c r="D522" s="2">
        <f>IFERROR(__xludf.DUMMYFUNCTION("""COMPUTED_VALUE"""),292.0)</f>
        <v>292</v>
      </c>
    </row>
    <row r="523">
      <c r="A523" s="2" t="str">
        <f>IFERROR(__xludf.DUMMYFUNCTION("""COMPUTED_VALUE"""),"PR045")</f>
        <v>PR045</v>
      </c>
      <c r="B523" s="2" t="str">
        <f>IFERROR(__xludf.DUMMYFUNCTION("""COMPUTED_VALUE"""),"VD017")</f>
        <v>VD017</v>
      </c>
      <c r="C523" s="2">
        <f>IFERROR(__xludf.DUMMYFUNCTION("""COMPUTED_VALUE"""),20.0)</f>
        <v>20</v>
      </c>
      <c r="D523" s="2">
        <f>IFERROR(__xludf.DUMMYFUNCTION("""COMPUTED_VALUE"""),1537.0)</f>
        <v>1537</v>
      </c>
    </row>
    <row r="524">
      <c r="A524" s="2" t="str">
        <f>IFERROR(__xludf.DUMMYFUNCTION("""COMPUTED_VALUE"""),"PR035")</f>
        <v>PR035</v>
      </c>
      <c r="B524" s="2" t="str">
        <f>IFERROR(__xludf.DUMMYFUNCTION("""COMPUTED_VALUE"""),"VD045")</f>
        <v>VD045</v>
      </c>
      <c r="C524" s="2">
        <f>IFERROR(__xludf.DUMMYFUNCTION("""COMPUTED_VALUE"""),6.0)</f>
        <v>6</v>
      </c>
      <c r="D524" s="2">
        <f>IFERROR(__xludf.DUMMYFUNCTION("""COMPUTED_VALUE"""),586.79)</f>
        <v>586.79</v>
      </c>
    </row>
    <row r="525">
      <c r="A525" s="2" t="str">
        <f>IFERROR(__xludf.DUMMYFUNCTION("""COMPUTED_VALUE"""),"PR008")</f>
        <v>PR008</v>
      </c>
      <c r="B525" s="2" t="str">
        <f>IFERROR(__xludf.DUMMYFUNCTION("""COMPUTED_VALUE"""),"VD015")</f>
        <v>VD015</v>
      </c>
      <c r="C525" s="2">
        <f>IFERROR(__xludf.DUMMYFUNCTION("""COMPUTED_VALUE"""),9.0)</f>
        <v>9</v>
      </c>
      <c r="D525" s="2">
        <f>IFERROR(__xludf.DUMMYFUNCTION("""COMPUTED_VALUE"""),809.1)</f>
        <v>809.1</v>
      </c>
    </row>
    <row r="526">
      <c r="A526" s="2" t="str">
        <f>IFERROR(__xludf.DUMMYFUNCTION("""COMPUTED_VALUE"""),"PR037")</f>
        <v>PR037</v>
      </c>
      <c r="B526" s="2" t="str">
        <f>IFERROR(__xludf.DUMMYFUNCTION("""COMPUTED_VALUE"""),"VD045")</f>
        <v>VD045</v>
      </c>
      <c r="C526" s="2">
        <f>IFERROR(__xludf.DUMMYFUNCTION("""COMPUTED_VALUE"""),4.0)</f>
        <v>4</v>
      </c>
      <c r="D526" s="2">
        <f>IFERROR(__xludf.DUMMYFUNCTION("""COMPUTED_VALUE"""),571.2)</f>
        <v>571.2</v>
      </c>
    </row>
    <row r="527">
      <c r="A527" s="2" t="str">
        <f>IFERROR(__xludf.DUMMYFUNCTION("""COMPUTED_VALUE"""),"PR055")</f>
        <v>PR055</v>
      </c>
      <c r="B527" s="2" t="str">
        <f>IFERROR(__xludf.DUMMYFUNCTION("""COMPUTED_VALUE"""),"VD047")</f>
        <v>VD047</v>
      </c>
      <c r="C527" s="2">
        <f>IFERROR(__xludf.DUMMYFUNCTION("""COMPUTED_VALUE"""),9.0)</f>
        <v>9</v>
      </c>
      <c r="D527" s="2">
        <f>IFERROR(__xludf.DUMMYFUNCTION("""COMPUTED_VALUE"""),841.46)</f>
        <v>841.46</v>
      </c>
    </row>
    <row r="528">
      <c r="A528" s="2" t="str">
        <f>IFERROR(__xludf.DUMMYFUNCTION("""COMPUTED_VALUE"""),"PR022")</f>
        <v>PR022</v>
      </c>
      <c r="B528" s="2" t="str">
        <f>IFERROR(__xludf.DUMMYFUNCTION("""COMPUTED_VALUE"""),"VD034")</f>
        <v>VD034</v>
      </c>
      <c r="C528" s="2">
        <f>IFERROR(__xludf.DUMMYFUNCTION("""COMPUTED_VALUE"""),10.0)</f>
        <v>10</v>
      </c>
      <c r="D528" s="2">
        <f>IFERROR(__xludf.DUMMYFUNCTION("""COMPUTED_VALUE"""),3120.0)</f>
        <v>3120</v>
      </c>
    </row>
    <row r="529">
      <c r="A529" s="2" t="str">
        <f>IFERROR(__xludf.DUMMYFUNCTION("""COMPUTED_VALUE"""),"PR029")</f>
        <v>PR029</v>
      </c>
      <c r="B529" s="2" t="str">
        <f>IFERROR(__xludf.DUMMYFUNCTION("""COMPUTED_VALUE"""),"VD047")</f>
        <v>VD047</v>
      </c>
      <c r="C529" s="2">
        <f>IFERROR(__xludf.DUMMYFUNCTION("""COMPUTED_VALUE"""),4.0)</f>
        <v>4</v>
      </c>
      <c r="D529" s="2">
        <f>IFERROR(__xludf.DUMMYFUNCTION("""COMPUTED_VALUE"""),1030.2)</f>
        <v>1030.2</v>
      </c>
    </row>
    <row r="530">
      <c r="A530" s="2" t="str">
        <f>IFERROR(__xludf.DUMMYFUNCTION("""COMPUTED_VALUE"""),"PR006")</f>
        <v>PR006</v>
      </c>
      <c r="B530" s="2" t="str">
        <f>IFERROR(__xludf.DUMMYFUNCTION("""COMPUTED_VALUE"""),"VD010")</f>
        <v>VD010</v>
      </c>
      <c r="C530" s="2">
        <f>IFERROR(__xludf.DUMMYFUNCTION("""COMPUTED_VALUE"""),10.0)</f>
        <v>10</v>
      </c>
      <c r="D530" s="2">
        <f>IFERROR(__xludf.DUMMYFUNCTION("""COMPUTED_VALUE"""),430.92)</f>
        <v>430.92</v>
      </c>
    </row>
    <row r="531">
      <c r="A531" s="2" t="str">
        <f>IFERROR(__xludf.DUMMYFUNCTION("""COMPUTED_VALUE"""),"PR003")</f>
        <v>PR003</v>
      </c>
      <c r="B531" s="2" t="str">
        <f>IFERROR(__xludf.DUMMYFUNCTION("""COMPUTED_VALUE"""),"VD017")</f>
        <v>VD017</v>
      </c>
      <c r="C531" s="2">
        <f>IFERROR(__xludf.DUMMYFUNCTION("""COMPUTED_VALUE"""),12.0)</f>
        <v>12</v>
      </c>
      <c r="D531" s="2">
        <f>IFERROR(__xludf.DUMMYFUNCTION("""COMPUTED_VALUE"""),935.88)</f>
        <v>935.88</v>
      </c>
    </row>
    <row r="532">
      <c r="A532" s="2" t="str">
        <f>IFERROR(__xludf.DUMMYFUNCTION("""COMPUTED_VALUE"""),"PR017")</f>
        <v>PR017</v>
      </c>
      <c r="B532" s="2" t="str">
        <f>IFERROR(__xludf.DUMMYFUNCTION("""COMPUTED_VALUE"""),"VD025")</f>
        <v>VD025</v>
      </c>
      <c r="C532" s="2">
        <f>IFERROR(__xludf.DUMMYFUNCTION("""COMPUTED_VALUE"""),1.0)</f>
        <v>1</v>
      </c>
      <c r="D532" s="2">
        <f>IFERROR(__xludf.DUMMYFUNCTION("""COMPUTED_VALUE"""),29.9)</f>
        <v>29.9</v>
      </c>
    </row>
    <row r="533">
      <c r="A533" s="2" t="str">
        <f>IFERROR(__xludf.DUMMYFUNCTION("""COMPUTED_VALUE"""),"PR037")</f>
        <v>PR037</v>
      </c>
      <c r="B533" s="2" t="str">
        <f>IFERROR(__xludf.DUMMYFUNCTION("""COMPUTED_VALUE"""),"VD027")</f>
        <v>VD027</v>
      </c>
      <c r="C533" s="2">
        <f>IFERROR(__xludf.DUMMYFUNCTION("""COMPUTED_VALUE"""),20.0)</f>
        <v>20</v>
      </c>
      <c r="D533" s="2">
        <f>IFERROR(__xludf.DUMMYFUNCTION("""COMPUTED_VALUE"""),2912.0)</f>
        <v>2912</v>
      </c>
    </row>
    <row r="534">
      <c r="A534" s="2" t="str">
        <f>IFERROR(__xludf.DUMMYFUNCTION("""COMPUTED_VALUE"""),"PR024")</f>
        <v>PR024</v>
      </c>
      <c r="B534" s="2" t="str">
        <f>IFERROR(__xludf.DUMMYFUNCTION("""COMPUTED_VALUE"""),"VD035")</f>
        <v>VD035</v>
      </c>
      <c r="C534" s="2">
        <f>IFERROR(__xludf.DUMMYFUNCTION("""COMPUTED_VALUE"""),8.0)</f>
        <v>8</v>
      </c>
      <c r="D534" s="2">
        <f>IFERROR(__xludf.DUMMYFUNCTION("""COMPUTED_VALUE"""),2183.16)</f>
        <v>2183.16</v>
      </c>
    </row>
    <row r="535">
      <c r="A535" s="2" t="str">
        <f>IFERROR(__xludf.DUMMYFUNCTION("""COMPUTED_VALUE"""),"PR006")</f>
        <v>PR006</v>
      </c>
      <c r="B535" s="2" t="str">
        <f>IFERROR(__xludf.DUMMYFUNCTION("""COMPUTED_VALUE"""),"VD022")</f>
        <v>VD022</v>
      </c>
      <c r="C535" s="2">
        <f>IFERROR(__xludf.DUMMYFUNCTION("""COMPUTED_VALUE"""),18.0)</f>
        <v>18</v>
      </c>
      <c r="D535" s="2">
        <f>IFERROR(__xludf.DUMMYFUNCTION("""COMPUTED_VALUE"""),725.38)</f>
        <v>725.38</v>
      </c>
    </row>
    <row r="536">
      <c r="A536" s="2" t="str">
        <f>IFERROR(__xludf.DUMMYFUNCTION("""COMPUTED_VALUE"""),"PR051")</f>
        <v>PR051</v>
      </c>
      <c r="B536" s="2" t="str">
        <f>IFERROR(__xludf.DUMMYFUNCTION("""COMPUTED_VALUE"""),"VD027")</f>
        <v>VD027</v>
      </c>
      <c r="C536" s="2">
        <f>IFERROR(__xludf.DUMMYFUNCTION("""COMPUTED_VALUE"""),18.0)</f>
        <v>18</v>
      </c>
      <c r="D536" s="2">
        <f>IFERROR(__xludf.DUMMYFUNCTION("""COMPUTED_VALUE"""),633.65)</f>
        <v>633.65</v>
      </c>
    </row>
    <row r="537">
      <c r="A537" s="2" t="str">
        <f>IFERROR(__xludf.DUMMYFUNCTION("""COMPUTED_VALUE"""),"PR057")</f>
        <v>PR057</v>
      </c>
      <c r="B537" s="2" t="str">
        <f>IFERROR(__xludf.DUMMYFUNCTION("""COMPUTED_VALUE"""),"VD019")</f>
        <v>VD019</v>
      </c>
      <c r="C537" s="2">
        <f>IFERROR(__xludf.DUMMYFUNCTION("""COMPUTED_VALUE"""),16.0)</f>
        <v>16</v>
      </c>
      <c r="D537" s="2">
        <f>IFERROR(__xludf.DUMMYFUNCTION("""COMPUTED_VALUE"""),1539.09)</f>
        <v>1539.09</v>
      </c>
    </row>
    <row r="538">
      <c r="A538" s="2" t="str">
        <f>IFERROR(__xludf.DUMMYFUNCTION("""COMPUTED_VALUE"""),"PR004")</f>
        <v>PR004</v>
      </c>
      <c r="B538" s="2" t="str">
        <f>IFERROR(__xludf.DUMMYFUNCTION("""COMPUTED_VALUE"""),"VD037")</f>
        <v>VD037</v>
      </c>
      <c r="C538" s="2">
        <f>IFERROR(__xludf.DUMMYFUNCTION("""COMPUTED_VALUE"""),16.0)</f>
        <v>16</v>
      </c>
      <c r="D538" s="2">
        <f>IFERROR(__xludf.DUMMYFUNCTION("""COMPUTED_VALUE"""),2343.2)</f>
        <v>2343.2</v>
      </c>
    </row>
    <row r="539">
      <c r="A539" s="2" t="str">
        <f>IFERROR(__xludf.DUMMYFUNCTION("""COMPUTED_VALUE"""),"PR046")</f>
        <v>PR046</v>
      </c>
      <c r="B539" s="2" t="str">
        <f>IFERROR(__xludf.DUMMYFUNCTION("""COMPUTED_VALUE"""),"VD041")</f>
        <v>VD041</v>
      </c>
      <c r="C539" s="2">
        <f>IFERROR(__xludf.DUMMYFUNCTION("""COMPUTED_VALUE"""),2.0)</f>
        <v>2</v>
      </c>
      <c r="D539" s="2">
        <f>IFERROR(__xludf.DUMMYFUNCTION("""COMPUTED_VALUE"""),614.59)</f>
        <v>614.59</v>
      </c>
    </row>
    <row r="540">
      <c r="A540" s="2" t="str">
        <f>IFERROR(__xludf.DUMMYFUNCTION("""COMPUTED_VALUE"""),"PR030")</f>
        <v>PR030</v>
      </c>
      <c r="B540" s="2" t="str">
        <f>IFERROR(__xludf.DUMMYFUNCTION("""COMPUTED_VALUE"""),"VD015")</f>
        <v>VD015</v>
      </c>
      <c r="C540" s="2">
        <f>IFERROR(__xludf.DUMMYFUNCTION("""COMPUTED_VALUE"""),1.0)</f>
        <v>1</v>
      </c>
      <c r="D540" s="2">
        <f>IFERROR(__xludf.DUMMYFUNCTION("""COMPUTED_VALUE"""),265.1)</f>
        <v>265.1</v>
      </c>
    </row>
    <row r="541">
      <c r="A541" s="2" t="str">
        <f>IFERROR(__xludf.DUMMYFUNCTION("""COMPUTED_VALUE"""),"PR010")</f>
        <v>PR010</v>
      </c>
      <c r="B541" s="2" t="str">
        <f>IFERROR(__xludf.DUMMYFUNCTION("""COMPUTED_VALUE"""),"VD029")</f>
        <v>VD029</v>
      </c>
      <c r="C541" s="2">
        <f>IFERROR(__xludf.DUMMYFUNCTION("""COMPUTED_VALUE"""),5.0)</f>
        <v>5</v>
      </c>
      <c r="D541" s="2">
        <f>IFERROR(__xludf.DUMMYFUNCTION("""COMPUTED_VALUE"""),240.22)</f>
        <v>240.22</v>
      </c>
    </row>
    <row r="542">
      <c r="A542" s="2" t="str">
        <f>IFERROR(__xludf.DUMMYFUNCTION("""COMPUTED_VALUE"""),"PR028")</f>
        <v>PR028</v>
      </c>
      <c r="B542" s="2" t="str">
        <f>IFERROR(__xludf.DUMMYFUNCTION("""COMPUTED_VALUE"""),"VD034")</f>
        <v>VD034</v>
      </c>
      <c r="C542" s="2">
        <f>IFERROR(__xludf.DUMMYFUNCTION("""COMPUTED_VALUE"""),8.0)</f>
        <v>8</v>
      </c>
      <c r="D542" s="2">
        <f>IFERROR(__xludf.DUMMYFUNCTION("""COMPUTED_VALUE"""),2179.13)</f>
        <v>2179.13</v>
      </c>
    </row>
    <row r="543">
      <c r="A543" s="2" t="str">
        <f>IFERROR(__xludf.DUMMYFUNCTION("""COMPUTED_VALUE"""),"PR059")</f>
        <v>PR059</v>
      </c>
      <c r="B543" s="2" t="str">
        <f>IFERROR(__xludf.DUMMYFUNCTION("""COMPUTED_VALUE"""),"VD042")</f>
        <v>VD042</v>
      </c>
      <c r="C543" s="2">
        <f>IFERROR(__xludf.DUMMYFUNCTION("""COMPUTED_VALUE"""),14.0)</f>
        <v>14</v>
      </c>
      <c r="D543" s="2">
        <f>IFERROR(__xludf.DUMMYFUNCTION("""COMPUTED_VALUE"""),2671.2)</f>
        <v>2671.2</v>
      </c>
    </row>
    <row r="544">
      <c r="A544" s="2" t="str">
        <f>IFERROR(__xludf.DUMMYFUNCTION("""COMPUTED_VALUE"""),"PR033")</f>
        <v>PR033</v>
      </c>
      <c r="B544" s="2" t="str">
        <f>IFERROR(__xludf.DUMMYFUNCTION("""COMPUTED_VALUE"""),"VD019")</f>
        <v>VD019</v>
      </c>
      <c r="C544" s="2">
        <f>IFERROR(__xludf.DUMMYFUNCTION("""COMPUTED_VALUE"""),8.0)</f>
        <v>8</v>
      </c>
      <c r="D544" s="2">
        <f>IFERROR(__xludf.DUMMYFUNCTION("""COMPUTED_VALUE"""),2224.74)</f>
        <v>2224.74</v>
      </c>
    </row>
    <row r="545">
      <c r="A545" s="2" t="str">
        <f>IFERROR(__xludf.DUMMYFUNCTION("""COMPUTED_VALUE"""),"PR054")</f>
        <v>PR054</v>
      </c>
      <c r="B545" s="2" t="str">
        <f>IFERROR(__xludf.DUMMYFUNCTION("""COMPUTED_VALUE"""),"VD018")</f>
        <v>VD018</v>
      </c>
      <c r="C545" s="2">
        <f>IFERROR(__xludf.DUMMYFUNCTION("""COMPUTED_VALUE"""),16.0)</f>
        <v>16</v>
      </c>
      <c r="D545" s="2">
        <f>IFERROR(__xludf.DUMMYFUNCTION("""COMPUTED_VALUE"""),870.26)</f>
        <v>870.26</v>
      </c>
    </row>
    <row r="546">
      <c r="A546" s="2" t="str">
        <f>IFERROR(__xludf.DUMMYFUNCTION("""COMPUTED_VALUE"""),"PR023")</f>
        <v>PR023</v>
      </c>
      <c r="B546" s="2" t="str">
        <f>IFERROR(__xludf.DUMMYFUNCTION("""COMPUTED_VALUE"""),"VD017")</f>
        <v>VD017</v>
      </c>
      <c r="C546" s="2">
        <f>IFERROR(__xludf.DUMMYFUNCTION("""COMPUTED_VALUE"""),4.0)</f>
        <v>4</v>
      </c>
      <c r="D546" s="2">
        <f>IFERROR(__xludf.DUMMYFUNCTION("""COMPUTED_VALUE"""),1089.56)</f>
        <v>1089.56</v>
      </c>
    </row>
    <row r="547">
      <c r="A547" s="2" t="str">
        <f>IFERROR(__xludf.DUMMYFUNCTION("""COMPUTED_VALUE"""),"PR031")</f>
        <v>PR031</v>
      </c>
      <c r="B547" s="2" t="str">
        <f>IFERROR(__xludf.DUMMYFUNCTION("""COMPUTED_VALUE"""),"VD040")</f>
        <v>VD040</v>
      </c>
      <c r="C547" s="2">
        <f>IFERROR(__xludf.DUMMYFUNCTION("""COMPUTED_VALUE"""),3.0)</f>
        <v>3</v>
      </c>
      <c r="D547" s="2">
        <f>IFERROR(__xludf.DUMMYFUNCTION("""COMPUTED_VALUE"""),757.05)</f>
        <v>757.05</v>
      </c>
    </row>
    <row r="548">
      <c r="A548" s="2" t="str">
        <f>IFERROR(__xludf.DUMMYFUNCTION("""COMPUTED_VALUE"""),"PR004")</f>
        <v>PR004</v>
      </c>
      <c r="B548" s="2" t="str">
        <f>IFERROR(__xludf.DUMMYFUNCTION("""COMPUTED_VALUE"""),"VD039")</f>
        <v>VD039</v>
      </c>
      <c r="C548" s="2">
        <f>IFERROR(__xludf.DUMMYFUNCTION("""COMPUTED_VALUE"""),16.0)</f>
        <v>16</v>
      </c>
      <c r="D548" s="2">
        <f>IFERROR(__xludf.DUMMYFUNCTION("""COMPUTED_VALUE"""),2528.8)</f>
        <v>2528.8</v>
      </c>
    </row>
    <row r="549">
      <c r="A549" s="2" t="str">
        <f>IFERROR(__xludf.DUMMYFUNCTION("""COMPUTED_VALUE"""),"PR029")</f>
        <v>PR029</v>
      </c>
      <c r="B549" s="2" t="str">
        <f>IFERROR(__xludf.DUMMYFUNCTION("""COMPUTED_VALUE"""),"VD048")</f>
        <v>VD048</v>
      </c>
      <c r="C549" s="2">
        <f>IFERROR(__xludf.DUMMYFUNCTION("""COMPUTED_VALUE"""),7.0)</f>
        <v>7</v>
      </c>
      <c r="D549" s="2">
        <f>IFERROR(__xludf.DUMMYFUNCTION("""COMPUTED_VALUE"""),1874.25)</f>
        <v>1874.25</v>
      </c>
    </row>
    <row r="550">
      <c r="A550" s="2" t="str">
        <f>IFERROR(__xludf.DUMMYFUNCTION("""COMPUTED_VALUE"""),"PR031")</f>
        <v>PR031</v>
      </c>
      <c r="B550" s="2" t="str">
        <f>IFERROR(__xludf.DUMMYFUNCTION("""COMPUTED_VALUE"""),"VD024")</f>
        <v>VD024</v>
      </c>
      <c r="C550" s="2">
        <f>IFERROR(__xludf.DUMMYFUNCTION("""COMPUTED_VALUE"""),5.0)</f>
        <v>5</v>
      </c>
      <c r="D550" s="2">
        <f>IFERROR(__xludf.DUMMYFUNCTION("""COMPUTED_VALUE"""),1286.25)</f>
        <v>1286.25</v>
      </c>
    </row>
    <row r="551">
      <c r="A551" s="2" t="str">
        <f>IFERROR(__xludf.DUMMYFUNCTION("""COMPUTED_VALUE"""),"PR020")</f>
        <v>PR020</v>
      </c>
      <c r="B551" s="2" t="str">
        <f>IFERROR(__xludf.DUMMYFUNCTION("""COMPUTED_VALUE"""),"VD014")</f>
        <v>VD014</v>
      </c>
      <c r="C551" s="2">
        <f>IFERROR(__xludf.DUMMYFUNCTION("""COMPUTED_VALUE"""),12.0)</f>
        <v>12</v>
      </c>
      <c r="D551" s="2">
        <f>IFERROR(__xludf.DUMMYFUNCTION("""COMPUTED_VALUE"""),3850.72)</f>
        <v>3850.72</v>
      </c>
    </row>
    <row r="552">
      <c r="A552" s="2" t="str">
        <f>IFERROR(__xludf.DUMMYFUNCTION("""COMPUTED_VALUE"""),"PR006")</f>
        <v>PR006</v>
      </c>
      <c r="B552" s="2" t="str">
        <f>IFERROR(__xludf.DUMMYFUNCTION("""COMPUTED_VALUE"""),"VD011")</f>
        <v>VD011</v>
      </c>
      <c r="C552" s="2">
        <f>IFERROR(__xludf.DUMMYFUNCTION("""COMPUTED_VALUE"""),7.0)</f>
        <v>7</v>
      </c>
      <c r="D552" s="2">
        <f>IFERROR(__xludf.DUMMYFUNCTION("""COMPUTED_VALUE"""),293.27)</f>
        <v>293.27</v>
      </c>
    </row>
    <row r="553">
      <c r="A553" s="2" t="str">
        <f>IFERROR(__xludf.DUMMYFUNCTION("""COMPUTED_VALUE"""),"PR060")</f>
        <v>PR060</v>
      </c>
      <c r="B553" s="2" t="str">
        <f>IFERROR(__xludf.DUMMYFUNCTION("""COMPUTED_VALUE"""),"VD021")</f>
        <v>VD021</v>
      </c>
      <c r="C553" s="2">
        <f>IFERROR(__xludf.DUMMYFUNCTION("""COMPUTED_VALUE"""),12.0)</f>
        <v>12</v>
      </c>
      <c r="D553" s="2">
        <f>IFERROR(__xludf.DUMMYFUNCTION("""COMPUTED_VALUE"""),2160.0)</f>
        <v>2160</v>
      </c>
    </row>
    <row r="554">
      <c r="A554" s="2" t="str">
        <f>IFERROR(__xludf.DUMMYFUNCTION("""COMPUTED_VALUE"""),"PR052")</f>
        <v>PR052</v>
      </c>
      <c r="B554" s="2" t="str">
        <f>IFERROR(__xludf.DUMMYFUNCTION("""COMPUTED_VALUE"""),"VD039")</f>
        <v>VD039</v>
      </c>
      <c r="C554" s="2">
        <f>IFERROR(__xludf.DUMMYFUNCTION("""COMPUTED_VALUE"""),6.0)</f>
        <v>6</v>
      </c>
      <c r="D554" s="2">
        <f>IFERROR(__xludf.DUMMYFUNCTION("""COMPUTED_VALUE"""),311.38)</f>
        <v>311.38</v>
      </c>
    </row>
    <row r="555">
      <c r="A555" s="2" t="str">
        <f>IFERROR(__xludf.DUMMYFUNCTION("""COMPUTED_VALUE"""),"PR008")</f>
        <v>PR008</v>
      </c>
      <c r="B555" s="2" t="str">
        <f>IFERROR(__xludf.DUMMYFUNCTION("""COMPUTED_VALUE"""),"VD027")</f>
        <v>VD027</v>
      </c>
      <c r="C555" s="2">
        <f>IFERROR(__xludf.DUMMYFUNCTION("""COMPUTED_VALUE"""),3.0)</f>
        <v>3</v>
      </c>
      <c r="D555" s="2">
        <f>IFERROR(__xludf.DUMMYFUNCTION("""COMPUTED_VALUE"""),277.79)</f>
        <v>277.79</v>
      </c>
    </row>
    <row r="556">
      <c r="A556" s="2" t="str">
        <f>IFERROR(__xludf.DUMMYFUNCTION("""COMPUTED_VALUE"""),"PR004")</f>
        <v>PR004</v>
      </c>
      <c r="B556" s="2" t="str">
        <f>IFERROR(__xludf.DUMMYFUNCTION("""COMPUTED_VALUE"""),"VD032")</f>
        <v>VD032</v>
      </c>
      <c r="C556" s="2">
        <f>IFERROR(__xludf.DUMMYFUNCTION("""COMPUTED_VALUE"""),1.0)</f>
        <v>1</v>
      </c>
      <c r="D556" s="2">
        <f>IFERROR(__xludf.DUMMYFUNCTION("""COMPUTED_VALUE"""),147.9)</f>
        <v>147.9</v>
      </c>
    </row>
    <row r="557">
      <c r="A557" s="2" t="str">
        <f>IFERROR(__xludf.DUMMYFUNCTION("""COMPUTED_VALUE"""),"PR057")</f>
        <v>PR057</v>
      </c>
      <c r="B557" s="2" t="str">
        <f>IFERROR(__xludf.DUMMYFUNCTION("""COMPUTED_VALUE"""),"VD049")</f>
        <v>VD049</v>
      </c>
      <c r="C557" s="2">
        <f>IFERROR(__xludf.DUMMYFUNCTION("""COMPUTED_VALUE"""),4.0)</f>
        <v>4</v>
      </c>
      <c r="D557" s="2">
        <f>IFERROR(__xludf.DUMMYFUNCTION("""COMPUTED_VALUE"""),370.39)</f>
        <v>370.39</v>
      </c>
    </row>
    <row r="558">
      <c r="A558" s="2" t="str">
        <f>IFERROR(__xludf.DUMMYFUNCTION("""COMPUTED_VALUE"""),"PR016")</f>
        <v>PR016</v>
      </c>
      <c r="B558" s="2" t="str">
        <f>IFERROR(__xludf.DUMMYFUNCTION("""COMPUTED_VALUE"""),"VD044")</f>
        <v>VD044</v>
      </c>
      <c r="C558" s="2">
        <f>IFERROR(__xludf.DUMMYFUNCTION("""COMPUTED_VALUE"""),4.0)</f>
        <v>4</v>
      </c>
      <c r="D558" s="2">
        <f>IFERROR(__xludf.DUMMYFUNCTION("""COMPUTED_VALUE"""),112.92)</f>
        <v>112.92</v>
      </c>
    </row>
    <row r="559">
      <c r="A559" s="2" t="str">
        <f>IFERROR(__xludf.DUMMYFUNCTION("""COMPUTED_VALUE"""),"PR025")</f>
        <v>PR025</v>
      </c>
      <c r="B559" s="2" t="str">
        <f>IFERROR(__xludf.DUMMYFUNCTION("""COMPUTED_VALUE"""),"VD012")</f>
        <v>VD012</v>
      </c>
      <c r="C559" s="2">
        <f>IFERROR(__xludf.DUMMYFUNCTION("""COMPUTED_VALUE"""),7.0)</f>
        <v>7</v>
      </c>
      <c r="D559" s="2">
        <f>IFERROR(__xludf.DUMMYFUNCTION("""COMPUTED_VALUE"""),2162.28)</f>
        <v>2162.28</v>
      </c>
    </row>
    <row r="560">
      <c r="A560" s="2" t="str">
        <f>IFERROR(__xludf.DUMMYFUNCTION("""COMPUTED_VALUE"""),"PR028")</f>
        <v>PR028</v>
      </c>
      <c r="B560" s="2" t="str">
        <f>IFERROR(__xludf.DUMMYFUNCTION("""COMPUTED_VALUE"""),"VD032")</f>
        <v>VD032</v>
      </c>
      <c r="C560" s="2">
        <f>IFERROR(__xludf.DUMMYFUNCTION("""COMPUTED_VALUE"""),18.0)</f>
        <v>18</v>
      </c>
      <c r="D560" s="2">
        <f>IFERROR(__xludf.DUMMYFUNCTION("""COMPUTED_VALUE"""),4813.07)</f>
        <v>4813.07</v>
      </c>
    </row>
    <row r="561">
      <c r="A561" s="2" t="str">
        <f>IFERROR(__xludf.DUMMYFUNCTION("""COMPUTED_VALUE"""),"PR014")</f>
        <v>PR014</v>
      </c>
      <c r="B561" s="2" t="str">
        <f>IFERROR(__xludf.DUMMYFUNCTION("""COMPUTED_VALUE"""),"VD020")</f>
        <v>VD020</v>
      </c>
      <c r="C561" s="2">
        <f>IFERROR(__xludf.DUMMYFUNCTION("""COMPUTED_VALUE"""),4.0)</f>
        <v>4</v>
      </c>
      <c r="D561" s="2">
        <f>IFERROR(__xludf.DUMMYFUNCTION("""COMPUTED_VALUE"""),164.39)</f>
        <v>164.39</v>
      </c>
    </row>
    <row r="562">
      <c r="A562" s="2" t="str">
        <f>IFERROR(__xludf.DUMMYFUNCTION("""COMPUTED_VALUE"""),"PR006")</f>
        <v>PR006</v>
      </c>
      <c r="B562" s="2" t="str">
        <f>IFERROR(__xludf.DUMMYFUNCTION("""COMPUTED_VALUE"""),"VD026")</f>
        <v>VD026</v>
      </c>
      <c r="C562" s="2">
        <f>IFERROR(__xludf.DUMMYFUNCTION("""COMPUTED_VALUE"""),5.0)</f>
        <v>5</v>
      </c>
      <c r="D562" s="2">
        <f>IFERROR(__xludf.DUMMYFUNCTION("""COMPUTED_VALUE"""),215.46)</f>
        <v>215.46</v>
      </c>
    </row>
    <row r="563">
      <c r="A563" s="2" t="str">
        <f>IFERROR(__xludf.DUMMYFUNCTION("""COMPUTED_VALUE"""),"PR004")</f>
        <v>PR004</v>
      </c>
      <c r="B563" s="2" t="str">
        <f>IFERROR(__xludf.DUMMYFUNCTION("""COMPUTED_VALUE"""),"VD015")</f>
        <v>VD015</v>
      </c>
      <c r="C563" s="2">
        <f>IFERROR(__xludf.DUMMYFUNCTION("""COMPUTED_VALUE"""),16.0)</f>
        <v>16</v>
      </c>
      <c r="D563" s="2">
        <f>IFERROR(__xludf.DUMMYFUNCTION("""COMPUTED_VALUE"""),2320.0)</f>
        <v>2320</v>
      </c>
    </row>
    <row r="564">
      <c r="A564" s="2" t="str">
        <f>IFERROR(__xludf.DUMMYFUNCTION("""COMPUTED_VALUE"""),"PR033")</f>
        <v>PR033</v>
      </c>
      <c r="B564" s="2" t="str">
        <f>IFERROR(__xludf.DUMMYFUNCTION("""COMPUTED_VALUE"""),"VD043")</f>
        <v>VD043</v>
      </c>
      <c r="C564" s="2">
        <f>IFERROR(__xludf.DUMMYFUNCTION("""COMPUTED_VALUE"""),5.0)</f>
        <v>5</v>
      </c>
      <c r="D564" s="2">
        <f>IFERROR(__xludf.DUMMYFUNCTION("""COMPUTED_VALUE"""),1338.49)</f>
        <v>1338.49</v>
      </c>
    </row>
    <row r="565">
      <c r="A565" s="2" t="str">
        <f>IFERROR(__xludf.DUMMYFUNCTION("""COMPUTED_VALUE"""),"PR027")</f>
        <v>PR027</v>
      </c>
      <c r="B565" s="2" t="str">
        <f>IFERROR(__xludf.DUMMYFUNCTION("""COMPUTED_VALUE"""),"VD037")</f>
        <v>VD037</v>
      </c>
      <c r="C565" s="2">
        <f>IFERROR(__xludf.DUMMYFUNCTION("""COMPUTED_VALUE"""),10.0)</f>
        <v>10</v>
      </c>
      <c r="D565" s="2">
        <f>IFERROR(__xludf.DUMMYFUNCTION("""COMPUTED_VALUE"""),1236.0)</f>
        <v>1236</v>
      </c>
    </row>
    <row r="566">
      <c r="A566" s="2" t="str">
        <f>IFERROR(__xludf.DUMMYFUNCTION("""COMPUTED_VALUE"""),"PR053")</f>
        <v>PR053</v>
      </c>
      <c r="B566" s="2" t="str">
        <f>IFERROR(__xludf.DUMMYFUNCTION("""COMPUTED_VALUE"""),"VD047")</f>
        <v>VD047</v>
      </c>
      <c r="C566" s="2">
        <f>IFERROR(__xludf.DUMMYFUNCTION("""COMPUTED_VALUE"""),6.0)</f>
        <v>6</v>
      </c>
      <c r="D566" s="2">
        <f>IFERROR(__xludf.DUMMYFUNCTION("""COMPUTED_VALUE"""),314.37)</f>
        <v>314.37</v>
      </c>
    </row>
    <row r="567">
      <c r="A567" s="2" t="str">
        <f>IFERROR(__xludf.DUMMYFUNCTION("""COMPUTED_VALUE"""),"PR025")</f>
        <v>PR025</v>
      </c>
      <c r="B567" s="2" t="str">
        <f>IFERROR(__xludf.DUMMYFUNCTION("""COMPUTED_VALUE"""),"VD037")</f>
        <v>VD037</v>
      </c>
      <c r="C567" s="2">
        <f>IFERROR(__xludf.DUMMYFUNCTION("""COMPUTED_VALUE"""),20.0)</f>
        <v>20</v>
      </c>
      <c r="D567" s="2">
        <f>IFERROR(__xludf.DUMMYFUNCTION("""COMPUTED_VALUE"""),6057.98)</f>
        <v>6057.98</v>
      </c>
    </row>
    <row r="568">
      <c r="A568" s="2" t="str">
        <f>IFERROR(__xludf.DUMMYFUNCTION("""COMPUTED_VALUE"""),"PR036")</f>
        <v>PR036</v>
      </c>
      <c r="B568" s="2" t="str">
        <f>IFERROR(__xludf.DUMMYFUNCTION("""COMPUTED_VALUE"""),"VD019")</f>
        <v>VD019</v>
      </c>
      <c r="C568" s="2">
        <f>IFERROR(__xludf.DUMMYFUNCTION("""COMPUTED_VALUE"""),2.0)</f>
        <v>2</v>
      </c>
      <c r="D568" s="2">
        <f>IFERROR(__xludf.DUMMYFUNCTION("""COMPUTED_VALUE"""),203.83)</f>
        <v>203.83</v>
      </c>
    </row>
    <row r="569">
      <c r="A569" s="2" t="str">
        <f>IFERROR(__xludf.DUMMYFUNCTION("""COMPUTED_VALUE"""),"PR054")</f>
        <v>PR054</v>
      </c>
      <c r="B569" s="2" t="str">
        <f>IFERROR(__xludf.DUMMYFUNCTION("""COMPUTED_VALUE"""),"VD049")</f>
        <v>VD049</v>
      </c>
      <c r="C569" s="2">
        <f>IFERROR(__xludf.DUMMYFUNCTION("""COMPUTED_VALUE"""),6.0)</f>
        <v>6</v>
      </c>
      <c r="D569" s="2">
        <f>IFERROR(__xludf.DUMMYFUNCTION("""COMPUTED_VALUE"""),320.36)</f>
        <v>320.36</v>
      </c>
    </row>
    <row r="570">
      <c r="A570" s="2" t="str">
        <f>IFERROR(__xludf.DUMMYFUNCTION("""COMPUTED_VALUE"""),"PR057")</f>
        <v>PR057</v>
      </c>
      <c r="B570" s="2" t="str">
        <f>IFERROR(__xludf.DUMMYFUNCTION("""COMPUTED_VALUE"""),"VD043")</f>
        <v>VD043</v>
      </c>
      <c r="C570" s="2">
        <f>IFERROR(__xludf.DUMMYFUNCTION("""COMPUTED_VALUE"""),6.0)</f>
        <v>6</v>
      </c>
      <c r="D570" s="2">
        <f>IFERROR(__xludf.DUMMYFUNCTION("""COMPUTED_VALUE"""),560.98)</f>
        <v>560.98</v>
      </c>
    </row>
    <row r="571">
      <c r="A571" s="2" t="str">
        <f>IFERROR(__xludf.DUMMYFUNCTION("""COMPUTED_VALUE"""),"PR026")</f>
        <v>PR026</v>
      </c>
      <c r="B571" s="2" t="str">
        <f>IFERROR(__xludf.DUMMYFUNCTION("""COMPUTED_VALUE"""),"VD046")</f>
        <v>VD046</v>
      </c>
      <c r="C571" s="2">
        <f>IFERROR(__xludf.DUMMYFUNCTION("""COMPUTED_VALUE"""),10.0)</f>
        <v>10</v>
      </c>
      <c r="D571" s="2">
        <f>IFERROR(__xludf.DUMMYFUNCTION("""COMPUTED_VALUE"""),3743.93)</f>
        <v>3743.93</v>
      </c>
    </row>
    <row r="572">
      <c r="A572" s="2" t="str">
        <f>IFERROR(__xludf.DUMMYFUNCTION("""COMPUTED_VALUE"""),"PR031")</f>
        <v>PR031</v>
      </c>
      <c r="B572" s="2" t="str">
        <f>IFERROR(__xludf.DUMMYFUNCTION("""COMPUTED_VALUE"""),"VD029")</f>
        <v>VD029</v>
      </c>
      <c r="C572" s="2">
        <f>IFERROR(__xludf.DUMMYFUNCTION("""COMPUTED_VALUE"""),6.0)</f>
        <v>6</v>
      </c>
      <c r="D572" s="2">
        <f>IFERROR(__xludf.DUMMYFUNCTION("""COMPUTED_VALUE"""),1587.6)</f>
        <v>1587.6</v>
      </c>
    </row>
    <row r="573">
      <c r="A573" s="2" t="str">
        <f>IFERROR(__xludf.DUMMYFUNCTION("""COMPUTED_VALUE"""),"PR028")</f>
        <v>PR028</v>
      </c>
      <c r="B573" s="2" t="str">
        <f>IFERROR(__xludf.DUMMYFUNCTION("""COMPUTED_VALUE"""),"VD029")</f>
        <v>VD029</v>
      </c>
      <c r="C573" s="2">
        <f>IFERROR(__xludf.DUMMYFUNCTION("""COMPUTED_VALUE"""),2.0)</f>
        <v>2</v>
      </c>
      <c r="D573" s="2">
        <f>IFERROR(__xludf.DUMMYFUNCTION("""COMPUTED_VALUE"""),539.78)</f>
        <v>539.78</v>
      </c>
    </row>
    <row r="574">
      <c r="A574" s="2" t="str">
        <f>IFERROR(__xludf.DUMMYFUNCTION("""COMPUTED_VALUE"""),"PR019")</f>
        <v>PR019</v>
      </c>
      <c r="B574" s="2" t="str">
        <f>IFERROR(__xludf.DUMMYFUNCTION("""COMPUTED_VALUE"""),"VD046")</f>
        <v>VD046</v>
      </c>
      <c r="C574" s="2">
        <f>IFERROR(__xludf.DUMMYFUNCTION("""COMPUTED_VALUE"""),2.0)</f>
        <v>2</v>
      </c>
      <c r="D574" s="2">
        <f>IFERROR(__xludf.DUMMYFUNCTION("""COMPUTED_VALUE"""),109.78)</f>
        <v>109.78</v>
      </c>
    </row>
    <row r="575">
      <c r="A575" s="2" t="str">
        <f>IFERROR(__xludf.DUMMYFUNCTION("""COMPUTED_VALUE"""),"PR056")</f>
        <v>PR056</v>
      </c>
      <c r="B575" s="2" t="str">
        <f>IFERROR(__xludf.DUMMYFUNCTION("""COMPUTED_VALUE"""),"VD028")</f>
        <v>VD028</v>
      </c>
      <c r="C575" s="2">
        <f>IFERROR(__xludf.DUMMYFUNCTION("""COMPUTED_VALUE"""),3.0)</f>
        <v>3</v>
      </c>
      <c r="D575" s="2">
        <f>IFERROR(__xludf.DUMMYFUNCTION("""COMPUTED_VALUE"""),275.09)</f>
        <v>275.09</v>
      </c>
    </row>
    <row r="576">
      <c r="A576" s="2" t="str">
        <f>IFERROR(__xludf.DUMMYFUNCTION("""COMPUTED_VALUE"""),"PR006")</f>
        <v>PR006</v>
      </c>
      <c r="B576" s="2" t="str">
        <f>IFERROR(__xludf.DUMMYFUNCTION("""COMPUTED_VALUE"""),"VD029")</f>
        <v>VD029</v>
      </c>
      <c r="C576" s="2">
        <f>IFERROR(__xludf.DUMMYFUNCTION("""COMPUTED_VALUE"""),8.0)</f>
        <v>8</v>
      </c>
      <c r="D576" s="2">
        <f>IFERROR(__xludf.DUMMYFUNCTION("""COMPUTED_VALUE"""),335.16)</f>
        <v>335.16</v>
      </c>
    </row>
    <row r="577">
      <c r="A577" s="2" t="str">
        <f>IFERROR(__xludf.DUMMYFUNCTION("""COMPUTED_VALUE"""),"PR010")</f>
        <v>PR010</v>
      </c>
      <c r="B577" s="2" t="str">
        <f>IFERROR(__xludf.DUMMYFUNCTION("""COMPUTED_VALUE"""),"VD028")</f>
        <v>VD028</v>
      </c>
      <c r="C577" s="2">
        <f>IFERROR(__xludf.DUMMYFUNCTION("""COMPUTED_VALUE"""),2.0)</f>
        <v>2</v>
      </c>
      <c r="D577" s="2">
        <f>IFERROR(__xludf.DUMMYFUNCTION("""COMPUTED_VALUE"""),96.98)</f>
        <v>96.98</v>
      </c>
    </row>
    <row r="578">
      <c r="A578" s="2" t="str">
        <f>IFERROR(__xludf.DUMMYFUNCTION("""COMPUTED_VALUE"""),"PR029")</f>
        <v>PR029</v>
      </c>
      <c r="B578" s="2" t="str">
        <f>IFERROR(__xludf.DUMMYFUNCTION("""COMPUTED_VALUE"""),"VD022")</f>
        <v>VD022</v>
      </c>
      <c r="C578" s="2">
        <f>IFERROR(__xludf.DUMMYFUNCTION("""COMPUTED_VALUE"""),18.0)</f>
        <v>18</v>
      </c>
      <c r="D578" s="2">
        <f>IFERROR(__xludf.DUMMYFUNCTION("""COMPUTED_VALUE"""),4773.6)</f>
        <v>4773.6</v>
      </c>
    </row>
    <row r="579">
      <c r="A579" s="2" t="str">
        <f>IFERROR(__xludf.DUMMYFUNCTION("""COMPUTED_VALUE"""),"PR026")</f>
        <v>PR026</v>
      </c>
      <c r="B579" s="2" t="str">
        <f>IFERROR(__xludf.DUMMYFUNCTION("""COMPUTED_VALUE"""),"VD014")</f>
        <v>VD014</v>
      </c>
      <c r="C579" s="2">
        <f>IFERROR(__xludf.DUMMYFUNCTION("""COMPUTED_VALUE"""),14.0)</f>
        <v>14</v>
      </c>
      <c r="D579" s="2">
        <f>IFERROR(__xludf.DUMMYFUNCTION("""COMPUTED_VALUE"""),5241.5)</f>
        <v>5241.5</v>
      </c>
    </row>
    <row r="580">
      <c r="A580" s="2" t="str">
        <f>IFERROR(__xludf.DUMMYFUNCTION("""COMPUTED_VALUE"""),"PR054")</f>
        <v>PR054</v>
      </c>
      <c r="B580" s="2" t="str">
        <f>IFERROR(__xludf.DUMMYFUNCTION("""COMPUTED_VALUE"""),"VD046")</f>
        <v>VD046</v>
      </c>
      <c r="C580" s="2">
        <f>IFERROR(__xludf.DUMMYFUNCTION("""COMPUTED_VALUE"""),10.0)</f>
        <v>10</v>
      </c>
      <c r="D580" s="2">
        <f>IFERROR(__xludf.DUMMYFUNCTION("""COMPUTED_VALUE"""),503.99)</f>
        <v>503.99</v>
      </c>
    </row>
    <row r="581">
      <c r="A581" s="2" t="str">
        <f>IFERROR(__xludf.DUMMYFUNCTION("""COMPUTED_VALUE"""),"PR055")</f>
        <v>PR055</v>
      </c>
      <c r="B581" s="2" t="str">
        <f>IFERROR(__xludf.DUMMYFUNCTION("""COMPUTED_VALUE"""),"VD014")</f>
        <v>VD014</v>
      </c>
      <c r="C581" s="2">
        <f>IFERROR(__xludf.DUMMYFUNCTION("""COMPUTED_VALUE"""),8.0)</f>
        <v>8</v>
      </c>
      <c r="D581" s="2">
        <f>IFERROR(__xludf.DUMMYFUNCTION("""COMPUTED_VALUE"""),747.97)</f>
        <v>747.97</v>
      </c>
    </row>
    <row r="582">
      <c r="A582" s="2" t="str">
        <f>IFERROR(__xludf.DUMMYFUNCTION("""COMPUTED_VALUE"""),"PR022")</f>
        <v>PR022</v>
      </c>
      <c r="B582" s="2" t="str">
        <f>IFERROR(__xludf.DUMMYFUNCTION("""COMPUTED_VALUE"""),"VD041")</f>
        <v>VD041</v>
      </c>
      <c r="C582" s="2">
        <f>IFERROR(__xludf.DUMMYFUNCTION("""COMPUTED_VALUE"""),2.0)</f>
        <v>2</v>
      </c>
      <c r="D582" s="2">
        <f>IFERROR(__xludf.DUMMYFUNCTION("""COMPUTED_VALUE"""),630.0)</f>
        <v>630</v>
      </c>
    </row>
    <row r="583">
      <c r="A583" s="2" t="str">
        <f>IFERROR(__xludf.DUMMYFUNCTION("""COMPUTED_VALUE"""),"PR038")</f>
        <v>PR038</v>
      </c>
      <c r="B583" s="2" t="str">
        <f>IFERROR(__xludf.DUMMYFUNCTION("""COMPUTED_VALUE"""),"VD038")</f>
        <v>VD038</v>
      </c>
      <c r="C583" s="2">
        <f>IFERROR(__xludf.DUMMYFUNCTION("""COMPUTED_VALUE"""),3.0)</f>
        <v>3</v>
      </c>
      <c r="D583" s="2">
        <f>IFERROR(__xludf.DUMMYFUNCTION("""COMPUTED_VALUE"""),467.28)</f>
        <v>467.28</v>
      </c>
    </row>
    <row r="584">
      <c r="A584" s="2" t="str">
        <f>IFERROR(__xludf.DUMMYFUNCTION("""COMPUTED_VALUE"""),"PR049")</f>
        <v>PR049</v>
      </c>
      <c r="B584" s="2" t="str">
        <f>IFERROR(__xludf.DUMMYFUNCTION("""COMPUTED_VALUE"""),"VD038")</f>
        <v>VD038</v>
      </c>
      <c r="C584" s="2">
        <f>IFERROR(__xludf.DUMMYFUNCTION("""COMPUTED_VALUE"""),4.0)</f>
        <v>4</v>
      </c>
      <c r="D584" s="2">
        <f>IFERROR(__xludf.DUMMYFUNCTION("""COMPUTED_VALUE"""),140.81)</f>
        <v>140.81</v>
      </c>
    </row>
    <row r="585">
      <c r="A585" s="2" t="str">
        <f>IFERROR(__xludf.DUMMYFUNCTION("""COMPUTED_VALUE"""),"PR033")</f>
        <v>PR033</v>
      </c>
      <c r="B585" s="2" t="str">
        <f>IFERROR(__xludf.DUMMYFUNCTION("""COMPUTED_VALUE"""),"VD048")</f>
        <v>VD048</v>
      </c>
      <c r="C585" s="2">
        <f>IFERROR(__xludf.DUMMYFUNCTION("""COMPUTED_VALUE"""),12.0)</f>
        <v>12</v>
      </c>
      <c r="D585" s="2">
        <f>IFERROR(__xludf.DUMMYFUNCTION("""COMPUTED_VALUE"""),3243.55)</f>
        <v>3243.55</v>
      </c>
    </row>
    <row r="586">
      <c r="A586" s="2" t="str">
        <f>IFERROR(__xludf.DUMMYFUNCTION("""COMPUTED_VALUE"""),"PR050")</f>
        <v>PR050</v>
      </c>
      <c r="B586" s="2" t="str">
        <f>IFERROR(__xludf.DUMMYFUNCTION("""COMPUTED_VALUE"""),"VD018")</f>
        <v>VD018</v>
      </c>
      <c r="C586" s="2">
        <f>IFERROR(__xludf.DUMMYFUNCTION("""COMPUTED_VALUE"""),2.0)</f>
        <v>2</v>
      </c>
      <c r="D586" s="2">
        <f>IFERROR(__xludf.DUMMYFUNCTION("""COMPUTED_VALUE"""),67.77)</f>
        <v>67.77</v>
      </c>
    </row>
    <row r="587">
      <c r="A587" s="2" t="str">
        <f>IFERROR(__xludf.DUMMYFUNCTION("""COMPUTED_VALUE"""),"PR037")</f>
        <v>PR037</v>
      </c>
      <c r="B587" s="2" t="str">
        <f>IFERROR(__xludf.DUMMYFUNCTION("""COMPUTED_VALUE"""),"VD014")</f>
        <v>VD014</v>
      </c>
      <c r="C587" s="2">
        <f>IFERROR(__xludf.DUMMYFUNCTION("""COMPUTED_VALUE"""),8.0)</f>
        <v>8</v>
      </c>
      <c r="D587" s="2">
        <f>IFERROR(__xludf.DUMMYFUNCTION("""COMPUTED_VALUE"""),1209.6)</f>
        <v>1209.6</v>
      </c>
    </row>
    <row r="588">
      <c r="A588" s="2" t="str">
        <f>IFERROR(__xludf.DUMMYFUNCTION("""COMPUTED_VALUE"""),"PR001")</f>
        <v>PR001</v>
      </c>
      <c r="B588" s="2" t="str">
        <f>IFERROR(__xludf.DUMMYFUNCTION("""COMPUTED_VALUE"""),"VD010")</f>
        <v>VD010</v>
      </c>
      <c r="C588" s="2">
        <f>IFERROR(__xludf.DUMMYFUNCTION("""COMPUTED_VALUE"""),8.0)</f>
        <v>8</v>
      </c>
      <c r="D588" s="2">
        <f>IFERROR(__xludf.DUMMYFUNCTION("""COMPUTED_VALUE"""),537.74)</f>
        <v>537.74</v>
      </c>
    </row>
    <row r="589">
      <c r="A589" s="2" t="str">
        <f>IFERROR(__xludf.DUMMYFUNCTION("""COMPUTED_VALUE"""),"PR049")</f>
        <v>PR049</v>
      </c>
      <c r="B589" s="2" t="str">
        <f>IFERROR(__xludf.DUMMYFUNCTION("""COMPUTED_VALUE"""),"VD015")</f>
        <v>VD015</v>
      </c>
      <c r="C589" s="2">
        <f>IFERROR(__xludf.DUMMYFUNCTION("""COMPUTED_VALUE"""),16.0)</f>
        <v>16</v>
      </c>
      <c r="D589" s="2">
        <f>IFERROR(__xludf.DUMMYFUNCTION("""COMPUTED_VALUE"""),573.78)</f>
        <v>573.78</v>
      </c>
    </row>
    <row r="590">
      <c r="A590" s="2" t="str">
        <f>IFERROR(__xludf.DUMMYFUNCTION("""COMPUTED_VALUE"""),"PR013")</f>
        <v>PR013</v>
      </c>
      <c r="B590" s="2" t="str">
        <f>IFERROR(__xludf.DUMMYFUNCTION("""COMPUTED_VALUE"""),"VD020")</f>
        <v>VD020</v>
      </c>
      <c r="C590" s="2">
        <f>IFERROR(__xludf.DUMMYFUNCTION("""COMPUTED_VALUE"""),6.0)</f>
        <v>6</v>
      </c>
      <c r="D590" s="2">
        <f>IFERROR(__xludf.DUMMYFUNCTION("""COMPUTED_VALUE"""),248.98)</f>
        <v>248.98</v>
      </c>
    </row>
    <row r="591">
      <c r="A591" s="2" t="str">
        <f>IFERROR(__xludf.DUMMYFUNCTION("""COMPUTED_VALUE"""),"PR003")</f>
        <v>PR003</v>
      </c>
      <c r="B591" s="2" t="str">
        <f>IFERROR(__xludf.DUMMYFUNCTION("""COMPUTED_VALUE"""),"VD031")</f>
        <v>VD031</v>
      </c>
      <c r="C591" s="2">
        <f>IFERROR(__xludf.DUMMYFUNCTION("""COMPUTED_VALUE"""),9.0)</f>
        <v>9</v>
      </c>
      <c r="D591" s="2">
        <f>IFERROR(__xludf.DUMMYFUNCTION("""COMPUTED_VALUE"""),657.24)</f>
        <v>657.24</v>
      </c>
    </row>
    <row r="592">
      <c r="A592" s="2" t="str">
        <f>IFERROR(__xludf.DUMMYFUNCTION("""COMPUTED_VALUE"""),"PR057")</f>
        <v>PR057</v>
      </c>
      <c r="B592" s="2" t="str">
        <f>IFERROR(__xludf.DUMMYFUNCTION("""COMPUTED_VALUE"""),"VD045")</f>
        <v>VD045</v>
      </c>
      <c r="C592" s="2">
        <f>IFERROR(__xludf.DUMMYFUNCTION("""COMPUTED_VALUE"""),7.0)</f>
        <v>7</v>
      </c>
      <c r="D592" s="2">
        <f>IFERROR(__xludf.DUMMYFUNCTION("""COMPUTED_VALUE"""),679.64)</f>
        <v>679.64</v>
      </c>
    </row>
    <row r="593">
      <c r="A593" s="2" t="str">
        <f>IFERROR(__xludf.DUMMYFUNCTION("""COMPUTED_VALUE"""),"PR025")</f>
        <v>PR025</v>
      </c>
      <c r="B593" s="2" t="str">
        <f>IFERROR(__xludf.DUMMYFUNCTION("""COMPUTED_VALUE"""),"VD035")</f>
        <v>VD035</v>
      </c>
      <c r="C593" s="2">
        <f>IFERROR(__xludf.DUMMYFUNCTION("""COMPUTED_VALUE"""),1.0)</f>
        <v>1</v>
      </c>
      <c r="D593" s="2">
        <f>IFERROR(__xludf.DUMMYFUNCTION("""COMPUTED_VALUE"""),305.9)</f>
        <v>305.9</v>
      </c>
    </row>
    <row r="594">
      <c r="A594" s="2" t="str">
        <f>IFERROR(__xludf.DUMMYFUNCTION("""COMPUTED_VALUE"""),"PR047")</f>
        <v>PR047</v>
      </c>
      <c r="B594" s="2" t="str">
        <f>IFERROR(__xludf.DUMMYFUNCTION("""COMPUTED_VALUE"""),"VD023")</f>
        <v>VD023</v>
      </c>
      <c r="C594" s="2">
        <f>IFERROR(__xludf.DUMMYFUNCTION("""COMPUTED_VALUE"""),20.0)</f>
        <v>20</v>
      </c>
      <c r="D594" s="2">
        <f>IFERROR(__xludf.DUMMYFUNCTION("""COMPUTED_VALUE"""),6029.92)</f>
        <v>6029.92</v>
      </c>
    </row>
    <row r="595">
      <c r="A595" s="2" t="str">
        <f>IFERROR(__xludf.DUMMYFUNCTION("""COMPUTED_VALUE"""),"PR060")</f>
        <v>PR060</v>
      </c>
      <c r="B595" s="2" t="str">
        <f>IFERROR(__xludf.DUMMYFUNCTION("""COMPUTED_VALUE"""),"VD030")</f>
        <v>VD030</v>
      </c>
      <c r="C595" s="2">
        <f>IFERROR(__xludf.DUMMYFUNCTION("""COMPUTED_VALUE"""),18.0)</f>
        <v>18</v>
      </c>
      <c r="D595" s="2">
        <f>IFERROR(__xludf.DUMMYFUNCTION("""COMPUTED_VALUE"""),3402.0)</f>
        <v>3402</v>
      </c>
    </row>
    <row r="596">
      <c r="A596" s="2" t="str">
        <f>IFERROR(__xludf.DUMMYFUNCTION("""COMPUTED_VALUE"""),"PR017")</f>
        <v>PR017</v>
      </c>
      <c r="B596" s="2" t="str">
        <f>IFERROR(__xludf.DUMMYFUNCTION("""COMPUTED_VALUE"""),"VD049")</f>
        <v>VD049</v>
      </c>
      <c r="C596" s="2">
        <f>IFERROR(__xludf.DUMMYFUNCTION("""COMPUTED_VALUE"""),18.0)</f>
        <v>18</v>
      </c>
      <c r="D596" s="2">
        <f>IFERROR(__xludf.DUMMYFUNCTION("""COMPUTED_VALUE"""),581.26)</f>
        <v>581.26</v>
      </c>
    </row>
    <row r="597">
      <c r="A597" s="2" t="str">
        <f>IFERROR(__xludf.DUMMYFUNCTION("""COMPUTED_VALUE"""),"PR024")</f>
        <v>PR024</v>
      </c>
      <c r="B597" s="2" t="str">
        <f>IFERROR(__xludf.DUMMYFUNCTION("""COMPUTED_VALUE"""),"VD026")</f>
        <v>VD026</v>
      </c>
      <c r="C597" s="2">
        <f>IFERROR(__xludf.DUMMYFUNCTION("""COMPUTED_VALUE"""),10.0)</f>
        <v>10</v>
      </c>
      <c r="D597" s="2">
        <f>IFERROR(__xludf.DUMMYFUNCTION("""COMPUTED_VALUE"""),2806.92)</f>
        <v>2806.92</v>
      </c>
    </row>
    <row r="598">
      <c r="A598" s="2" t="str">
        <f>IFERROR(__xludf.DUMMYFUNCTION("""COMPUTED_VALUE"""),"PR013")</f>
        <v>PR013</v>
      </c>
      <c r="B598" s="2" t="str">
        <f>IFERROR(__xludf.DUMMYFUNCTION("""COMPUTED_VALUE"""),"VD013")</f>
        <v>VD013</v>
      </c>
      <c r="C598" s="2">
        <f>IFERROR(__xludf.DUMMYFUNCTION("""COMPUTED_VALUE"""),16.0)</f>
        <v>16</v>
      </c>
      <c r="D598" s="2">
        <f>IFERROR(__xludf.DUMMYFUNCTION("""COMPUTED_VALUE"""),702.24)</f>
        <v>702.24</v>
      </c>
    </row>
    <row r="599">
      <c r="A599" s="2" t="str">
        <f>IFERROR(__xludf.DUMMYFUNCTION("""COMPUTED_VALUE"""),"PR057")</f>
        <v>PR057</v>
      </c>
      <c r="B599" s="2" t="str">
        <f>IFERROR(__xludf.DUMMYFUNCTION("""COMPUTED_VALUE"""),"VD027")</f>
        <v>VD027</v>
      </c>
      <c r="C599" s="2">
        <f>IFERROR(__xludf.DUMMYFUNCTION("""COMPUTED_VALUE"""),18.0)</f>
        <v>18</v>
      </c>
      <c r="D599" s="2">
        <f>IFERROR(__xludf.DUMMYFUNCTION("""COMPUTED_VALUE"""),1666.75)</f>
        <v>1666.75</v>
      </c>
    </row>
    <row r="600">
      <c r="A600" s="2" t="str">
        <f>IFERROR(__xludf.DUMMYFUNCTION("""COMPUTED_VALUE"""),"PR057")</f>
        <v>PR057</v>
      </c>
      <c r="B600" s="2" t="str">
        <f>IFERROR(__xludf.DUMMYFUNCTION("""COMPUTED_VALUE"""),"VD038")</f>
        <v>VD038</v>
      </c>
      <c r="C600" s="2">
        <f>IFERROR(__xludf.DUMMYFUNCTION("""COMPUTED_VALUE"""),8.0)</f>
        <v>8</v>
      </c>
      <c r="D600" s="2">
        <f>IFERROR(__xludf.DUMMYFUNCTION("""COMPUTED_VALUE"""),733.58)</f>
        <v>733.58</v>
      </c>
    </row>
    <row r="601">
      <c r="A601" s="2" t="str">
        <f>IFERROR(__xludf.DUMMYFUNCTION("""COMPUTED_VALUE"""),"PR020")</f>
        <v>PR020</v>
      </c>
      <c r="B601" s="2" t="str">
        <f>IFERROR(__xludf.DUMMYFUNCTION("""COMPUTED_VALUE"""),"VD021")</f>
        <v>VD021</v>
      </c>
      <c r="C601" s="2">
        <f>IFERROR(__xludf.DUMMYFUNCTION("""COMPUTED_VALUE"""),2.0)</f>
        <v>2</v>
      </c>
      <c r="D601" s="2">
        <f>IFERROR(__xludf.DUMMYFUNCTION("""COMPUTED_VALUE"""),617.79)</f>
        <v>617.79</v>
      </c>
    </row>
    <row r="602">
      <c r="A602" s="2" t="str">
        <f>IFERROR(__xludf.DUMMYFUNCTION("""COMPUTED_VALUE"""),"PR007")</f>
        <v>PR007</v>
      </c>
      <c r="B602" s="2" t="str">
        <f>IFERROR(__xludf.DUMMYFUNCTION("""COMPUTED_VALUE"""),"VD033")</f>
        <v>VD033</v>
      </c>
      <c r="C602" s="2">
        <f>IFERROR(__xludf.DUMMYFUNCTION("""COMPUTED_VALUE"""),8.0)</f>
        <v>8</v>
      </c>
      <c r="D602" s="2">
        <f>IFERROR(__xludf.DUMMYFUNCTION("""COMPUTED_VALUE"""),749.05)</f>
        <v>749.05</v>
      </c>
    </row>
    <row r="603">
      <c r="A603" s="2" t="str">
        <f>IFERROR(__xludf.DUMMYFUNCTION("""COMPUTED_VALUE"""),"PR040")</f>
        <v>PR040</v>
      </c>
      <c r="B603" s="2" t="str">
        <f>IFERROR(__xludf.DUMMYFUNCTION("""COMPUTED_VALUE"""),"VD023")</f>
        <v>VD023</v>
      </c>
      <c r="C603" s="2">
        <f>IFERROR(__xludf.DUMMYFUNCTION("""COMPUTED_VALUE"""),4.0)</f>
        <v>4</v>
      </c>
      <c r="D603" s="2">
        <f>IFERROR(__xludf.DUMMYFUNCTION("""COMPUTED_VALUE"""),308.0)</f>
        <v>308</v>
      </c>
    </row>
    <row r="604">
      <c r="A604" s="2" t="str">
        <f>IFERROR(__xludf.DUMMYFUNCTION("""COMPUTED_VALUE"""),"PR024")</f>
        <v>PR024</v>
      </c>
      <c r="B604" s="2" t="str">
        <f>IFERROR(__xludf.DUMMYFUNCTION("""COMPUTED_VALUE"""),"VD018")</f>
        <v>VD018</v>
      </c>
      <c r="C604" s="2">
        <f>IFERROR(__xludf.DUMMYFUNCTION("""COMPUTED_VALUE"""),2.0)</f>
        <v>2</v>
      </c>
      <c r="D604" s="2">
        <f>IFERROR(__xludf.DUMMYFUNCTION("""COMPUTED_VALUE"""),535.39)</f>
        <v>535.39</v>
      </c>
    </row>
    <row r="605">
      <c r="A605" s="2" t="str">
        <f>IFERROR(__xludf.DUMMYFUNCTION("""COMPUTED_VALUE"""),"PR004")</f>
        <v>PR004</v>
      </c>
      <c r="B605" s="2" t="str">
        <f>IFERROR(__xludf.DUMMYFUNCTION("""COMPUTED_VALUE"""),"VD031")</f>
        <v>VD031</v>
      </c>
      <c r="C605" s="2">
        <f>IFERROR(__xludf.DUMMYFUNCTION("""COMPUTED_VALUE"""),4.0)</f>
        <v>4</v>
      </c>
      <c r="D605" s="2">
        <f>IFERROR(__xludf.DUMMYFUNCTION("""COMPUTED_VALUE"""),603.2)</f>
        <v>603.2</v>
      </c>
    </row>
    <row r="606">
      <c r="A606" s="2" t="str">
        <f>IFERROR(__xludf.DUMMYFUNCTION("""COMPUTED_VALUE"""),"PR016")</f>
        <v>PR016</v>
      </c>
      <c r="B606" s="2" t="str">
        <f>IFERROR(__xludf.DUMMYFUNCTION("""COMPUTED_VALUE"""),"VD010")</f>
        <v>VD010</v>
      </c>
      <c r="C606" s="2">
        <f>IFERROR(__xludf.DUMMYFUNCTION("""COMPUTED_VALUE"""),8.0)</f>
        <v>8</v>
      </c>
      <c r="D606" s="2">
        <f>IFERROR(__xludf.DUMMYFUNCTION("""COMPUTED_VALUE"""),221.7)</f>
        <v>221.7</v>
      </c>
    </row>
    <row r="607">
      <c r="A607" s="2" t="str">
        <f>IFERROR(__xludf.DUMMYFUNCTION("""COMPUTED_VALUE"""),"PR029")</f>
        <v>PR029</v>
      </c>
      <c r="B607" s="2" t="str">
        <f>IFERROR(__xludf.DUMMYFUNCTION("""COMPUTED_VALUE"""),"VD030")</f>
        <v>VD030</v>
      </c>
      <c r="C607" s="2">
        <f>IFERROR(__xludf.DUMMYFUNCTION("""COMPUTED_VALUE"""),5.0)</f>
        <v>5</v>
      </c>
      <c r="D607" s="2">
        <f>IFERROR(__xludf.DUMMYFUNCTION("""COMPUTED_VALUE"""),1287.75)</f>
        <v>1287.75</v>
      </c>
    </row>
    <row r="608">
      <c r="A608" s="2" t="str">
        <f>IFERROR(__xludf.DUMMYFUNCTION("""COMPUTED_VALUE"""),"PR007")</f>
        <v>PR007</v>
      </c>
      <c r="B608" s="2" t="str">
        <f>IFERROR(__xludf.DUMMYFUNCTION("""COMPUTED_VALUE"""),"VD046")</f>
        <v>VD046</v>
      </c>
      <c r="C608" s="2">
        <f>IFERROR(__xludf.DUMMYFUNCTION("""COMPUTED_VALUE"""),9.0)</f>
        <v>9</v>
      </c>
      <c r="D608" s="2">
        <f>IFERROR(__xludf.DUMMYFUNCTION("""COMPUTED_VALUE"""),804.02)</f>
        <v>804.02</v>
      </c>
    </row>
    <row r="609">
      <c r="A609" s="2" t="str">
        <f>IFERROR(__xludf.DUMMYFUNCTION("""COMPUTED_VALUE"""),"PR049")</f>
        <v>PR049</v>
      </c>
      <c r="B609" s="2" t="str">
        <f>IFERROR(__xludf.DUMMYFUNCTION("""COMPUTED_VALUE"""),"VD032")</f>
        <v>VD032</v>
      </c>
      <c r="C609" s="2">
        <f>IFERROR(__xludf.DUMMYFUNCTION("""COMPUTED_VALUE"""),14.0)</f>
        <v>14</v>
      </c>
      <c r="D609" s="2">
        <f>IFERROR(__xludf.DUMMYFUNCTION("""COMPUTED_VALUE"""),492.84)</f>
        <v>492.84</v>
      </c>
    </row>
    <row r="610">
      <c r="A610" s="2" t="str">
        <f>IFERROR(__xludf.DUMMYFUNCTION("""COMPUTED_VALUE"""),"PR039")</f>
        <v>PR039</v>
      </c>
      <c r="B610" s="2" t="str">
        <f>IFERROR(__xludf.DUMMYFUNCTION("""COMPUTED_VALUE"""),"VD035")</f>
        <v>VD035</v>
      </c>
      <c r="C610" s="2">
        <f>IFERROR(__xludf.DUMMYFUNCTION("""COMPUTED_VALUE"""),16.0)</f>
        <v>16</v>
      </c>
      <c r="D610" s="2">
        <f>IFERROR(__xludf.DUMMYFUNCTION("""COMPUTED_VALUE"""),2452.8)</f>
        <v>2452.8</v>
      </c>
    </row>
    <row r="611">
      <c r="A611" s="2" t="str">
        <f>IFERROR(__xludf.DUMMYFUNCTION("""COMPUTED_VALUE"""),"PR022")</f>
        <v>PR022</v>
      </c>
      <c r="B611" s="2" t="str">
        <f>IFERROR(__xludf.DUMMYFUNCTION("""COMPUTED_VALUE"""),"VD022")</f>
        <v>VD022</v>
      </c>
      <c r="C611" s="2">
        <f>IFERROR(__xludf.DUMMYFUNCTION("""COMPUTED_VALUE"""),2.0)</f>
        <v>2</v>
      </c>
      <c r="D611" s="2">
        <f>IFERROR(__xludf.DUMMYFUNCTION("""COMPUTED_VALUE"""),606.0)</f>
        <v>606</v>
      </c>
    </row>
    <row r="612">
      <c r="A612" s="2" t="str">
        <f>IFERROR(__xludf.DUMMYFUNCTION("""COMPUTED_VALUE"""),"PR004")</f>
        <v>PR004</v>
      </c>
      <c r="B612" s="2" t="str">
        <f>IFERROR(__xludf.DUMMYFUNCTION("""COMPUTED_VALUE"""),"VD023")</f>
        <v>VD023</v>
      </c>
      <c r="C612" s="2">
        <f>IFERROR(__xludf.DUMMYFUNCTION("""COMPUTED_VALUE"""),2.0)</f>
        <v>2</v>
      </c>
      <c r="D612" s="2">
        <f>IFERROR(__xludf.DUMMYFUNCTION("""COMPUTED_VALUE"""),319.0)</f>
        <v>319</v>
      </c>
    </row>
    <row r="613">
      <c r="A613" s="2" t="str">
        <f>IFERROR(__xludf.DUMMYFUNCTION("""COMPUTED_VALUE"""),"PR011")</f>
        <v>PR011</v>
      </c>
      <c r="B613" s="2" t="str">
        <f>IFERROR(__xludf.DUMMYFUNCTION("""COMPUTED_VALUE"""),"VD049")</f>
        <v>VD049</v>
      </c>
      <c r="C613" s="2">
        <f>IFERROR(__xludf.DUMMYFUNCTION("""COMPUTED_VALUE"""),9.0)</f>
        <v>9</v>
      </c>
      <c r="D613" s="2">
        <f>IFERROR(__xludf.DUMMYFUNCTION("""COMPUTED_VALUE"""),460.09)</f>
        <v>460.09</v>
      </c>
    </row>
    <row r="614">
      <c r="A614" s="2" t="str">
        <f>IFERROR(__xludf.DUMMYFUNCTION("""COMPUTED_VALUE"""),"PR052")</f>
        <v>PR052</v>
      </c>
      <c r="B614" s="2" t="str">
        <f>IFERROR(__xludf.DUMMYFUNCTION("""COMPUTED_VALUE"""),"VD044")</f>
        <v>VD044</v>
      </c>
      <c r="C614" s="2">
        <f>IFERROR(__xludf.DUMMYFUNCTION("""COMPUTED_VALUE"""),20.0)</f>
        <v>20</v>
      </c>
      <c r="D614" s="2">
        <f>IFERROR(__xludf.DUMMYFUNCTION("""COMPUTED_VALUE"""),1077.84)</f>
        <v>1077.84</v>
      </c>
    </row>
    <row r="615">
      <c r="A615" s="2" t="str">
        <f>IFERROR(__xludf.DUMMYFUNCTION("""COMPUTED_VALUE"""),"PR001")</f>
        <v>PR001</v>
      </c>
      <c r="B615" s="2" t="str">
        <f>IFERROR(__xludf.DUMMYFUNCTION("""COMPUTED_VALUE"""),"VD039")</f>
        <v>VD039</v>
      </c>
      <c r="C615" s="2">
        <f>IFERROR(__xludf.DUMMYFUNCTION("""COMPUTED_VALUE"""),5.0)</f>
        <v>5</v>
      </c>
      <c r="D615" s="2">
        <f>IFERROR(__xludf.DUMMYFUNCTION("""COMPUTED_VALUE"""),345.98)</f>
        <v>345.98</v>
      </c>
    </row>
    <row r="616">
      <c r="A616" s="2" t="str">
        <f>IFERROR(__xludf.DUMMYFUNCTION("""COMPUTED_VALUE"""),"PR051")</f>
        <v>PR051</v>
      </c>
      <c r="B616" s="2" t="str">
        <f>IFERROR(__xludf.DUMMYFUNCTION("""COMPUTED_VALUE"""),"VD031")</f>
        <v>VD031</v>
      </c>
      <c r="C616" s="2">
        <f>IFERROR(__xludf.DUMMYFUNCTION("""COMPUTED_VALUE"""),5.0)</f>
        <v>5</v>
      </c>
      <c r="D616" s="2">
        <f>IFERROR(__xludf.DUMMYFUNCTION("""COMPUTED_VALUE"""),164.5)</f>
        <v>164.5</v>
      </c>
    </row>
    <row r="617">
      <c r="A617" s="2" t="str">
        <f>IFERROR(__xludf.DUMMYFUNCTION("""COMPUTED_VALUE"""),"PR007")</f>
        <v>PR007</v>
      </c>
      <c r="B617" s="2" t="str">
        <f>IFERROR(__xludf.DUMMYFUNCTION("""COMPUTED_VALUE"""),"VD023")</f>
        <v>VD023</v>
      </c>
      <c r="C617" s="2">
        <f>IFERROR(__xludf.DUMMYFUNCTION("""COMPUTED_VALUE"""),4.0)</f>
        <v>4</v>
      </c>
      <c r="D617" s="2">
        <f>IFERROR(__xludf.DUMMYFUNCTION("""COMPUTED_VALUE"""),367.65)</f>
        <v>367.65</v>
      </c>
    </row>
    <row r="618">
      <c r="A618" s="2" t="str">
        <f>IFERROR(__xludf.DUMMYFUNCTION("""COMPUTED_VALUE"""),"PR039")</f>
        <v>PR039</v>
      </c>
      <c r="B618" s="2" t="str">
        <f>IFERROR(__xludf.DUMMYFUNCTION("""COMPUTED_VALUE"""),"VD019")</f>
        <v>VD019</v>
      </c>
      <c r="C618" s="2">
        <f>IFERROR(__xludf.DUMMYFUNCTION("""COMPUTED_VALUE"""),3.0)</f>
        <v>3</v>
      </c>
      <c r="D618" s="2">
        <f>IFERROR(__xludf.DUMMYFUNCTION("""COMPUTED_VALUE"""),459.9)</f>
        <v>459.9</v>
      </c>
    </row>
    <row r="619">
      <c r="A619" s="2" t="str">
        <f>IFERROR(__xludf.DUMMYFUNCTION("""COMPUTED_VALUE"""),"PR033")</f>
        <v>PR033</v>
      </c>
      <c r="B619" s="2" t="str">
        <f>IFERROR(__xludf.DUMMYFUNCTION("""COMPUTED_VALUE"""),"VD041")</f>
        <v>VD041</v>
      </c>
      <c r="C619" s="2">
        <f>IFERROR(__xludf.DUMMYFUNCTION("""COMPUTED_VALUE"""),5.0)</f>
        <v>5</v>
      </c>
      <c r="D619" s="2">
        <f>IFERROR(__xludf.DUMMYFUNCTION("""COMPUTED_VALUE"""),1351.48)</f>
        <v>1351.48</v>
      </c>
    </row>
    <row r="620">
      <c r="A620" s="2" t="str">
        <f>IFERROR(__xludf.DUMMYFUNCTION("""COMPUTED_VALUE"""),"PR043")</f>
        <v>PR043</v>
      </c>
      <c r="B620" s="2" t="str">
        <f>IFERROR(__xludf.DUMMYFUNCTION("""COMPUTED_VALUE"""),"VD035")</f>
        <v>VD035</v>
      </c>
      <c r="C620" s="2">
        <f>IFERROR(__xludf.DUMMYFUNCTION("""COMPUTED_VALUE"""),6.0)</f>
        <v>6</v>
      </c>
      <c r="D620" s="2">
        <f>IFERROR(__xludf.DUMMYFUNCTION("""COMPUTED_VALUE"""),474.15)</f>
        <v>474.15</v>
      </c>
    </row>
    <row r="621">
      <c r="A621" s="2" t="str">
        <f>IFERROR(__xludf.DUMMYFUNCTION("""COMPUTED_VALUE"""),"PR056")</f>
        <v>PR056</v>
      </c>
      <c r="B621" s="2" t="str">
        <f>IFERROR(__xludf.DUMMYFUNCTION("""COMPUTED_VALUE"""),"VD025")</f>
        <v>VD025</v>
      </c>
      <c r="C621" s="2">
        <f>IFERROR(__xludf.DUMMYFUNCTION("""COMPUTED_VALUE"""),1.0)</f>
        <v>1</v>
      </c>
      <c r="D621" s="2">
        <f>IFERROR(__xludf.DUMMYFUNCTION("""COMPUTED_VALUE"""),92.6)</f>
        <v>92.6</v>
      </c>
    </row>
    <row r="622">
      <c r="A622" s="2" t="str">
        <f>IFERROR(__xludf.DUMMYFUNCTION("""COMPUTED_VALUE"""),"PR032")</f>
        <v>PR032</v>
      </c>
      <c r="B622" s="2" t="str">
        <f>IFERROR(__xludf.DUMMYFUNCTION("""COMPUTED_VALUE"""),"VD033")</f>
        <v>VD033</v>
      </c>
      <c r="C622" s="2">
        <f>IFERROR(__xludf.DUMMYFUNCTION("""COMPUTED_VALUE"""),7.0)</f>
        <v>7</v>
      </c>
      <c r="D622" s="2">
        <f>IFERROR(__xludf.DUMMYFUNCTION("""COMPUTED_VALUE"""),1820.0)</f>
        <v>1820</v>
      </c>
    </row>
    <row r="623">
      <c r="A623" s="2" t="str">
        <f>IFERROR(__xludf.DUMMYFUNCTION("""COMPUTED_VALUE"""),"PR035")</f>
        <v>PR035</v>
      </c>
      <c r="B623" s="2" t="str">
        <f>IFERROR(__xludf.DUMMYFUNCTION("""COMPUTED_VALUE"""),"VD042")</f>
        <v>VD042</v>
      </c>
      <c r="C623" s="2">
        <f>IFERROR(__xludf.DUMMYFUNCTION("""COMPUTED_VALUE"""),4.0)</f>
        <v>4</v>
      </c>
      <c r="D623" s="2">
        <f>IFERROR(__xludf.DUMMYFUNCTION("""COMPUTED_VALUE"""),398.5)</f>
        <v>398.5</v>
      </c>
    </row>
    <row r="624">
      <c r="A624" s="2" t="str">
        <f>IFERROR(__xludf.DUMMYFUNCTION("""COMPUTED_VALUE"""),"PR011")</f>
        <v>PR011</v>
      </c>
      <c r="B624" s="2" t="str">
        <f>IFERROR(__xludf.DUMMYFUNCTION("""COMPUTED_VALUE"""),"VD030")</f>
        <v>VD030</v>
      </c>
      <c r="C624" s="2">
        <f>IFERROR(__xludf.DUMMYFUNCTION("""COMPUTED_VALUE"""),4.0)</f>
        <v>4</v>
      </c>
      <c r="D624" s="2">
        <f>IFERROR(__xludf.DUMMYFUNCTION("""COMPUTED_VALUE"""),193.23)</f>
        <v>193.23</v>
      </c>
    </row>
    <row r="625">
      <c r="A625" s="2" t="str">
        <f>IFERROR(__xludf.DUMMYFUNCTION("""COMPUTED_VALUE"""),"PR011")</f>
        <v>PR011</v>
      </c>
      <c r="B625" s="2" t="str">
        <f>IFERROR(__xludf.DUMMYFUNCTION("""COMPUTED_VALUE"""),"VD036")</f>
        <v>VD036</v>
      </c>
      <c r="C625" s="2">
        <f>IFERROR(__xludf.DUMMYFUNCTION("""COMPUTED_VALUE"""),2.0)</f>
        <v>2</v>
      </c>
      <c r="D625" s="2">
        <f>IFERROR(__xludf.DUMMYFUNCTION("""COMPUTED_VALUE"""),93.8)</f>
        <v>93.8</v>
      </c>
    </row>
    <row r="626">
      <c r="A626" s="2" t="str">
        <f>IFERROR(__xludf.DUMMYFUNCTION("""COMPUTED_VALUE"""),"PR039")</f>
        <v>PR039</v>
      </c>
      <c r="B626" s="2" t="str">
        <f>IFERROR(__xludf.DUMMYFUNCTION("""COMPUTED_VALUE"""),"VD031")</f>
        <v>VD031</v>
      </c>
      <c r="C626" s="2">
        <f>IFERROR(__xludf.DUMMYFUNCTION("""COMPUTED_VALUE"""),4.0)</f>
        <v>4</v>
      </c>
      <c r="D626" s="2">
        <f>IFERROR(__xludf.DUMMYFUNCTION("""COMPUTED_VALUE"""),624.88)</f>
        <v>624.88</v>
      </c>
    </row>
    <row r="627">
      <c r="A627" s="2" t="str">
        <f>IFERROR(__xludf.DUMMYFUNCTION("""COMPUTED_VALUE"""),"PR026")</f>
        <v>PR026</v>
      </c>
      <c r="B627" s="2" t="str">
        <f>IFERROR(__xludf.DUMMYFUNCTION("""COMPUTED_VALUE"""),"VD045")</f>
        <v>VD045</v>
      </c>
      <c r="C627" s="2">
        <f>IFERROR(__xludf.DUMMYFUNCTION("""COMPUTED_VALUE"""),16.0)</f>
        <v>16</v>
      </c>
      <c r="D627" s="2">
        <f>IFERROR(__xludf.DUMMYFUNCTION("""COMPUTED_VALUE"""),5822.34)</f>
        <v>5822.34</v>
      </c>
    </row>
    <row r="628">
      <c r="A628" s="2" t="str">
        <f>IFERROR(__xludf.DUMMYFUNCTION("""COMPUTED_VALUE"""),"PR048")</f>
        <v>PR048</v>
      </c>
      <c r="B628" s="2" t="str">
        <f>IFERROR(__xludf.DUMMYFUNCTION("""COMPUTED_VALUE"""),"VD029")</f>
        <v>VD029</v>
      </c>
      <c r="C628" s="2">
        <f>IFERROR(__xludf.DUMMYFUNCTION("""COMPUTED_VALUE"""),20.0)</f>
        <v>20</v>
      </c>
      <c r="D628" s="2">
        <f>IFERROR(__xludf.DUMMYFUNCTION("""COMPUTED_VALUE"""),6145.88)</f>
        <v>6145.88</v>
      </c>
    </row>
    <row r="629">
      <c r="A629" s="2" t="str">
        <f>IFERROR(__xludf.DUMMYFUNCTION("""COMPUTED_VALUE"""),"PR021")</f>
        <v>PR021</v>
      </c>
      <c r="B629" s="2" t="str">
        <f>IFERROR(__xludf.DUMMYFUNCTION("""COMPUTED_VALUE"""),"VD045")</f>
        <v>VD045</v>
      </c>
      <c r="C629" s="2">
        <f>IFERROR(__xludf.DUMMYFUNCTION("""COMPUTED_VALUE"""),6.0)</f>
        <v>6</v>
      </c>
      <c r="D629" s="2">
        <f>IFERROR(__xludf.DUMMYFUNCTION("""COMPUTED_VALUE"""),1817.4)</f>
        <v>1817.4</v>
      </c>
    </row>
    <row r="630">
      <c r="A630" s="2" t="str">
        <f>IFERROR(__xludf.DUMMYFUNCTION("""COMPUTED_VALUE"""),"PR047")</f>
        <v>PR047</v>
      </c>
      <c r="B630" s="2" t="str">
        <f>IFERROR(__xludf.DUMMYFUNCTION("""COMPUTED_VALUE"""),"VD030")</f>
        <v>VD030</v>
      </c>
      <c r="C630" s="2">
        <f>IFERROR(__xludf.DUMMYFUNCTION("""COMPUTED_VALUE"""),14.0)</f>
        <v>14</v>
      </c>
      <c r="D630" s="2">
        <f>IFERROR(__xludf.DUMMYFUNCTION("""COMPUTED_VALUE"""),4180.36)</f>
        <v>4180.36</v>
      </c>
    </row>
    <row r="631">
      <c r="A631" s="2" t="str">
        <f>IFERROR(__xludf.DUMMYFUNCTION("""COMPUTED_VALUE"""),"PR002")</f>
        <v>PR002</v>
      </c>
      <c r="B631" s="2" t="str">
        <f>IFERROR(__xludf.DUMMYFUNCTION("""COMPUTED_VALUE"""),"VD030")</f>
        <v>VD030</v>
      </c>
      <c r="C631" s="2">
        <f>IFERROR(__xludf.DUMMYFUNCTION("""COMPUTED_VALUE"""),8.0)</f>
        <v>8</v>
      </c>
      <c r="D631" s="2">
        <f>IFERROR(__xludf.DUMMYFUNCTION("""COMPUTED_VALUE"""),609.53)</f>
        <v>609.53</v>
      </c>
    </row>
    <row r="632">
      <c r="A632" s="2" t="str">
        <f>IFERROR(__xludf.DUMMYFUNCTION("""COMPUTED_VALUE"""),"PR048")</f>
        <v>PR048</v>
      </c>
      <c r="B632" s="2" t="str">
        <f>IFERROR(__xludf.DUMMYFUNCTION("""COMPUTED_VALUE"""),"VD040")</f>
        <v>VD040</v>
      </c>
      <c r="C632" s="2">
        <f>IFERROR(__xludf.DUMMYFUNCTION("""COMPUTED_VALUE"""),4.0)</f>
        <v>4</v>
      </c>
      <c r="D632" s="2">
        <f>IFERROR(__xludf.DUMMYFUNCTION("""COMPUTED_VALUE"""),1263.96)</f>
        <v>1263.96</v>
      </c>
    </row>
    <row r="633">
      <c r="A633" s="2" t="str">
        <f>IFERROR(__xludf.DUMMYFUNCTION("""COMPUTED_VALUE"""),"PR017")</f>
        <v>PR017</v>
      </c>
      <c r="B633" s="2" t="str">
        <f>IFERROR(__xludf.DUMMYFUNCTION("""COMPUTED_VALUE"""),"VD019")</f>
        <v>VD019</v>
      </c>
      <c r="C633" s="2">
        <f>IFERROR(__xludf.DUMMYFUNCTION("""COMPUTED_VALUE"""),10.0)</f>
        <v>10</v>
      </c>
      <c r="D633" s="2">
        <f>IFERROR(__xludf.DUMMYFUNCTION("""COMPUTED_VALUE"""),304.98)</f>
        <v>304.98</v>
      </c>
    </row>
    <row r="634">
      <c r="A634" s="2" t="str">
        <f>IFERROR(__xludf.DUMMYFUNCTION("""COMPUTED_VALUE"""),"PR058")</f>
        <v>PR058</v>
      </c>
      <c r="B634" s="2" t="str">
        <f>IFERROR(__xludf.DUMMYFUNCTION("""COMPUTED_VALUE"""),"VD046")</f>
        <v>VD046</v>
      </c>
      <c r="C634" s="2">
        <f>IFERROR(__xludf.DUMMYFUNCTION("""COMPUTED_VALUE"""),1.0)</f>
        <v>1</v>
      </c>
      <c r="D634" s="2">
        <f>IFERROR(__xludf.DUMMYFUNCTION("""COMPUTED_VALUE"""),189.0)</f>
        <v>189</v>
      </c>
    </row>
    <row r="635">
      <c r="A635" s="2" t="str">
        <f>IFERROR(__xludf.DUMMYFUNCTION("""COMPUTED_VALUE"""),"PR040")</f>
        <v>PR040</v>
      </c>
      <c r="B635" s="2" t="str">
        <f>IFERROR(__xludf.DUMMYFUNCTION("""COMPUTED_VALUE"""),"VD020")</f>
        <v>VD020</v>
      </c>
      <c r="C635" s="2">
        <f>IFERROR(__xludf.DUMMYFUNCTION("""COMPUTED_VALUE"""),10.0)</f>
        <v>10</v>
      </c>
      <c r="D635" s="2">
        <f>IFERROR(__xludf.DUMMYFUNCTION("""COMPUTED_VALUE"""),770.0)</f>
        <v>770</v>
      </c>
    </row>
    <row r="636">
      <c r="A636" s="2" t="str">
        <f>IFERROR(__xludf.DUMMYFUNCTION("""COMPUTED_VALUE"""),"PR014")</f>
        <v>PR014</v>
      </c>
      <c r="B636" s="2" t="str">
        <f>IFERROR(__xludf.DUMMYFUNCTION("""COMPUTED_VALUE"""),"VD028")</f>
        <v>VD028</v>
      </c>
      <c r="C636" s="2">
        <f>IFERROR(__xludf.DUMMYFUNCTION("""COMPUTED_VALUE"""),8.0)</f>
        <v>8</v>
      </c>
      <c r="D636" s="2">
        <f>IFERROR(__xludf.DUMMYFUNCTION("""COMPUTED_VALUE"""),331.97)</f>
        <v>331.97</v>
      </c>
    </row>
    <row r="637">
      <c r="A637" s="2" t="str">
        <f>IFERROR(__xludf.DUMMYFUNCTION("""COMPUTED_VALUE"""),"PR021")</f>
        <v>PR021</v>
      </c>
      <c r="B637" s="2" t="str">
        <f>IFERROR(__xludf.DUMMYFUNCTION("""COMPUTED_VALUE"""),"VD022")</f>
        <v>VD022</v>
      </c>
      <c r="C637" s="2">
        <f>IFERROR(__xludf.DUMMYFUNCTION("""COMPUTED_VALUE"""),8.0)</f>
        <v>8</v>
      </c>
      <c r="D637" s="2">
        <f>IFERROR(__xludf.DUMMYFUNCTION("""COMPUTED_VALUE"""),2447.43)</f>
        <v>2447.43</v>
      </c>
    </row>
    <row r="638">
      <c r="A638" s="2" t="str">
        <f>IFERROR(__xludf.DUMMYFUNCTION("""COMPUTED_VALUE"""),"PR028")</f>
        <v>PR028</v>
      </c>
      <c r="B638" s="2" t="str">
        <f>IFERROR(__xludf.DUMMYFUNCTION("""COMPUTED_VALUE"""),"VD021")</f>
        <v>VD021</v>
      </c>
      <c r="C638" s="2">
        <f>IFERROR(__xludf.DUMMYFUNCTION("""COMPUTED_VALUE"""),10.0)</f>
        <v>10</v>
      </c>
      <c r="D638" s="2">
        <f>IFERROR(__xludf.DUMMYFUNCTION("""COMPUTED_VALUE"""),2723.91)</f>
        <v>2723.91</v>
      </c>
    </row>
    <row r="639">
      <c r="A639" s="2" t="str">
        <f>IFERROR(__xludf.DUMMYFUNCTION("""COMPUTED_VALUE"""),"PR052")</f>
        <v>PR052</v>
      </c>
      <c r="B639" s="2" t="str">
        <f>IFERROR(__xludf.DUMMYFUNCTION("""COMPUTED_VALUE"""),"VD018")</f>
        <v>VD018</v>
      </c>
      <c r="C639" s="2">
        <f>IFERROR(__xludf.DUMMYFUNCTION("""COMPUTED_VALUE"""),5.0)</f>
        <v>5</v>
      </c>
      <c r="D639" s="2">
        <f>IFERROR(__xludf.DUMMYFUNCTION("""COMPUTED_VALUE"""),259.48)</f>
        <v>259.48</v>
      </c>
    </row>
    <row r="640">
      <c r="A640" s="2" t="str">
        <f>IFERROR(__xludf.DUMMYFUNCTION("""COMPUTED_VALUE"""),"PR042")</f>
        <v>PR042</v>
      </c>
      <c r="B640" s="2" t="str">
        <f>IFERROR(__xludf.DUMMYFUNCTION("""COMPUTED_VALUE"""),"VD011")</f>
        <v>VD011</v>
      </c>
      <c r="C640" s="2">
        <f>IFERROR(__xludf.DUMMYFUNCTION("""COMPUTED_VALUE"""),9.0)</f>
        <v>9</v>
      </c>
      <c r="D640" s="2">
        <f>IFERROR(__xludf.DUMMYFUNCTION("""COMPUTED_VALUE"""),523.75)</f>
        <v>523.75</v>
      </c>
    </row>
    <row r="641">
      <c r="A641" s="2" t="str">
        <f>IFERROR(__xludf.DUMMYFUNCTION("""COMPUTED_VALUE"""),"PR034")</f>
        <v>PR034</v>
      </c>
      <c r="B641" s="2" t="str">
        <f>IFERROR(__xludf.DUMMYFUNCTION("""COMPUTED_VALUE"""),"VD033")</f>
        <v>VD033</v>
      </c>
      <c r="C641" s="2">
        <f>IFERROR(__xludf.DUMMYFUNCTION("""COMPUTED_VALUE"""),6.0)</f>
        <v>6</v>
      </c>
      <c r="D641" s="2">
        <f>IFERROR(__xludf.DUMMYFUNCTION("""COMPUTED_VALUE"""),539.4)</f>
        <v>539.4</v>
      </c>
    </row>
    <row r="642">
      <c r="A642" s="2" t="str">
        <f>IFERROR(__xludf.DUMMYFUNCTION("""COMPUTED_VALUE"""),"PR040")</f>
        <v>PR040</v>
      </c>
      <c r="B642" s="2" t="str">
        <f>IFERROR(__xludf.DUMMYFUNCTION("""COMPUTED_VALUE"""),"VD011")</f>
        <v>VD011</v>
      </c>
      <c r="C642" s="2">
        <f>IFERROR(__xludf.DUMMYFUNCTION("""COMPUTED_VALUE"""),2.0)</f>
        <v>2</v>
      </c>
      <c r="D642" s="2">
        <f>IFERROR(__xludf.DUMMYFUNCTION("""COMPUTED_VALUE"""),140.0)</f>
        <v>140</v>
      </c>
    </row>
    <row r="643">
      <c r="A643" s="2" t="str">
        <f>IFERROR(__xludf.DUMMYFUNCTION("""COMPUTED_VALUE"""),"PR004")</f>
        <v>PR004</v>
      </c>
      <c r="B643" s="2" t="str">
        <f>IFERROR(__xludf.DUMMYFUNCTION("""COMPUTED_VALUE"""),"VD012")</f>
        <v>VD012</v>
      </c>
      <c r="C643" s="2">
        <f>IFERROR(__xludf.DUMMYFUNCTION("""COMPUTED_VALUE"""),6.0)</f>
        <v>6</v>
      </c>
      <c r="D643" s="2">
        <f>IFERROR(__xludf.DUMMYFUNCTION("""COMPUTED_VALUE"""),948.3)</f>
        <v>948.3</v>
      </c>
    </row>
    <row r="644">
      <c r="A644" s="2" t="str">
        <f>IFERROR(__xludf.DUMMYFUNCTION("""COMPUTED_VALUE"""),"PR050")</f>
        <v>PR050</v>
      </c>
      <c r="B644" s="2" t="str">
        <f>IFERROR(__xludf.DUMMYFUNCTION("""COMPUTED_VALUE"""),"VD040")</f>
        <v>VD040</v>
      </c>
      <c r="C644" s="2">
        <f>IFERROR(__xludf.DUMMYFUNCTION("""COMPUTED_VALUE"""),6.0)</f>
        <v>6</v>
      </c>
      <c r="D644" s="2">
        <f>IFERROR(__xludf.DUMMYFUNCTION("""COMPUTED_VALUE"""),213.19)</f>
        <v>213.19</v>
      </c>
    </row>
    <row r="645">
      <c r="A645" s="2" t="str">
        <f>IFERROR(__xludf.DUMMYFUNCTION("""COMPUTED_VALUE"""),"PR059")</f>
        <v>PR059</v>
      </c>
      <c r="B645" s="2" t="str">
        <f>IFERROR(__xludf.DUMMYFUNCTION("""COMPUTED_VALUE"""),"VD027")</f>
        <v>VD027</v>
      </c>
      <c r="C645" s="2">
        <f>IFERROR(__xludf.DUMMYFUNCTION("""COMPUTED_VALUE"""),2.0)</f>
        <v>2</v>
      </c>
      <c r="D645" s="2">
        <f>IFERROR(__xludf.DUMMYFUNCTION("""COMPUTED_VALUE"""),378.0)</f>
        <v>378</v>
      </c>
    </row>
    <row r="646">
      <c r="A646" s="2" t="str">
        <f>IFERROR(__xludf.DUMMYFUNCTION("""COMPUTED_VALUE"""),"PR058")</f>
        <v>PR058</v>
      </c>
      <c r="B646" s="2" t="str">
        <f>IFERROR(__xludf.DUMMYFUNCTION("""COMPUTED_VALUE"""),"VD031")</f>
        <v>VD031</v>
      </c>
      <c r="C646" s="2">
        <f>IFERROR(__xludf.DUMMYFUNCTION("""COMPUTED_VALUE"""),5.0)</f>
        <v>5</v>
      </c>
      <c r="D646" s="2">
        <f>IFERROR(__xludf.DUMMYFUNCTION("""COMPUTED_VALUE"""),927.0)</f>
        <v>927</v>
      </c>
    </row>
    <row r="647">
      <c r="A647" s="2" t="str">
        <f>IFERROR(__xludf.DUMMYFUNCTION("""COMPUTED_VALUE"""),"PR039")</f>
        <v>PR039</v>
      </c>
      <c r="B647" s="2" t="str">
        <f>IFERROR(__xludf.DUMMYFUNCTION("""COMPUTED_VALUE"""),"VD048")</f>
        <v>VD048</v>
      </c>
      <c r="C647" s="2">
        <f>IFERROR(__xludf.DUMMYFUNCTION("""COMPUTED_VALUE"""),1.0)</f>
        <v>1</v>
      </c>
      <c r="D647" s="2">
        <f>IFERROR(__xludf.DUMMYFUNCTION("""COMPUTED_VALUE"""),153.3)</f>
        <v>153.3</v>
      </c>
    </row>
    <row r="648">
      <c r="A648" s="2" t="str">
        <f>IFERROR(__xludf.DUMMYFUNCTION("""COMPUTED_VALUE"""),"PR001")</f>
        <v>PR001</v>
      </c>
      <c r="B648" s="2" t="str">
        <f>IFERROR(__xludf.DUMMYFUNCTION("""COMPUTED_VALUE"""),"VD028")</f>
        <v>VD028</v>
      </c>
      <c r="C648" s="2">
        <f>IFERROR(__xludf.DUMMYFUNCTION("""COMPUTED_VALUE"""),5.0)</f>
        <v>5</v>
      </c>
      <c r="D648" s="2">
        <f>IFERROR(__xludf.DUMMYFUNCTION("""COMPUTED_VALUE"""),336.09)</f>
        <v>336.09</v>
      </c>
    </row>
    <row r="649">
      <c r="A649" s="2" t="str">
        <f>IFERROR(__xludf.DUMMYFUNCTION("""COMPUTED_VALUE"""),"PR006")</f>
        <v>PR006</v>
      </c>
      <c r="B649" s="2" t="str">
        <f>IFERROR(__xludf.DUMMYFUNCTION("""COMPUTED_VALUE"""),"VD027")</f>
        <v>VD027</v>
      </c>
      <c r="C649" s="2">
        <f>IFERROR(__xludf.DUMMYFUNCTION("""COMPUTED_VALUE"""),8.0)</f>
        <v>8</v>
      </c>
      <c r="D649" s="2">
        <f>IFERROR(__xludf.DUMMYFUNCTION("""COMPUTED_VALUE"""),347.93)</f>
        <v>347.93</v>
      </c>
    </row>
    <row r="650">
      <c r="A650" s="2" t="str">
        <f>IFERROR(__xludf.DUMMYFUNCTION("""COMPUTED_VALUE"""),"PR049")</f>
        <v>PR049</v>
      </c>
      <c r="B650" s="2" t="str">
        <f>IFERROR(__xludf.DUMMYFUNCTION("""COMPUTED_VALUE"""),"VD017")</f>
        <v>VD017</v>
      </c>
      <c r="C650" s="2">
        <f>IFERROR(__xludf.DUMMYFUNCTION("""COMPUTED_VALUE"""),16.0)</f>
        <v>16</v>
      </c>
      <c r="D650" s="2">
        <f>IFERROR(__xludf.DUMMYFUNCTION("""COMPUTED_VALUE"""),536.93)</f>
        <v>536.93</v>
      </c>
    </row>
    <row r="651">
      <c r="A651" s="2" t="str">
        <f>IFERROR(__xludf.DUMMYFUNCTION("""COMPUTED_VALUE"""),"PR029")</f>
        <v>PR029</v>
      </c>
      <c r="B651" s="2" t="str">
        <f>IFERROR(__xludf.DUMMYFUNCTION("""COMPUTED_VALUE"""),"VD035")</f>
        <v>VD035</v>
      </c>
      <c r="C651" s="2">
        <f>IFERROR(__xludf.DUMMYFUNCTION("""COMPUTED_VALUE"""),8.0)</f>
        <v>8</v>
      </c>
      <c r="D651" s="2">
        <f>IFERROR(__xludf.DUMMYFUNCTION("""COMPUTED_VALUE"""),2121.6)</f>
        <v>2121.6</v>
      </c>
    </row>
    <row r="652">
      <c r="A652" s="2" t="str">
        <f>IFERROR(__xludf.DUMMYFUNCTION("""COMPUTED_VALUE"""),"PR053")</f>
        <v>PR053</v>
      </c>
      <c r="B652" s="2" t="str">
        <f>IFERROR(__xludf.DUMMYFUNCTION("""COMPUTED_VALUE"""),"VD017")</f>
        <v>VD017</v>
      </c>
      <c r="C652" s="2">
        <f>IFERROR(__xludf.DUMMYFUNCTION("""COMPUTED_VALUE"""),3.0)</f>
        <v>3</v>
      </c>
      <c r="D652" s="2">
        <f>IFERROR(__xludf.DUMMYFUNCTION("""COMPUTED_VALUE"""),164.67)</f>
        <v>164.67</v>
      </c>
    </row>
    <row r="653">
      <c r="A653" s="2" t="str">
        <f>IFERROR(__xludf.DUMMYFUNCTION("""COMPUTED_VALUE"""),"PR058")</f>
        <v>PR058</v>
      </c>
      <c r="B653" s="2" t="str">
        <f>IFERROR(__xludf.DUMMYFUNCTION("""COMPUTED_VALUE"""),"VD038")</f>
        <v>VD038</v>
      </c>
      <c r="C653" s="2">
        <f>IFERROR(__xludf.DUMMYFUNCTION("""COMPUTED_VALUE"""),5.0)</f>
        <v>5</v>
      </c>
      <c r="D653" s="2">
        <f>IFERROR(__xludf.DUMMYFUNCTION("""COMPUTED_VALUE"""),909.0)</f>
        <v>909</v>
      </c>
    </row>
    <row r="654">
      <c r="A654" s="2" t="str">
        <f>IFERROR(__xludf.DUMMYFUNCTION("""COMPUTED_VALUE"""),"PR054")</f>
        <v>PR054</v>
      </c>
      <c r="B654" s="2" t="str">
        <f>IFERROR(__xludf.DUMMYFUNCTION("""COMPUTED_VALUE"""),"VD021")</f>
        <v>VD021</v>
      </c>
      <c r="C654" s="2">
        <f>IFERROR(__xludf.DUMMYFUNCTION("""COMPUTED_VALUE"""),12.0)</f>
        <v>12</v>
      </c>
      <c r="D654" s="2">
        <f>IFERROR(__xludf.DUMMYFUNCTION("""COMPUTED_VALUE"""),604.79)</f>
        <v>604.79</v>
      </c>
    </row>
    <row r="655">
      <c r="A655" s="2" t="str">
        <f>IFERROR(__xludf.DUMMYFUNCTION("""COMPUTED_VALUE"""),"PR035")</f>
        <v>PR035</v>
      </c>
      <c r="B655" s="2" t="str">
        <f>IFERROR(__xludf.DUMMYFUNCTION("""COMPUTED_VALUE"""),"VD039")</f>
        <v>VD039</v>
      </c>
      <c r="C655" s="2">
        <f>IFERROR(__xludf.DUMMYFUNCTION("""COMPUTED_VALUE"""),1.0)</f>
        <v>1</v>
      </c>
      <c r="D655" s="2">
        <f>IFERROR(__xludf.DUMMYFUNCTION("""COMPUTED_VALUE"""),94.14)</f>
        <v>94.14</v>
      </c>
    </row>
    <row r="656">
      <c r="A656" s="2" t="str">
        <f>IFERROR(__xludf.DUMMYFUNCTION("""COMPUTED_VALUE"""),"PR013")</f>
        <v>PR013</v>
      </c>
      <c r="B656" s="2" t="str">
        <f>IFERROR(__xludf.DUMMYFUNCTION("""COMPUTED_VALUE"""),"VD020")</f>
        <v>VD020</v>
      </c>
      <c r="C656" s="2">
        <f>IFERROR(__xludf.DUMMYFUNCTION("""COMPUTED_VALUE"""),18.0)</f>
        <v>18</v>
      </c>
      <c r="D656" s="2">
        <f>IFERROR(__xludf.DUMMYFUNCTION("""COMPUTED_VALUE"""),761.29)</f>
        <v>761.29</v>
      </c>
    </row>
    <row r="657">
      <c r="A657" s="2" t="str">
        <f>IFERROR(__xludf.DUMMYFUNCTION("""COMPUTED_VALUE"""),"PR011")</f>
        <v>PR011</v>
      </c>
      <c r="B657" s="2" t="str">
        <f>IFERROR(__xludf.DUMMYFUNCTION("""COMPUTED_VALUE"""),"VD032")</f>
        <v>VD032</v>
      </c>
      <c r="C657" s="2">
        <f>IFERROR(__xludf.DUMMYFUNCTION("""COMPUTED_VALUE"""),18.0)</f>
        <v>18</v>
      </c>
      <c r="D657" s="2">
        <f>IFERROR(__xludf.DUMMYFUNCTION("""COMPUTED_VALUE"""),886.41)</f>
        <v>886.41</v>
      </c>
    </row>
    <row r="658">
      <c r="A658" s="2" t="str">
        <f>IFERROR(__xludf.DUMMYFUNCTION("""COMPUTED_VALUE"""),"PR037")</f>
        <v>PR037</v>
      </c>
      <c r="B658" s="2" t="str">
        <f>IFERROR(__xludf.DUMMYFUNCTION("""COMPUTED_VALUE"""),"VD010")</f>
        <v>VD010</v>
      </c>
      <c r="C658" s="2">
        <f>IFERROR(__xludf.DUMMYFUNCTION("""COMPUTED_VALUE"""),10.0)</f>
        <v>10</v>
      </c>
      <c r="D658" s="2">
        <f>IFERROR(__xludf.DUMMYFUNCTION("""COMPUTED_VALUE"""),1540.0)</f>
        <v>1540</v>
      </c>
    </row>
    <row r="659">
      <c r="A659" s="2" t="str">
        <f>IFERROR(__xludf.DUMMYFUNCTION("""COMPUTED_VALUE"""),"PR038")</f>
        <v>PR038</v>
      </c>
      <c r="B659" s="2" t="str">
        <f>IFERROR(__xludf.DUMMYFUNCTION("""COMPUTED_VALUE"""),"VD040")</f>
        <v>VD040</v>
      </c>
      <c r="C659" s="2">
        <f>IFERROR(__xludf.DUMMYFUNCTION("""COMPUTED_VALUE"""),6.0)</f>
        <v>6</v>
      </c>
      <c r="D659" s="2">
        <f>IFERROR(__xludf.DUMMYFUNCTION("""COMPUTED_VALUE"""),908.84)</f>
        <v>908.84</v>
      </c>
    </row>
    <row r="660">
      <c r="A660" s="2" t="str">
        <f>IFERROR(__xludf.DUMMYFUNCTION("""COMPUTED_VALUE"""),"PR049")</f>
        <v>PR049</v>
      </c>
      <c r="B660" s="2" t="str">
        <f>IFERROR(__xludf.DUMMYFUNCTION("""COMPUTED_VALUE"""),"VD020")</f>
        <v>VD020</v>
      </c>
      <c r="C660" s="2">
        <f>IFERROR(__xludf.DUMMYFUNCTION("""COMPUTED_VALUE"""),2.0)</f>
        <v>2</v>
      </c>
      <c r="D660" s="2">
        <f>IFERROR(__xludf.DUMMYFUNCTION("""COMPUTED_VALUE"""),68.43)</f>
        <v>68.43</v>
      </c>
    </row>
    <row r="661">
      <c r="A661" s="2" t="str">
        <f>IFERROR(__xludf.DUMMYFUNCTION("""COMPUTED_VALUE"""),"PR006")</f>
        <v>PR006</v>
      </c>
      <c r="B661" s="2" t="str">
        <f>IFERROR(__xludf.DUMMYFUNCTION("""COMPUTED_VALUE"""),"VD048")</f>
        <v>VD048</v>
      </c>
      <c r="C661" s="2">
        <f>IFERROR(__xludf.DUMMYFUNCTION("""COMPUTED_VALUE"""),7.0)</f>
        <v>7</v>
      </c>
      <c r="D661" s="2">
        <f>IFERROR(__xludf.DUMMYFUNCTION("""COMPUTED_VALUE"""),307.23)</f>
        <v>307.23</v>
      </c>
    </row>
    <row r="662">
      <c r="A662" s="2" t="str">
        <f>IFERROR(__xludf.DUMMYFUNCTION("""COMPUTED_VALUE"""),"PR058")</f>
        <v>PR058</v>
      </c>
      <c r="B662" s="2" t="str">
        <f>IFERROR(__xludf.DUMMYFUNCTION("""COMPUTED_VALUE"""),"VD021")</f>
        <v>VD021</v>
      </c>
      <c r="C662" s="2">
        <f>IFERROR(__xludf.DUMMYFUNCTION("""COMPUTED_VALUE"""),6.0)</f>
        <v>6</v>
      </c>
      <c r="D662" s="2">
        <f>IFERROR(__xludf.DUMMYFUNCTION("""COMPUTED_VALUE"""),1166.4)</f>
        <v>1166.4</v>
      </c>
    </row>
    <row r="663">
      <c r="A663" s="2" t="str">
        <f>IFERROR(__xludf.DUMMYFUNCTION("""COMPUTED_VALUE"""),"PR059")</f>
        <v>PR059</v>
      </c>
      <c r="B663" s="2" t="str">
        <f>IFERROR(__xludf.DUMMYFUNCTION("""COMPUTED_VALUE"""),"VD033")</f>
        <v>VD033</v>
      </c>
      <c r="C663" s="2">
        <f>IFERROR(__xludf.DUMMYFUNCTION("""COMPUTED_VALUE"""),6.0)</f>
        <v>6</v>
      </c>
      <c r="D663" s="2">
        <f>IFERROR(__xludf.DUMMYFUNCTION("""COMPUTED_VALUE"""),1166.4)</f>
        <v>1166.4</v>
      </c>
    </row>
    <row r="664">
      <c r="A664" s="2" t="str">
        <f>IFERROR(__xludf.DUMMYFUNCTION("""COMPUTED_VALUE"""),"PR051")</f>
        <v>PR051</v>
      </c>
      <c r="B664" s="2" t="str">
        <f>IFERROR(__xludf.DUMMYFUNCTION("""COMPUTED_VALUE"""),"VD024")</f>
        <v>VD024</v>
      </c>
      <c r="C664" s="2">
        <f>IFERROR(__xludf.DUMMYFUNCTION("""COMPUTED_VALUE"""),1.0)</f>
        <v>1</v>
      </c>
      <c r="D664" s="2">
        <f>IFERROR(__xludf.DUMMYFUNCTION("""COMPUTED_VALUE"""),33.56)</f>
        <v>33.56</v>
      </c>
    </row>
    <row r="665">
      <c r="A665" s="2" t="str">
        <f>IFERROR(__xludf.DUMMYFUNCTION("""COMPUTED_VALUE"""),"PR038")</f>
        <v>PR038</v>
      </c>
      <c r="B665" s="2" t="str">
        <f>IFERROR(__xludf.DUMMYFUNCTION("""COMPUTED_VALUE"""),"VD013")</f>
        <v>VD013</v>
      </c>
      <c r="C665" s="2">
        <f>IFERROR(__xludf.DUMMYFUNCTION("""COMPUTED_VALUE"""),7.0)</f>
        <v>7</v>
      </c>
      <c r="D665" s="2">
        <f>IFERROR(__xludf.DUMMYFUNCTION("""COMPUTED_VALUE"""),1020.31)</f>
        <v>1020.31</v>
      </c>
    </row>
    <row r="666">
      <c r="A666" s="2" t="str">
        <f>IFERROR(__xludf.DUMMYFUNCTION("""COMPUTED_VALUE"""),"PR005")</f>
        <v>PR005</v>
      </c>
      <c r="B666" s="2" t="str">
        <f>IFERROR(__xludf.DUMMYFUNCTION("""COMPUTED_VALUE"""),"VD048")</f>
        <v>VD048</v>
      </c>
      <c r="C666" s="2">
        <f>IFERROR(__xludf.DUMMYFUNCTION("""COMPUTED_VALUE"""),1.0)</f>
        <v>1</v>
      </c>
      <c r="D666" s="2">
        <f>IFERROR(__xludf.DUMMYFUNCTION("""COMPUTED_VALUE"""),275.49)</f>
        <v>275.49</v>
      </c>
    </row>
    <row r="667">
      <c r="A667" s="2" t="str">
        <f>IFERROR(__xludf.DUMMYFUNCTION("""COMPUTED_VALUE"""),"PR008")</f>
        <v>PR008</v>
      </c>
      <c r="B667" s="2" t="str">
        <f>IFERROR(__xludf.DUMMYFUNCTION("""COMPUTED_VALUE"""),"VD015")</f>
        <v>VD015</v>
      </c>
      <c r="C667" s="2">
        <f>IFERROR(__xludf.DUMMYFUNCTION("""COMPUTED_VALUE"""),20.0)</f>
        <v>20</v>
      </c>
      <c r="D667" s="2">
        <f>IFERROR(__xludf.DUMMYFUNCTION("""COMPUTED_VALUE"""),1977.8)</f>
        <v>1977.8</v>
      </c>
    </row>
    <row r="668">
      <c r="A668" s="2" t="str">
        <f>IFERROR(__xludf.DUMMYFUNCTION("""COMPUTED_VALUE"""),"PR044")</f>
        <v>PR044</v>
      </c>
      <c r="B668" s="2" t="str">
        <f>IFERROR(__xludf.DUMMYFUNCTION("""COMPUTED_VALUE"""),"VD046")</f>
        <v>VD046</v>
      </c>
      <c r="C668" s="2">
        <f>IFERROR(__xludf.DUMMYFUNCTION("""COMPUTED_VALUE"""),5.0)</f>
        <v>5</v>
      </c>
      <c r="D668" s="2">
        <f>IFERROR(__xludf.DUMMYFUNCTION("""COMPUTED_VALUE"""),387.88)</f>
        <v>387.88</v>
      </c>
    </row>
    <row r="669">
      <c r="A669" s="2" t="str">
        <f>IFERROR(__xludf.DUMMYFUNCTION("""COMPUTED_VALUE"""),"PR022")</f>
        <v>PR022</v>
      </c>
      <c r="B669" s="2" t="str">
        <f>IFERROR(__xludf.DUMMYFUNCTION("""COMPUTED_VALUE"""),"VD021")</f>
        <v>VD021</v>
      </c>
      <c r="C669" s="2">
        <f>IFERROR(__xludf.DUMMYFUNCTION("""COMPUTED_VALUE"""),3.0)</f>
        <v>3</v>
      </c>
      <c r="D669" s="2">
        <f>IFERROR(__xludf.DUMMYFUNCTION("""COMPUTED_VALUE"""),963.0)</f>
        <v>963</v>
      </c>
    </row>
    <row r="670">
      <c r="A670" s="2" t="str">
        <f>IFERROR(__xludf.DUMMYFUNCTION("""COMPUTED_VALUE"""),"PR017")</f>
        <v>PR017</v>
      </c>
      <c r="B670" s="2" t="str">
        <f>IFERROR(__xludf.DUMMYFUNCTION("""COMPUTED_VALUE"""),"VD042")</f>
        <v>VD042</v>
      </c>
      <c r="C670" s="2">
        <f>IFERROR(__xludf.DUMMYFUNCTION("""COMPUTED_VALUE"""),4.0)</f>
        <v>4</v>
      </c>
      <c r="D670" s="2">
        <f>IFERROR(__xludf.DUMMYFUNCTION("""COMPUTED_VALUE"""),121.99)</f>
        <v>121.99</v>
      </c>
    </row>
    <row r="671">
      <c r="A671" s="2" t="str">
        <f>IFERROR(__xludf.DUMMYFUNCTION("""COMPUTED_VALUE"""),"PR008")</f>
        <v>PR008</v>
      </c>
      <c r="B671" s="2" t="str">
        <f>IFERROR(__xludf.DUMMYFUNCTION("""COMPUTED_VALUE"""),"VD043")</f>
        <v>VD043</v>
      </c>
      <c r="C671" s="2">
        <f>IFERROR(__xludf.DUMMYFUNCTION("""COMPUTED_VALUE"""),10.0)</f>
        <v>10</v>
      </c>
      <c r="D671" s="2">
        <f>IFERROR(__xludf.DUMMYFUNCTION("""COMPUTED_VALUE"""),943.95)</f>
        <v>943.95</v>
      </c>
    </row>
    <row r="672">
      <c r="A672" s="2" t="str">
        <f>IFERROR(__xludf.DUMMYFUNCTION("""COMPUTED_VALUE"""),"PR047")</f>
        <v>PR047</v>
      </c>
      <c r="B672" s="2" t="str">
        <f>IFERROR(__xludf.DUMMYFUNCTION("""COMPUTED_VALUE"""),"VD025")</f>
        <v>VD025</v>
      </c>
      <c r="C672" s="2">
        <f>IFERROR(__xludf.DUMMYFUNCTION("""COMPUTED_VALUE"""),6.0)</f>
        <v>6</v>
      </c>
      <c r="D672" s="2">
        <f>IFERROR(__xludf.DUMMYFUNCTION("""COMPUTED_VALUE"""),1861.16)</f>
        <v>1861.16</v>
      </c>
    </row>
    <row r="673">
      <c r="A673" s="2" t="str">
        <f>IFERROR(__xludf.DUMMYFUNCTION("""COMPUTED_VALUE"""),"PR041")</f>
        <v>PR041</v>
      </c>
      <c r="B673" s="2" t="str">
        <f>IFERROR(__xludf.DUMMYFUNCTION("""COMPUTED_VALUE"""),"VD041")</f>
        <v>VD041</v>
      </c>
      <c r="C673" s="2">
        <f>IFERROR(__xludf.DUMMYFUNCTION("""COMPUTED_VALUE"""),2.0)</f>
        <v>2</v>
      </c>
      <c r="D673" s="2">
        <f>IFERROR(__xludf.DUMMYFUNCTION("""COMPUTED_VALUE"""),116.39)</f>
        <v>116.39</v>
      </c>
    </row>
    <row r="674">
      <c r="A674" s="2" t="str">
        <f>IFERROR(__xludf.DUMMYFUNCTION("""COMPUTED_VALUE"""),"PR051")</f>
        <v>PR051</v>
      </c>
      <c r="B674" s="2" t="str">
        <f>IFERROR(__xludf.DUMMYFUNCTION("""COMPUTED_VALUE"""),"VD044")</f>
        <v>VD044</v>
      </c>
      <c r="C674" s="2">
        <f>IFERROR(__xludf.DUMMYFUNCTION("""COMPUTED_VALUE"""),10.0)</f>
        <v>10</v>
      </c>
      <c r="D674" s="2">
        <f>IFERROR(__xludf.DUMMYFUNCTION("""COMPUTED_VALUE"""),358.61)</f>
        <v>358.61</v>
      </c>
    </row>
    <row r="675">
      <c r="A675" s="2" t="str">
        <f>IFERROR(__xludf.DUMMYFUNCTION("""COMPUTED_VALUE"""),"PR001")</f>
        <v>PR001</v>
      </c>
      <c r="B675" s="2" t="str">
        <f>IFERROR(__xludf.DUMMYFUNCTION("""COMPUTED_VALUE"""),"VD032")</f>
        <v>VD032</v>
      </c>
      <c r="C675" s="2">
        <f>IFERROR(__xludf.DUMMYFUNCTION("""COMPUTED_VALUE"""),6.0)</f>
        <v>6</v>
      </c>
      <c r="D675" s="2">
        <f>IFERROR(__xludf.DUMMYFUNCTION("""COMPUTED_VALUE"""),427.03)</f>
        <v>427.03</v>
      </c>
    </row>
    <row r="676">
      <c r="A676" s="2" t="str">
        <f>IFERROR(__xludf.DUMMYFUNCTION("""COMPUTED_VALUE"""),"PR010")</f>
        <v>PR010</v>
      </c>
      <c r="B676" s="2" t="str">
        <f>IFERROR(__xludf.DUMMYFUNCTION("""COMPUTED_VALUE"""),"VD037")</f>
        <v>VD037</v>
      </c>
      <c r="C676" s="2">
        <f>IFERROR(__xludf.DUMMYFUNCTION("""COMPUTED_VALUE"""),20.0)</f>
        <v>20</v>
      </c>
      <c r="D676" s="2">
        <f>IFERROR(__xludf.DUMMYFUNCTION("""COMPUTED_VALUE"""),942.9)</f>
        <v>942.9</v>
      </c>
    </row>
    <row r="677">
      <c r="A677" s="2" t="str">
        <f>IFERROR(__xludf.DUMMYFUNCTION("""COMPUTED_VALUE"""),"PR047")</f>
        <v>PR047</v>
      </c>
      <c r="B677" s="2" t="str">
        <f>IFERROR(__xludf.DUMMYFUNCTION("""COMPUTED_VALUE"""),"VD033")</f>
        <v>VD033</v>
      </c>
      <c r="C677" s="2">
        <f>IFERROR(__xludf.DUMMYFUNCTION("""COMPUTED_VALUE"""),8.0)</f>
        <v>8</v>
      </c>
      <c r="D677" s="2">
        <f>IFERROR(__xludf.DUMMYFUNCTION("""COMPUTED_VALUE"""),2388.78)</f>
        <v>2388.78</v>
      </c>
    </row>
    <row r="678">
      <c r="A678" s="2" t="str">
        <f>IFERROR(__xludf.DUMMYFUNCTION("""COMPUTED_VALUE"""),"PR029")</f>
        <v>PR029</v>
      </c>
      <c r="B678" s="2" t="str">
        <f>IFERROR(__xludf.DUMMYFUNCTION("""COMPUTED_VALUE"""),"VD013")</f>
        <v>VD013</v>
      </c>
      <c r="C678" s="2">
        <f>IFERROR(__xludf.DUMMYFUNCTION("""COMPUTED_VALUE"""),14.0)</f>
        <v>14</v>
      </c>
      <c r="D678" s="2">
        <f>IFERROR(__xludf.DUMMYFUNCTION("""COMPUTED_VALUE"""),3641.4)</f>
        <v>3641.4</v>
      </c>
    </row>
    <row r="679">
      <c r="A679" s="2" t="str">
        <f>IFERROR(__xludf.DUMMYFUNCTION("""COMPUTED_VALUE"""),"PR031")</f>
        <v>PR031</v>
      </c>
      <c r="B679" s="2" t="str">
        <f>IFERROR(__xludf.DUMMYFUNCTION("""COMPUTED_VALUE"""),"VD036")</f>
        <v>VD036</v>
      </c>
      <c r="C679" s="2">
        <f>IFERROR(__xludf.DUMMYFUNCTION("""COMPUTED_VALUE"""),2.0)</f>
        <v>2</v>
      </c>
      <c r="D679" s="2">
        <f>IFERROR(__xludf.DUMMYFUNCTION("""COMPUTED_VALUE"""),499.8)</f>
        <v>499.8</v>
      </c>
    </row>
    <row r="680">
      <c r="A680" s="2" t="str">
        <f>IFERROR(__xludf.DUMMYFUNCTION("""COMPUTED_VALUE"""),"PR032")</f>
        <v>PR032</v>
      </c>
      <c r="B680" s="2" t="str">
        <f>IFERROR(__xludf.DUMMYFUNCTION("""COMPUTED_VALUE"""),"VD021")</f>
        <v>VD021</v>
      </c>
      <c r="C680" s="2">
        <f>IFERROR(__xludf.DUMMYFUNCTION("""COMPUTED_VALUE"""),3.0)</f>
        <v>3</v>
      </c>
      <c r="D680" s="2">
        <f>IFERROR(__xludf.DUMMYFUNCTION("""COMPUTED_VALUE"""),772.5)</f>
        <v>772.5</v>
      </c>
    </row>
    <row r="681">
      <c r="A681" s="2" t="str">
        <f>IFERROR(__xludf.DUMMYFUNCTION("""COMPUTED_VALUE"""),"PR037")</f>
        <v>PR037</v>
      </c>
      <c r="B681" s="2" t="str">
        <f>IFERROR(__xludf.DUMMYFUNCTION("""COMPUTED_VALUE"""),"VD049")</f>
        <v>VD049</v>
      </c>
      <c r="C681" s="2">
        <f>IFERROR(__xludf.DUMMYFUNCTION("""COMPUTED_VALUE"""),3.0)</f>
        <v>3</v>
      </c>
      <c r="D681" s="2">
        <f>IFERROR(__xludf.DUMMYFUNCTION("""COMPUTED_VALUE"""),432.6)</f>
        <v>432.6</v>
      </c>
    </row>
    <row r="682">
      <c r="A682" s="2" t="str">
        <f>IFERROR(__xludf.DUMMYFUNCTION("""COMPUTED_VALUE"""),"PR018")</f>
        <v>PR018</v>
      </c>
      <c r="B682" s="2" t="str">
        <f>IFERROR(__xludf.DUMMYFUNCTION("""COMPUTED_VALUE"""),"VD026")</f>
        <v>VD026</v>
      </c>
      <c r="C682" s="2">
        <f>IFERROR(__xludf.DUMMYFUNCTION("""COMPUTED_VALUE"""),3.0)</f>
        <v>3</v>
      </c>
      <c r="D682" s="2">
        <f>IFERROR(__xludf.DUMMYFUNCTION("""COMPUTED_VALUE"""),107.58)</f>
        <v>107.58</v>
      </c>
    </row>
    <row r="683">
      <c r="A683" s="2" t="str">
        <f>IFERROR(__xludf.DUMMYFUNCTION("""COMPUTED_VALUE"""),"PR048")</f>
        <v>PR048</v>
      </c>
      <c r="B683" s="2" t="str">
        <f>IFERROR(__xludf.DUMMYFUNCTION("""COMPUTED_VALUE"""),"VD040")</f>
        <v>VD040</v>
      </c>
      <c r="C683" s="2">
        <f>IFERROR(__xludf.DUMMYFUNCTION("""COMPUTED_VALUE"""),2.0)</f>
        <v>2</v>
      </c>
      <c r="D683" s="2">
        <f>IFERROR(__xludf.DUMMYFUNCTION("""COMPUTED_VALUE"""),591.4)</f>
        <v>591.4</v>
      </c>
    </row>
    <row r="684">
      <c r="A684" s="2" t="str">
        <f>IFERROR(__xludf.DUMMYFUNCTION("""COMPUTED_VALUE"""),"PR011")</f>
        <v>PR011</v>
      </c>
      <c r="B684" s="2" t="str">
        <f>IFERROR(__xludf.DUMMYFUNCTION("""COMPUTED_VALUE"""),"VD036")</f>
        <v>VD036</v>
      </c>
      <c r="C684" s="2">
        <f>IFERROR(__xludf.DUMMYFUNCTION("""COMPUTED_VALUE"""),9.0)</f>
        <v>9</v>
      </c>
      <c r="D684" s="2">
        <f>IFERROR(__xludf.DUMMYFUNCTION("""COMPUTED_VALUE"""),464.31)</f>
        <v>464.31</v>
      </c>
    </row>
    <row r="685">
      <c r="A685" s="2" t="str">
        <f>IFERROR(__xludf.DUMMYFUNCTION("""COMPUTED_VALUE"""),"PR021")</f>
        <v>PR021</v>
      </c>
      <c r="B685" s="2" t="str">
        <f>IFERROR(__xludf.DUMMYFUNCTION("""COMPUTED_VALUE"""),"VD019")</f>
        <v>VD019</v>
      </c>
      <c r="C685" s="2">
        <f>IFERROR(__xludf.DUMMYFUNCTION("""COMPUTED_VALUE"""),2.0)</f>
        <v>2</v>
      </c>
      <c r="D685" s="2">
        <f>IFERROR(__xludf.DUMMYFUNCTION("""COMPUTED_VALUE"""),623.97)</f>
        <v>623.97</v>
      </c>
    </row>
    <row r="686">
      <c r="A686" s="2" t="str">
        <f>IFERROR(__xludf.DUMMYFUNCTION("""COMPUTED_VALUE"""),"PR021")</f>
        <v>PR021</v>
      </c>
      <c r="B686" s="2" t="str">
        <f>IFERROR(__xludf.DUMMYFUNCTION("""COMPUTED_VALUE"""),"VD038")</f>
        <v>VD038</v>
      </c>
      <c r="C686" s="2">
        <f>IFERROR(__xludf.DUMMYFUNCTION("""COMPUTED_VALUE"""),6.0)</f>
        <v>6</v>
      </c>
      <c r="D686" s="2">
        <f>IFERROR(__xludf.DUMMYFUNCTION("""COMPUTED_VALUE"""),1926.44)</f>
        <v>1926.44</v>
      </c>
    </row>
    <row r="687">
      <c r="A687" s="2" t="str">
        <f>IFERROR(__xludf.DUMMYFUNCTION("""COMPUTED_VALUE"""),"PR049")</f>
        <v>PR049</v>
      </c>
      <c r="B687" s="2" t="str">
        <f>IFERROR(__xludf.DUMMYFUNCTION("""COMPUTED_VALUE"""),"VD021")</f>
        <v>VD021</v>
      </c>
      <c r="C687" s="2">
        <f>IFERROR(__xludf.DUMMYFUNCTION("""COMPUTED_VALUE"""),2.0)</f>
        <v>2</v>
      </c>
      <c r="D687" s="2">
        <f>IFERROR(__xludf.DUMMYFUNCTION("""COMPUTED_VALUE"""),67.77)</f>
        <v>67.77</v>
      </c>
    </row>
    <row r="688">
      <c r="A688" s="2" t="str">
        <f>IFERROR(__xludf.DUMMYFUNCTION("""COMPUTED_VALUE"""),"PR056")</f>
        <v>PR056</v>
      </c>
      <c r="B688" s="2" t="str">
        <f>IFERROR(__xludf.DUMMYFUNCTION("""COMPUTED_VALUE"""),"VD030")</f>
        <v>VD030</v>
      </c>
      <c r="C688" s="2">
        <f>IFERROR(__xludf.DUMMYFUNCTION("""COMPUTED_VALUE"""),7.0)</f>
        <v>7</v>
      </c>
      <c r="D688" s="2">
        <f>IFERROR(__xludf.DUMMYFUNCTION("""COMPUTED_VALUE"""),692.23)</f>
        <v>692.23</v>
      </c>
    </row>
    <row r="689">
      <c r="A689" s="2" t="str">
        <f>IFERROR(__xludf.DUMMYFUNCTION("""COMPUTED_VALUE"""),"PR005")</f>
        <v>PR005</v>
      </c>
      <c r="B689" s="2" t="str">
        <f>IFERROR(__xludf.DUMMYFUNCTION("""COMPUTED_VALUE"""),"VD028")</f>
        <v>VD028</v>
      </c>
      <c r="C689" s="2">
        <f>IFERROR(__xludf.DUMMYFUNCTION("""COMPUTED_VALUE"""),6.0)</f>
        <v>6</v>
      </c>
      <c r="D689" s="2">
        <f>IFERROR(__xludf.DUMMYFUNCTION("""COMPUTED_VALUE"""),1684.15)</f>
        <v>1684.15</v>
      </c>
    </row>
    <row r="690">
      <c r="A690" s="2" t="str">
        <f>IFERROR(__xludf.DUMMYFUNCTION("""COMPUTED_VALUE"""),"PR029")</f>
        <v>PR029</v>
      </c>
      <c r="B690" s="2" t="str">
        <f>IFERROR(__xludf.DUMMYFUNCTION("""COMPUTED_VALUE"""),"VD010")</f>
        <v>VD010</v>
      </c>
      <c r="C690" s="2">
        <f>IFERROR(__xludf.DUMMYFUNCTION("""COMPUTED_VALUE"""),8.0)</f>
        <v>8</v>
      </c>
      <c r="D690" s="2">
        <f>IFERROR(__xludf.DUMMYFUNCTION("""COMPUTED_VALUE"""),2060.4)</f>
        <v>2060.4</v>
      </c>
    </row>
    <row r="691">
      <c r="A691" s="2" t="str">
        <f>IFERROR(__xludf.DUMMYFUNCTION("""COMPUTED_VALUE"""),"PR054")</f>
        <v>PR054</v>
      </c>
      <c r="B691" s="2" t="str">
        <f>IFERROR(__xludf.DUMMYFUNCTION("""COMPUTED_VALUE"""),"VD032")</f>
        <v>VD032</v>
      </c>
      <c r="C691" s="2">
        <f>IFERROR(__xludf.DUMMYFUNCTION("""COMPUTED_VALUE"""),10.0)</f>
        <v>10</v>
      </c>
      <c r="D691" s="2">
        <f>IFERROR(__xludf.DUMMYFUNCTION("""COMPUTED_VALUE"""),538.92)</f>
        <v>538.92</v>
      </c>
    </row>
    <row r="692">
      <c r="A692" s="2" t="str">
        <f>IFERROR(__xludf.DUMMYFUNCTION("""COMPUTED_VALUE"""),"PR038")</f>
        <v>PR038</v>
      </c>
      <c r="B692" s="2" t="str">
        <f>IFERROR(__xludf.DUMMYFUNCTION("""COMPUTED_VALUE"""),"VD040")</f>
        <v>VD040</v>
      </c>
      <c r="C692" s="2">
        <f>IFERROR(__xludf.DUMMYFUNCTION("""COMPUTED_VALUE"""),6.0)</f>
        <v>6</v>
      </c>
      <c r="D692" s="2">
        <f>IFERROR(__xludf.DUMMYFUNCTION("""COMPUTED_VALUE"""),917.42)</f>
        <v>917.42</v>
      </c>
    </row>
    <row r="693">
      <c r="A693" s="2" t="str">
        <f>IFERROR(__xludf.DUMMYFUNCTION("""COMPUTED_VALUE"""),"PR042")</f>
        <v>PR042</v>
      </c>
      <c r="B693" s="2" t="str">
        <f>IFERROR(__xludf.DUMMYFUNCTION("""COMPUTED_VALUE"""),"VD012")</f>
        <v>VD012</v>
      </c>
      <c r="C693" s="2">
        <f>IFERROR(__xludf.DUMMYFUNCTION("""COMPUTED_VALUE"""),8.0)</f>
        <v>8</v>
      </c>
      <c r="D693" s="2">
        <f>IFERROR(__xludf.DUMMYFUNCTION("""COMPUTED_VALUE"""),452.38)</f>
        <v>452.38</v>
      </c>
    </row>
    <row r="694">
      <c r="A694" s="2" t="str">
        <f>IFERROR(__xludf.DUMMYFUNCTION("""COMPUTED_VALUE"""),"PR028")</f>
        <v>PR028</v>
      </c>
      <c r="B694" s="2" t="str">
        <f>IFERROR(__xludf.DUMMYFUNCTION("""COMPUTED_VALUE"""),"VD032")</f>
        <v>VD032</v>
      </c>
      <c r="C694" s="2">
        <f>IFERROR(__xludf.DUMMYFUNCTION("""COMPUTED_VALUE"""),9.0)</f>
        <v>9</v>
      </c>
      <c r="D694" s="2">
        <f>IFERROR(__xludf.DUMMYFUNCTION("""COMPUTED_VALUE"""),2429.03)</f>
        <v>2429.03</v>
      </c>
    </row>
    <row r="695">
      <c r="A695" s="2" t="str">
        <f>IFERROR(__xludf.DUMMYFUNCTION("""COMPUTED_VALUE"""),"PR039")</f>
        <v>PR039</v>
      </c>
      <c r="B695" s="2" t="str">
        <f>IFERROR(__xludf.DUMMYFUNCTION("""COMPUTED_VALUE"""),"VD027")</f>
        <v>VD027</v>
      </c>
      <c r="C695" s="2">
        <f>IFERROR(__xludf.DUMMYFUNCTION("""COMPUTED_VALUE"""),6.0)</f>
        <v>6</v>
      </c>
      <c r="D695" s="2">
        <f>IFERROR(__xludf.DUMMYFUNCTION("""COMPUTED_VALUE"""),928.56)</f>
        <v>928.56</v>
      </c>
    </row>
    <row r="696">
      <c r="A696" s="2" t="str">
        <f>IFERROR(__xludf.DUMMYFUNCTION("""COMPUTED_VALUE"""),"PR010")</f>
        <v>PR010</v>
      </c>
      <c r="B696" s="2" t="str">
        <f>IFERROR(__xludf.DUMMYFUNCTION("""COMPUTED_VALUE"""),"VD027")</f>
        <v>VD027</v>
      </c>
      <c r="C696" s="2">
        <f>IFERROR(__xludf.DUMMYFUNCTION("""COMPUTED_VALUE"""),1.0)</f>
        <v>1</v>
      </c>
      <c r="D696" s="2">
        <f>IFERROR(__xludf.DUMMYFUNCTION("""COMPUTED_VALUE"""),45.8)</f>
        <v>45.8</v>
      </c>
    </row>
    <row r="697">
      <c r="A697" s="2" t="str">
        <f>IFERROR(__xludf.DUMMYFUNCTION("""COMPUTED_VALUE"""),"PR050")</f>
        <v>PR050</v>
      </c>
      <c r="B697" s="2" t="str">
        <f>IFERROR(__xludf.DUMMYFUNCTION("""COMPUTED_VALUE"""),"VD029")</f>
        <v>VD029</v>
      </c>
      <c r="C697" s="2">
        <f>IFERROR(__xludf.DUMMYFUNCTION("""COMPUTED_VALUE"""),16.0)</f>
        <v>16</v>
      </c>
      <c r="D697" s="2">
        <f>IFERROR(__xludf.DUMMYFUNCTION("""COMPUTED_VALUE"""),526.4)</f>
        <v>526.4</v>
      </c>
    </row>
    <row r="698">
      <c r="A698" s="2" t="str">
        <f>IFERROR(__xludf.DUMMYFUNCTION("""COMPUTED_VALUE"""),"PR046")</f>
        <v>PR046</v>
      </c>
      <c r="B698" s="2" t="str">
        <f>IFERROR(__xludf.DUMMYFUNCTION("""COMPUTED_VALUE"""),"VD025")</f>
        <v>VD025</v>
      </c>
      <c r="C698" s="2">
        <f>IFERROR(__xludf.DUMMYFUNCTION("""COMPUTED_VALUE"""),6.0)</f>
        <v>6</v>
      </c>
      <c r="D698" s="2">
        <f>IFERROR(__xludf.DUMMYFUNCTION("""COMPUTED_VALUE"""),1826.37)</f>
        <v>1826.37</v>
      </c>
    </row>
    <row r="699">
      <c r="A699" s="2" t="str">
        <f>IFERROR(__xludf.DUMMYFUNCTION("""COMPUTED_VALUE"""),"PR036")</f>
        <v>PR036</v>
      </c>
      <c r="B699" s="2" t="str">
        <f>IFERROR(__xludf.DUMMYFUNCTION("""COMPUTED_VALUE"""),"VD024")</f>
        <v>VD024</v>
      </c>
      <c r="C699" s="2">
        <f>IFERROR(__xludf.DUMMYFUNCTION("""COMPUTED_VALUE"""),2.0)</f>
        <v>2</v>
      </c>
      <c r="D699" s="2">
        <f>IFERROR(__xludf.DUMMYFUNCTION("""COMPUTED_VALUE"""),203.83)</f>
        <v>203.83</v>
      </c>
    </row>
    <row r="700">
      <c r="A700" s="2" t="str">
        <f>IFERROR(__xludf.DUMMYFUNCTION("""COMPUTED_VALUE"""),"PR047")</f>
        <v>PR047</v>
      </c>
      <c r="B700" s="2" t="str">
        <f>IFERROR(__xludf.DUMMYFUNCTION("""COMPUTED_VALUE"""),"VD035")</f>
        <v>VD035</v>
      </c>
      <c r="C700" s="2">
        <f>IFERROR(__xludf.DUMMYFUNCTION("""COMPUTED_VALUE"""),1.0)</f>
        <v>1</v>
      </c>
      <c r="D700" s="2">
        <f>IFERROR(__xludf.DUMMYFUNCTION("""COMPUTED_VALUE"""),313.09)</f>
        <v>313.09</v>
      </c>
    </row>
    <row r="701">
      <c r="A701" s="2" t="str">
        <f>IFERROR(__xludf.DUMMYFUNCTION("""COMPUTED_VALUE"""),"PR014")</f>
        <v>PR014</v>
      </c>
      <c r="B701" s="2" t="str">
        <f>IFERROR(__xludf.DUMMYFUNCTION("""COMPUTED_VALUE"""),"VD028")</f>
        <v>VD028</v>
      </c>
      <c r="C701" s="2">
        <f>IFERROR(__xludf.DUMMYFUNCTION("""COMPUTED_VALUE"""),4.0)</f>
        <v>4</v>
      </c>
      <c r="D701" s="2">
        <f>IFERROR(__xludf.DUMMYFUNCTION("""COMPUTED_VALUE"""),161.2)</f>
        <v>161.2</v>
      </c>
    </row>
    <row r="702">
      <c r="A702" s="2" t="str">
        <f>IFERROR(__xludf.DUMMYFUNCTION("""COMPUTED_VALUE"""),"PR039")</f>
        <v>PR039</v>
      </c>
      <c r="B702" s="2" t="str">
        <f>IFERROR(__xludf.DUMMYFUNCTION("""COMPUTED_VALUE"""),"VD012")</f>
        <v>VD012</v>
      </c>
      <c r="C702" s="2">
        <f>IFERROR(__xludf.DUMMYFUNCTION("""COMPUTED_VALUE"""),20.0)</f>
        <v>20</v>
      </c>
      <c r="D702" s="2">
        <f>IFERROR(__xludf.DUMMYFUNCTION("""COMPUTED_VALUE"""),3124.4)</f>
        <v>3124.4</v>
      </c>
    </row>
    <row r="703">
      <c r="A703" s="2" t="str">
        <f>IFERROR(__xludf.DUMMYFUNCTION("""COMPUTED_VALUE"""),"PR051")</f>
        <v>PR051</v>
      </c>
      <c r="B703" s="2" t="str">
        <f>IFERROR(__xludf.DUMMYFUNCTION("""COMPUTED_VALUE"""),"VD034")</f>
        <v>VD034</v>
      </c>
      <c r="C703" s="2">
        <f>IFERROR(__xludf.DUMMYFUNCTION("""COMPUTED_VALUE"""),6.0)</f>
        <v>6</v>
      </c>
      <c r="D703" s="2">
        <f>IFERROR(__xludf.DUMMYFUNCTION("""COMPUTED_VALUE"""),211.22)</f>
        <v>211.22</v>
      </c>
    </row>
    <row r="704">
      <c r="A704" s="2" t="str">
        <f>IFERROR(__xludf.DUMMYFUNCTION("""COMPUTED_VALUE"""),"PR060")</f>
        <v>PR060</v>
      </c>
      <c r="B704" s="2" t="str">
        <f>IFERROR(__xludf.DUMMYFUNCTION("""COMPUTED_VALUE"""),"VD043")</f>
        <v>VD043</v>
      </c>
      <c r="C704" s="2">
        <f>IFERROR(__xludf.DUMMYFUNCTION("""COMPUTED_VALUE"""),8.0)</f>
        <v>8</v>
      </c>
      <c r="D704" s="2">
        <f>IFERROR(__xludf.DUMMYFUNCTION("""COMPUTED_VALUE"""),1483.2)</f>
        <v>1483.2</v>
      </c>
    </row>
    <row r="705">
      <c r="A705" s="2" t="str">
        <f>IFERROR(__xludf.DUMMYFUNCTION("""COMPUTED_VALUE"""),"PR050")</f>
        <v>PR050</v>
      </c>
      <c r="B705" s="2" t="str">
        <f>IFERROR(__xludf.DUMMYFUNCTION("""COMPUTED_VALUE"""),"VD040")</f>
        <v>VD040</v>
      </c>
      <c r="C705" s="2">
        <f>IFERROR(__xludf.DUMMYFUNCTION("""COMPUTED_VALUE"""),10.0)</f>
        <v>10</v>
      </c>
      <c r="D705" s="2">
        <f>IFERROR(__xludf.DUMMYFUNCTION("""COMPUTED_VALUE"""),329.0)</f>
        <v>329</v>
      </c>
    </row>
    <row r="706">
      <c r="A706" s="2" t="str">
        <f>IFERROR(__xludf.DUMMYFUNCTION("""COMPUTED_VALUE"""),"PR044")</f>
        <v>PR044</v>
      </c>
      <c r="B706" s="2" t="str">
        <f>IFERROR(__xludf.DUMMYFUNCTION("""COMPUTED_VALUE"""),"VD012")</f>
        <v>VD012</v>
      </c>
      <c r="C706" s="2">
        <f>IFERROR(__xludf.DUMMYFUNCTION("""COMPUTED_VALUE"""),4.0)</f>
        <v>4</v>
      </c>
      <c r="D706" s="2">
        <f>IFERROR(__xludf.DUMMYFUNCTION("""COMPUTED_VALUE"""),301.6)</f>
        <v>301.6</v>
      </c>
    </row>
    <row r="707">
      <c r="A707" s="2" t="str">
        <f>IFERROR(__xludf.DUMMYFUNCTION("""COMPUTED_VALUE"""),"PR013")</f>
        <v>PR013</v>
      </c>
      <c r="B707" s="2" t="str">
        <f>IFERROR(__xludf.DUMMYFUNCTION("""COMPUTED_VALUE"""),"VD031")</f>
        <v>VD031</v>
      </c>
      <c r="C707" s="2">
        <f>IFERROR(__xludf.DUMMYFUNCTION("""COMPUTED_VALUE"""),14.0)</f>
        <v>14</v>
      </c>
      <c r="D707" s="2">
        <f>IFERROR(__xludf.DUMMYFUNCTION("""COMPUTED_VALUE"""),608.87)</f>
        <v>608.87</v>
      </c>
    </row>
    <row r="708">
      <c r="A708" s="2" t="str">
        <f>IFERROR(__xludf.DUMMYFUNCTION("""COMPUTED_VALUE"""),"PR002")</f>
        <v>PR002</v>
      </c>
      <c r="B708" s="2" t="str">
        <f>IFERROR(__xludf.DUMMYFUNCTION("""COMPUTED_VALUE"""),"VD027")</f>
        <v>VD027</v>
      </c>
      <c r="C708" s="2">
        <f>IFERROR(__xludf.DUMMYFUNCTION("""COMPUTED_VALUE"""),6.0)</f>
        <v>6</v>
      </c>
      <c r="D708" s="2">
        <f>IFERROR(__xludf.DUMMYFUNCTION("""COMPUTED_VALUE"""),452.95)</f>
        <v>452.95</v>
      </c>
    </row>
    <row r="709">
      <c r="A709" s="2" t="str">
        <f>IFERROR(__xludf.DUMMYFUNCTION("""COMPUTED_VALUE"""),"PR031")</f>
        <v>PR031</v>
      </c>
      <c r="B709" s="2" t="str">
        <f>IFERROR(__xludf.DUMMYFUNCTION("""COMPUTED_VALUE"""),"VD024")</f>
        <v>VD024</v>
      </c>
      <c r="C709" s="2">
        <f>IFERROR(__xludf.DUMMYFUNCTION("""COMPUTED_VALUE"""),6.0)</f>
        <v>6</v>
      </c>
      <c r="D709" s="2">
        <f>IFERROR(__xludf.DUMMYFUNCTION("""COMPUTED_VALUE"""),1499.4)</f>
        <v>1499.4</v>
      </c>
    </row>
    <row r="710">
      <c r="A710" s="2" t="str">
        <f>IFERROR(__xludf.DUMMYFUNCTION("""COMPUTED_VALUE"""),"PR052")</f>
        <v>PR052</v>
      </c>
      <c r="B710" s="2" t="str">
        <f>IFERROR(__xludf.DUMMYFUNCTION("""COMPUTED_VALUE"""),"VD041")</f>
        <v>VD041</v>
      </c>
      <c r="C710" s="2">
        <f>IFERROR(__xludf.DUMMYFUNCTION("""COMPUTED_VALUE"""),14.0)</f>
        <v>14</v>
      </c>
      <c r="D710" s="2">
        <f>IFERROR(__xludf.DUMMYFUNCTION("""COMPUTED_VALUE"""),754.49)</f>
        <v>754.49</v>
      </c>
    </row>
    <row r="711">
      <c r="A711" s="2" t="str">
        <f>IFERROR(__xludf.DUMMYFUNCTION("""COMPUTED_VALUE"""),"PR058")</f>
        <v>PR058</v>
      </c>
      <c r="B711" s="2" t="str">
        <f>IFERROR(__xludf.DUMMYFUNCTION("""COMPUTED_VALUE"""),"VD030")</f>
        <v>VD030</v>
      </c>
      <c r="C711" s="2">
        <f>IFERROR(__xludf.DUMMYFUNCTION("""COMPUTED_VALUE"""),2.0)</f>
        <v>2</v>
      </c>
      <c r="D711" s="2">
        <f>IFERROR(__xludf.DUMMYFUNCTION("""COMPUTED_VALUE"""),363.6)</f>
        <v>363.6</v>
      </c>
    </row>
    <row r="712">
      <c r="A712" s="2" t="str">
        <f>IFERROR(__xludf.DUMMYFUNCTION("""COMPUTED_VALUE"""),"PR034")</f>
        <v>PR034</v>
      </c>
      <c r="B712" s="2" t="str">
        <f>IFERROR(__xludf.DUMMYFUNCTION("""COMPUTED_VALUE"""),"VD013")</f>
        <v>VD013</v>
      </c>
      <c r="C712" s="2">
        <f>IFERROR(__xludf.DUMMYFUNCTION("""COMPUTED_VALUE"""),7.0)</f>
        <v>7</v>
      </c>
      <c r="D712" s="2">
        <f>IFERROR(__xludf.DUMMYFUNCTION("""COMPUTED_VALUE"""),667.06)</f>
        <v>667.06</v>
      </c>
    </row>
    <row r="713">
      <c r="A713" s="2" t="str">
        <f>IFERROR(__xludf.DUMMYFUNCTION("""COMPUTED_VALUE"""),"PR052")</f>
        <v>PR052</v>
      </c>
      <c r="B713" s="2" t="str">
        <f>IFERROR(__xludf.DUMMYFUNCTION("""COMPUTED_VALUE"""),"VD041")</f>
        <v>VD041</v>
      </c>
      <c r="C713" s="2">
        <f>IFERROR(__xludf.DUMMYFUNCTION("""COMPUTED_VALUE"""),18.0)</f>
        <v>18</v>
      </c>
      <c r="D713" s="2">
        <f>IFERROR(__xludf.DUMMYFUNCTION("""COMPUTED_VALUE"""),970.06)</f>
        <v>970.06</v>
      </c>
    </row>
    <row r="714">
      <c r="A714" s="2" t="str">
        <f>IFERROR(__xludf.DUMMYFUNCTION("""COMPUTED_VALUE"""),"PR046")</f>
        <v>PR046</v>
      </c>
      <c r="B714" s="2" t="str">
        <f>IFERROR(__xludf.DUMMYFUNCTION("""COMPUTED_VALUE"""),"VD019")</f>
        <v>VD019</v>
      </c>
      <c r="C714" s="2">
        <f>IFERROR(__xludf.DUMMYFUNCTION("""COMPUTED_VALUE"""),4.0)</f>
        <v>4</v>
      </c>
      <c r="D714" s="2">
        <f>IFERROR(__xludf.DUMMYFUNCTION("""COMPUTED_VALUE"""),1240.77)</f>
        <v>1240.77</v>
      </c>
    </row>
    <row r="715">
      <c r="A715" s="2" t="str">
        <f>IFERROR(__xludf.DUMMYFUNCTION("""COMPUTED_VALUE"""),"PR056")</f>
        <v>PR056</v>
      </c>
      <c r="B715" s="2" t="str">
        <f>IFERROR(__xludf.DUMMYFUNCTION("""COMPUTED_VALUE"""),"VD039")</f>
        <v>VD039</v>
      </c>
      <c r="C715" s="2">
        <f>IFERROR(__xludf.DUMMYFUNCTION("""COMPUTED_VALUE"""),14.0)</f>
        <v>14</v>
      </c>
      <c r="D715" s="2">
        <f>IFERROR(__xludf.DUMMYFUNCTION("""COMPUTED_VALUE"""),1334.12)</f>
        <v>1334.12</v>
      </c>
    </row>
    <row r="716">
      <c r="A716" s="2" t="str">
        <f>IFERROR(__xludf.DUMMYFUNCTION("""COMPUTED_VALUE"""),"PR034")</f>
        <v>PR034</v>
      </c>
      <c r="B716" s="2" t="str">
        <f>IFERROR(__xludf.DUMMYFUNCTION("""COMPUTED_VALUE"""),"VD042")</f>
        <v>VD042</v>
      </c>
      <c r="C716" s="2">
        <f>IFERROR(__xludf.DUMMYFUNCTION("""COMPUTED_VALUE"""),10.0)</f>
        <v>10</v>
      </c>
      <c r="D716" s="2">
        <f>IFERROR(__xludf.DUMMYFUNCTION("""COMPUTED_VALUE"""),988.9)</f>
        <v>988.9</v>
      </c>
    </row>
    <row r="717">
      <c r="A717" s="2" t="str">
        <f>IFERROR(__xludf.DUMMYFUNCTION("""COMPUTED_VALUE"""),"PR029")</f>
        <v>PR029</v>
      </c>
      <c r="B717" s="2" t="str">
        <f>IFERROR(__xludf.DUMMYFUNCTION("""COMPUTED_VALUE"""),"VD043")</f>
        <v>VD043</v>
      </c>
      <c r="C717" s="2">
        <f>IFERROR(__xludf.DUMMYFUNCTION("""COMPUTED_VALUE"""),1.0)</f>
        <v>1</v>
      </c>
      <c r="D717" s="2">
        <f>IFERROR(__xludf.DUMMYFUNCTION("""COMPUTED_VALUE"""),267.75)</f>
        <v>267.75</v>
      </c>
    </row>
    <row r="718">
      <c r="A718" s="2" t="str">
        <f>IFERROR(__xludf.DUMMYFUNCTION("""COMPUTED_VALUE"""),"PR043")</f>
        <v>PR043</v>
      </c>
      <c r="B718" s="2" t="str">
        <f>IFERROR(__xludf.DUMMYFUNCTION("""COMPUTED_VALUE"""),"VD023")</f>
        <v>VD023</v>
      </c>
      <c r="C718" s="2">
        <f>IFERROR(__xludf.DUMMYFUNCTION("""COMPUTED_VALUE"""),8.0)</f>
        <v>8</v>
      </c>
      <c r="D718" s="2">
        <f>IFERROR(__xludf.DUMMYFUNCTION("""COMPUTED_VALUE"""),603.2)</f>
        <v>603.2</v>
      </c>
    </row>
    <row r="719">
      <c r="A719" s="2" t="str">
        <f>IFERROR(__xludf.DUMMYFUNCTION("""COMPUTED_VALUE"""),"PR014")</f>
        <v>PR014</v>
      </c>
      <c r="B719" s="2" t="str">
        <f>IFERROR(__xludf.DUMMYFUNCTION("""COMPUTED_VALUE"""),"VD035")</f>
        <v>VD035</v>
      </c>
      <c r="C719" s="2">
        <f>IFERROR(__xludf.DUMMYFUNCTION("""COMPUTED_VALUE"""),5.0)</f>
        <v>5</v>
      </c>
      <c r="D719" s="2">
        <f>IFERROR(__xludf.DUMMYFUNCTION("""COMPUTED_VALUE"""),211.47)</f>
        <v>211.47</v>
      </c>
    </row>
    <row r="720">
      <c r="A720" s="2" t="str">
        <f>IFERROR(__xludf.DUMMYFUNCTION("""COMPUTED_VALUE"""),"PR019")</f>
        <v>PR019</v>
      </c>
      <c r="B720" s="2" t="str">
        <f>IFERROR(__xludf.DUMMYFUNCTION("""COMPUTED_VALUE"""),"VD018")</f>
        <v>VD018</v>
      </c>
      <c r="C720" s="2">
        <f>IFERROR(__xludf.DUMMYFUNCTION("""COMPUTED_VALUE"""),18.0)</f>
        <v>18</v>
      </c>
      <c r="D720" s="2">
        <f>IFERROR(__xludf.DUMMYFUNCTION("""COMPUTED_VALUE"""),925.15)</f>
        <v>925.15</v>
      </c>
    </row>
    <row r="721">
      <c r="A721" s="2" t="str">
        <f>IFERROR(__xludf.DUMMYFUNCTION("""COMPUTED_VALUE"""),"PR057")</f>
        <v>PR057</v>
      </c>
      <c r="B721" s="2" t="str">
        <f>IFERROR(__xludf.DUMMYFUNCTION("""COMPUTED_VALUE"""),"VD028")</f>
        <v>VD028</v>
      </c>
      <c r="C721" s="2">
        <f>IFERROR(__xludf.DUMMYFUNCTION("""COMPUTED_VALUE"""),6.0)</f>
        <v>6</v>
      </c>
      <c r="D721" s="2">
        <f>IFERROR(__xludf.DUMMYFUNCTION("""COMPUTED_VALUE"""),539.4)</f>
        <v>539.4</v>
      </c>
    </row>
    <row r="722">
      <c r="A722" s="2" t="str">
        <f>IFERROR(__xludf.DUMMYFUNCTION("""COMPUTED_VALUE"""),"PR047")</f>
        <v>PR047</v>
      </c>
      <c r="B722" s="2" t="str">
        <f>IFERROR(__xludf.DUMMYFUNCTION("""COMPUTED_VALUE"""),"VD047")</f>
        <v>VD047</v>
      </c>
      <c r="C722" s="2">
        <f>IFERROR(__xludf.DUMMYFUNCTION("""COMPUTED_VALUE"""),8.0)</f>
        <v>8</v>
      </c>
      <c r="D722" s="2">
        <f>IFERROR(__xludf.DUMMYFUNCTION("""COMPUTED_VALUE"""),2458.35)</f>
        <v>2458.35</v>
      </c>
    </row>
    <row r="723">
      <c r="A723" s="2" t="str">
        <f>IFERROR(__xludf.DUMMYFUNCTION("""COMPUTED_VALUE"""),"PR012")</f>
        <v>PR012</v>
      </c>
      <c r="B723" s="2" t="str">
        <f>IFERROR(__xludf.DUMMYFUNCTION("""COMPUTED_VALUE"""),"VD042")</f>
        <v>VD042</v>
      </c>
      <c r="C723" s="2">
        <f>IFERROR(__xludf.DUMMYFUNCTION("""COMPUTED_VALUE"""),16.0)</f>
        <v>16</v>
      </c>
      <c r="D723" s="2">
        <f>IFERROR(__xludf.DUMMYFUNCTION("""COMPUTED_VALUE"""),837.17)</f>
        <v>837.17</v>
      </c>
    </row>
    <row r="724">
      <c r="A724" s="2" t="str">
        <f>IFERROR(__xludf.DUMMYFUNCTION("""COMPUTED_VALUE"""),"PR016")</f>
        <v>PR016</v>
      </c>
      <c r="B724" s="2" t="str">
        <f>IFERROR(__xludf.DUMMYFUNCTION("""COMPUTED_VALUE"""),"VD048")</f>
        <v>VD048</v>
      </c>
      <c r="C724" s="2">
        <f>IFERROR(__xludf.DUMMYFUNCTION("""COMPUTED_VALUE"""),14.0)</f>
        <v>14</v>
      </c>
      <c r="D724" s="2">
        <f>IFERROR(__xludf.DUMMYFUNCTION("""COMPUTED_VALUE"""),391.61)</f>
        <v>391.61</v>
      </c>
    </row>
    <row r="725">
      <c r="A725" s="2" t="str">
        <f>IFERROR(__xludf.DUMMYFUNCTION("""COMPUTED_VALUE"""),"PR047")</f>
        <v>PR047</v>
      </c>
      <c r="B725" s="2" t="str">
        <f>IFERROR(__xludf.DUMMYFUNCTION("""COMPUTED_VALUE"""),"VD049")</f>
        <v>VD049</v>
      </c>
      <c r="C725" s="2">
        <f>IFERROR(__xludf.DUMMYFUNCTION("""COMPUTED_VALUE"""),2.0)</f>
        <v>2</v>
      </c>
      <c r="D725" s="2">
        <f>IFERROR(__xludf.DUMMYFUNCTION("""COMPUTED_VALUE"""),620.39)</f>
        <v>620.39</v>
      </c>
    </row>
    <row r="726">
      <c r="A726" s="2" t="str">
        <f>IFERROR(__xludf.DUMMYFUNCTION("""COMPUTED_VALUE"""),"PR048")</f>
        <v>PR048</v>
      </c>
      <c r="B726" s="2" t="str">
        <f>IFERROR(__xludf.DUMMYFUNCTION("""COMPUTED_VALUE"""),"VD036")</f>
        <v>VD036</v>
      </c>
      <c r="C726" s="2">
        <f>IFERROR(__xludf.DUMMYFUNCTION("""COMPUTED_VALUE"""),4.0)</f>
        <v>4</v>
      </c>
      <c r="D726" s="2">
        <f>IFERROR(__xludf.DUMMYFUNCTION("""COMPUTED_VALUE"""),1275.56)</f>
        <v>1275.56</v>
      </c>
    </row>
    <row r="727">
      <c r="A727" s="2" t="str">
        <f>IFERROR(__xludf.DUMMYFUNCTION("""COMPUTED_VALUE"""),"PR020")</f>
        <v>PR020</v>
      </c>
      <c r="B727" s="2" t="str">
        <f>IFERROR(__xludf.DUMMYFUNCTION("""COMPUTED_VALUE"""),"VD038")</f>
        <v>VD038</v>
      </c>
      <c r="C727" s="2">
        <f>IFERROR(__xludf.DUMMYFUNCTION("""COMPUTED_VALUE"""),4.0)</f>
        <v>4</v>
      </c>
      <c r="D727" s="2">
        <f>IFERROR(__xludf.DUMMYFUNCTION("""COMPUTED_VALUE"""),1235.59)</f>
        <v>1235.59</v>
      </c>
    </row>
    <row r="728">
      <c r="A728" s="2" t="str">
        <f>IFERROR(__xludf.DUMMYFUNCTION("""COMPUTED_VALUE"""),"PR011")</f>
        <v>PR011</v>
      </c>
      <c r="B728" s="2" t="str">
        <f>IFERROR(__xludf.DUMMYFUNCTION("""COMPUTED_VALUE"""),"VD018")</f>
        <v>VD018</v>
      </c>
      <c r="C728" s="2">
        <f>IFERROR(__xludf.DUMMYFUNCTION("""COMPUTED_VALUE"""),6.0)</f>
        <v>6</v>
      </c>
      <c r="D728" s="2">
        <f>IFERROR(__xludf.DUMMYFUNCTION("""COMPUTED_VALUE"""),309.54)</f>
        <v>309.54</v>
      </c>
    </row>
    <row r="729">
      <c r="A729" s="2" t="str">
        <f>IFERROR(__xludf.DUMMYFUNCTION("""COMPUTED_VALUE"""),"PR049")</f>
        <v>PR049</v>
      </c>
      <c r="B729" s="2" t="str">
        <f>IFERROR(__xludf.DUMMYFUNCTION("""COMPUTED_VALUE"""),"VD043")</f>
        <v>VD043</v>
      </c>
      <c r="C729" s="2">
        <f>IFERROR(__xludf.DUMMYFUNCTION("""COMPUTED_VALUE"""),7.0)</f>
        <v>7</v>
      </c>
      <c r="D729" s="2">
        <f>IFERROR(__xludf.DUMMYFUNCTION("""COMPUTED_VALUE"""),244.12)</f>
        <v>244.12</v>
      </c>
    </row>
    <row r="730">
      <c r="A730" s="2" t="str">
        <f>IFERROR(__xludf.DUMMYFUNCTION("""COMPUTED_VALUE"""),"PR018")</f>
        <v>PR018</v>
      </c>
      <c r="B730" s="2" t="str">
        <f>IFERROR(__xludf.DUMMYFUNCTION("""COMPUTED_VALUE"""),"VD033")</f>
        <v>VD033</v>
      </c>
      <c r="C730" s="2">
        <f>IFERROR(__xludf.DUMMYFUNCTION("""COMPUTED_VALUE"""),4.0)</f>
        <v>4</v>
      </c>
      <c r="D730" s="2">
        <f>IFERROR(__xludf.DUMMYFUNCTION("""COMPUTED_VALUE"""),135.55)</f>
        <v>135.55</v>
      </c>
    </row>
    <row r="731">
      <c r="A731" s="2" t="str">
        <f>IFERROR(__xludf.DUMMYFUNCTION("""COMPUTED_VALUE"""),"PR051")</f>
        <v>PR051</v>
      </c>
      <c r="B731" s="2" t="str">
        <f>IFERROR(__xludf.DUMMYFUNCTION("""COMPUTED_VALUE"""),"VD010")</f>
        <v>VD010</v>
      </c>
      <c r="C731" s="2">
        <f>IFERROR(__xludf.DUMMYFUNCTION("""COMPUTED_VALUE"""),9.0)</f>
        <v>9</v>
      </c>
      <c r="D731" s="2">
        <f>IFERROR(__xludf.DUMMYFUNCTION("""COMPUTED_VALUE"""),296.1)</f>
        <v>296.1</v>
      </c>
    </row>
    <row r="732">
      <c r="A732" s="2" t="str">
        <f>IFERROR(__xludf.DUMMYFUNCTION("""COMPUTED_VALUE"""),"PR007")</f>
        <v>PR007</v>
      </c>
      <c r="B732" s="2" t="str">
        <f>IFERROR(__xludf.DUMMYFUNCTION("""COMPUTED_VALUE"""),"VD041")</f>
        <v>VD041</v>
      </c>
      <c r="C732" s="2">
        <f>IFERROR(__xludf.DUMMYFUNCTION("""COMPUTED_VALUE"""),4.0)</f>
        <v>4</v>
      </c>
      <c r="D732" s="2">
        <f>IFERROR(__xludf.DUMMYFUNCTION("""COMPUTED_VALUE"""),353.91)</f>
        <v>353.91</v>
      </c>
    </row>
    <row r="733">
      <c r="A733" s="2" t="str">
        <f>IFERROR(__xludf.DUMMYFUNCTION("""COMPUTED_VALUE"""),"PR008")</f>
        <v>PR008</v>
      </c>
      <c r="B733" s="2" t="str">
        <f>IFERROR(__xludf.DUMMYFUNCTION("""COMPUTED_VALUE"""),"VD046")</f>
        <v>VD046</v>
      </c>
      <c r="C733" s="2">
        <f>IFERROR(__xludf.DUMMYFUNCTION("""COMPUTED_VALUE"""),3.0)</f>
        <v>3</v>
      </c>
      <c r="D733" s="2">
        <f>IFERROR(__xludf.DUMMYFUNCTION("""COMPUTED_VALUE"""),288.58)</f>
        <v>288.58</v>
      </c>
    </row>
    <row r="734">
      <c r="A734" s="2" t="str">
        <f>IFERROR(__xludf.DUMMYFUNCTION("""COMPUTED_VALUE"""),"PR053")</f>
        <v>PR053</v>
      </c>
      <c r="B734" s="2" t="str">
        <f>IFERROR(__xludf.DUMMYFUNCTION("""COMPUTED_VALUE"""),"VD029")</f>
        <v>VD029</v>
      </c>
      <c r="C734" s="2">
        <f>IFERROR(__xludf.DUMMYFUNCTION("""COMPUTED_VALUE"""),8.0)</f>
        <v>8</v>
      </c>
      <c r="D734" s="2">
        <f>IFERROR(__xludf.DUMMYFUNCTION("""COMPUTED_VALUE"""),415.17)</f>
        <v>415.17</v>
      </c>
    </row>
    <row r="735">
      <c r="A735" s="2" t="str">
        <f>IFERROR(__xludf.DUMMYFUNCTION("""COMPUTED_VALUE"""),"PR060")</f>
        <v>PR060</v>
      </c>
      <c r="B735" s="2" t="str">
        <f>IFERROR(__xludf.DUMMYFUNCTION("""COMPUTED_VALUE"""),"VD015")</f>
        <v>VD015</v>
      </c>
      <c r="C735" s="2">
        <f>IFERROR(__xludf.DUMMYFUNCTION("""COMPUTED_VALUE"""),20.0)</f>
        <v>20</v>
      </c>
      <c r="D735" s="2">
        <f>IFERROR(__xludf.DUMMYFUNCTION("""COMPUTED_VALUE"""),3744.0)</f>
        <v>3744</v>
      </c>
    </row>
    <row r="736">
      <c r="A736" s="2" t="str">
        <f>IFERROR(__xludf.DUMMYFUNCTION("""COMPUTED_VALUE"""),"PR037")</f>
        <v>PR037</v>
      </c>
      <c r="B736" s="2" t="str">
        <f>IFERROR(__xludf.DUMMYFUNCTION("""COMPUTED_VALUE"""),"VD040")</f>
        <v>VD040</v>
      </c>
      <c r="C736" s="2">
        <f>IFERROR(__xludf.DUMMYFUNCTION("""COMPUTED_VALUE"""),9.0)</f>
        <v>9</v>
      </c>
      <c r="D736" s="2">
        <f>IFERROR(__xludf.DUMMYFUNCTION("""COMPUTED_VALUE"""),1335.6)</f>
        <v>1335.6</v>
      </c>
    </row>
    <row r="737">
      <c r="A737" s="2" t="str">
        <f>IFERROR(__xludf.DUMMYFUNCTION("""COMPUTED_VALUE"""),"PR050")</f>
        <v>PR050</v>
      </c>
      <c r="B737" s="2" t="str">
        <f>IFERROR(__xludf.DUMMYFUNCTION("""COMPUTED_VALUE"""),"VD028")</f>
        <v>VD028</v>
      </c>
      <c r="C737" s="2">
        <f>IFERROR(__xludf.DUMMYFUNCTION("""COMPUTED_VALUE"""),2.0)</f>
        <v>2</v>
      </c>
      <c r="D737" s="2">
        <f>IFERROR(__xludf.DUMMYFUNCTION("""COMPUTED_VALUE"""),66.46)</f>
        <v>66.46</v>
      </c>
    </row>
    <row r="738">
      <c r="A738" s="2" t="str">
        <f>IFERROR(__xludf.DUMMYFUNCTION("""COMPUTED_VALUE"""),"PR013")</f>
        <v>PR013</v>
      </c>
      <c r="B738" s="2" t="str">
        <f>IFERROR(__xludf.DUMMYFUNCTION("""COMPUTED_VALUE"""),"VD017")</f>
        <v>VD017</v>
      </c>
      <c r="C738" s="2">
        <f>IFERROR(__xludf.DUMMYFUNCTION("""COMPUTED_VALUE"""),8.0)</f>
        <v>8</v>
      </c>
      <c r="D738" s="2">
        <f>IFERROR(__xludf.DUMMYFUNCTION("""COMPUTED_VALUE"""),351.12)</f>
        <v>351.12</v>
      </c>
    </row>
    <row r="739">
      <c r="A739" s="2" t="str">
        <f>IFERROR(__xludf.DUMMYFUNCTION("""COMPUTED_VALUE"""),"PR024")</f>
        <v>PR024</v>
      </c>
      <c r="B739" s="2" t="str">
        <f>IFERROR(__xludf.DUMMYFUNCTION("""COMPUTED_VALUE"""),"VD043")</f>
        <v>VD043</v>
      </c>
      <c r="C739" s="2">
        <f>IFERROR(__xludf.DUMMYFUNCTION("""COMPUTED_VALUE"""),10.0)</f>
        <v>10</v>
      </c>
      <c r="D739" s="2">
        <f>IFERROR(__xludf.DUMMYFUNCTION("""COMPUTED_VALUE"""),2650.98)</f>
        <v>2650.98</v>
      </c>
    </row>
    <row r="740">
      <c r="A740" s="2" t="str">
        <f>IFERROR(__xludf.DUMMYFUNCTION("""COMPUTED_VALUE"""),"PR001")</f>
        <v>PR001</v>
      </c>
      <c r="B740" s="2" t="str">
        <f>IFERROR(__xludf.DUMMYFUNCTION("""COMPUTED_VALUE"""),"VD038")</f>
        <v>VD038</v>
      </c>
      <c r="C740" s="2">
        <f>IFERROR(__xludf.DUMMYFUNCTION("""COMPUTED_VALUE"""),14.0)</f>
        <v>14</v>
      </c>
      <c r="D740" s="2">
        <f>IFERROR(__xludf.DUMMYFUNCTION("""COMPUTED_VALUE"""),987.18)</f>
        <v>987.18</v>
      </c>
    </row>
    <row r="741">
      <c r="A741" s="2" t="str">
        <f>IFERROR(__xludf.DUMMYFUNCTION("""COMPUTED_VALUE"""),"PR004")</f>
        <v>PR004</v>
      </c>
      <c r="B741" s="2" t="str">
        <f>IFERROR(__xludf.DUMMYFUNCTION("""COMPUTED_VALUE"""),"VD019")</f>
        <v>VD019</v>
      </c>
      <c r="C741" s="2">
        <f>IFERROR(__xludf.DUMMYFUNCTION("""COMPUTED_VALUE"""),1.0)</f>
        <v>1</v>
      </c>
      <c r="D741" s="2">
        <f>IFERROR(__xludf.DUMMYFUNCTION("""COMPUTED_VALUE"""),150.8)</f>
        <v>150.8</v>
      </c>
    </row>
    <row r="742">
      <c r="A742" s="2" t="str">
        <f>IFERROR(__xludf.DUMMYFUNCTION("""COMPUTED_VALUE"""),"PR041")</f>
        <v>PR041</v>
      </c>
      <c r="B742" s="2" t="str">
        <f>IFERROR(__xludf.DUMMYFUNCTION("""COMPUTED_VALUE"""),"VD017")</f>
        <v>VD017</v>
      </c>
      <c r="C742" s="2">
        <f>IFERROR(__xludf.DUMMYFUNCTION("""COMPUTED_VALUE"""),4.0)</f>
        <v>4</v>
      </c>
      <c r="D742" s="2">
        <f>IFERROR(__xludf.DUMMYFUNCTION("""COMPUTED_VALUE"""),228.38)</f>
        <v>228.38</v>
      </c>
    </row>
    <row r="743">
      <c r="A743" s="2" t="str">
        <f>IFERROR(__xludf.DUMMYFUNCTION("""COMPUTED_VALUE"""),"PR055")</f>
        <v>PR055</v>
      </c>
      <c r="B743" s="2" t="str">
        <f>IFERROR(__xludf.DUMMYFUNCTION("""COMPUTED_VALUE"""),"VD040")</f>
        <v>VD040</v>
      </c>
      <c r="C743" s="2">
        <f>IFERROR(__xludf.DUMMYFUNCTION("""COMPUTED_VALUE"""),16.0)</f>
        <v>16</v>
      </c>
      <c r="D743" s="2">
        <f>IFERROR(__xludf.DUMMYFUNCTION("""COMPUTED_VALUE"""),1495.94)</f>
        <v>1495.94</v>
      </c>
    </row>
    <row r="744">
      <c r="A744" s="2" t="str">
        <f>IFERROR(__xludf.DUMMYFUNCTION("""COMPUTED_VALUE"""),"PR048")</f>
        <v>PR048</v>
      </c>
      <c r="B744" s="2" t="str">
        <f>IFERROR(__xludf.DUMMYFUNCTION("""COMPUTED_VALUE"""),"VD045")</f>
        <v>VD045</v>
      </c>
      <c r="C744" s="2">
        <f>IFERROR(__xludf.DUMMYFUNCTION("""COMPUTED_VALUE"""),4.0)</f>
        <v>4</v>
      </c>
      <c r="D744" s="2">
        <f>IFERROR(__xludf.DUMMYFUNCTION("""COMPUTED_VALUE"""),1205.98)</f>
        <v>1205.98</v>
      </c>
    </row>
    <row r="745">
      <c r="A745" s="2" t="str">
        <f>IFERROR(__xludf.DUMMYFUNCTION("""COMPUTED_VALUE"""),"PR024")</f>
        <v>PR024</v>
      </c>
      <c r="B745" s="2" t="str">
        <f>IFERROR(__xludf.DUMMYFUNCTION("""COMPUTED_VALUE"""),"VD019")</f>
        <v>VD019</v>
      </c>
      <c r="C745" s="2">
        <f>IFERROR(__xludf.DUMMYFUNCTION("""COMPUTED_VALUE"""),4.0)</f>
        <v>4</v>
      </c>
      <c r="D745" s="2">
        <f>IFERROR(__xludf.DUMMYFUNCTION("""COMPUTED_VALUE"""),1112.37)</f>
        <v>1112.37</v>
      </c>
    </row>
    <row r="746">
      <c r="A746" s="2" t="str">
        <f>IFERROR(__xludf.DUMMYFUNCTION("""COMPUTED_VALUE"""),"PR006")</f>
        <v>PR006</v>
      </c>
      <c r="B746" s="2" t="str">
        <f>IFERROR(__xludf.DUMMYFUNCTION("""COMPUTED_VALUE"""),"VD023")</f>
        <v>VD023</v>
      </c>
      <c r="C746" s="2">
        <f>IFERROR(__xludf.DUMMYFUNCTION("""COMPUTED_VALUE"""),14.0)</f>
        <v>14</v>
      </c>
      <c r="D746" s="2">
        <f>IFERROR(__xludf.DUMMYFUNCTION("""COMPUTED_VALUE"""),586.53)</f>
        <v>586.53</v>
      </c>
    </row>
    <row r="747">
      <c r="A747" s="2" t="str">
        <f>IFERROR(__xludf.DUMMYFUNCTION("""COMPUTED_VALUE"""),"PR022")</f>
        <v>PR022</v>
      </c>
      <c r="B747" s="2" t="str">
        <f>IFERROR(__xludf.DUMMYFUNCTION("""COMPUTED_VALUE"""),"VD029")</f>
        <v>VD029</v>
      </c>
      <c r="C747" s="2">
        <f>IFERROR(__xludf.DUMMYFUNCTION("""COMPUTED_VALUE"""),7.0)</f>
        <v>7</v>
      </c>
      <c r="D747" s="2">
        <f>IFERROR(__xludf.DUMMYFUNCTION("""COMPUTED_VALUE"""),2100.0)</f>
        <v>2100</v>
      </c>
    </row>
    <row r="748">
      <c r="A748" s="2" t="str">
        <f>IFERROR(__xludf.DUMMYFUNCTION("""COMPUTED_VALUE"""),"PR027")</f>
        <v>PR027</v>
      </c>
      <c r="B748" s="2" t="str">
        <f>IFERROR(__xludf.DUMMYFUNCTION("""COMPUTED_VALUE"""),"VD016")</f>
        <v>VD016</v>
      </c>
      <c r="C748" s="2">
        <f>IFERROR(__xludf.DUMMYFUNCTION("""COMPUTED_VALUE"""),2.0)</f>
        <v>2</v>
      </c>
      <c r="D748" s="2">
        <f>IFERROR(__xludf.DUMMYFUNCTION("""COMPUTED_VALUE"""),242.4)</f>
        <v>242.4</v>
      </c>
    </row>
    <row r="749">
      <c r="A749" s="2" t="str">
        <f>IFERROR(__xludf.DUMMYFUNCTION("""COMPUTED_VALUE"""),"PR017")</f>
        <v>PR017</v>
      </c>
      <c r="B749" s="2" t="str">
        <f>IFERROR(__xludf.DUMMYFUNCTION("""COMPUTED_VALUE"""),"VD029")</f>
        <v>VD029</v>
      </c>
      <c r="C749" s="2">
        <f>IFERROR(__xludf.DUMMYFUNCTION("""COMPUTED_VALUE"""),12.0)</f>
        <v>12</v>
      </c>
      <c r="D749" s="2">
        <f>IFERROR(__xludf.DUMMYFUNCTION("""COMPUTED_VALUE"""),380.33)</f>
        <v>380.33</v>
      </c>
    </row>
    <row r="750">
      <c r="A750" s="2" t="str">
        <f>IFERROR(__xludf.DUMMYFUNCTION("""COMPUTED_VALUE"""),"PR018")</f>
        <v>PR018</v>
      </c>
      <c r="B750" s="2" t="str">
        <f>IFERROR(__xludf.DUMMYFUNCTION("""COMPUTED_VALUE"""),"VD049")</f>
        <v>VD049</v>
      </c>
      <c r="C750" s="2">
        <f>IFERROR(__xludf.DUMMYFUNCTION("""COMPUTED_VALUE"""),12.0)</f>
        <v>12</v>
      </c>
      <c r="D750" s="2">
        <f>IFERROR(__xludf.DUMMYFUNCTION("""COMPUTED_VALUE"""),410.59)</f>
        <v>410.59</v>
      </c>
    </row>
    <row r="751">
      <c r="A751" s="2" t="str">
        <f>IFERROR(__xludf.DUMMYFUNCTION("""COMPUTED_VALUE"""),"PR003")</f>
        <v>PR003</v>
      </c>
      <c r="B751" s="2" t="str">
        <f>IFERROR(__xludf.DUMMYFUNCTION("""COMPUTED_VALUE"""),"VD024")</f>
        <v>VD024</v>
      </c>
      <c r="C751" s="2">
        <f>IFERROR(__xludf.DUMMYFUNCTION("""COMPUTED_VALUE"""),9.0)</f>
        <v>9</v>
      </c>
      <c r="D751" s="2">
        <f>IFERROR(__xludf.DUMMYFUNCTION("""COMPUTED_VALUE"""),638.1)</f>
        <v>638.1</v>
      </c>
    </row>
    <row r="752">
      <c r="A752" s="2" t="str">
        <f>IFERROR(__xludf.DUMMYFUNCTION("""COMPUTED_VALUE"""),"PR021")</f>
        <v>PR021</v>
      </c>
      <c r="B752" s="2" t="str">
        <f>IFERROR(__xludf.DUMMYFUNCTION("""COMPUTED_VALUE"""),"VD046")</f>
        <v>VD046</v>
      </c>
      <c r="C752" s="2">
        <f>IFERROR(__xludf.DUMMYFUNCTION("""COMPUTED_VALUE"""),20.0)</f>
        <v>20</v>
      </c>
      <c r="D752" s="2">
        <f>IFERROR(__xludf.DUMMYFUNCTION("""COMPUTED_VALUE"""),6239.74)</f>
        <v>6239.74</v>
      </c>
    </row>
    <row r="753">
      <c r="A753" s="2" t="str">
        <f>IFERROR(__xludf.DUMMYFUNCTION("""COMPUTED_VALUE"""),"PR018")</f>
        <v>PR018</v>
      </c>
      <c r="B753" s="2" t="str">
        <f>IFERROR(__xludf.DUMMYFUNCTION("""COMPUTED_VALUE"""),"VD049")</f>
        <v>VD049</v>
      </c>
      <c r="C753" s="2">
        <f>IFERROR(__xludf.DUMMYFUNCTION("""COMPUTED_VALUE"""),8.0)</f>
        <v>8</v>
      </c>
      <c r="D753" s="2">
        <f>IFERROR(__xludf.DUMMYFUNCTION("""COMPUTED_VALUE"""),278.99)</f>
        <v>278.99</v>
      </c>
    </row>
    <row r="754">
      <c r="A754" s="2" t="str">
        <f>IFERROR(__xludf.DUMMYFUNCTION("""COMPUTED_VALUE"""),"PR047")</f>
        <v>PR047</v>
      </c>
      <c r="B754" s="2" t="str">
        <f>IFERROR(__xludf.DUMMYFUNCTION("""COMPUTED_VALUE"""),"VD019")</f>
        <v>VD019</v>
      </c>
      <c r="C754" s="2">
        <f>IFERROR(__xludf.DUMMYFUNCTION("""COMPUTED_VALUE"""),8.0)</f>
        <v>8</v>
      </c>
      <c r="D754" s="2">
        <f>IFERROR(__xludf.DUMMYFUNCTION("""COMPUTED_VALUE"""),2527.93)</f>
        <v>2527.93</v>
      </c>
    </row>
    <row r="755">
      <c r="A755" s="2" t="str">
        <f>IFERROR(__xludf.DUMMYFUNCTION("""COMPUTED_VALUE"""),"PR030")</f>
        <v>PR030</v>
      </c>
      <c r="B755" s="2" t="str">
        <f>IFERROR(__xludf.DUMMYFUNCTION("""COMPUTED_VALUE"""),"VD043")</f>
        <v>VD043</v>
      </c>
      <c r="C755" s="2">
        <f>IFERROR(__xludf.DUMMYFUNCTION("""COMPUTED_VALUE"""),16.0)</f>
        <v>16</v>
      </c>
      <c r="D755" s="2">
        <f>IFERROR(__xludf.DUMMYFUNCTION("""COMPUTED_VALUE"""),4366.32)</f>
        <v>4366.32</v>
      </c>
    </row>
    <row r="756">
      <c r="A756" s="2" t="str">
        <f>IFERROR(__xludf.DUMMYFUNCTION("""COMPUTED_VALUE"""),"PR011")</f>
        <v>PR011</v>
      </c>
      <c r="B756" s="2" t="str">
        <f>IFERROR(__xludf.DUMMYFUNCTION("""COMPUTED_VALUE"""),"VD026")</f>
        <v>VD026</v>
      </c>
      <c r="C756" s="2">
        <f>IFERROR(__xludf.DUMMYFUNCTION("""COMPUTED_VALUE"""),14.0)</f>
        <v>14</v>
      </c>
      <c r="D756" s="2">
        <f>IFERROR(__xludf.DUMMYFUNCTION("""COMPUTED_VALUE"""),709.13)</f>
        <v>709.13</v>
      </c>
    </row>
    <row r="757">
      <c r="A757" s="2" t="str">
        <f>IFERROR(__xludf.DUMMYFUNCTION("""COMPUTED_VALUE"""),"PR049")</f>
        <v>PR049</v>
      </c>
      <c r="B757" s="2" t="str">
        <f>IFERROR(__xludf.DUMMYFUNCTION("""COMPUTED_VALUE"""),"VD042")</f>
        <v>VD042</v>
      </c>
      <c r="C757" s="2">
        <f>IFERROR(__xludf.DUMMYFUNCTION("""COMPUTED_VALUE"""),8.0)</f>
        <v>8</v>
      </c>
      <c r="D757" s="2">
        <f>IFERROR(__xludf.DUMMYFUNCTION("""COMPUTED_VALUE"""),289.52)</f>
        <v>289.52</v>
      </c>
    </row>
    <row r="758">
      <c r="A758" s="2" t="str">
        <f>IFERROR(__xludf.DUMMYFUNCTION("""COMPUTED_VALUE"""),"PR057")</f>
        <v>PR057</v>
      </c>
      <c r="B758" s="2" t="str">
        <f>IFERROR(__xludf.DUMMYFUNCTION("""COMPUTED_VALUE"""),"VD034")</f>
        <v>VD034</v>
      </c>
      <c r="C758" s="2">
        <f>IFERROR(__xludf.DUMMYFUNCTION("""COMPUTED_VALUE"""),4.0)</f>
        <v>4</v>
      </c>
      <c r="D758" s="2">
        <f>IFERROR(__xludf.DUMMYFUNCTION("""COMPUTED_VALUE"""),366.79)</f>
        <v>366.79</v>
      </c>
    </row>
    <row r="759">
      <c r="A759" s="2" t="str">
        <f>IFERROR(__xludf.DUMMYFUNCTION("""COMPUTED_VALUE"""),"PR049")</f>
        <v>PR049</v>
      </c>
      <c r="B759" s="2" t="str">
        <f>IFERROR(__xludf.DUMMYFUNCTION("""COMPUTED_VALUE"""),"VD049")</f>
        <v>VD049</v>
      </c>
      <c r="C759" s="2">
        <f>IFERROR(__xludf.DUMMYFUNCTION("""COMPUTED_VALUE"""),10.0)</f>
        <v>10</v>
      </c>
      <c r="D759" s="2">
        <f>IFERROR(__xludf.DUMMYFUNCTION("""COMPUTED_VALUE"""),361.9)</f>
        <v>361.9</v>
      </c>
    </row>
    <row r="760">
      <c r="A760" s="2" t="str">
        <f>IFERROR(__xludf.DUMMYFUNCTION("""COMPUTED_VALUE"""),"PR037")</f>
        <v>PR037</v>
      </c>
      <c r="B760" s="2" t="str">
        <f>IFERROR(__xludf.DUMMYFUNCTION("""COMPUTED_VALUE"""),"VD029")</f>
        <v>VD029</v>
      </c>
      <c r="C760" s="2">
        <f>IFERROR(__xludf.DUMMYFUNCTION("""COMPUTED_VALUE"""),4.0)</f>
        <v>4</v>
      </c>
      <c r="D760" s="2">
        <f>IFERROR(__xludf.DUMMYFUNCTION("""COMPUTED_VALUE"""),588.0)</f>
        <v>588</v>
      </c>
    </row>
    <row r="761">
      <c r="A761" s="2" t="str">
        <f>IFERROR(__xludf.DUMMYFUNCTION("""COMPUTED_VALUE"""),"PR029")</f>
        <v>PR029</v>
      </c>
      <c r="B761" s="2" t="str">
        <f>IFERROR(__xludf.DUMMYFUNCTION("""COMPUTED_VALUE"""),"VD017")</f>
        <v>VD017</v>
      </c>
      <c r="C761" s="2">
        <f>IFERROR(__xludf.DUMMYFUNCTION("""COMPUTED_VALUE"""),8.0)</f>
        <v>8</v>
      </c>
      <c r="D761" s="2">
        <f>IFERROR(__xludf.DUMMYFUNCTION("""COMPUTED_VALUE"""),2223.6)</f>
        <v>2223.6</v>
      </c>
    </row>
    <row r="762">
      <c r="A762" s="2" t="str">
        <f>IFERROR(__xludf.DUMMYFUNCTION("""COMPUTED_VALUE"""),"PR007")</f>
        <v>PR007</v>
      </c>
      <c r="B762" s="2" t="str">
        <f>IFERROR(__xludf.DUMMYFUNCTION("""COMPUTED_VALUE"""),"VD027")</f>
        <v>VD027</v>
      </c>
      <c r="C762" s="2">
        <f>IFERROR(__xludf.DUMMYFUNCTION("""COMPUTED_VALUE"""),18.0)</f>
        <v>18</v>
      </c>
      <c r="D762" s="2">
        <f>IFERROR(__xludf.DUMMYFUNCTION("""COMPUTED_VALUE"""),1592.59)</f>
        <v>1592.59</v>
      </c>
    </row>
    <row r="763">
      <c r="A763" s="2" t="str">
        <f>IFERROR(__xludf.DUMMYFUNCTION("""COMPUTED_VALUE"""),"PR023")</f>
        <v>PR023</v>
      </c>
      <c r="B763" s="2" t="str">
        <f>IFERROR(__xludf.DUMMYFUNCTION("""COMPUTED_VALUE"""),"VD044")</f>
        <v>VD044</v>
      </c>
      <c r="C763" s="2">
        <f>IFERROR(__xludf.DUMMYFUNCTION("""COMPUTED_VALUE"""),7.0)</f>
        <v>7</v>
      </c>
      <c r="D763" s="2">
        <f>IFERROR(__xludf.DUMMYFUNCTION("""COMPUTED_VALUE"""),1784.29)</f>
        <v>1784.29</v>
      </c>
    </row>
    <row r="764">
      <c r="A764" s="2" t="str">
        <f>IFERROR(__xludf.DUMMYFUNCTION("""COMPUTED_VALUE"""),"PR003")</f>
        <v>PR003</v>
      </c>
      <c r="B764" s="2" t="str">
        <f>IFERROR(__xludf.DUMMYFUNCTION("""COMPUTED_VALUE"""),"VD011")</f>
        <v>VD011</v>
      </c>
      <c r="C764" s="2">
        <f>IFERROR(__xludf.DUMMYFUNCTION("""COMPUTED_VALUE"""),2.0)</f>
        <v>2</v>
      </c>
      <c r="D764" s="2">
        <f>IFERROR(__xludf.DUMMYFUNCTION("""COMPUTED_VALUE"""),143.22)</f>
        <v>143.22</v>
      </c>
    </row>
    <row r="765">
      <c r="A765" s="2" t="str">
        <f>IFERROR(__xludf.DUMMYFUNCTION("""COMPUTED_VALUE"""),"PR006")</f>
        <v>PR006</v>
      </c>
      <c r="B765" s="2" t="str">
        <f>IFERROR(__xludf.DUMMYFUNCTION("""COMPUTED_VALUE"""),"VD039")</f>
        <v>VD039</v>
      </c>
      <c r="C765" s="2">
        <f>IFERROR(__xludf.DUMMYFUNCTION("""COMPUTED_VALUE"""),10.0)</f>
        <v>10</v>
      </c>
      <c r="D765" s="2">
        <f>IFERROR(__xludf.DUMMYFUNCTION("""COMPUTED_VALUE"""),402.99)</f>
        <v>402.99</v>
      </c>
    </row>
    <row r="766">
      <c r="A766" s="2" t="str">
        <f>IFERROR(__xludf.DUMMYFUNCTION("""COMPUTED_VALUE"""),"PR014")</f>
        <v>PR014</v>
      </c>
      <c r="B766" s="2" t="str">
        <f>IFERROR(__xludf.DUMMYFUNCTION("""COMPUTED_VALUE"""),"VD039")</f>
        <v>VD039</v>
      </c>
      <c r="C766" s="2">
        <f>IFERROR(__xludf.DUMMYFUNCTION("""COMPUTED_VALUE"""),7.0)</f>
        <v>7</v>
      </c>
      <c r="D766" s="2">
        <f>IFERROR(__xludf.DUMMYFUNCTION("""COMPUTED_VALUE"""),304.44)</f>
        <v>304.44</v>
      </c>
    </row>
    <row r="767">
      <c r="A767" s="2" t="str">
        <f>IFERROR(__xludf.DUMMYFUNCTION("""COMPUTED_VALUE"""),"PR033")</f>
        <v>PR033</v>
      </c>
      <c r="B767" s="2" t="str">
        <f>IFERROR(__xludf.DUMMYFUNCTION("""COMPUTED_VALUE"""),"VD042")</f>
        <v>VD042</v>
      </c>
      <c r="C767" s="2">
        <f>IFERROR(__xludf.DUMMYFUNCTION("""COMPUTED_VALUE"""),9.0)</f>
        <v>9</v>
      </c>
      <c r="D767" s="2">
        <f>IFERROR(__xludf.DUMMYFUNCTION("""COMPUTED_VALUE"""),2409.27)</f>
        <v>2409.27</v>
      </c>
    </row>
    <row r="768">
      <c r="A768" s="2" t="str">
        <f>IFERROR(__xludf.DUMMYFUNCTION("""COMPUTED_VALUE"""),"PR017")</f>
        <v>PR017</v>
      </c>
      <c r="B768" s="2" t="str">
        <f>IFERROR(__xludf.DUMMYFUNCTION("""COMPUTED_VALUE"""),"VD022")</f>
        <v>VD022</v>
      </c>
      <c r="C768" s="2">
        <f>IFERROR(__xludf.DUMMYFUNCTION("""COMPUTED_VALUE"""),2.0)</f>
        <v>2</v>
      </c>
      <c r="D768" s="2">
        <f>IFERROR(__xludf.DUMMYFUNCTION("""COMPUTED_VALUE"""),63.39)</f>
        <v>63.39</v>
      </c>
    </row>
    <row r="769">
      <c r="A769" s="2" t="str">
        <f>IFERROR(__xludf.DUMMYFUNCTION("""COMPUTED_VALUE"""),"PR038")</f>
        <v>PR038</v>
      </c>
      <c r="B769" s="2" t="str">
        <f>IFERROR(__xludf.DUMMYFUNCTION("""COMPUTED_VALUE"""),"VD010")</f>
        <v>VD010</v>
      </c>
      <c r="C769" s="2">
        <f>IFERROR(__xludf.DUMMYFUNCTION("""COMPUTED_VALUE"""),7.0)</f>
        <v>7</v>
      </c>
      <c r="D769" s="2">
        <f>IFERROR(__xludf.DUMMYFUNCTION("""COMPUTED_VALUE"""),1070.32)</f>
        <v>1070.32</v>
      </c>
    </row>
    <row r="770">
      <c r="A770" s="2" t="str">
        <f>IFERROR(__xludf.DUMMYFUNCTION("""COMPUTED_VALUE"""),"PR020")</f>
        <v>PR020</v>
      </c>
      <c r="B770" s="2" t="str">
        <f>IFERROR(__xludf.DUMMYFUNCTION("""COMPUTED_VALUE"""),"VD038")</f>
        <v>VD038</v>
      </c>
      <c r="C770" s="2">
        <f>IFERROR(__xludf.DUMMYFUNCTION("""COMPUTED_VALUE"""),5.0)</f>
        <v>5</v>
      </c>
      <c r="D770" s="2">
        <f>IFERROR(__xludf.DUMMYFUNCTION("""COMPUTED_VALUE"""),1589.47)</f>
        <v>1589.47</v>
      </c>
    </row>
    <row r="771">
      <c r="A771" s="2" t="str">
        <f>IFERROR(__xludf.DUMMYFUNCTION("""COMPUTED_VALUE"""),"PR005")</f>
        <v>PR005</v>
      </c>
      <c r="B771" s="2" t="str">
        <f>IFERROR(__xludf.DUMMYFUNCTION("""COMPUTED_VALUE"""),"VD047")</f>
        <v>VD047</v>
      </c>
      <c r="C771" s="2">
        <f>IFERROR(__xludf.DUMMYFUNCTION("""COMPUTED_VALUE"""),3.0)</f>
        <v>3</v>
      </c>
      <c r="D771" s="2">
        <f>IFERROR(__xludf.DUMMYFUNCTION("""COMPUTED_VALUE"""),849.87)</f>
        <v>849.87</v>
      </c>
    </row>
    <row r="772">
      <c r="A772" s="2" t="str">
        <f>IFERROR(__xludf.DUMMYFUNCTION("""COMPUTED_VALUE"""),"PR058")</f>
        <v>PR058</v>
      </c>
      <c r="B772" s="2" t="str">
        <f>IFERROR(__xludf.DUMMYFUNCTION("""COMPUTED_VALUE"""),"VD014")</f>
        <v>VD014</v>
      </c>
      <c r="C772" s="2">
        <f>IFERROR(__xludf.DUMMYFUNCTION("""COMPUTED_VALUE"""),1.0)</f>
        <v>1</v>
      </c>
      <c r="D772" s="2">
        <f>IFERROR(__xludf.DUMMYFUNCTION("""COMPUTED_VALUE"""),190.8)</f>
        <v>190.8</v>
      </c>
    </row>
    <row r="773">
      <c r="A773" s="2" t="str">
        <f>IFERROR(__xludf.DUMMYFUNCTION("""COMPUTED_VALUE"""),"PR033")</f>
        <v>PR033</v>
      </c>
      <c r="B773" s="2" t="str">
        <f>IFERROR(__xludf.DUMMYFUNCTION("""COMPUTED_VALUE"""),"VD049")</f>
        <v>VD049</v>
      </c>
      <c r="C773" s="2">
        <f>IFERROR(__xludf.DUMMYFUNCTION("""COMPUTED_VALUE"""),2.0)</f>
        <v>2</v>
      </c>
      <c r="D773" s="2">
        <f>IFERROR(__xludf.DUMMYFUNCTION("""COMPUTED_VALUE"""),571.78)</f>
        <v>571.78</v>
      </c>
    </row>
    <row r="774">
      <c r="A774" s="2" t="str">
        <f>IFERROR(__xludf.DUMMYFUNCTION("""COMPUTED_VALUE"""),"PR049")</f>
        <v>PR049</v>
      </c>
      <c r="B774" s="2" t="str">
        <f>IFERROR(__xludf.DUMMYFUNCTION("""COMPUTED_VALUE"""),"VD047")</f>
        <v>VD047</v>
      </c>
      <c r="C774" s="2">
        <f>IFERROR(__xludf.DUMMYFUNCTION("""COMPUTED_VALUE"""),1.0)</f>
        <v>1</v>
      </c>
      <c r="D774" s="2">
        <f>IFERROR(__xludf.DUMMYFUNCTION("""COMPUTED_VALUE"""),34.55)</f>
        <v>34.55</v>
      </c>
    </row>
    <row r="775">
      <c r="A775" s="2" t="str">
        <f>IFERROR(__xludf.DUMMYFUNCTION("""COMPUTED_VALUE"""),"PR028")</f>
        <v>PR028</v>
      </c>
      <c r="B775" s="2" t="str">
        <f>IFERROR(__xludf.DUMMYFUNCTION("""COMPUTED_VALUE"""),"VD024")</f>
        <v>VD024</v>
      </c>
      <c r="C775" s="2">
        <f>IFERROR(__xludf.DUMMYFUNCTION("""COMPUTED_VALUE"""),9.0)</f>
        <v>9</v>
      </c>
      <c r="D775" s="2">
        <f>IFERROR(__xludf.DUMMYFUNCTION("""COMPUTED_VALUE"""),2474.01)</f>
        <v>2474.01</v>
      </c>
    </row>
    <row r="776">
      <c r="A776" s="2" t="str">
        <f>IFERROR(__xludf.DUMMYFUNCTION("""COMPUTED_VALUE"""),"PR034")</f>
        <v>PR034</v>
      </c>
      <c r="B776" s="2" t="str">
        <f>IFERROR(__xludf.DUMMYFUNCTION("""COMPUTED_VALUE"""),"VD029")</f>
        <v>VD029</v>
      </c>
      <c r="C776" s="2">
        <f>IFERROR(__xludf.DUMMYFUNCTION("""COMPUTED_VALUE"""),8.0)</f>
        <v>8</v>
      </c>
      <c r="D776" s="2">
        <f>IFERROR(__xludf.DUMMYFUNCTION("""COMPUTED_VALUE"""),769.54)</f>
        <v>769.54</v>
      </c>
    </row>
    <row r="777">
      <c r="A777" s="2" t="str">
        <f>IFERROR(__xludf.DUMMYFUNCTION("""COMPUTED_VALUE"""),"PR057")</f>
        <v>PR057</v>
      </c>
      <c r="B777" s="2" t="str">
        <f>IFERROR(__xludf.DUMMYFUNCTION("""COMPUTED_VALUE"""),"VD024")</f>
        <v>VD024</v>
      </c>
      <c r="C777" s="2">
        <f>IFERROR(__xludf.DUMMYFUNCTION("""COMPUTED_VALUE"""),8.0)</f>
        <v>8</v>
      </c>
      <c r="D777" s="2">
        <f>IFERROR(__xludf.DUMMYFUNCTION("""COMPUTED_VALUE"""),726.39)</f>
        <v>726.39</v>
      </c>
    </row>
    <row r="778">
      <c r="A778" s="2" t="str">
        <f>IFERROR(__xludf.DUMMYFUNCTION("""COMPUTED_VALUE"""),"PR007")</f>
        <v>PR007</v>
      </c>
      <c r="B778" s="2" t="str">
        <f>IFERROR(__xludf.DUMMYFUNCTION("""COMPUTED_VALUE"""),"VD048")</f>
        <v>VD048</v>
      </c>
      <c r="C778" s="2">
        <f>IFERROR(__xludf.DUMMYFUNCTION("""COMPUTED_VALUE"""),14.0)</f>
        <v>14</v>
      </c>
      <c r="D778" s="2">
        <f>IFERROR(__xludf.DUMMYFUNCTION("""COMPUTED_VALUE"""),1322.86)</f>
        <v>1322.86</v>
      </c>
    </row>
    <row r="779">
      <c r="A779" s="2" t="str">
        <f>IFERROR(__xludf.DUMMYFUNCTION("""COMPUTED_VALUE"""),"PR054")</f>
        <v>PR054</v>
      </c>
      <c r="B779" s="2" t="str">
        <f>IFERROR(__xludf.DUMMYFUNCTION("""COMPUTED_VALUE"""),"VD036")</f>
        <v>VD036</v>
      </c>
      <c r="C779" s="2">
        <f>IFERROR(__xludf.DUMMYFUNCTION("""COMPUTED_VALUE"""),6.0)</f>
        <v>6</v>
      </c>
      <c r="D779" s="2">
        <f>IFERROR(__xludf.DUMMYFUNCTION("""COMPUTED_VALUE"""),317.36)</f>
        <v>317.36</v>
      </c>
    </row>
    <row r="780">
      <c r="A780" s="2" t="str">
        <f>IFERROR(__xludf.DUMMYFUNCTION("""COMPUTED_VALUE"""),"PR026")</f>
        <v>PR026</v>
      </c>
      <c r="B780" s="2" t="str">
        <f>IFERROR(__xludf.DUMMYFUNCTION("""COMPUTED_VALUE"""),"VD016")</f>
        <v>VD016</v>
      </c>
      <c r="C780" s="2">
        <f>IFERROR(__xludf.DUMMYFUNCTION("""COMPUTED_VALUE"""),6.0)</f>
        <v>6</v>
      </c>
      <c r="D780" s="2">
        <f>IFERROR(__xludf.DUMMYFUNCTION("""COMPUTED_VALUE"""),2183.38)</f>
        <v>2183.38</v>
      </c>
    </row>
    <row r="781">
      <c r="A781" s="2" t="str">
        <f>IFERROR(__xludf.DUMMYFUNCTION("""COMPUTED_VALUE"""),"PR024")</f>
        <v>PR024</v>
      </c>
      <c r="B781" s="2" t="str">
        <f>IFERROR(__xludf.DUMMYFUNCTION("""COMPUTED_VALUE"""),"VD037")</f>
        <v>VD037</v>
      </c>
      <c r="C781" s="2">
        <f>IFERROR(__xludf.DUMMYFUNCTION("""COMPUTED_VALUE"""),5.0)</f>
        <v>5</v>
      </c>
      <c r="D781" s="2">
        <f>IFERROR(__xludf.DUMMYFUNCTION("""COMPUTED_VALUE"""),1429.45)</f>
        <v>1429.45</v>
      </c>
    </row>
    <row r="782">
      <c r="A782" s="2" t="str">
        <f>IFERROR(__xludf.DUMMYFUNCTION("""COMPUTED_VALUE"""),"PR044")</f>
        <v>PR044</v>
      </c>
      <c r="B782" s="2" t="str">
        <f>IFERROR(__xludf.DUMMYFUNCTION("""COMPUTED_VALUE"""),"VD045")</f>
        <v>VD045</v>
      </c>
      <c r="C782" s="2">
        <f>IFERROR(__xludf.DUMMYFUNCTION("""COMPUTED_VALUE"""),8.0)</f>
        <v>8</v>
      </c>
      <c r="D782" s="2">
        <f>IFERROR(__xludf.DUMMYFUNCTION("""COMPUTED_VALUE"""),620.6)</f>
        <v>620.6</v>
      </c>
    </row>
    <row r="783">
      <c r="A783" s="2" t="str">
        <f>IFERROR(__xludf.DUMMYFUNCTION("""COMPUTED_VALUE"""),"PR045")</f>
        <v>PR045</v>
      </c>
      <c r="B783" s="2" t="str">
        <f>IFERROR(__xludf.DUMMYFUNCTION("""COMPUTED_VALUE"""),"VD011")</f>
        <v>VD011</v>
      </c>
      <c r="C783" s="2">
        <f>IFERROR(__xludf.DUMMYFUNCTION("""COMPUTED_VALUE"""),12.0)</f>
        <v>12</v>
      </c>
      <c r="D783" s="2">
        <f>IFERROR(__xludf.DUMMYFUNCTION("""COMPUTED_VALUE"""),887.4)</f>
        <v>887.4</v>
      </c>
    </row>
    <row r="784">
      <c r="A784" s="2" t="str">
        <f>IFERROR(__xludf.DUMMYFUNCTION("""COMPUTED_VALUE"""),"PR060")</f>
        <v>PR060</v>
      </c>
      <c r="B784" s="2" t="str">
        <f>IFERROR(__xludf.DUMMYFUNCTION("""COMPUTED_VALUE"""),"VD037")</f>
        <v>VD037</v>
      </c>
      <c r="C784" s="2">
        <f>IFERROR(__xludf.DUMMYFUNCTION("""COMPUTED_VALUE"""),8.0)</f>
        <v>8</v>
      </c>
      <c r="D784" s="2">
        <f>IFERROR(__xludf.DUMMYFUNCTION("""COMPUTED_VALUE"""),1483.2)</f>
        <v>1483.2</v>
      </c>
    </row>
    <row r="785">
      <c r="A785" s="2" t="str">
        <f>IFERROR(__xludf.DUMMYFUNCTION("""COMPUTED_VALUE"""),"PR024")</f>
        <v>PR024</v>
      </c>
      <c r="B785" s="2" t="str">
        <f>IFERROR(__xludf.DUMMYFUNCTION("""COMPUTED_VALUE"""),"VD048")</f>
        <v>VD048</v>
      </c>
      <c r="C785" s="2">
        <f>IFERROR(__xludf.DUMMYFUNCTION("""COMPUTED_VALUE"""),2.0)</f>
        <v>2</v>
      </c>
      <c r="D785" s="2">
        <f>IFERROR(__xludf.DUMMYFUNCTION("""COMPUTED_VALUE"""),525.0)</f>
        <v>525</v>
      </c>
    </row>
    <row r="786">
      <c r="A786" s="2" t="str">
        <f>IFERROR(__xludf.DUMMYFUNCTION("""COMPUTED_VALUE"""),"PR056")</f>
        <v>PR056</v>
      </c>
      <c r="B786" s="2" t="str">
        <f>IFERROR(__xludf.DUMMYFUNCTION("""COMPUTED_VALUE"""),"VD038")</f>
        <v>VD038</v>
      </c>
      <c r="C786" s="2">
        <f>IFERROR(__xludf.DUMMYFUNCTION("""COMPUTED_VALUE"""),9.0)</f>
        <v>9</v>
      </c>
      <c r="D786" s="2">
        <f>IFERROR(__xludf.DUMMYFUNCTION("""COMPUTED_VALUE"""),825.28)</f>
        <v>825.28</v>
      </c>
    </row>
    <row r="787">
      <c r="A787" s="2" t="str">
        <f>IFERROR(__xludf.DUMMYFUNCTION("""COMPUTED_VALUE"""),"PR005")</f>
        <v>PR005</v>
      </c>
      <c r="B787" s="2" t="str">
        <f>IFERROR(__xludf.DUMMYFUNCTION("""COMPUTED_VALUE"""),"VD029")</f>
        <v>VD029</v>
      </c>
      <c r="C787" s="2">
        <f>IFERROR(__xludf.DUMMYFUNCTION("""COMPUTED_VALUE"""),2.0)</f>
        <v>2</v>
      </c>
      <c r="D787" s="2">
        <f>IFERROR(__xludf.DUMMYFUNCTION("""COMPUTED_VALUE"""),525.0)</f>
        <v>525</v>
      </c>
    </row>
    <row r="788">
      <c r="A788" s="2" t="str">
        <f>IFERROR(__xludf.DUMMYFUNCTION("""COMPUTED_VALUE"""),"PR042")</f>
        <v>PR042</v>
      </c>
      <c r="B788" s="2" t="str">
        <f>IFERROR(__xludf.DUMMYFUNCTION("""COMPUTED_VALUE"""),"VD036")</f>
        <v>VD036</v>
      </c>
      <c r="C788" s="2">
        <f>IFERROR(__xludf.DUMMYFUNCTION("""COMPUTED_VALUE"""),9.0)</f>
        <v>9</v>
      </c>
      <c r="D788" s="2">
        <f>IFERROR(__xludf.DUMMYFUNCTION("""COMPUTED_VALUE"""),533.63)</f>
        <v>533.63</v>
      </c>
    </row>
    <row r="789">
      <c r="A789" s="2" t="str">
        <f>IFERROR(__xludf.DUMMYFUNCTION("""COMPUTED_VALUE"""),"PR039")</f>
        <v>PR039</v>
      </c>
      <c r="B789" s="2" t="str">
        <f>IFERROR(__xludf.DUMMYFUNCTION("""COMPUTED_VALUE"""),"VD013")</f>
        <v>VD013</v>
      </c>
      <c r="C789" s="2">
        <f>IFERROR(__xludf.DUMMYFUNCTION("""COMPUTED_VALUE"""),9.0)</f>
        <v>9</v>
      </c>
      <c r="D789" s="2">
        <f>IFERROR(__xludf.DUMMYFUNCTION("""COMPUTED_VALUE"""),1379.7)</f>
        <v>1379.7</v>
      </c>
    </row>
    <row r="790">
      <c r="A790" s="2" t="str">
        <f>IFERROR(__xludf.DUMMYFUNCTION("""COMPUTED_VALUE"""),"PR021")</f>
        <v>PR021</v>
      </c>
      <c r="B790" s="2" t="str">
        <f>IFERROR(__xludf.DUMMYFUNCTION("""COMPUTED_VALUE"""),"VD027")</f>
        <v>VD027</v>
      </c>
      <c r="C790" s="2">
        <f>IFERROR(__xludf.DUMMYFUNCTION("""COMPUTED_VALUE"""),4.0)</f>
        <v>4</v>
      </c>
      <c r="D790" s="2">
        <f>IFERROR(__xludf.DUMMYFUNCTION("""COMPUTED_VALUE"""),1260.06)</f>
        <v>1260.06</v>
      </c>
    </row>
    <row r="791">
      <c r="A791" s="2" t="str">
        <f>IFERROR(__xludf.DUMMYFUNCTION("""COMPUTED_VALUE"""),"PR047")</f>
        <v>PR047</v>
      </c>
      <c r="B791" s="2" t="str">
        <f>IFERROR(__xludf.DUMMYFUNCTION("""COMPUTED_VALUE"""),"VD030")</f>
        <v>VD030</v>
      </c>
      <c r="C791" s="2">
        <f>IFERROR(__xludf.DUMMYFUNCTION("""COMPUTED_VALUE"""),10.0)</f>
        <v>10</v>
      </c>
      <c r="D791" s="2">
        <f>IFERROR(__xludf.DUMMYFUNCTION("""COMPUTED_VALUE"""),3043.95)</f>
        <v>3043.95</v>
      </c>
    </row>
    <row r="792">
      <c r="A792" s="2" t="str">
        <f>IFERROR(__xludf.DUMMYFUNCTION("""COMPUTED_VALUE"""),"PR056")</f>
        <v>PR056</v>
      </c>
      <c r="B792" s="2" t="str">
        <f>IFERROR(__xludf.DUMMYFUNCTION("""COMPUTED_VALUE"""),"VD015")</f>
        <v>VD015</v>
      </c>
      <c r="C792" s="2">
        <f>IFERROR(__xludf.DUMMYFUNCTION("""COMPUTED_VALUE"""),7.0)</f>
        <v>7</v>
      </c>
      <c r="D792" s="2">
        <f>IFERROR(__xludf.DUMMYFUNCTION("""COMPUTED_VALUE"""),635.59)</f>
        <v>635.59</v>
      </c>
    </row>
    <row r="793">
      <c r="A793" s="2" t="str">
        <f>IFERROR(__xludf.DUMMYFUNCTION("""COMPUTED_VALUE"""),"PR057")</f>
        <v>PR057</v>
      </c>
      <c r="B793" s="2" t="str">
        <f>IFERROR(__xludf.DUMMYFUNCTION("""COMPUTED_VALUE"""),"VD010")</f>
        <v>VD010</v>
      </c>
      <c r="C793" s="2">
        <f>IFERROR(__xludf.DUMMYFUNCTION("""COMPUTED_VALUE"""),4.0)</f>
        <v>4</v>
      </c>
      <c r="D793" s="2">
        <f>IFERROR(__xludf.DUMMYFUNCTION("""COMPUTED_VALUE"""),381.18)</f>
        <v>381.18</v>
      </c>
    </row>
    <row r="794">
      <c r="A794" s="2" t="str">
        <f>IFERROR(__xludf.DUMMYFUNCTION("""COMPUTED_VALUE"""),"PR023")</f>
        <v>PR023</v>
      </c>
      <c r="B794" s="2" t="str">
        <f>IFERROR(__xludf.DUMMYFUNCTION("""COMPUTED_VALUE"""),"VD021")</f>
        <v>VD021</v>
      </c>
      <c r="C794" s="2">
        <f>IFERROR(__xludf.DUMMYFUNCTION("""COMPUTED_VALUE"""),6.0)</f>
        <v>6</v>
      </c>
      <c r="D794" s="2">
        <f>IFERROR(__xludf.DUMMYFUNCTION("""COMPUTED_VALUE"""),1604.36)</f>
        <v>1604.36</v>
      </c>
    </row>
    <row r="795">
      <c r="A795" s="2" t="str">
        <f>IFERROR(__xludf.DUMMYFUNCTION("""COMPUTED_VALUE"""),"PR001")</f>
        <v>PR001</v>
      </c>
      <c r="B795" s="2" t="str">
        <f>IFERROR(__xludf.DUMMYFUNCTION("""COMPUTED_VALUE"""),"VD036")</f>
        <v>VD036</v>
      </c>
      <c r="C795" s="2">
        <f>IFERROR(__xludf.DUMMYFUNCTION("""COMPUTED_VALUE"""),8.0)</f>
        <v>8</v>
      </c>
      <c r="D795" s="2">
        <f>IFERROR(__xludf.DUMMYFUNCTION("""COMPUTED_VALUE"""),574.65)</f>
        <v>574.65</v>
      </c>
    </row>
    <row r="796">
      <c r="A796" s="2" t="str">
        <f>IFERROR(__xludf.DUMMYFUNCTION("""COMPUTED_VALUE"""),"PR043")</f>
        <v>PR043</v>
      </c>
      <c r="B796" s="2" t="str">
        <f>IFERROR(__xludf.DUMMYFUNCTION("""COMPUTED_VALUE"""),"VD040")</f>
        <v>VD040</v>
      </c>
      <c r="C796" s="2">
        <f>IFERROR(__xludf.DUMMYFUNCTION("""COMPUTED_VALUE"""),2.0)</f>
        <v>2</v>
      </c>
      <c r="D796" s="2">
        <f>IFERROR(__xludf.DUMMYFUNCTION("""COMPUTED_VALUE"""),155.15)</f>
        <v>155.15</v>
      </c>
    </row>
    <row r="797">
      <c r="A797" s="2" t="str">
        <f>IFERROR(__xludf.DUMMYFUNCTION("""COMPUTED_VALUE"""),"PR058")</f>
        <v>PR058</v>
      </c>
      <c r="B797" s="2" t="str">
        <f>IFERROR(__xludf.DUMMYFUNCTION("""COMPUTED_VALUE"""),"VD030")</f>
        <v>VD030</v>
      </c>
      <c r="C797" s="2">
        <f>IFERROR(__xludf.DUMMYFUNCTION("""COMPUTED_VALUE"""),4.0)</f>
        <v>4</v>
      </c>
      <c r="D797" s="2">
        <f>IFERROR(__xludf.DUMMYFUNCTION("""COMPUTED_VALUE"""),720.0)</f>
        <v>720</v>
      </c>
    </row>
    <row r="798">
      <c r="A798" s="2" t="str">
        <f>IFERROR(__xludf.DUMMYFUNCTION("""COMPUTED_VALUE"""),"PR023")</f>
        <v>PR023</v>
      </c>
      <c r="B798" s="2" t="str">
        <f>IFERROR(__xludf.DUMMYFUNCTION("""COMPUTED_VALUE"""),"VD039")</f>
        <v>VD039</v>
      </c>
      <c r="C798" s="2">
        <f>IFERROR(__xludf.DUMMYFUNCTION("""COMPUTED_VALUE"""),9.0)</f>
        <v>9</v>
      </c>
      <c r="D798" s="2">
        <f>IFERROR(__xludf.DUMMYFUNCTION("""COMPUTED_VALUE"""),2474.01)</f>
        <v>2474.01</v>
      </c>
    </row>
    <row r="799">
      <c r="A799" s="2" t="str">
        <f>IFERROR(__xludf.DUMMYFUNCTION("""COMPUTED_VALUE"""),"PR012")</f>
        <v>PR012</v>
      </c>
      <c r="B799" s="2" t="str">
        <f>IFERROR(__xludf.DUMMYFUNCTION("""COMPUTED_VALUE"""),"VD032")</f>
        <v>VD032</v>
      </c>
      <c r="C799" s="2">
        <f>IFERROR(__xludf.DUMMYFUNCTION("""COMPUTED_VALUE"""),12.0)</f>
        <v>12</v>
      </c>
      <c r="D799" s="2">
        <f>IFERROR(__xludf.DUMMYFUNCTION("""COMPUTED_VALUE"""),610.27)</f>
        <v>610.27</v>
      </c>
    </row>
    <row r="800">
      <c r="A800" s="2" t="str">
        <f>IFERROR(__xludf.DUMMYFUNCTION("""COMPUTED_VALUE"""),"PR026")</f>
        <v>PR026</v>
      </c>
      <c r="B800" s="2" t="str">
        <f>IFERROR(__xludf.DUMMYFUNCTION("""COMPUTED_VALUE"""),"VD043")</f>
        <v>VD043</v>
      </c>
      <c r="C800" s="2">
        <f>IFERROR(__xludf.DUMMYFUNCTION("""COMPUTED_VALUE"""),2.0)</f>
        <v>2</v>
      </c>
      <c r="D800" s="2">
        <f>IFERROR(__xludf.DUMMYFUNCTION("""COMPUTED_VALUE"""),769.78)</f>
        <v>769.78</v>
      </c>
    </row>
    <row r="801">
      <c r="A801" s="2" t="str">
        <f>IFERROR(__xludf.DUMMYFUNCTION("""COMPUTED_VALUE"""),"PR002")</f>
        <v>PR002</v>
      </c>
      <c r="B801" s="2" t="str">
        <f>IFERROR(__xludf.DUMMYFUNCTION("""COMPUTED_VALUE"""),"VD036")</f>
        <v>VD036</v>
      </c>
      <c r="C801" s="2">
        <f>IFERROR(__xludf.DUMMYFUNCTION("""COMPUTED_VALUE"""),8.0)</f>
        <v>8</v>
      </c>
      <c r="D801" s="2">
        <f>IFERROR(__xludf.DUMMYFUNCTION("""COMPUTED_VALUE"""),587.16)</f>
        <v>587.16</v>
      </c>
    </row>
    <row r="802">
      <c r="A802" s="2" t="str">
        <f>IFERROR(__xludf.DUMMYFUNCTION("""COMPUTED_VALUE"""),"PR028")</f>
        <v>PR028</v>
      </c>
      <c r="B802" s="2" t="str">
        <f>IFERROR(__xludf.DUMMYFUNCTION("""COMPUTED_VALUE"""),"VD043")</f>
        <v>VD043</v>
      </c>
      <c r="C802" s="2">
        <f>IFERROR(__xludf.DUMMYFUNCTION("""COMPUTED_VALUE"""),4.0)</f>
        <v>4</v>
      </c>
      <c r="D802" s="2">
        <f>IFERROR(__xludf.DUMMYFUNCTION("""COMPUTED_VALUE"""),1049.58)</f>
        <v>1049.58</v>
      </c>
    </row>
    <row r="803">
      <c r="A803" s="2" t="str">
        <f>IFERROR(__xludf.DUMMYFUNCTION("""COMPUTED_VALUE"""),"PR044")</f>
        <v>PR044</v>
      </c>
      <c r="B803" s="2" t="str">
        <f>IFERROR(__xludf.DUMMYFUNCTION("""COMPUTED_VALUE"""),"VD021")</f>
        <v>VD021</v>
      </c>
      <c r="C803" s="2">
        <f>IFERROR(__xludf.DUMMYFUNCTION("""COMPUTED_VALUE"""),6.0)</f>
        <v>6</v>
      </c>
      <c r="D803" s="2">
        <f>IFERROR(__xludf.DUMMYFUNCTION("""COMPUTED_VALUE"""),439.35)</f>
        <v>439.35</v>
      </c>
    </row>
    <row r="804">
      <c r="A804" s="2" t="str">
        <f>IFERROR(__xludf.DUMMYFUNCTION("""COMPUTED_VALUE"""),"PR017")</f>
        <v>PR017</v>
      </c>
      <c r="B804" s="2" t="str">
        <f>IFERROR(__xludf.DUMMYFUNCTION("""COMPUTED_VALUE"""),"VD026")</f>
        <v>VD026</v>
      </c>
      <c r="C804" s="2">
        <f>IFERROR(__xludf.DUMMYFUNCTION("""COMPUTED_VALUE"""),2.0)</f>
        <v>2</v>
      </c>
      <c r="D804" s="2">
        <f>IFERROR(__xludf.DUMMYFUNCTION("""COMPUTED_VALUE"""),65.18)</f>
        <v>65.18</v>
      </c>
    </row>
    <row r="805">
      <c r="A805" s="2" t="str">
        <f>IFERROR(__xludf.DUMMYFUNCTION("""COMPUTED_VALUE"""),"PR008")</f>
        <v>PR008</v>
      </c>
      <c r="B805" s="2" t="str">
        <f>IFERROR(__xludf.DUMMYFUNCTION("""COMPUTED_VALUE"""),"VD027")</f>
        <v>VD027</v>
      </c>
      <c r="C805" s="2">
        <f>IFERROR(__xludf.DUMMYFUNCTION("""COMPUTED_VALUE"""),6.0)</f>
        <v>6</v>
      </c>
      <c r="D805" s="2">
        <f>IFERROR(__xludf.DUMMYFUNCTION("""COMPUTED_VALUE"""),593.34)</f>
        <v>593.34</v>
      </c>
    </row>
    <row r="806">
      <c r="A806" s="2" t="str">
        <f>IFERROR(__xludf.DUMMYFUNCTION("""COMPUTED_VALUE"""),"PR041")</f>
        <v>PR041</v>
      </c>
      <c r="B806" s="2" t="str">
        <f>IFERROR(__xludf.DUMMYFUNCTION("""COMPUTED_VALUE"""),"VD018")</f>
        <v>VD018</v>
      </c>
      <c r="C806" s="2">
        <f>IFERROR(__xludf.DUMMYFUNCTION("""COMPUTED_VALUE"""),3.0)</f>
        <v>3</v>
      </c>
      <c r="D806" s="2">
        <f>IFERROR(__xludf.DUMMYFUNCTION("""COMPUTED_VALUE"""),176.23)</f>
        <v>176.23</v>
      </c>
    </row>
    <row r="807">
      <c r="A807" s="2" t="str">
        <f>IFERROR(__xludf.DUMMYFUNCTION("""COMPUTED_VALUE"""),"PR012")</f>
        <v>PR012</v>
      </c>
      <c r="B807" s="2" t="str">
        <f>IFERROR(__xludf.DUMMYFUNCTION("""COMPUTED_VALUE"""),"VD013")</f>
        <v>VD013</v>
      </c>
      <c r="C807" s="2">
        <f>IFERROR(__xludf.DUMMYFUNCTION("""COMPUTED_VALUE"""),8.0)</f>
        <v>8</v>
      </c>
      <c r="D807" s="2">
        <f>IFERROR(__xludf.DUMMYFUNCTION("""COMPUTED_VALUE"""),402.94)</f>
        <v>402.94</v>
      </c>
    </row>
    <row r="808">
      <c r="A808" s="2" t="str">
        <f>IFERROR(__xludf.DUMMYFUNCTION("""COMPUTED_VALUE"""),"PR039")</f>
        <v>PR039</v>
      </c>
      <c r="B808" s="2" t="str">
        <f>IFERROR(__xludf.DUMMYFUNCTION("""COMPUTED_VALUE"""),"VD027")</f>
        <v>VD027</v>
      </c>
      <c r="C808" s="2">
        <f>IFERROR(__xludf.DUMMYFUNCTION("""COMPUTED_VALUE"""),2.0)</f>
        <v>2</v>
      </c>
      <c r="D808" s="2">
        <f>IFERROR(__xludf.DUMMYFUNCTION("""COMPUTED_VALUE"""),312.44)</f>
        <v>312.44</v>
      </c>
    </row>
    <row r="809">
      <c r="A809" s="2" t="str">
        <f>IFERROR(__xludf.DUMMYFUNCTION("""COMPUTED_VALUE"""),"PR054")</f>
        <v>PR054</v>
      </c>
      <c r="B809" s="2" t="str">
        <f>IFERROR(__xludf.DUMMYFUNCTION("""COMPUTED_VALUE"""),"VD036")</f>
        <v>VD036</v>
      </c>
      <c r="C809" s="2">
        <f>IFERROR(__xludf.DUMMYFUNCTION("""COMPUTED_VALUE"""),4.0)</f>
        <v>4</v>
      </c>
      <c r="D809" s="2">
        <f>IFERROR(__xludf.DUMMYFUNCTION("""COMPUTED_VALUE"""),205.59)</f>
        <v>205.59</v>
      </c>
    </row>
    <row r="810">
      <c r="A810" s="2" t="str">
        <f>IFERROR(__xludf.DUMMYFUNCTION("""COMPUTED_VALUE"""),"PR057")</f>
        <v>PR057</v>
      </c>
      <c r="B810" s="2" t="str">
        <f>IFERROR(__xludf.DUMMYFUNCTION("""COMPUTED_VALUE"""),"VD021")</f>
        <v>VD021</v>
      </c>
      <c r="C810" s="2">
        <f>IFERROR(__xludf.DUMMYFUNCTION("""COMPUTED_VALUE"""),6.0)</f>
        <v>6</v>
      </c>
      <c r="D810" s="2">
        <f>IFERROR(__xludf.DUMMYFUNCTION("""COMPUTED_VALUE"""),539.4)</f>
        <v>539.4</v>
      </c>
    </row>
    <row r="811">
      <c r="A811" s="2" t="str">
        <f>IFERROR(__xludf.DUMMYFUNCTION("""COMPUTED_VALUE"""),"PR013")</f>
        <v>PR013</v>
      </c>
      <c r="B811" s="2" t="str">
        <f>IFERROR(__xludf.DUMMYFUNCTION("""COMPUTED_VALUE"""),"VD010")</f>
        <v>VD010</v>
      </c>
      <c r="C811" s="2">
        <f>IFERROR(__xludf.DUMMYFUNCTION("""COMPUTED_VALUE"""),14.0)</f>
        <v>14</v>
      </c>
      <c r="D811" s="2">
        <f>IFERROR(__xludf.DUMMYFUNCTION("""COMPUTED_VALUE"""),558.6)</f>
        <v>558.6</v>
      </c>
    </row>
    <row r="812">
      <c r="A812" s="2" t="str">
        <f>IFERROR(__xludf.DUMMYFUNCTION("""COMPUTED_VALUE"""),"PR033")</f>
        <v>PR033</v>
      </c>
      <c r="B812" s="2" t="str">
        <f>IFERROR(__xludf.DUMMYFUNCTION("""COMPUTED_VALUE"""),"VD038")</f>
        <v>VD038</v>
      </c>
      <c r="C812" s="2">
        <f>IFERROR(__xludf.DUMMYFUNCTION("""COMPUTED_VALUE"""),4.0)</f>
        <v>4</v>
      </c>
      <c r="D812" s="2">
        <f>IFERROR(__xludf.DUMMYFUNCTION("""COMPUTED_VALUE"""),1050.0)</f>
        <v>1050</v>
      </c>
    </row>
    <row r="813">
      <c r="A813" s="2" t="str">
        <f>IFERROR(__xludf.DUMMYFUNCTION("""COMPUTED_VALUE"""),"PR009")</f>
        <v>PR009</v>
      </c>
      <c r="B813" s="2" t="str">
        <f>IFERROR(__xludf.DUMMYFUNCTION("""COMPUTED_VALUE"""),"VD012")</f>
        <v>VD012</v>
      </c>
      <c r="C813" s="2">
        <f>IFERROR(__xludf.DUMMYFUNCTION("""COMPUTED_VALUE"""),2.0)</f>
        <v>2</v>
      </c>
      <c r="D813" s="2">
        <f>IFERROR(__xludf.DUMMYFUNCTION("""COMPUTED_VALUE"""),187.66)</f>
        <v>187.66</v>
      </c>
    </row>
    <row r="814">
      <c r="A814" s="2" t="str">
        <f>IFERROR(__xludf.DUMMYFUNCTION("""COMPUTED_VALUE"""),"PR016")</f>
        <v>PR016</v>
      </c>
      <c r="B814" s="2" t="str">
        <f>IFERROR(__xludf.DUMMYFUNCTION("""COMPUTED_VALUE"""),"VD010")</f>
        <v>VD010</v>
      </c>
      <c r="C814" s="2">
        <f>IFERROR(__xludf.DUMMYFUNCTION("""COMPUTED_VALUE"""),4.0)</f>
        <v>4</v>
      </c>
      <c r="D814" s="2">
        <f>IFERROR(__xludf.DUMMYFUNCTION("""COMPUTED_VALUE"""),106.71)</f>
        <v>106.71</v>
      </c>
    </row>
    <row r="815">
      <c r="A815" s="2" t="str">
        <f>IFERROR(__xludf.DUMMYFUNCTION("""COMPUTED_VALUE"""),"PR023")</f>
        <v>PR023</v>
      </c>
      <c r="B815" s="2" t="str">
        <f>IFERROR(__xludf.DUMMYFUNCTION("""COMPUTED_VALUE"""),"VD018")</f>
        <v>VD018</v>
      </c>
      <c r="C815" s="2">
        <f>IFERROR(__xludf.DUMMYFUNCTION("""COMPUTED_VALUE"""),10.0)</f>
        <v>10</v>
      </c>
      <c r="D815" s="2">
        <f>IFERROR(__xludf.DUMMYFUNCTION("""COMPUTED_VALUE"""),2623.95)</f>
        <v>2623.95</v>
      </c>
    </row>
    <row r="816">
      <c r="A816" s="2" t="str">
        <f>IFERROR(__xludf.DUMMYFUNCTION("""COMPUTED_VALUE"""),"PR031")</f>
        <v>PR031</v>
      </c>
      <c r="B816" s="2" t="str">
        <f>IFERROR(__xludf.DUMMYFUNCTION("""COMPUTED_VALUE"""),"VD035")</f>
        <v>VD035</v>
      </c>
      <c r="C816" s="2">
        <f>IFERROR(__xludf.DUMMYFUNCTION("""COMPUTED_VALUE"""),10.0)</f>
        <v>10</v>
      </c>
      <c r="D816" s="2">
        <f>IFERROR(__xludf.DUMMYFUNCTION("""COMPUTED_VALUE"""),2646.0)</f>
        <v>2646</v>
      </c>
    </row>
    <row r="817">
      <c r="A817" s="2" t="str">
        <f>IFERROR(__xludf.DUMMYFUNCTION("""COMPUTED_VALUE"""),"PR024")</f>
        <v>PR024</v>
      </c>
      <c r="B817" s="2" t="str">
        <f>IFERROR(__xludf.DUMMYFUNCTION("""COMPUTED_VALUE"""),"VD031")</f>
        <v>VD031</v>
      </c>
      <c r="C817" s="2">
        <f>IFERROR(__xludf.DUMMYFUNCTION("""COMPUTED_VALUE"""),4.0)</f>
        <v>4</v>
      </c>
      <c r="D817" s="2">
        <f>IFERROR(__xludf.DUMMYFUNCTION("""COMPUTED_VALUE"""),1060.39)</f>
        <v>1060.39</v>
      </c>
    </row>
    <row r="818">
      <c r="A818" s="2" t="str">
        <f>IFERROR(__xludf.DUMMYFUNCTION("""COMPUTED_VALUE"""),"PR014")</f>
        <v>PR014</v>
      </c>
      <c r="B818" s="2" t="str">
        <f>IFERROR(__xludf.DUMMYFUNCTION("""COMPUTED_VALUE"""),"VD023")</f>
        <v>VD023</v>
      </c>
      <c r="C818" s="2">
        <f>IFERROR(__xludf.DUMMYFUNCTION("""COMPUTED_VALUE"""),4.0)</f>
        <v>4</v>
      </c>
      <c r="D818" s="2">
        <f>IFERROR(__xludf.DUMMYFUNCTION("""COMPUTED_VALUE"""),172.37)</f>
        <v>172.37</v>
      </c>
    </row>
    <row r="819">
      <c r="A819" s="2" t="str">
        <f>IFERROR(__xludf.DUMMYFUNCTION("""COMPUTED_VALUE"""),"PR055")</f>
        <v>PR055</v>
      </c>
      <c r="B819" s="2" t="str">
        <f>IFERROR(__xludf.DUMMYFUNCTION("""COMPUTED_VALUE"""),"VD018")</f>
        <v>VD018</v>
      </c>
      <c r="C819" s="2">
        <f>IFERROR(__xludf.DUMMYFUNCTION("""COMPUTED_VALUE"""),4.0)</f>
        <v>4</v>
      </c>
      <c r="D819" s="2">
        <f>IFERROR(__xludf.DUMMYFUNCTION("""COMPUTED_VALUE"""),366.79)</f>
        <v>366.79</v>
      </c>
    </row>
    <row r="820">
      <c r="A820" s="2" t="str">
        <f>IFERROR(__xludf.DUMMYFUNCTION("""COMPUTED_VALUE"""),"PR007")</f>
        <v>PR007</v>
      </c>
      <c r="B820" s="2" t="str">
        <f>IFERROR(__xludf.DUMMYFUNCTION("""COMPUTED_VALUE"""),"VD010")</f>
        <v>VD010</v>
      </c>
      <c r="C820" s="2">
        <f>IFERROR(__xludf.DUMMYFUNCTION("""COMPUTED_VALUE"""),10.0)</f>
        <v>10</v>
      </c>
      <c r="D820" s="2">
        <f>IFERROR(__xludf.DUMMYFUNCTION("""COMPUTED_VALUE"""),910.54)</f>
        <v>910.54</v>
      </c>
    </row>
    <row r="821">
      <c r="A821" s="2" t="str">
        <f>IFERROR(__xludf.DUMMYFUNCTION("""COMPUTED_VALUE"""),"PR043")</f>
        <v>PR043</v>
      </c>
      <c r="B821" s="2" t="str">
        <f>IFERROR(__xludf.DUMMYFUNCTION("""COMPUTED_VALUE"""),"VD035")</f>
        <v>VD035</v>
      </c>
      <c r="C821" s="2">
        <f>IFERROR(__xludf.DUMMYFUNCTION("""COMPUTED_VALUE"""),2.0)</f>
        <v>2</v>
      </c>
      <c r="D821" s="2">
        <f>IFERROR(__xludf.DUMMYFUNCTION("""COMPUTED_VALUE"""),150.8)</f>
        <v>150.8</v>
      </c>
    </row>
    <row r="822">
      <c r="A822" s="2" t="str">
        <f>IFERROR(__xludf.DUMMYFUNCTION("""COMPUTED_VALUE"""),"PR005")</f>
        <v>PR005</v>
      </c>
      <c r="B822" s="2" t="str">
        <f>IFERROR(__xludf.DUMMYFUNCTION("""COMPUTED_VALUE"""),"VD049")</f>
        <v>VD049</v>
      </c>
      <c r="C822" s="2">
        <f>IFERROR(__xludf.DUMMYFUNCTION("""COMPUTED_VALUE"""),8.0)</f>
        <v>8</v>
      </c>
      <c r="D822" s="2">
        <f>IFERROR(__xludf.DUMMYFUNCTION("""COMPUTED_VALUE"""),2287.12)</f>
        <v>2287.12</v>
      </c>
    </row>
    <row r="823">
      <c r="A823" s="2" t="str">
        <f>IFERROR(__xludf.DUMMYFUNCTION("""COMPUTED_VALUE"""),"PR006")</f>
        <v>PR006</v>
      </c>
      <c r="B823" s="2" t="str">
        <f>IFERROR(__xludf.DUMMYFUNCTION("""COMPUTED_VALUE"""),"VD011")</f>
        <v>VD011</v>
      </c>
      <c r="C823" s="2">
        <f>IFERROR(__xludf.DUMMYFUNCTION("""COMPUTED_VALUE"""),2.0)</f>
        <v>2</v>
      </c>
      <c r="D823" s="2">
        <f>IFERROR(__xludf.DUMMYFUNCTION("""COMPUTED_VALUE"""),87.78)</f>
        <v>87.78</v>
      </c>
    </row>
    <row r="824">
      <c r="A824" s="2" t="str">
        <f>IFERROR(__xludf.DUMMYFUNCTION("""COMPUTED_VALUE"""),"PR053")</f>
        <v>PR053</v>
      </c>
      <c r="B824" s="2" t="str">
        <f>IFERROR(__xludf.DUMMYFUNCTION("""COMPUTED_VALUE"""),"VD012")</f>
        <v>VD012</v>
      </c>
      <c r="C824" s="2">
        <f>IFERROR(__xludf.DUMMYFUNCTION("""COMPUTED_VALUE"""),2.0)</f>
        <v>2</v>
      </c>
      <c r="D824" s="2">
        <f>IFERROR(__xludf.DUMMYFUNCTION("""COMPUTED_VALUE"""),99.8)</f>
        <v>99.8</v>
      </c>
    </row>
    <row r="825">
      <c r="A825" s="2" t="str">
        <f>IFERROR(__xludf.DUMMYFUNCTION("""COMPUTED_VALUE"""),"PR042")</f>
        <v>PR042</v>
      </c>
      <c r="B825" s="2" t="str">
        <f>IFERROR(__xludf.DUMMYFUNCTION("""COMPUTED_VALUE"""),"VD018")</f>
        <v>VD018</v>
      </c>
      <c r="C825" s="2">
        <f>IFERROR(__xludf.DUMMYFUNCTION("""COMPUTED_VALUE"""),10.0)</f>
        <v>10</v>
      </c>
      <c r="D825" s="2">
        <f>IFERROR(__xludf.DUMMYFUNCTION("""COMPUTED_VALUE"""),587.43)</f>
        <v>587.43</v>
      </c>
    </row>
    <row r="826">
      <c r="A826" s="2" t="str">
        <f>IFERROR(__xludf.DUMMYFUNCTION("""COMPUTED_VALUE"""),"PR060")</f>
        <v>PR060</v>
      </c>
      <c r="B826" s="2" t="str">
        <f>IFERROR(__xludf.DUMMYFUNCTION("""COMPUTED_VALUE"""),"VD047")</f>
        <v>VD047</v>
      </c>
      <c r="C826" s="2">
        <f>IFERROR(__xludf.DUMMYFUNCTION("""COMPUTED_VALUE"""),16.0)</f>
        <v>16</v>
      </c>
      <c r="D826" s="2">
        <f>IFERROR(__xludf.DUMMYFUNCTION("""COMPUTED_VALUE"""),2937.6)</f>
        <v>2937.6</v>
      </c>
    </row>
    <row r="827">
      <c r="A827" s="2" t="str">
        <f>IFERROR(__xludf.DUMMYFUNCTION("""COMPUTED_VALUE"""),"PR054")</f>
        <v>PR054</v>
      </c>
      <c r="B827" s="2" t="str">
        <f>IFERROR(__xludf.DUMMYFUNCTION("""COMPUTED_VALUE"""),"VD019")</f>
        <v>VD019</v>
      </c>
      <c r="C827" s="2">
        <f>IFERROR(__xludf.DUMMYFUNCTION("""COMPUTED_VALUE"""),3.0)</f>
        <v>3</v>
      </c>
      <c r="D827" s="2">
        <f>IFERROR(__xludf.DUMMYFUNCTION("""COMPUTED_VALUE"""),157.19)</f>
        <v>157.19</v>
      </c>
    </row>
    <row r="828">
      <c r="A828" s="2" t="str">
        <f>IFERROR(__xludf.DUMMYFUNCTION("""COMPUTED_VALUE"""),"PR026")</f>
        <v>PR026</v>
      </c>
      <c r="B828" s="2" t="str">
        <f>IFERROR(__xludf.DUMMYFUNCTION("""COMPUTED_VALUE"""),"VD036")</f>
        <v>VD036</v>
      </c>
      <c r="C828" s="2">
        <f>IFERROR(__xludf.DUMMYFUNCTION("""COMPUTED_VALUE"""),7.0)</f>
        <v>7</v>
      </c>
      <c r="D828" s="2">
        <f>IFERROR(__xludf.DUMMYFUNCTION("""COMPUTED_VALUE"""),2694.23)</f>
        <v>2694.23</v>
      </c>
    </row>
    <row r="829">
      <c r="A829" s="2" t="str">
        <f>IFERROR(__xludf.DUMMYFUNCTION("""COMPUTED_VALUE"""),"PR002")</f>
        <v>PR002</v>
      </c>
      <c r="B829" s="2" t="str">
        <f>IFERROR(__xludf.DUMMYFUNCTION("""COMPUTED_VALUE"""),"VD046")</f>
        <v>VD046</v>
      </c>
      <c r="C829" s="2">
        <f>IFERROR(__xludf.DUMMYFUNCTION("""COMPUTED_VALUE"""),5.0)</f>
        <v>5</v>
      </c>
      <c r="D829" s="2">
        <f>IFERROR(__xludf.DUMMYFUNCTION("""COMPUTED_VALUE"""),356.49)</f>
        <v>356.49</v>
      </c>
    </row>
    <row r="830">
      <c r="A830" s="2" t="str">
        <f>IFERROR(__xludf.DUMMYFUNCTION("""COMPUTED_VALUE"""),"PR001")</f>
        <v>PR001</v>
      </c>
      <c r="B830" s="2" t="str">
        <f>IFERROR(__xludf.DUMMYFUNCTION("""COMPUTED_VALUE"""),"VD021")</f>
        <v>VD021</v>
      </c>
      <c r="C830" s="2">
        <f>IFERROR(__xludf.DUMMYFUNCTION("""COMPUTED_VALUE"""),3.0)</f>
        <v>3</v>
      </c>
      <c r="D830" s="2">
        <f>IFERROR(__xludf.DUMMYFUNCTION("""COMPUTED_VALUE"""),213.52)</f>
        <v>213.52</v>
      </c>
    </row>
    <row r="831">
      <c r="A831" s="2" t="str">
        <f>IFERROR(__xludf.DUMMYFUNCTION("""COMPUTED_VALUE"""),"PR044")</f>
        <v>PR044</v>
      </c>
      <c r="B831" s="2" t="str">
        <f>IFERROR(__xludf.DUMMYFUNCTION("""COMPUTED_VALUE"""),"VD030")</f>
        <v>VD030</v>
      </c>
      <c r="C831" s="2">
        <f>IFERROR(__xludf.DUMMYFUNCTION("""COMPUTED_VALUE"""),3.0)</f>
        <v>3</v>
      </c>
      <c r="D831" s="2">
        <f>IFERROR(__xludf.DUMMYFUNCTION("""COMPUTED_VALUE"""),232.73)</f>
        <v>232.73</v>
      </c>
    </row>
    <row r="832">
      <c r="A832" s="2" t="str">
        <f>IFERROR(__xludf.DUMMYFUNCTION("""COMPUTED_VALUE"""),"PR028")</f>
        <v>PR028</v>
      </c>
      <c r="B832" s="2" t="str">
        <f>IFERROR(__xludf.DUMMYFUNCTION("""COMPUTED_VALUE"""),"VD021")</f>
        <v>VD021</v>
      </c>
      <c r="C832" s="2">
        <f>IFERROR(__xludf.DUMMYFUNCTION("""COMPUTED_VALUE"""),2.0)</f>
        <v>2</v>
      </c>
      <c r="D832" s="2">
        <f>IFERROR(__xludf.DUMMYFUNCTION("""COMPUTED_VALUE"""),529.79)</f>
        <v>529.79</v>
      </c>
    </row>
    <row r="833">
      <c r="A833" s="2" t="str">
        <f>IFERROR(__xludf.DUMMYFUNCTION("""COMPUTED_VALUE"""),"PR045")</f>
        <v>PR045</v>
      </c>
      <c r="B833" s="2" t="str">
        <f>IFERROR(__xludf.DUMMYFUNCTION("""COMPUTED_VALUE"""),"VD024")</f>
        <v>VD024</v>
      </c>
      <c r="C833" s="2">
        <f>IFERROR(__xludf.DUMMYFUNCTION("""COMPUTED_VALUE"""),18.0)</f>
        <v>18</v>
      </c>
      <c r="D833" s="2">
        <f>IFERROR(__xludf.DUMMYFUNCTION("""COMPUTED_VALUE"""),1435.5)</f>
        <v>1435.5</v>
      </c>
    </row>
    <row r="834">
      <c r="A834" s="2" t="str">
        <f>IFERROR(__xludf.DUMMYFUNCTION("""COMPUTED_VALUE"""),"PR052")</f>
        <v>PR052</v>
      </c>
      <c r="B834" s="2" t="str">
        <f>IFERROR(__xludf.DUMMYFUNCTION("""COMPUTED_VALUE"""),"VD038")</f>
        <v>VD038</v>
      </c>
      <c r="C834" s="2">
        <f>IFERROR(__xludf.DUMMYFUNCTION("""COMPUTED_VALUE"""),8.0)</f>
        <v>8</v>
      </c>
      <c r="D834" s="2">
        <f>IFERROR(__xludf.DUMMYFUNCTION("""COMPUTED_VALUE"""),415.17)</f>
        <v>415.17</v>
      </c>
    </row>
    <row r="835">
      <c r="A835" s="2" t="str">
        <f>IFERROR(__xludf.DUMMYFUNCTION("""COMPUTED_VALUE"""),"PR024")</f>
        <v>PR024</v>
      </c>
      <c r="B835" s="2" t="str">
        <f>IFERROR(__xludf.DUMMYFUNCTION("""COMPUTED_VALUE"""),"VD026")</f>
        <v>VD026</v>
      </c>
      <c r="C835" s="2">
        <f>IFERROR(__xludf.DUMMYFUNCTION("""COMPUTED_VALUE"""),4.0)</f>
        <v>4</v>
      </c>
      <c r="D835" s="2">
        <f>IFERROR(__xludf.DUMMYFUNCTION("""COMPUTED_VALUE"""),1122.77)</f>
        <v>1122.77</v>
      </c>
    </row>
    <row r="836">
      <c r="A836" s="2" t="str">
        <f>IFERROR(__xludf.DUMMYFUNCTION("""COMPUTED_VALUE"""),"PR013")</f>
        <v>PR013</v>
      </c>
      <c r="B836" s="2" t="str">
        <f>IFERROR(__xludf.DUMMYFUNCTION("""COMPUTED_VALUE"""),"VD028")</f>
        <v>VD028</v>
      </c>
      <c r="C836" s="2">
        <f>IFERROR(__xludf.DUMMYFUNCTION("""COMPUTED_VALUE"""),20.0)</f>
        <v>20</v>
      </c>
      <c r="D836" s="2">
        <f>IFERROR(__xludf.DUMMYFUNCTION("""COMPUTED_VALUE"""),821.94)</f>
        <v>821.94</v>
      </c>
    </row>
    <row r="837">
      <c r="A837" s="2" t="str">
        <f>IFERROR(__xludf.DUMMYFUNCTION("""COMPUTED_VALUE"""),"PR053")</f>
        <v>PR053</v>
      </c>
      <c r="B837" s="2" t="str">
        <f>IFERROR(__xludf.DUMMYFUNCTION("""COMPUTED_VALUE"""),"VD049")</f>
        <v>VD049</v>
      </c>
      <c r="C837" s="2">
        <f>IFERROR(__xludf.DUMMYFUNCTION("""COMPUTED_VALUE"""),6.0)</f>
        <v>6</v>
      </c>
      <c r="D837" s="2">
        <f>IFERROR(__xludf.DUMMYFUNCTION("""COMPUTED_VALUE"""),302.39)</f>
        <v>302.39</v>
      </c>
    </row>
    <row r="838">
      <c r="A838" s="2" t="str">
        <f>IFERROR(__xludf.DUMMYFUNCTION("""COMPUTED_VALUE"""),"PR029")</f>
        <v>PR029</v>
      </c>
      <c r="B838" s="2" t="str">
        <f>IFERROR(__xludf.DUMMYFUNCTION("""COMPUTED_VALUE"""),"VD029")</f>
        <v>VD029</v>
      </c>
      <c r="C838" s="2">
        <f>IFERROR(__xludf.DUMMYFUNCTION("""COMPUTED_VALUE"""),8.0)</f>
        <v>8</v>
      </c>
      <c r="D838" s="2">
        <f>IFERROR(__xludf.DUMMYFUNCTION("""COMPUTED_VALUE"""),2182.8)</f>
        <v>2182.8</v>
      </c>
    </row>
    <row r="839">
      <c r="A839" s="2" t="str">
        <f>IFERROR(__xludf.DUMMYFUNCTION("""COMPUTED_VALUE"""),"PR001")</f>
        <v>PR001</v>
      </c>
      <c r="B839" s="2" t="str">
        <f>IFERROR(__xludf.DUMMYFUNCTION("""COMPUTED_VALUE"""),"VD014")</f>
        <v>VD014</v>
      </c>
      <c r="C839" s="2">
        <f>IFERROR(__xludf.DUMMYFUNCTION("""COMPUTED_VALUE"""),6.0)</f>
        <v>6</v>
      </c>
      <c r="D839" s="2">
        <f>IFERROR(__xludf.DUMMYFUNCTION("""COMPUTED_VALUE"""),423.08)</f>
        <v>423.08</v>
      </c>
    </row>
    <row r="840">
      <c r="A840" s="2" t="str">
        <f>IFERROR(__xludf.DUMMYFUNCTION("""COMPUTED_VALUE"""),"PR059")</f>
        <v>PR059</v>
      </c>
      <c r="B840" s="2" t="str">
        <f>IFERROR(__xludf.DUMMYFUNCTION("""COMPUTED_VALUE"""),"VD025")</f>
        <v>VD025</v>
      </c>
      <c r="C840" s="2">
        <f>IFERROR(__xludf.DUMMYFUNCTION("""COMPUTED_VALUE"""),12.0)</f>
        <v>12</v>
      </c>
      <c r="D840" s="2">
        <f>IFERROR(__xludf.DUMMYFUNCTION("""COMPUTED_VALUE"""),2289.6)</f>
        <v>2289.6</v>
      </c>
    </row>
    <row r="841">
      <c r="A841" s="2" t="str">
        <f>IFERROR(__xludf.DUMMYFUNCTION("""COMPUTED_VALUE"""),"PR039")</f>
        <v>PR039</v>
      </c>
      <c r="B841" s="2" t="str">
        <f>IFERROR(__xludf.DUMMYFUNCTION("""COMPUTED_VALUE"""),"VD036")</f>
        <v>VD036</v>
      </c>
      <c r="C841" s="2">
        <f>IFERROR(__xludf.DUMMYFUNCTION("""COMPUTED_VALUE"""),8.0)</f>
        <v>8</v>
      </c>
      <c r="D841" s="2">
        <f>IFERROR(__xludf.DUMMYFUNCTION("""COMPUTED_VALUE"""),1203.04)</f>
        <v>1203.04</v>
      </c>
    </row>
    <row r="842">
      <c r="A842" s="2" t="str">
        <f>IFERROR(__xludf.DUMMYFUNCTION("""COMPUTED_VALUE"""),"PR026")</f>
        <v>PR026</v>
      </c>
      <c r="B842" s="2" t="str">
        <f>IFERROR(__xludf.DUMMYFUNCTION("""COMPUTED_VALUE"""),"VD026")</f>
        <v>VD026</v>
      </c>
      <c r="C842" s="2">
        <f>IFERROR(__xludf.DUMMYFUNCTION("""COMPUTED_VALUE"""),9.0)</f>
        <v>9</v>
      </c>
      <c r="D842" s="2">
        <f>IFERROR(__xludf.DUMMYFUNCTION("""COMPUTED_VALUE"""),3212.08)</f>
        <v>3212.08</v>
      </c>
    </row>
    <row r="843">
      <c r="A843" s="2" t="str">
        <f>IFERROR(__xludf.DUMMYFUNCTION("""COMPUTED_VALUE"""),"PR057")</f>
        <v>PR057</v>
      </c>
      <c r="B843" s="2" t="str">
        <f>IFERROR(__xludf.DUMMYFUNCTION("""COMPUTED_VALUE"""),"VD032")</f>
        <v>VD032</v>
      </c>
      <c r="C843" s="2">
        <f>IFERROR(__xludf.DUMMYFUNCTION("""COMPUTED_VALUE"""),8.0)</f>
        <v>8</v>
      </c>
      <c r="D843" s="2">
        <f>IFERROR(__xludf.DUMMYFUNCTION("""COMPUTED_VALUE"""),726.39)</f>
        <v>726.39</v>
      </c>
    </row>
    <row r="844">
      <c r="A844" s="2" t="str">
        <f>IFERROR(__xludf.DUMMYFUNCTION("""COMPUTED_VALUE"""),"PR003")</f>
        <v>PR003</v>
      </c>
      <c r="B844" s="2" t="str">
        <f>IFERROR(__xludf.DUMMYFUNCTION("""COMPUTED_VALUE"""),"VD037")</f>
        <v>VD037</v>
      </c>
      <c r="C844" s="2">
        <f>IFERROR(__xludf.DUMMYFUNCTION("""COMPUTED_VALUE"""),20.0)</f>
        <v>20</v>
      </c>
      <c r="D844" s="2">
        <f>IFERROR(__xludf.DUMMYFUNCTION("""COMPUTED_VALUE"""),1418.0)</f>
        <v>1418</v>
      </c>
    </row>
    <row r="845">
      <c r="A845" s="2" t="str">
        <f>IFERROR(__xludf.DUMMYFUNCTION("""COMPUTED_VALUE"""),"PR050")</f>
        <v>PR050</v>
      </c>
      <c r="B845" s="2" t="str">
        <f>IFERROR(__xludf.DUMMYFUNCTION("""COMPUTED_VALUE"""),"VD032")</f>
        <v>VD032</v>
      </c>
      <c r="C845" s="2">
        <f>IFERROR(__xludf.DUMMYFUNCTION("""COMPUTED_VALUE"""),2.0)</f>
        <v>2</v>
      </c>
      <c r="D845" s="2">
        <f>IFERROR(__xludf.DUMMYFUNCTION("""COMPUTED_VALUE"""),71.06)</f>
        <v>71.06</v>
      </c>
    </row>
    <row r="846">
      <c r="A846" s="2" t="str">
        <f>IFERROR(__xludf.DUMMYFUNCTION("""COMPUTED_VALUE"""),"PR027")</f>
        <v>PR027</v>
      </c>
      <c r="B846" s="2" t="str">
        <f>IFERROR(__xludf.DUMMYFUNCTION("""COMPUTED_VALUE"""),"VD022")</f>
        <v>VD022</v>
      </c>
      <c r="C846" s="2">
        <f>IFERROR(__xludf.DUMMYFUNCTION("""COMPUTED_VALUE"""),6.0)</f>
        <v>6</v>
      </c>
      <c r="D846" s="2">
        <f>IFERROR(__xludf.DUMMYFUNCTION("""COMPUTED_VALUE"""),727.2)</f>
        <v>727.2</v>
      </c>
    </row>
    <row r="847">
      <c r="A847" s="2" t="str">
        <f>IFERROR(__xludf.DUMMYFUNCTION("""COMPUTED_VALUE"""),"PR018")</f>
        <v>PR018</v>
      </c>
      <c r="B847" s="2" t="str">
        <f>IFERROR(__xludf.DUMMYFUNCTION("""COMPUTED_VALUE"""),"VD018")</f>
        <v>VD018</v>
      </c>
      <c r="C847" s="2">
        <f>IFERROR(__xludf.DUMMYFUNCTION("""COMPUTED_VALUE"""),8.0)</f>
        <v>8</v>
      </c>
      <c r="D847" s="2">
        <f>IFERROR(__xludf.DUMMYFUNCTION("""COMPUTED_VALUE"""),271.1)</f>
        <v>271.1</v>
      </c>
    </row>
    <row r="848">
      <c r="A848" s="2" t="str">
        <f>IFERROR(__xludf.DUMMYFUNCTION("""COMPUTED_VALUE"""),"PR038")</f>
        <v>PR038</v>
      </c>
      <c r="B848" s="2" t="str">
        <f>IFERROR(__xludf.DUMMYFUNCTION("""COMPUTED_VALUE"""),"VD024")</f>
        <v>VD024</v>
      </c>
      <c r="C848" s="2">
        <f>IFERROR(__xludf.DUMMYFUNCTION("""COMPUTED_VALUE"""),3.0)</f>
        <v>3</v>
      </c>
      <c r="D848" s="2">
        <f>IFERROR(__xludf.DUMMYFUNCTION("""COMPUTED_VALUE"""),437.27)</f>
        <v>437.27</v>
      </c>
    </row>
    <row r="849">
      <c r="A849" s="2" t="str">
        <f>IFERROR(__xludf.DUMMYFUNCTION("""COMPUTED_VALUE"""),"PR046")</f>
        <v>PR046</v>
      </c>
      <c r="B849" s="2" t="str">
        <f>IFERROR(__xludf.DUMMYFUNCTION("""COMPUTED_VALUE"""),"VD012")</f>
        <v>VD012</v>
      </c>
      <c r="C849" s="2">
        <f>IFERROR(__xludf.DUMMYFUNCTION("""COMPUTED_VALUE"""),12.0)</f>
        <v>12</v>
      </c>
      <c r="D849" s="2">
        <f>IFERROR(__xludf.DUMMYFUNCTION("""COMPUTED_VALUE"""),3617.95)</f>
        <v>3617.95</v>
      </c>
    </row>
    <row r="850">
      <c r="A850" s="2" t="str">
        <f>IFERROR(__xludf.DUMMYFUNCTION("""COMPUTED_VALUE"""),"PR008")</f>
        <v>PR008</v>
      </c>
      <c r="B850" s="2" t="str">
        <f>IFERROR(__xludf.DUMMYFUNCTION("""COMPUTED_VALUE"""),"VD023")</f>
        <v>VD023</v>
      </c>
      <c r="C850" s="2">
        <f>IFERROR(__xludf.DUMMYFUNCTION("""COMPUTED_VALUE"""),4.0)</f>
        <v>4</v>
      </c>
      <c r="D850" s="2">
        <f>IFERROR(__xludf.DUMMYFUNCTION("""COMPUTED_VALUE"""),391.96)</f>
        <v>391.96</v>
      </c>
    </row>
    <row r="851">
      <c r="A851" s="2" t="str">
        <f>IFERROR(__xludf.DUMMYFUNCTION("""COMPUTED_VALUE"""),"PR022")</f>
        <v>PR022</v>
      </c>
      <c r="B851" s="2" t="str">
        <f>IFERROR(__xludf.DUMMYFUNCTION("""COMPUTED_VALUE"""),"VD018")</f>
        <v>VD018</v>
      </c>
      <c r="C851" s="2">
        <f>IFERROR(__xludf.DUMMYFUNCTION("""COMPUTED_VALUE"""),18.0)</f>
        <v>18</v>
      </c>
      <c r="D851" s="2">
        <f>IFERROR(__xludf.DUMMYFUNCTION("""COMPUTED_VALUE"""),5778.0)</f>
        <v>5778</v>
      </c>
    </row>
    <row r="852">
      <c r="A852" s="2" t="str">
        <f>IFERROR(__xludf.DUMMYFUNCTION("""COMPUTED_VALUE"""),"PR038")</f>
        <v>PR038</v>
      </c>
      <c r="B852" s="2" t="str">
        <f>IFERROR(__xludf.DUMMYFUNCTION("""COMPUTED_VALUE"""),"VD020")</f>
        <v>VD020</v>
      </c>
      <c r="C852" s="2">
        <f>IFERROR(__xludf.DUMMYFUNCTION("""COMPUTED_VALUE"""),18.0)</f>
        <v>18</v>
      </c>
      <c r="D852" s="2">
        <f>IFERROR(__xludf.DUMMYFUNCTION("""COMPUTED_VALUE"""),2726.53)</f>
        <v>2726.53</v>
      </c>
    </row>
    <row r="853">
      <c r="A853" s="2" t="str">
        <f>IFERROR(__xludf.DUMMYFUNCTION("""COMPUTED_VALUE"""),"PR045")</f>
        <v>PR045</v>
      </c>
      <c r="B853" s="2" t="str">
        <f>IFERROR(__xludf.DUMMYFUNCTION("""COMPUTED_VALUE"""),"VD039")</f>
        <v>VD039</v>
      </c>
      <c r="C853" s="2">
        <f>IFERROR(__xludf.DUMMYFUNCTION("""COMPUTED_VALUE"""),6.0)</f>
        <v>6</v>
      </c>
      <c r="D853" s="2">
        <f>IFERROR(__xludf.DUMMYFUNCTION("""COMPUTED_VALUE"""),465.45)</f>
        <v>465.45</v>
      </c>
    </row>
    <row r="854">
      <c r="A854" s="2" t="str">
        <f>IFERROR(__xludf.DUMMYFUNCTION("""COMPUTED_VALUE"""),"PR005")</f>
        <v>PR005</v>
      </c>
      <c r="B854" s="2" t="str">
        <f>IFERROR(__xludf.DUMMYFUNCTION("""COMPUTED_VALUE"""),"VD048")</f>
        <v>VD048</v>
      </c>
      <c r="C854" s="2">
        <f>IFERROR(__xludf.DUMMYFUNCTION("""COMPUTED_VALUE"""),9.0)</f>
        <v>9</v>
      </c>
      <c r="D854" s="2">
        <f>IFERROR(__xludf.DUMMYFUNCTION("""COMPUTED_VALUE"""),2456.06)</f>
        <v>2456.06</v>
      </c>
    </row>
    <row r="855">
      <c r="A855" s="2" t="str">
        <f>IFERROR(__xludf.DUMMYFUNCTION("""COMPUTED_VALUE"""),"PR009")</f>
        <v>PR009</v>
      </c>
      <c r="B855" s="2" t="str">
        <f>IFERROR(__xludf.DUMMYFUNCTION("""COMPUTED_VALUE"""),"VD048")</f>
        <v>VD048</v>
      </c>
      <c r="C855" s="2">
        <f>IFERROR(__xludf.DUMMYFUNCTION("""COMPUTED_VALUE"""),5.0)</f>
        <v>5</v>
      </c>
      <c r="D855" s="2">
        <f>IFERROR(__xludf.DUMMYFUNCTION("""COMPUTED_VALUE"""),469.15)</f>
        <v>469.15</v>
      </c>
    </row>
    <row r="856">
      <c r="A856" s="2" t="str">
        <f>IFERROR(__xludf.DUMMYFUNCTION("""COMPUTED_VALUE"""),"PR025")</f>
        <v>PR025</v>
      </c>
      <c r="B856" s="2" t="str">
        <f>IFERROR(__xludf.DUMMYFUNCTION("""COMPUTED_VALUE"""),"VD016")</f>
        <v>VD016</v>
      </c>
      <c r="C856" s="2">
        <f>IFERROR(__xludf.DUMMYFUNCTION("""COMPUTED_VALUE"""),1.0)</f>
        <v>1</v>
      </c>
      <c r="D856" s="2">
        <f>IFERROR(__xludf.DUMMYFUNCTION("""COMPUTED_VALUE"""),311.9)</f>
        <v>311.9</v>
      </c>
    </row>
    <row r="857">
      <c r="A857" s="2" t="str">
        <f>IFERROR(__xludf.DUMMYFUNCTION("""COMPUTED_VALUE"""),"PR037")</f>
        <v>PR037</v>
      </c>
      <c r="B857" s="2" t="str">
        <f>IFERROR(__xludf.DUMMYFUNCTION("""COMPUTED_VALUE"""),"VD045")</f>
        <v>VD045</v>
      </c>
      <c r="C857" s="2">
        <f>IFERROR(__xludf.DUMMYFUNCTION("""COMPUTED_VALUE"""),7.0)</f>
        <v>7</v>
      </c>
      <c r="D857" s="2">
        <f>IFERROR(__xludf.DUMMYFUNCTION("""COMPUTED_VALUE"""),1078.0)</f>
        <v>1078</v>
      </c>
    </row>
    <row r="858">
      <c r="A858" s="2" t="str">
        <f>IFERROR(__xludf.DUMMYFUNCTION("""COMPUTED_VALUE"""),"PR035")</f>
        <v>PR035</v>
      </c>
      <c r="B858" s="2" t="str">
        <f>IFERROR(__xludf.DUMMYFUNCTION("""COMPUTED_VALUE"""),"VD040")</f>
        <v>VD040</v>
      </c>
      <c r="C858" s="2">
        <f>IFERROR(__xludf.DUMMYFUNCTION("""COMPUTED_VALUE"""),6.0)</f>
        <v>6</v>
      </c>
      <c r="D858" s="2">
        <f>IFERROR(__xludf.DUMMYFUNCTION("""COMPUTED_VALUE"""),559.37)</f>
        <v>559.37</v>
      </c>
    </row>
    <row r="859">
      <c r="A859" s="2" t="str">
        <f>IFERROR(__xludf.DUMMYFUNCTION("""COMPUTED_VALUE"""),"PR047")</f>
        <v>PR047</v>
      </c>
      <c r="B859" s="2" t="str">
        <f>IFERROR(__xludf.DUMMYFUNCTION("""COMPUTED_VALUE"""),"VD035")</f>
        <v>VD035</v>
      </c>
      <c r="C859" s="2">
        <f>IFERROR(__xludf.DUMMYFUNCTION("""COMPUTED_VALUE"""),6.0)</f>
        <v>6</v>
      </c>
      <c r="D859" s="2">
        <f>IFERROR(__xludf.DUMMYFUNCTION("""COMPUTED_VALUE"""),1913.34)</f>
        <v>1913.34</v>
      </c>
    </row>
    <row r="860">
      <c r="A860" s="2" t="str">
        <f>IFERROR(__xludf.DUMMYFUNCTION("""COMPUTED_VALUE"""),"PR021")</f>
        <v>PR021</v>
      </c>
      <c r="B860" s="2" t="str">
        <f>IFERROR(__xludf.DUMMYFUNCTION("""COMPUTED_VALUE"""),"VD046")</f>
        <v>VD046</v>
      </c>
      <c r="C860" s="2">
        <f>IFERROR(__xludf.DUMMYFUNCTION("""COMPUTED_VALUE"""),1.0)</f>
        <v>1</v>
      </c>
      <c r="D860" s="2">
        <f>IFERROR(__xludf.DUMMYFUNCTION("""COMPUTED_VALUE"""),318.05)</f>
        <v>318.05</v>
      </c>
    </row>
    <row r="861">
      <c r="A861" s="2" t="str">
        <f>IFERROR(__xludf.DUMMYFUNCTION("""COMPUTED_VALUE"""),"PR019")</f>
        <v>PR019</v>
      </c>
      <c r="B861" s="2" t="str">
        <f>IFERROR(__xludf.DUMMYFUNCTION("""COMPUTED_VALUE"""),"VD019")</f>
        <v>VD019</v>
      </c>
      <c r="C861" s="2">
        <f>IFERROR(__xludf.DUMMYFUNCTION("""COMPUTED_VALUE"""),12.0)</f>
        <v>12</v>
      </c>
      <c r="D861" s="2">
        <f>IFERROR(__xludf.DUMMYFUNCTION("""COMPUTED_VALUE"""),652.69)</f>
        <v>652.69</v>
      </c>
    </row>
    <row r="862">
      <c r="A862" s="2" t="str">
        <f>IFERROR(__xludf.DUMMYFUNCTION("""COMPUTED_VALUE"""),"PR053")</f>
        <v>PR053</v>
      </c>
      <c r="B862" s="2" t="str">
        <f>IFERROR(__xludf.DUMMYFUNCTION("""COMPUTED_VALUE"""),"VD041")</f>
        <v>VD041</v>
      </c>
      <c r="C862" s="2">
        <f>IFERROR(__xludf.DUMMYFUNCTION("""COMPUTED_VALUE"""),8.0)</f>
        <v>8</v>
      </c>
      <c r="D862" s="2">
        <f>IFERROR(__xludf.DUMMYFUNCTION("""COMPUTED_VALUE"""),411.18)</f>
        <v>411.18</v>
      </c>
    </row>
    <row r="863">
      <c r="A863" s="2" t="str">
        <f>IFERROR(__xludf.DUMMYFUNCTION("""COMPUTED_VALUE"""),"PR051")</f>
        <v>PR051</v>
      </c>
      <c r="B863" s="2" t="str">
        <f>IFERROR(__xludf.DUMMYFUNCTION("""COMPUTED_VALUE"""),"VD023")</f>
        <v>VD023</v>
      </c>
      <c r="C863" s="2">
        <f>IFERROR(__xludf.DUMMYFUNCTION("""COMPUTED_VALUE"""),7.0)</f>
        <v>7</v>
      </c>
      <c r="D863" s="2">
        <f>IFERROR(__xludf.DUMMYFUNCTION("""COMPUTED_VALUE"""),244.12)</f>
        <v>244.12</v>
      </c>
    </row>
    <row r="864">
      <c r="A864" s="2" t="str">
        <f>IFERROR(__xludf.DUMMYFUNCTION("""COMPUTED_VALUE"""),"PR047")</f>
        <v>PR047</v>
      </c>
      <c r="B864" s="2" t="str">
        <f>IFERROR(__xludf.DUMMYFUNCTION("""COMPUTED_VALUE"""),"VD021")</f>
        <v>VD021</v>
      </c>
      <c r="C864" s="2">
        <f>IFERROR(__xludf.DUMMYFUNCTION("""COMPUTED_VALUE"""),2.0)</f>
        <v>2</v>
      </c>
      <c r="D864" s="2">
        <f>IFERROR(__xludf.DUMMYFUNCTION("""COMPUTED_VALUE"""),597.19)</f>
        <v>597.19</v>
      </c>
    </row>
    <row r="865">
      <c r="A865" s="2" t="str">
        <f>IFERROR(__xludf.DUMMYFUNCTION("""COMPUTED_VALUE"""),"PR048")</f>
        <v>PR048</v>
      </c>
      <c r="B865" s="2" t="str">
        <f>IFERROR(__xludf.DUMMYFUNCTION("""COMPUTED_VALUE"""),"VD045")</f>
        <v>VD045</v>
      </c>
      <c r="C865" s="2">
        <f>IFERROR(__xludf.DUMMYFUNCTION("""COMPUTED_VALUE"""),4.0)</f>
        <v>4</v>
      </c>
      <c r="D865" s="2">
        <f>IFERROR(__xludf.DUMMYFUNCTION("""COMPUTED_VALUE"""),1275.56)</f>
        <v>1275.56</v>
      </c>
    </row>
    <row r="866">
      <c r="A866" s="2" t="str">
        <f>IFERROR(__xludf.DUMMYFUNCTION("""COMPUTED_VALUE"""),"PR014")</f>
        <v>PR014</v>
      </c>
      <c r="B866" s="2" t="str">
        <f>IFERROR(__xludf.DUMMYFUNCTION("""COMPUTED_VALUE"""),"VD049")</f>
        <v>VD049</v>
      </c>
      <c r="C866" s="2">
        <f>IFERROR(__xludf.DUMMYFUNCTION("""COMPUTED_VALUE"""),6.0)</f>
        <v>6</v>
      </c>
      <c r="D866" s="2">
        <f>IFERROR(__xludf.DUMMYFUNCTION("""COMPUTED_VALUE"""),246.58)</f>
        <v>246.58</v>
      </c>
    </row>
    <row r="867">
      <c r="A867" s="2" t="str">
        <f>IFERROR(__xludf.DUMMYFUNCTION("""COMPUTED_VALUE"""),"PR050")</f>
        <v>PR050</v>
      </c>
      <c r="B867" s="2" t="str">
        <f>IFERROR(__xludf.DUMMYFUNCTION("""COMPUTED_VALUE"""),"VD019")</f>
        <v>VD019</v>
      </c>
      <c r="C867" s="2">
        <f>IFERROR(__xludf.DUMMYFUNCTION("""COMPUTED_VALUE"""),2.0)</f>
        <v>2</v>
      </c>
      <c r="D867" s="2">
        <f>IFERROR(__xludf.DUMMYFUNCTION("""COMPUTED_VALUE"""),68.43)</f>
        <v>68.43</v>
      </c>
    </row>
    <row r="868">
      <c r="A868" s="2" t="str">
        <f>IFERROR(__xludf.DUMMYFUNCTION("""COMPUTED_VALUE"""),"PR008")</f>
        <v>PR008</v>
      </c>
      <c r="B868" s="2" t="str">
        <f>IFERROR(__xludf.DUMMYFUNCTION("""COMPUTED_VALUE"""),"VD038")</f>
        <v>VD038</v>
      </c>
      <c r="C868" s="2">
        <f>IFERROR(__xludf.DUMMYFUNCTION("""COMPUTED_VALUE"""),8.0)</f>
        <v>8</v>
      </c>
      <c r="D868" s="2">
        <f>IFERROR(__xludf.DUMMYFUNCTION("""COMPUTED_VALUE"""),733.58)</f>
        <v>733.58</v>
      </c>
    </row>
    <row r="869">
      <c r="A869" s="2" t="str">
        <f>IFERROR(__xludf.DUMMYFUNCTION("""COMPUTED_VALUE"""),"PR018")</f>
        <v>PR018</v>
      </c>
      <c r="B869" s="2" t="str">
        <f>IFERROR(__xludf.DUMMYFUNCTION("""COMPUTED_VALUE"""),"VD022")</f>
        <v>VD022</v>
      </c>
      <c r="C869" s="2">
        <f>IFERROR(__xludf.DUMMYFUNCTION("""COMPUTED_VALUE"""),20.0)</f>
        <v>20</v>
      </c>
      <c r="D869" s="2">
        <f>IFERROR(__xludf.DUMMYFUNCTION("""COMPUTED_VALUE"""),677.74)</f>
        <v>677.74</v>
      </c>
    </row>
    <row r="870">
      <c r="A870" s="2" t="str">
        <f>IFERROR(__xludf.DUMMYFUNCTION("""COMPUTED_VALUE"""),"PR043")</f>
        <v>PR043</v>
      </c>
      <c r="B870" s="2" t="str">
        <f>IFERROR(__xludf.DUMMYFUNCTION("""COMPUTED_VALUE"""),"VD025")</f>
        <v>VD025</v>
      </c>
      <c r="C870" s="2">
        <f>IFERROR(__xludf.DUMMYFUNCTION("""COMPUTED_VALUE"""),4.0)</f>
        <v>4</v>
      </c>
      <c r="D870" s="2">
        <f>IFERROR(__xludf.DUMMYFUNCTION("""COMPUTED_VALUE"""),307.4)</f>
        <v>307.4</v>
      </c>
    </row>
    <row r="871">
      <c r="A871" s="2" t="str">
        <f>IFERROR(__xludf.DUMMYFUNCTION("""COMPUTED_VALUE"""),"PR010")</f>
        <v>PR010</v>
      </c>
      <c r="B871" s="2" t="str">
        <f>IFERROR(__xludf.DUMMYFUNCTION("""COMPUTED_VALUE"""),"VD026")</f>
        <v>VD026</v>
      </c>
      <c r="C871" s="2">
        <f>IFERROR(__xludf.DUMMYFUNCTION("""COMPUTED_VALUE"""),5.0)</f>
        <v>5</v>
      </c>
      <c r="D871" s="2">
        <f>IFERROR(__xludf.DUMMYFUNCTION("""COMPUTED_VALUE"""),244.71)</f>
        <v>244.71</v>
      </c>
    </row>
    <row r="872">
      <c r="A872" s="2" t="str">
        <f>IFERROR(__xludf.DUMMYFUNCTION("""COMPUTED_VALUE"""),"PR032")</f>
        <v>PR032</v>
      </c>
      <c r="B872" s="2" t="str">
        <f>IFERROR(__xludf.DUMMYFUNCTION("""COMPUTED_VALUE"""),"VD015")</f>
        <v>VD015</v>
      </c>
      <c r="C872" s="2">
        <f>IFERROR(__xludf.DUMMYFUNCTION("""COMPUTED_VALUE"""),20.0)</f>
        <v>20</v>
      </c>
      <c r="D872" s="2">
        <f>IFERROR(__xludf.DUMMYFUNCTION("""COMPUTED_VALUE"""),5300.0)</f>
        <v>5300</v>
      </c>
    </row>
    <row r="873">
      <c r="A873" s="2" t="str">
        <f>IFERROR(__xludf.DUMMYFUNCTION("""COMPUTED_VALUE"""),"PR003")</f>
        <v>PR003</v>
      </c>
      <c r="B873" s="2" t="str">
        <f>IFERROR(__xludf.DUMMYFUNCTION("""COMPUTED_VALUE"""),"VD049")</f>
        <v>VD049</v>
      </c>
      <c r="C873" s="2">
        <f>IFERROR(__xludf.DUMMYFUNCTION("""COMPUTED_VALUE"""),3.0)</f>
        <v>3</v>
      </c>
      <c r="D873" s="2">
        <f>IFERROR(__xludf.DUMMYFUNCTION("""COMPUTED_VALUE"""),223.34)</f>
        <v>223.34</v>
      </c>
    </row>
    <row r="874">
      <c r="A874" s="2" t="str">
        <f>IFERROR(__xludf.DUMMYFUNCTION("""COMPUTED_VALUE"""),"PR019")</f>
        <v>PR019</v>
      </c>
      <c r="B874" s="2" t="str">
        <f>IFERROR(__xludf.DUMMYFUNCTION("""COMPUTED_VALUE"""),"VD022")</f>
        <v>VD022</v>
      </c>
      <c r="C874" s="2">
        <f>IFERROR(__xludf.DUMMYFUNCTION("""COMPUTED_VALUE"""),14.0)</f>
        <v>14</v>
      </c>
      <c r="D874" s="2">
        <f>IFERROR(__xludf.DUMMYFUNCTION("""COMPUTED_VALUE"""),705.59)</f>
        <v>705.59</v>
      </c>
    </row>
    <row r="875">
      <c r="A875" s="2" t="str">
        <f>IFERROR(__xludf.DUMMYFUNCTION("""COMPUTED_VALUE"""),"PR048")</f>
        <v>PR048</v>
      </c>
      <c r="B875" s="2" t="str">
        <f>IFERROR(__xludf.DUMMYFUNCTION("""COMPUTED_VALUE"""),"VD026")</f>
        <v>VD026</v>
      </c>
      <c r="C875" s="2">
        <f>IFERROR(__xludf.DUMMYFUNCTION("""COMPUTED_VALUE"""),8.0)</f>
        <v>8</v>
      </c>
      <c r="D875" s="2">
        <f>IFERROR(__xludf.DUMMYFUNCTION("""COMPUTED_VALUE"""),2342.39)</f>
        <v>2342.39</v>
      </c>
    </row>
    <row r="876">
      <c r="A876" s="2" t="str">
        <f>IFERROR(__xludf.DUMMYFUNCTION("""COMPUTED_VALUE"""),"PR032")</f>
        <v>PR032</v>
      </c>
      <c r="B876" s="2" t="str">
        <f>IFERROR(__xludf.DUMMYFUNCTION("""COMPUTED_VALUE"""),"VD013")</f>
        <v>VD013</v>
      </c>
      <c r="C876" s="2">
        <f>IFERROR(__xludf.DUMMYFUNCTION("""COMPUTED_VALUE"""),10.0)</f>
        <v>10</v>
      </c>
      <c r="D876" s="2">
        <f>IFERROR(__xludf.DUMMYFUNCTION("""COMPUTED_VALUE"""),2575.0)</f>
        <v>2575</v>
      </c>
    </row>
    <row r="877">
      <c r="A877" s="2" t="str">
        <f>IFERROR(__xludf.DUMMYFUNCTION("""COMPUTED_VALUE"""),"PR058")</f>
        <v>PR058</v>
      </c>
      <c r="B877" s="2" t="str">
        <f>IFERROR(__xludf.DUMMYFUNCTION("""COMPUTED_VALUE"""),"VD041")</f>
        <v>VD041</v>
      </c>
      <c r="C877" s="2">
        <f>IFERROR(__xludf.DUMMYFUNCTION("""COMPUTED_VALUE"""),10.0)</f>
        <v>10</v>
      </c>
      <c r="D877" s="2">
        <f>IFERROR(__xludf.DUMMYFUNCTION("""COMPUTED_VALUE"""),1926.0)</f>
        <v>1926</v>
      </c>
    </row>
    <row r="878">
      <c r="A878" s="2" t="str">
        <f>IFERROR(__xludf.DUMMYFUNCTION("""COMPUTED_VALUE"""),"PR019")</f>
        <v>PR019</v>
      </c>
      <c r="B878" s="2" t="str">
        <f>IFERROR(__xludf.DUMMYFUNCTION("""COMPUTED_VALUE"""),"VD027")</f>
        <v>VD027</v>
      </c>
      <c r="C878" s="2">
        <f>IFERROR(__xludf.DUMMYFUNCTION("""COMPUTED_VALUE"""),8.0)</f>
        <v>8</v>
      </c>
      <c r="D878" s="2">
        <f>IFERROR(__xludf.DUMMYFUNCTION("""COMPUTED_VALUE"""),411.18)</f>
        <v>411.18</v>
      </c>
    </row>
    <row r="879">
      <c r="A879" s="2" t="str">
        <f>IFERROR(__xludf.DUMMYFUNCTION("""COMPUTED_VALUE"""),"PR004")</f>
        <v>PR004</v>
      </c>
      <c r="B879" s="2" t="str">
        <f>IFERROR(__xludf.DUMMYFUNCTION("""COMPUTED_VALUE"""),"VD020")</f>
        <v>VD020</v>
      </c>
      <c r="C879" s="2">
        <f>IFERROR(__xludf.DUMMYFUNCTION("""COMPUTED_VALUE"""),10.0)</f>
        <v>10</v>
      </c>
      <c r="D879" s="2">
        <f>IFERROR(__xludf.DUMMYFUNCTION("""COMPUTED_VALUE"""),1479.0)</f>
        <v>1479</v>
      </c>
    </row>
    <row r="880">
      <c r="A880" s="2" t="str">
        <f>IFERROR(__xludf.DUMMYFUNCTION("""COMPUTED_VALUE"""),"PR043")</f>
        <v>PR043</v>
      </c>
      <c r="B880" s="2" t="str">
        <f>IFERROR(__xludf.DUMMYFUNCTION("""COMPUTED_VALUE"""),"VD030")</f>
        <v>VD030</v>
      </c>
      <c r="C880" s="2">
        <f>IFERROR(__xludf.DUMMYFUNCTION("""COMPUTED_VALUE"""),4.0)</f>
        <v>4</v>
      </c>
      <c r="D880" s="2">
        <f>IFERROR(__xludf.DUMMYFUNCTION("""COMPUTED_VALUE"""),310.3)</f>
        <v>310.3</v>
      </c>
    </row>
    <row r="881">
      <c r="A881" s="2" t="str">
        <f>IFERROR(__xludf.DUMMYFUNCTION("""COMPUTED_VALUE"""),"PR031")</f>
        <v>PR031</v>
      </c>
      <c r="B881" s="2" t="str">
        <f>IFERROR(__xludf.DUMMYFUNCTION("""COMPUTED_VALUE"""),"VD020")</f>
        <v>VD020</v>
      </c>
      <c r="C881" s="2">
        <f>IFERROR(__xludf.DUMMYFUNCTION("""COMPUTED_VALUE"""),10.0)</f>
        <v>10</v>
      </c>
      <c r="D881" s="2">
        <f>IFERROR(__xludf.DUMMYFUNCTION("""COMPUTED_VALUE"""),2548.0)</f>
        <v>2548</v>
      </c>
    </row>
    <row r="882">
      <c r="A882" s="2" t="str">
        <f>IFERROR(__xludf.DUMMYFUNCTION("""COMPUTED_VALUE"""),"PR026")</f>
        <v>PR026</v>
      </c>
      <c r="B882" s="2" t="str">
        <f>IFERROR(__xludf.DUMMYFUNCTION("""COMPUTED_VALUE"""),"VD023")</f>
        <v>VD023</v>
      </c>
      <c r="C882" s="2">
        <f>IFERROR(__xludf.DUMMYFUNCTION("""COMPUTED_VALUE"""),2.0)</f>
        <v>2</v>
      </c>
      <c r="D882" s="2">
        <f>IFERROR(__xludf.DUMMYFUNCTION("""COMPUTED_VALUE"""),741.79)</f>
        <v>741.79</v>
      </c>
    </row>
    <row r="883">
      <c r="A883" s="2" t="str">
        <f>IFERROR(__xludf.DUMMYFUNCTION("""COMPUTED_VALUE"""),"PR041")</f>
        <v>PR041</v>
      </c>
      <c r="B883" s="2" t="str">
        <f>IFERROR(__xludf.DUMMYFUNCTION("""COMPUTED_VALUE"""),"VD032")</f>
        <v>VD032</v>
      </c>
      <c r="C883" s="2">
        <f>IFERROR(__xludf.DUMMYFUNCTION("""COMPUTED_VALUE"""),18.0)</f>
        <v>18</v>
      </c>
      <c r="D883" s="2">
        <f>IFERROR(__xludf.DUMMYFUNCTION("""COMPUTED_VALUE"""),1067.26)</f>
        <v>1067.26</v>
      </c>
    </row>
    <row r="884">
      <c r="A884" s="2" t="str">
        <f>IFERROR(__xludf.DUMMYFUNCTION("""COMPUTED_VALUE"""),"PR047")</f>
        <v>PR047</v>
      </c>
      <c r="B884" s="2" t="str">
        <f>IFERROR(__xludf.DUMMYFUNCTION("""COMPUTED_VALUE"""),"VD026")</f>
        <v>VD026</v>
      </c>
      <c r="C884" s="2">
        <f>IFERROR(__xludf.DUMMYFUNCTION("""COMPUTED_VALUE"""),6.0)</f>
        <v>6</v>
      </c>
      <c r="D884" s="2">
        <f>IFERROR(__xludf.DUMMYFUNCTION("""COMPUTED_VALUE"""),1843.76)</f>
        <v>1843.76</v>
      </c>
    </row>
    <row r="885">
      <c r="A885" s="2" t="str">
        <f>IFERROR(__xludf.DUMMYFUNCTION("""COMPUTED_VALUE"""),"PR029")</f>
        <v>PR029</v>
      </c>
      <c r="B885" s="2" t="str">
        <f>IFERROR(__xludf.DUMMYFUNCTION("""COMPUTED_VALUE"""),"VD023")</f>
        <v>VD023</v>
      </c>
      <c r="C885" s="2">
        <f>IFERROR(__xludf.DUMMYFUNCTION("""COMPUTED_VALUE"""),2.0)</f>
        <v>2</v>
      </c>
      <c r="D885" s="2">
        <f>IFERROR(__xludf.DUMMYFUNCTION("""COMPUTED_VALUE"""),545.7)</f>
        <v>545.7</v>
      </c>
    </row>
    <row r="886">
      <c r="A886" s="2" t="str">
        <f>IFERROR(__xludf.DUMMYFUNCTION("""COMPUTED_VALUE"""),"PR018")</f>
        <v>PR018</v>
      </c>
      <c r="B886" s="2" t="str">
        <f>IFERROR(__xludf.DUMMYFUNCTION("""COMPUTED_VALUE"""),"VD040")</f>
        <v>VD040</v>
      </c>
      <c r="C886" s="2">
        <f>IFERROR(__xludf.DUMMYFUNCTION("""COMPUTED_VALUE"""),18.0)</f>
        <v>18</v>
      </c>
      <c r="D886" s="2">
        <f>IFERROR(__xludf.DUMMYFUNCTION("""COMPUTED_VALUE"""),639.58)</f>
        <v>639.58</v>
      </c>
    </row>
    <row r="887">
      <c r="A887" s="2" t="str">
        <f>IFERROR(__xludf.DUMMYFUNCTION("""COMPUTED_VALUE"""),"PR025")</f>
        <v>PR025</v>
      </c>
      <c r="B887" s="2" t="str">
        <f>IFERROR(__xludf.DUMMYFUNCTION("""COMPUTED_VALUE"""),"VD038")</f>
        <v>VD038</v>
      </c>
      <c r="C887" s="2">
        <f>IFERROR(__xludf.DUMMYFUNCTION("""COMPUTED_VALUE"""),8.0)</f>
        <v>8</v>
      </c>
      <c r="D887" s="2">
        <f>IFERROR(__xludf.DUMMYFUNCTION("""COMPUTED_VALUE"""),2399.2)</f>
        <v>2399.2</v>
      </c>
    </row>
    <row r="888">
      <c r="A888" s="2" t="str">
        <f>IFERROR(__xludf.DUMMYFUNCTION("""COMPUTED_VALUE"""),"PR012")</f>
        <v>PR012</v>
      </c>
      <c r="B888" s="2" t="str">
        <f>IFERROR(__xludf.DUMMYFUNCTION("""COMPUTED_VALUE"""),"VD035")</f>
        <v>VD035</v>
      </c>
      <c r="C888" s="2">
        <f>IFERROR(__xludf.DUMMYFUNCTION("""COMPUTED_VALUE"""),9.0)</f>
        <v>9</v>
      </c>
      <c r="D888" s="2">
        <f>IFERROR(__xludf.DUMMYFUNCTION("""COMPUTED_VALUE"""),479.71)</f>
        <v>479.71</v>
      </c>
    </row>
    <row r="889">
      <c r="A889" s="2" t="str">
        <f>IFERROR(__xludf.DUMMYFUNCTION("""COMPUTED_VALUE"""),"PR059")</f>
        <v>PR059</v>
      </c>
      <c r="B889" s="2" t="str">
        <f>IFERROR(__xludf.DUMMYFUNCTION("""COMPUTED_VALUE"""),"VD019")</f>
        <v>VD019</v>
      </c>
      <c r="C889" s="2">
        <f>IFERROR(__xludf.DUMMYFUNCTION("""COMPUTED_VALUE"""),3.0)</f>
        <v>3</v>
      </c>
      <c r="D889" s="2">
        <f>IFERROR(__xludf.DUMMYFUNCTION("""COMPUTED_VALUE"""),561.6)</f>
        <v>561.6</v>
      </c>
    </row>
    <row r="890">
      <c r="A890" s="2" t="str">
        <f>IFERROR(__xludf.DUMMYFUNCTION("""COMPUTED_VALUE"""),"PR021")</f>
        <v>PR021</v>
      </c>
      <c r="B890" s="2" t="str">
        <f>IFERROR(__xludf.DUMMYFUNCTION("""COMPUTED_VALUE"""),"VD014")</f>
        <v>VD014</v>
      </c>
      <c r="C890" s="2">
        <f>IFERROR(__xludf.DUMMYFUNCTION("""COMPUTED_VALUE"""),1.0)</f>
        <v>1</v>
      </c>
      <c r="D890" s="2">
        <f>IFERROR(__xludf.DUMMYFUNCTION("""COMPUTED_VALUE"""),330.16)</f>
        <v>330.16</v>
      </c>
    </row>
    <row r="891">
      <c r="A891" s="2" t="str">
        <f>IFERROR(__xludf.DUMMYFUNCTION("""COMPUTED_VALUE"""),"PR045")</f>
        <v>PR045</v>
      </c>
      <c r="B891" s="2" t="str">
        <f>IFERROR(__xludf.DUMMYFUNCTION("""COMPUTED_VALUE"""),"VD043")</f>
        <v>VD043</v>
      </c>
      <c r="C891" s="2">
        <f>IFERROR(__xludf.DUMMYFUNCTION("""COMPUTED_VALUE"""),10.0)</f>
        <v>10</v>
      </c>
      <c r="D891" s="2">
        <f>IFERROR(__xludf.DUMMYFUNCTION("""COMPUTED_VALUE"""),732.25)</f>
        <v>732.25</v>
      </c>
    </row>
    <row r="892">
      <c r="A892" s="2" t="str">
        <f>IFERROR(__xludf.DUMMYFUNCTION("""COMPUTED_VALUE"""),"PR045")</f>
        <v>PR045</v>
      </c>
      <c r="B892" s="2" t="str">
        <f>IFERROR(__xludf.DUMMYFUNCTION("""COMPUTED_VALUE"""),"VD044")</f>
        <v>VD044</v>
      </c>
      <c r="C892" s="2">
        <f>IFERROR(__xludf.DUMMYFUNCTION("""COMPUTED_VALUE"""),5.0)</f>
        <v>5</v>
      </c>
      <c r="D892" s="2">
        <f>IFERROR(__xludf.DUMMYFUNCTION("""COMPUTED_VALUE"""),373.38)</f>
        <v>373.38</v>
      </c>
    </row>
    <row r="893">
      <c r="A893" s="2" t="str">
        <f>IFERROR(__xludf.DUMMYFUNCTION("""COMPUTED_VALUE"""),"PR048")</f>
        <v>PR048</v>
      </c>
      <c r="B893" s="2" t="str">
        <f>IFERROR(__xludf.DUMMYFUNCTION("""COMPUTED_VALUE"""),"VD018")</f>
        <v>VD018</v>
      </c>
      <c r="C893" s="2">
        <f>IFERROR(__xludf.DUMMYFUNCTION("""COMPUTED_VALUE"""),7.0)</f>
        <v>7</v>
      </c>
      <c r="D893" s="2">
        <f>IFERROR(__xludf.DUMMYFUNCTION("""COMPUTED_VALUE"""),2211.94)</f>
        <v>2211.94</v>
      </c>
    </row>
    <row r="894">
      <c r="A894" s="2" t="str">
        <f>IFERROR(__xludf.DUMMYFUNCTION("""COMPUTED_VALUE"""),"PR052")</f>
        <v>PR052</v>
      </c>
      <c r="B894" s="2" t="str">
        <f>IFERROR(__xludf.DUMMYFUNCTION("""COMPUTED_VALUE"""),"VD043")</f>
        <v>VD043</v>
      </c>
      <c r="C894" s="2">
        <f>IFERROR(__xludf.DUMMYFUNCTION("""COMPUTED_VALUE"""),5.0)</f>
        <v>5</v>
      </c>
      <c r="D894" s="2">
        <f>IFERROR(__xludf.DUMMYFUNCTION("""COMPUTED_VALUE"""),259.48)</f>
        <v>259.48</v>
      </c>
    </row>
    <row r="895">
      <c r="A895" s="2" t="str">
        <f>IFERROR(__xludf.DUMMYFUNCTION("""COMPUTED_VALUE"""),"PR038")</f>
        <v>PR038</v>
      </c>
      <c r="B895" s="2" t="str">
        <f>IFERROR(__xludf.DUMMYFUNCTION("""COMPUTED_VALUE"""),"VD042")</f>
        <v>VD042</v>
      </c>
      <c r="C895" s="2">
        <f>IFERROR(__xludf.DUMMYFUNCTION("""COMPUTED_VALUE"""),20.0)</f>
        <v>20</v>
      </c>
      <c r="D895" s="2">
        <f>IFERROR(__xludf.DUMMYFUNCTION("""COMPUTED_VALUE"""),3143.8)</f>
        <v>3143.8</v>
      </c>
    </row>
    <row r="896">
      <c r="A896" s="2" t="str">
        <f>IFERROR(__xludf.DUMMYFUNCTION("""COMPUTED_VALUE"""),"PR032")</f>
        <v>PR032</v>
      </c>
      <c r="B896" s="2" t="str">
        <f>IFERROR(__xludf.DUMMYFUNCTION("""COMPUTED_VALUE"""),"VD046")</f>
        <v>VD046</v>
      </c>
      <c r="C896" s="2">
        <f>IFERROR(__xludf.DUMMYFUNCTION("""COMPUTED_VALUE"""),5.0)</f>
        <v>5</v>
      </c>
      <c r="D896" s="2">
        <f>IFERROR(__xludf.DUMMYFUNCTION("""COMPUTED_VALUE"""),1375.0)</f>
        <v>1375</v>
      </c>
    </row>
    <row r="897">
      <c r="A897" s="2" t="str">
        <f>IFERROR(__xludf.DUMMYFUNCTION("""COMPUTED_VALUE"""),"PR046")</f>
        <v>PR046</v>
      </c>
      <c r="B897" s="2" t="str">
        <f>IFERROR(__xludf.DUMMYFUNCTION("""COMPUTED_VALUE"""),"VD018")</f>
        <v>VD018</v>
      </c>
      <c r="C897" s="2">
        <f>IFERROR(__xludf.DUMMYFUNCTION("""COMPUTED_VALUE"""),5.0)</f>
        <v>5</v>
      </c>
      <c r="D897" s="2">
        <f>IFERROR(__xludf.DUMMYFUNCTION("""COMPUTED_VALUE"""),1449.5)</f>
        <v>1449.5</v>
      </c>
    </row>
    <row r="898">
      <c r="A898" s="2" t="str">
        <f>IFERROR(__xludf.DUMMYFUNCTION("""COMPUTED_VALUE"""),"PR056")</f>
        <v>PR056</v>
      </c>
      <c r="B898" s="2" t="str">
        <f>IFERROR(__xludf.DUMMYFUNCTION("""COMPUTED_VALUE"""),"VD029")</f>
        <v>VD029</v>
      </c>
      <c r="C898" s="2">
        <f>IFERROR(__xludf.DUMMYFUNCTION("""COMPUTED_VALUE"""),1.0)</f>
        <v>1</v>
      </c>
      <c r="D898" s="2">
        <f>IFERROR(__xludf.DUMMYFUNCTION("""COMPUTED_VALUE"""),96.19)</f>
        <v>96.19</v>
      </c>
    </row>
    <row r="899">
      <c r="A899" s="2" t="str">
        <f>IFERROR(__xludf.DUMMYFUNCTION("""COMPUTED_VALUE"""),"PR018")</f>
        <v>PR018</v>
      </c>
      <c r="B899" s="2" t="str">
        <f>IFERROR(__xludf.DUMMYFUNCTION("""COMPUTED_VALUE"""),"VD042")</f>
        <v>VD042</v>
      </c>
      <c r="C899" s="2">
        <f>IFERROR(__xludf.DUMMYFUNCTION("""COMPUTED_VALUE"""),8.0)</f>
        <v>8</v>
      </c>
      <c r="D899" s="2">
        <f>IFERROR(__xludf.DUMMYFUNCTION("""COMPUTED_VALUE"""),289.52)</f>
        <v>289.52</v>
      </c>
    </row>
    <row r="900">
      <c r="A900" s="2" t="str">
        <f>IFERROR(__xludf.DUMMYFUNCTION("""COMPUTED_VALUE"""),"PR020")</f>
        <v>PR020</v>
      </c>
      <c r="B900" s="2" t="str">
        <f>IFERROR(__xludf.DUMMYFUNCTION("""COMPUTED_VALUE"""),"VD024")</f>
        <v>VD024</v>
      </c>
      <c r="C900" s="2">
        <f>IFERROR(__xludf.DUMMYFUNCTION("""COMPUTED_VALUE"""),18.0)</f>
        <v>18</v>
      </c>
      <c r="D900" s="2">
        <f>IFERROR(__xludf.DUMMYFUNCTION("""COMPUTED_VALUE"""),5452.18)</f>
        <v>5452.18</v>
      </c>
    </row>
    <row r="901">
      <c r="A901" s="2" t="str">
        <f>IFERROR(__xludf.DUMMYFUNCTION("""COMPUTED_VALUE"""),"PR011")</f>
        <v>PR011</v>
      </c>
      <c r="B901" s="2" t="str">
        <f>IFERROR(__xludf.DUMMYFUNCTION("""COMPUTED_VALUE"""),"VD013")</f>
        <v>VD013</v>
      </c>
      <c r="C901" s="2">
        <f>IFERROR(__xludf.DUMMYFUNCTION("""COMPUTED_VALUE"""),2.0)</f>
        <v>2</v>
      </c>
      <c r="D901" s="2">
        <f>IFERROR(__xludf.DUMMYFUNCTION("""COMPUTED_VALUE"""),96.61)</f>
        <v>96.61</v>
      </c>
    </row>
    <row r="902">
      <c r="A902" s="2" t="str">
        <f>IFERROR(__xludf.DUMMYFUNCTION("""COMPUTED_VALUE"""),"PR025")</f>
        <v>PR025</v>
      </c>
      <c r="B902" s="2" t="str">
        <f>IFERROR(__xludf.DUMMYFUNCTION("""COMPUTED_VALUE"""),"VD047")</f>
        <v>VD047</v>
      </c>
      <c r="C902" s="2">
        <f>IFERROR(__xludf.DUMMYFUNCTION("""COMPUTED_VALUE"""),2.0)</f>
        <v>2</v>
      </c>
      <c r="D902" s="2">
        <f>IFERROR(__xludf.DUMMYFUNCTION("""COMPUTED_VALUE"""),635.79)</f>
        <v>635.79</v>
      </c>
    </row>
    <row r="903">
      <c r="A903" s="2" t="str">
        <f>IFERROR(__xludf.DUMMYFUNCTION("""COMPUTED_VALUE"""),"PR044")</f>
        <v>PR044</v>
      </c>
      <c r="B903" s="2" t="str">
        <f>IFERROR(__xludf.DUMMYFUNCTION("""COMPUTED_VALUE"""),"VD020")</f>
        <v>VD020</v>
      </c>
      <c r="C903" s="2">
        <f>IFERROR(__xludf.DUMMYFUNCTION("""COMPUTED_VALUE"""),9.0)</f>
        <v>9</v>
      </c>
      <c r="D903" s="2">
        <f>IFERROR(__xludf.DUMMYFUNCTION("""COMPUTED_VALUE"""),652.5)</f>
        <v>652.5</v>
      </c>
    </row>
    <row r="904">
      <c r="A904" s="2" t="str">
        <f>IFERROR(__xludf.DUMMYFUNCTION("""COMPUTED_VALUE"""),"PR054")</f>
        <v>PR054</v>
      </c>
      <c r="B904" s="2" t="str">
        <f>IFERROR(__xludf.DUMMYFUNCTION("""COMPUTED_VALUE"""),"VD011")</f>
        <v>VD011</v>
      </c>
      <c r="C904" s="2">
        <f>IFERROR(__xludf.DUMMYFUNCTION("""COMPUTED_VALUE"""),2.0)</f>
        <v>2</v>
      </c>
      <c r="D904" s="2">
        <f>IFERROR(__xludf.DUMMYFUNCTION("""COMPUTED_VALUE"""),100.8)</f>
        <v>100.8</v>
      </c>
    </row>
    <row r="905">
      <c r="A905" s="2" t="str">
        <f>IFERROR(__xludf.DUMMYFUNCTION("""COMPUTED_VALUE"""),"PR004")</f>
        <v>PR004</v>
      </c>
      <c r="B905" s="2" t="str">
        <f>IFERROR(__xludf.DUMMYFUNCTION("""COMPUTED_VALUE"""),"VD039")</f>
        <v>VD039</v>
      </c>
      <c r="C905" s="2">
        <f>IFERROR(__xludf.DUMMYFUNCTION("""COMPUTED_VALUE"""),14.0)</f>
        <v>14</v>
      </c>
      <c r="D905" s="2">
        <f>IFERROR(__xludf.DUMMYFUNCTION("""COMPUTED_VALUE"""),2212.7)</f>
        <v>2212.7</v>
      </c>
    </row>
    <row r="906">
      <c r="A906" s="2" t="str">
        <f>IFERROR(__xludf.DUMMYFUNCTION("""COMPUTED_VALUE"""),"PR032")</f>
        <v>PR032</v>
      </c>
      <c r="B906" s="2" t="str">
        <f>IFERROR(__xludf.DUMMYFUNCTION("""COMPUTED_VALUE"""),"VD017")</f>
        <v>VD017</v>
      </c>
      <c r="C906" s="2">
        <f>IFERROR(__xludf.DUMMYFUNCTION("""COMPUTED_VALUE"""),12.0)</f>
        <v>12</v>
      </c>
      <c r="D906" s="2">
        <f>IFERROR(__xludf.DUMMYFUNCTION("""COMPUTED_VALUE"""),3030.0)</f>
        <v>3030</v>
      </c>
    </row>
    <row r="907">
      <c r="A907" s="2" t="str">
        <f>IFERROR(__xludf.DUMMYFUNCTION("""COMPUTED_VALUE"""),"PR060")</f>
        <v>PR060</v>
      </c>
      <c r="B907" s="2" t="str">
        <f>IFERROR(__xludf.DUMMYFUNCTION("""COMPUTED_VALUE"""),"VD040")</f>
        <v>VD040</v>
      </c>
      <c r="C907" s="2">
        <f>IFERROR(__xludf.DUMMYFUNCTION("""COMPUTED_VALUE"""),18.0)</f>
        <v>18</v>
      </c>
      <c r="D907" s="2">
        <f>IFERROR(__xludf.DUMMYFUNCTION("""COMPUTED_VALUE"""),3434.4)</f>
        <v>3434.4</v>
      </c>
    </row>
    <row r="908">
      <c r="A908" s="2" t="str">
        <f>IFERROR(__xludf.DUMMYFUNCTION("""COMPUTED_VALUE"""),"PR041")</f>
        <v>PR041</v>
      </c>
      <c r="B908" s="2" t="str">
        <f>IFERROR(__xludf.DUMMYFUNCTION("""COMPUTED_VALUE"""),"VD018")</f>
        <v>VD018</v>
      </c>
      <c r="C908" s="2">
        <f>IFERROR(__xludf.DUMMYFUNCTION("""COMPUTED_VALUE"""),1.0)</f>
        <v>1</v>
      </c>
      <c r="D908" s="2">
        <f>IFERROR(__xludf.DUMMYFUNCTION("""COMPUTED_VALUE"""),59.29)</f>
        <v>59.29</v>
      </c>
    </row>
    <row r="909">
      <c r="A909" s="2" t="str">
        <f>IFERROR(__xludf.DUMMYFUNCTION("""COMPUTED_VALUE"""),"PR029")</f>
        <v>PR029</v>
      </c>
      <c r="B909" s="2" t="str">
        <f>IFERROR(__xludf.DUMMYFUNCTION("""COMPUTED_VALUE"""),"VD029")</f>
        <v>VD029</v>
      </c>
      <c r="C909" s="2">
        <f>IFERROR(__xludf.DUMMYFUNCTION("""COMPUTED_VALUE"""),6.0)</f>
        <v>6</v>
      </c>
      <c r="D909" s="2">
        <f>IFERROR(__xludf.DUMMYFUNCTION("""COMPUTED_VALUE"""),1575.9)</f>
        <v>1575.9</v>
      </c>
    </row>
    <row r="910">
      <c r="A910" s="2" t="str">
        <f>IFERROR(__xludf.DUMMYFUNCTION("""COMPUTED_VALUE"""),"PR039")</f>
        <v>PR039</v>
      </c>
      <c r="B910" s="2" t="str">
        <f>IFERROR(__xludf.DUMMYFUNCTION("""COMPUTED_VALUE"""),"VD034")</f>
        <v>VD034</v>
      </c>
      <c r="C910" s="2">
        <f>IFERROR(__xludf.DUMMYFUNCTION("""COMPUTED_VALUE"""),16.0)</f>
        <v>16</v>
      </c>
      <c r="D910" s="2">
        <f>IFERROR(__xludf.DUMMYFUNCTION("""COMPUTED_VALUE"""),2336.0)</f>
        <v>2336</v>
      </c>
    </row>
    <row r="911">
      <c r="A911" s="2" t="str">
        <f>IFERROR(__xludf.DUMMYFUNCTION("""COMPUTED_VALUE"""),"PR048")</f>
        <v>PR048</v>
      </c>
      <c r="B911" s="2" t="str">
        <f>IFERROR(__xludf.DUMMYFUNCTION("""COMPUTED_VALUE"""),"VD026")</f>
        <v>VD026</v>
      </c>
      <c r="C911" s="2">
        <f>IFERROR(__xludf.DUMMYFUNCTION("""COMPUTED_VALUE"""),6.0)</f>
        <v>6</v>
      </c>
      <c r="D911" s="2">
        <f>IFERROR(__xludf.DUMMYFUNCTION("""COMPUTED_VALUE"""),1774.19)</f>
        <v>1774.19</v>
      </c>
    </row>
    <row r="912">
      <c r="A912" s="2" t="str">
        <f>IFERROR(__xludf.DUMMYFUNCTION("""COMPUTED_VALUE"""),"PR015")</f>
        <v>PR015</v>
      </c>
      <c r="B912" s="2" t="str">
        <f>IFERROR(__xludf.DUMMYFUNCTION("""COMPUTED_VALUE"""),"VD012")</f>
        <v>VD012</v>
      </c>
      <c r="C912" s="2">
        <f>IFERROR(__xludf.DUMMYFUNCTION("""COMPUTED_VALUE"""),2.0)</f>
        <v>2</v>
      </c>
      <c r="D912" s="2">
        <f>IFERROR(__xludf.DUMMYFUNCTION("""COMPUTED_VALUE"""),85.85)</f>
        <v>85.85</v>
      </c>
    </row>
    <row r="913">
      <c r="A913" s="2" t="str">
        <f>IFERROR(__xludf.DUMMYFUNCTION("""COMPUTED_VALUE"""),"PR051")</f>
        <v>PR051</v>
      </c>
      <c r="B913" s="2" t="str">
        <f>IFERROR(__xludf.DUMMYFUNCTION("""COMPUTED_VALUE"""),"VD036")</f>
        <v>VD036</v>
      </c>
      <c r="C913" s="2">
        <f>IFERROR(__xludf.DUMMYFUNCTION("""COMPUTED_VALUE"""),10.0)</f>
        <v>10</v>
      </c>
      <c r="D913" s="2">
        <f>IFERROR(__xludf.DUMMYFUNCTION("""COMPUTED_VALUE"""),348.74)</f>
        <v>348.74</v>
      </c>
    </row>
    <row r="914">
      <c r="A914" s="2" t="str">
        <f>IFERROR(__xludf.DUMMYFUNCTION("""COMPUTED_VALUE"""),"PR060")</f>
        <v>PR060</v>
      </c>
      <c r="B914" s="2" t="str">
        <f>IFERROR(__xludf.DUMMYFUNCTION("""COMPUTED_VALUE"""),"VD021")</f>
        <v>VD021</v>
      </c>
      <c r="C914" s="2">
        <f>IFERROR(__xludf.DUMMYFUNCTION("""COMPUTED_VALUE"""),12.0)</f>
        <v>12</v>
      </c>
      <c r="D914" s="2">
        <f>IFERROR(__xludf.DUMMYFUNCTION("""COMPUTED_VALUE"""),2246.4)</f>
        <v>2246.4</v>
      </c>
    </row>
    <row r="915">
      <c r="A915" s="2" t="str">
        <f>IFERROR(__xludf.DUMMYFUNCTION("""COMPUTED_VALUE"""),"PR053")</f>
        <v>PR053</v>
      </c>
      <c r="B915" s="2" t="str">
        <f>IFERROR(__xludf.DUMMYFUNCTION("""COMPUTED_VALUE"""),"VD047")</f>
        <v>VD047</v>
      </c>
      <c r="C915" s="2">
        <f>IFERROR(__xludf.DUMMYFUNCTION("""COMPUTED_VALUE"""),6.0)</f>
        <v>6</v>
      </c>
      <c r="D915" s="2">
        <f>IFERROR(__xludf.DUMMYFUNCTION("""COMPUTED_VALUE"""),317.36)</f>
        <v>317.36</v>
      </c>
    </row>
    <row r="916">
      <c r="A916" s="2" t="str">
        <f>IFERROR(__xludf.DUMMYFUNCTION("""COMPUTED_VALUE"""),"PR051")</f>
        <v>PR051</v>
      </c>
      <c r="B916" s="2" t="str">
        <f>IFERROR(__xludf.DUMMYFUNCTION("""COMPUTED_VALUE"""),"VD016")</f>
        <v>VD016</v>
      </c>
      <c r="C916" s="2">
        <f>IFERROR(__xludf.DUMMYFUNCTION("""COMPUTED_VALUE"""),8.0)</f>
        <v>8</v>
      </c>
      <c r="D916" s="2">
        <f>IFERROR(__xludf.DUMMYFUNCTION("""COMPUTED_VALUE"""),263.2)</f>
        <v>263.2</v>
      </c>
    </row>
    <row r="917">
      <c r="A917" s="2" t="str">
        <f>IFERROR(__xludf.DUMMYFUNCTION("""COMPUTED_VALUE"""),"PR035")</f>
        <v>PR035</v>
      </c>
      <c r="B917" s="2" t="str">
        <f>IFERROR(__xludf.DUMMYFUNCTION("""COMPUTED_VALUE"""),"VD016")</f>
        <v>VD016</v>
      </c>
      <c r="C917" s="2">
        <f>IFERROR(__xludf.DUMMYFUNCTION("""COMPUTED_VALUE"""),12.0)</f>
        <v>12</v>
      </c>
      <c r="D917" s="2">
        <f>IFERROR(__xludf.DUMMYFUNCTION("""COMPUTED_VALUE"""),1107.77)</f>
        <v>1107.77</v>
      </c>
    </row>
    <row r="918">
      <c r="A918" s="2" t="str">
        <f>IFERROR(__xludf.DUMMYFUNCTION("""COMPUTED_VALUE"""),"PR046")</f>
        <v>PR046</v>
      </c>
      <c r="B918" s="2" t="str">
        <f>IFERROR(__xludf.DUMMYFUNCTION("""COMPUTED_VALUE"""),"VD031")</f>
        <v>VD031</v>
      </c>
      <c r="C918" s="2">
        <f>IFERROR(__xludf.DUMMYFUNCTION("""COMPUTED_VALUE"""),14.0)</f>
        <v>14</v>
      </c>
      <c r="D918" s="2">
        <f>IFERROR(__xludf.DUMMYFUNCTION("""COMPUTED_VALUE"""),4099.19)</f>
        <v>4099.19</v>
      </c>
    </row>
    <row r="919">
      <c r="A919" s="2" t="str">
        <f>IFERROR(__xludf.DUMMYFUNCTION("""COMPUTED_VALUE"""),"PR057")</f>
        <v>PR057</v>
      </c>
      <c r="B919" s="2" t="str">
        <f>IFERROR(__xludf.DUMMYFUNCTION("""COMPUTED_VALUE"""),"VD047")</f>
        <v>VD047</v>
      </c>
      <c r="C919" s="2">
        <f>IFERROR(__xludf.DUMMYFUNCTION("""COMPUTED_VALUE"""),12.0)</f>
        <v>12</v>
      </c>
      <c r="D919" s="2">
        <f>IFERROR(__xludf.DUMMYFUNCTION("""COMPUTED_VALUE"""),1121.95)</f>
        <v>1121.95</v>
      </c>
    </row>
    <row r="920">
      <c r="A920" s="2" t="str">
        <f>IFERROR(__xludf.DUMMYFUNCTION("""COMPUTED_VALUE"""),"PR050")</f>
        <v>PR050</v>
      </c>
      <c r="B920" s="2" t="str">
        <f>IFERROR(__xludf.DUMMYFUNCTION("""COMPUTED_VALUE"""),"VD031")</f>
        <v>VD031</v>
      </c>
      <c r="C920" s="2">
        <f>IFERROR(__xludf.DUMMYFUNCTION("""COMPUTED_VALUE"""),20.0)</f>
        <v>20</v>
      </c>
      <c r="D920" s="2">
        <f>IFERROR(__xludf.DUMMYFUNCTION("""COMPUTED_VALUE"""),697.48)</f>
        <v>697.48</v>
      </c>
    </row>
    <row r="921">
      <c r="A921" s="2" t="str">
        <f>IFERROR(__xludf.DUMMYFUNCTION("""COMPUTED_VALUE"""),"PR012")</f>
        <v>PR012</v>
      </c>
      <c r="B921" s="2" t="str">
        <f>IFERROR(__xludf.DUMMYFUNCTION("""COMPUTED_VALUE"""),"VD020")</f>
        <v>VD020</v>
      </c>
      <c r="C921" s="2">
        <f>IFERROR(__xludf.DUMMYFUNCTION("""COMPUTED_VALUE"""),14.0)</f>
        <v>14</v>
      </c>
      <c r="D921" s="2">
        <f>IFERROR(__xludf.DUMMYFUNCTION("""COMPUTED_VALUE"""),711.98)</f>
        <v>711.98</v>
      </c>
    </row>
    <row r="922">
      <c r="A922" s="2" t="str">
        <f>IFERROR(__xludf.DUMMYFUNCTION("""COMPUTED_VALUE"""),"PR011")</f>
        <v>PR011</v>
      </c>
      <c r="B922" s="2" t="str">
        <f>IFERROR(__xludf.DUMMYFUNCTION("""COMPUTED_VALUE"""),"VD038")</f>
        <v>VD038</v>
      </c>
      <c r="C922" s="2">
        <f>IFERROR(__xludf.DUMMYFUNCTION("""COMPUTED_VALUE"""),10.0)</f>
        <v>10</v>
      </c>
      <c r="D922" s="2">
        <f>IFERROR(__xludf.DUMMYFUNCTION("""COMPUTED_VALUE"""),492.45)</f>
        <v>492.45</v>
      </c>
    </row>
    <row r="923">
      <c r="A923" s="2" t="str">
        <f>IFERROR(__xludf.DUMMYFUNCTION("""COMPUTED_VALUE"""),"PR024")</f>
        <v>PR024</v>
      </c>
      <c r="B923" s="2" t="str">
        <f>IFERROR(__xludf.DUMMYFUNCTION("""COMPUTED_VALUE"""),"VD041")</f>
        <v>VD041</v>
      </c>
      <c r="C923" s="2">
        <f>IFERROR(__xludf.DUMMYFUNCTION("""COMPUTED_VALUE"""),2.0)</f>
        <v>2</v>
      </c>
      <c r="D923" s="2">
        <f>IFERROR(__xludf.DUMMYFUNCTION("""COMPUTED_VALUE"""),550.99)</f>
        <v>550.99</v>
      </c>
    </row>
    <row r="924">
      <c r="A924" s="2" t="str">
        <f>IFERROR(__xludf.DUMMYFUNCTION("""COMPUTED_VALUE"""),"PR049")</f>
        <v>PR049</v>
      </c>
      <c r="B924" s="2" t="str">
        <f>IFERROR(__xludf.DUMMYFUNCTION("""COMPUTED_VALUE"""),"VD017")</f>
        <v>VD017</v>
      </c>
      <c r="C924" s="2">
        <f>IFERROR(__xludf.DUMMYFUNCTION("""COMPUTED_VALUE"""),20.0)</f>
        <v>20</v>
      </c>
      <c r="D924" s="2">
        <f>IFERROR(__xludf.DUMMYFUNCTION("""COMPUTED_VALUE"""),671.16)</f>
        <v>671.16</v>
      </c>
    </row>
    <row r="925">
      <c r="A925" s="2" t="str">
        <f>IFERROR(__xludf.DUMMYFUNCTION("""COMPUTED_VALUE"""),"PR050")</f>
        <v>PR050</v>
      </c>
      <c r="B925" s="2" t="str">
        <f>IFERROR(__xludf.DUMMYFUNCTION("""COMPUTED_VALUE"""),"VD011")</f>
        <v>VD011</v>
      </c>
      <c r="C925" s="2">
        <f>IFERROR(__xludf.DUMMYFUNCTION("""COMPUTED_VALUE"""),2.0)</f>
        <v>2</v>
      </c>
      <c r="D925" s="2">
        <f>IFERROR(__xludf.DUMMYFUNCTION("""COMPUTED_VALUE"""),71.06)</f>
        <v>71.06</v>
      </c>
    </row>
    <row r="926">
      <c r="A926" s="2" t="str">
        <f>IFERROR(__xludf.DUMMYFUNCTION("""COMPUTED_VALUE"""),"PR008")</f>
        <v>PR008</v>
      </c>
      <c r="B926" s="2" t="str">
        <f>IFERROR(__xludf.DUMMYFUNCTION("""COMPUTED_VALUE"""),"VD046")</f>
        <v>VD046</v>
      </c>
      <c r="C926" s="2">
        <f>IFERROR(__xludf.DUMMYFUNCTION("""COMPUTED_VALUE"""),2.0)</f>
        <v>2</v>
      </c>
      <c r="D926" s="2">
        <f>IFERROR(__xludf.DUMMYFUNCTION("""COMPUTED_VALUE"""),186.99)</f>
        <v>186.99</v>
      </c>
    </row>
    <row r="927">
      <c r="A927" s="2" t="str">
        <f>IFERROR(__xludf.DUMMYFUNCTION("""COMPUTED_VALUE"""),"PR024")</f>
        <v>PR024</v>
      </c>
      <c r="B927" s="2" t="str">
        <f>IFERROR(__xludf.DUMMYFUNCTION("""COMPUTED_VALUE"""),"VD039")</f>
        <v>VD039</v>
      </c>
      <c r="C927" s="2">
        <f>IFERROR(__xludf.DUMMYFUNCTION("""COMPUTED_VALUE"""),2.0)</f>
        <v>2</v>
      </c>
      <c r="D927" s="2">
        <f>IFERROR(__xludf.DUMMYFUNCTION("""COMPUTED_VALUE"""),561.38)</f>
        <v>561.38</v>
      </c>
    </row>
    <row r="928">
      <c r="A928" s="2" t="str">
        <f>IFERROR(__xludf.DUMMYFUNCTION("""COMPUTED_VALUE"""),"PR016")</f>
        <v>PR016</v>
      </c>
      <c r="B928" s="2" t="str">
        <f>IFERROR(__xludf.DUMMYFUNCTION("""COMPUTED_VALUE"""),"VD028")</f>
        <v>VD028</v>
      </c>
      <c r="C928" s="2">
        <f>IFERROR(__xludf.DUMMYFUNCTION("""COMPUTED_VALUE"""),5.0)</f>
        <v>5</v>
      </c>
      <c r="D928" s="2">
        <f>IFERROR(__xludf.DUMMYFUNCTION("""COMPUTED_VALUE"""),132.09)</f>
        <v>132.09</v>
      </c>
    </row>
    <row r="929">
      <c r="A929" s="2" t="str">
        <f>IFERROR(__xludf.DUMMYFUNCTION("""COMPUTED_VALUE"""),"PR025")</f>
        <v>PR025</v>
      </c>
      <c r="B929" s="2" t="str">
        <f>IFERROR(__xludf.DUMMYFUNCTION("""COMPUTED_VALUE"""),"VD047")</f>
        <v>VD047</v>
      </c>
      <c r="C929" s="2">
        <f>IFERROR(__xludf.DUMMYFUNCTION("""COMPUTED_VALUE"""),20.0)</f>
        <v>20</v>
      </c>
      <c r="D929" s="2">
        <f>IFERROR(__xludf.DUMMYFUNCTION("""COMPUTED_VALUE"""),6297.9)</f>
        <v>6297.9</v>
      </c>
    </row>
    <row r="930">
      <c r="A930" s="2" t="str">
        <f>IFERROR(__xludf.DUMMYFUNCTION("""COMPUTED_VALUE"""),"PR055")</f>
        <v>PR055</v>
      </c>
      <c r="B930" s="2" t="str">
        <f>IFERROR(__xludf.DUMMYFUNCTION("""COMPUTED_VALUE"""),"VD047")</f>
        <v>VD047</v>
      </c>
      <c r="C930" s="2">
        <f>IFERROR(__xludf.DUMMYFUNCTION("""COMPUTED_VALUE"""),8.0)</f>
        <v>8</v>
      </c>
      <c r="D930" s="2">
        <f>IFERROR(__xludf.DUMMYFUNCTION("""COMPUTED_VALUE"""),783.93)</f>
        <v>783.93</v>
      </c>
    </row>
    <row r="931">
      <c r="A931" s="2" t="str">
        <f>IFERROR(__xludf.DUMMYFUNCTION("""COMPUTED_VALUE"""),"PR047")</f>
        <v>PR047</v>
      </c>
      <c r="B931" s="2" t="str">
        <f>IFERROR(__xludf.DUMMYFUNCTION("""COMPUTED_VALUE"""),"VD025")</f>
        <v>VD025</v>
      </c>
      <c r="C931" s="2">
        <f>IFERROR(__xludf.DUMMYFUNCTION("""COMPUTED_VALUE"""),7.0)</f>
        <v>7</v>
      </c>
      <c r="D931" s="2">
        <f>IFERROR(__xludf.DUMMYFUNCTION("""COMPUTED_VALUE"""),2110.47)</f>
        <v>2110.47</v>
      </c>
    </row>
    <row r="932">
      <c r="A932" s="2" t="str">
        <f>IFERROR(__xludf.DUMMYFUNCTION("""COMPUTED_VALUE"""),"PR001")</f>
        <v>PR001</v>
      </c>
      <c r="B932" s="2" t="str">
        <f>IFERROR(__xludf.DUMMYFUNCTION("""COMPUTED_VALUE"""),"VD012")</f>
        <v>VD012</v>
      </c>
      <c r="C932" s="2">
        <f>IFERROR(__xludf.DUMMYFUNCTION("""COMPUTED_VALUE"""),12.0)</f>
        <v>12</v>
      </c>
      <c r="D932" s="2">
        <f>IFERROR(__xludf.DUMMYFUNCTION("""COMPUTED_VALUE"""),846.16)</f>
        <v>846.16</v>
      </c>
    </row>
    <row r="933">
      <c r="A933" s="2" t="str">
        <f>IFERROR(__xludf.DUMMYFUNCTION("""COMPUTED_VALUE"""),"PR017")</f>
        <v>PR017</v>
      </c>
      <c r="B933" s="2" t="str">
        <f>IFERROR(__xludf.DUMMYFUNCTION("""COMPUTED_VALUE"""),"VD032")</f>
        <v>VD032</v>
      </c>
      <c r="C933" s="2">
        <f>IFERROR(__xludf.DUMMYFUNCTION("""COMPUTED_VALUE"""),18.0)</f>
        <v>18</v>
      </c>
      <c r="D933" s="2">
        <f>IFERROR(__xludf.DUMMYFUNCTION("""COMPUTED_VALUE"""),559.73)</f>
        <v>559.73</v>
      </c>
    </row>
    <row r="934">
      <c r="A934" s="2" t="str">
        <f>IFERROR(__xludf.DUMMYFUNCTION("""COMPUTED_VALUE"""),"PR031")</f>
        <v>PR031</v>
      </c>
      <c r="B934" s="2" t="str">
        <f>IFERROR(__xludf.DUMMYFUNCTION("""COMPUTED_VALUE"""),"VD039")</f>
        <v>VD039</v>
      </c>
      <c r="C934" s="2">
        <f>IFERROR(__xludf.DUMMYFUNCTION("""COMPUTED_VALUE"""),2.0)</f>
        <v>2</v>
      </c>
      <c r="D934" s="2">
        <f>IFERROR(__xludf.DUMMYFUNCTION("""COMPUTED_VALUE"""),529.2)</f>
        <v>529.2</v>
      </c>
    </row>
    <row r="935">
      <c r="A935" s="2" t="str">
        <f>IFERROR(__xludf.DUMMYFUNCTION("""COMPUTED_VALUE"""),"PR059")</f>
        <v>PR059</v>
      </c>
      <c r="B935" s="2" t="str">
        <f>IFERROR(__xludf.DUMMYFUNCTION("""COMPUTED_VALUE"""),"VD024")</f>
        <v>VD024</v>
      </c>
      <c r="C935" s="2">
        <f>IFERROR(__xludf.DUMMYFUNCTION("""COMPUTED_VALUE"""),14.0)</f>
        <v>14</v>
      </c>
      <c r="D935" s="2">
        <f>IFERROR(__xludf.DUMMYFUNCTION("""COMPUTED_VALUE"""),2570.4)</f>
        <v>2570.4</v>
      </c>
    </row>
    <row r="936">
      <c r="A936" s="2" t="str">
        <f>IFERROR(__xludf.DUMMYFUNCTION("""COMPUTED_VALUE"""),"PR008")</f>
        <v>PR008</v>
      </c>
      <c r="B936" s="2" t="str">
        <f>IFERROR(__xludf.DUMMYFUNCTION("""COMPUTED_VALUE"""),"VD046")</f>
        <v>VD046</v>
      </c>
      <c r="C936" s="2">
        <f>IFERROR(__xludf.DUMMYFUNCTION("""COMPUTED_VALUE"""),8.0)</f>
        <v>8</v>
      </c>
      <c r="D936" s="2">
        <f>IFERROR(__xludf.DUMMYFUNCTION("""COMPUTED_VALUE"""),776.74)</f>
        <v>776.74</v>
      </c>
    </row>
    <row r="937">
      <c r="A937" s="2" t="str">
        <f>IFERROR(__xludf.DUMMYFUNCTION("""COMPUTED_VALUE"""),"PR044")</f>
        <v>PR044</v>
      </c>
      <c r="B937" s="2" t="str">
        <f>IFERROR(__xludf.DUMMYFUNCTION("""COMPUTED_VALUE"""),"VD037")</f>
        <v>VD037</v>
      </c>
      <c r="C937" s="2">
        <f>IFERROR(__xludf.DUMMYFUNCTION("""COMPUTED_VALUE"""),8.0)</f>
        <v>8</v>
      </c>
      <c r="D937" s="2">
        <f>IFERROR(__xludf.DUMMYFUNCTION("""COMPUTED_VALUE"""),585.8)</f>
        <v>585.8</v>
      </c>
    </row>
    <row r="938">
      <c r="A938" s="2" t="str">
        <f>IFERROR(__xludf.DUMMYFUNCTION("""COMPUTED_VALUE"""),"PR034")</f>
        <v>PR034</v>
      </c>
      <c r="B938" s="2" t="str">
        <f>IFERROR(__xludf.DUMMYFUNCTION("""COMPUTED_VALUE"""),"VD020")</f>
        <v>VD020</v>
      </c>
      <c r="C938" s="2">
        <f>IFERROR(__xludf.DUMMYFUNCTION("""COMPUTED_VALUE"""),2.0)</f>
        <v>2</v>
      </c>
      <c r="D938" s="2">
        <f>IFERROR(__xludf.DUMMYFUNCTION("""COMPUTED_VALUE"""),183.4)</f>
        <v>183.4</v>
      </c>
    </row>
    <row r="939">
      <c r="A939" s="2" t="str">
        <f>IFERROR(__xludf.DUMMYFUNCTION("""COMPUTED_VALUE"""),"PR020")</f>
        <v>PR020</v>
      </c>
      <c r="B939" s="2" t="str">
        <f>IFERROR(__xludf.DUMMYFUNCTION("""COMPUTED_VALUE"""),"VD014")</f>
        <v>VD014</v>
      </c>
      <c r="C939" s="2">
        <f>IFERROR(__xludf.DUMMYFUNCTION("""COMPUTED_VALUE"""),8.0)</f>
        <v>8</v>
      </c>
      <c r="D939" s="2">
        <f>IFERROR(__xludf.DUMMYFUNCTION("""COMPUTED_VALUE"""),2639.12)</f>
        <v>2639.12</v>
      </c>
    </row>
    <row r="940">
      <c r="A940" s="2" t="str">
        <f>IFERROR(__xludf.DUMMYFUNCTION("""COMPUTED_VALUE"""),"PR056")</f>
        <v>PR056</v>
      </c>
      <c r="B940" s="2" t="str">
        <f>IFERROR(__xludf.DUMMYFUNCTION("""COMPUTED_VALUE"""),"VD013")</f>
        <v>VD013</v>
      </c>
      <c r="C940" s="2">
        <f>IFERROR(__xludf.DUMMYFUNCTION("""COMPUTED_VALUE"""),16.0)</f>
        <v>16</v>
      </c>
      <c r="D940" s="2">
        <f>IFERROR(__xludf.DUMMYFUNCTION("""COMPUTED_VALUE"""),1438.4)</f>
        <v>1438.4</v>
      </c>
    </row>
    <row r="941">
      <c r="A941" s="2" t="str">
        <f>IFERROR(__xludf.DUMMYFUNCTION("""COMPUTED_VALUE"""),"PR057")</f>
        <v>PR057</v>
      </c>
      <c r="B941" s="2" t="str">
        <f>IFERROR(__xludf.DUMMYFUNCTION("""COMPUTED_VALUE"""),"VD018")</f>
        <v>VD018</v>
      </c>
      <c r="C941" s="2">
        <f>IFERROR(__xludf.DUMMYFUNCTION("""COMPUTED_VALUE"""),14.0)</f>
        <v>14</v>
      </c>
      <c r="D941" s="2">
        <f>IFERROR(__xludf.DUMMYFUNCTION("""COMPUTED_VALUE"""),1346.7)</f>
        <v>1346.7</v>
      </c>
    </row>
    <row r="942">
      <c r="A942" s="2" t="str">
        <f>IFERROR(__xludf.DUMMYFUNCTION("""COMPUTED_VALUE"""),"PR038")</f>
        <v>PR038</v>
      </c>
      <c r="B942" s="2" t="str">
        <f>IFERROR(__xludf.DUMMYFUNCTION("""COMPUTED_VALUE"""),"VD031")</f>
        <v>VD031</v>
      </c>
      <c r="C942" s="2">
        <f>IFERROR(__xludf.DUMMYFUNCTION("""COMPUTED_VALUE"""),14.0)</f>
        <v>14</v>
      </c>
      <c r="D942" s="2">
        <f>IFERROR(__xludf.DUMMYFUNCTION("""COMPUTED_VALUE"""),2180.65)</f>
        <v>2180.65</v>
      </c>
    </row>
    <row r="943">
      <c r="A943" s="2" t="str">
        <f>IFERROR(__xludf.DUMMYFUNCTION("""COMPUTED_VALUE"""),"PR033")</f>
        <v>PR033</v>
      </c>
      <c r="B943" s="2" t="str">
        <f>IFERROR(__xludf.DUMMYFUNCTION("""COMPUTED_VALUE"""),"VD041")</f>
        <v>VD041</v>
      </c>
      <c r="C943" s="2">
        <f>IFERROR(__xludf.DUMMYFUNCTION("""COMPUTED_VALUE"""),2.0)</f>
        <v>2</v>
      </c>
      <c r="D943" s="2">
        <f>IFERROR(__xludf.DUMMYFUNCTION("""COMPUTED_VALUE"""),535.39)</f>
        <v>535.39</v>
      </c>
    </row>
    <row r="944">
      <c r="A944" s="2" t="str">
        <f>IFERROR(__xludf.DUMMYFUNCTION("""COMPUTED_VALUE"""),"PR008")</f>
        <v>PR008</v>
      </c>
      <c r="B944" s="2" t="str">
        <f>IFERROR(__xludf.DUMMYFUNCTION("""COMPUTED_VALUE"""),"VD019")</f>
        <v>VD019</v>
      </c>
      <c r="C944" s="2">
        <f>IFERROR(__xludf.DUMMYFUNCTION("""COMPUTED_VALUE"""),10.0)</f>
        <v>10</v>
      </c>
      <c r="D944" s="2">
        <f>IFERROR(__xludf.DUMMYFUNCTION("""COMPUTED_VALUE"""),934.96)</f>
        <v>934.96</v>
      </c>
    </row>
    <row r="945">
      <c r="A945" s="2" t="str">
        <f>IFERROR(__xludf.DUMMYFUNCTION("""COMPUTED_VALUE"""),"PR051")</f>
        <v>PR051</v>
      </c>
      <c r="B945" s="2" t="str">
        <f>IFERROR(__xludf.DUMMYFUNCTION("""COMPUTED_VALUE"""),"VD037")</f>
        <v>VD037</v>
      </c>
      <c r="C945" s="2">
        <f>IFERROR(__xludf.DUMMYFUNCTION("""COMPUTED_VALUE"""),4.0)</f>
        <v>4</v>
      </c>
      <c r="D945" s="2">
        <f>IFERROR(__xludf.DUMMYFUNCTION("""COMPUTED_VALUE"""),135.55)</f>
        <v>135.55</v>
      </c>
    </row>
    <row r="946">
      <c r="A946" s="2" t="str">
        <f>IFERROR(__xludf.DUMMYFUNCTION("""COMPUTED_VALUE"""),"PR038")</f>
        <v>PR038</v>
      </c>
      <c r="B946" s="2" t="str">
        <f>IFERROR(__xludf.DUMMYFUNCTION("""COMPUTED_VALUE"""),"VD022")</f>
        <v>VD022</v>
      </c>
      <c r="C946" s="2">
        <f>IFERROR(__xludf.DUMMYFUNCTION("""COMPUTED_VALUE"""),7.0)</f>
        <v>7</v>
      </c>
      <c r="D946" s="2">
        <f>IFERROR(__xludf.DUMMYFUNCTION("""COMPUTED_VALUE"""),1100.33)</f>
        <v>1100.33</v>
      </c>
    </row>
    <row r="947">
      <c r="A947" s="2" t="str">
        <f>IFERROR(__xludf.DUMMYFUNCTION("""COMPUTED_VALUE"""),"PR009")</f>
        <v>PR009</v>
      </c>
      <c r="B947" s="2" t="str">
        <f>IFERROR(__xludf.DUMMYFUNCTION("""COMPUTED_VALUE"""),"VD013")</f>
        <v>VD013</v>
      </c>
      <c r="C947" s="2">
        <f>IFERROR(__xludf.DUMMYFUNCTION("""COMPUTED_VALUE"""),2.0)</f>
        <v>2</v>
      </c>
      <c r="D947" s="2">
        <f>IFERROR(__xludf.DUMMYFUNCTION("""COMPUTED_VALUE"""),195.09)</f>
        <v>195.09</v>
      </c>
    </row>
    <row r="948">
      <c r="A948" s="2" t="str">
        <f>IFERROR(__xludf.DUMMYFUNCTION("""COMPUTED_VALUE"""),"PR017")</f>
        <v>PR017</v>
      </c>
      <c r="B948" s="2" t="str">
        <f>IFERROR(__xludf.DUMMYFUNCTION("""COMPUTED_VALUE"""),"VD022")</f>
        <v>VD022</v>
      </c>
      <c r="C948" s="2">
        <f>IFERROR(__xludf.DUMMYFUNCTION("""COMPUTED_VALUE"""),8.0)</f>
        <v>8</v>
      </c>
      <c r="D948" s="2">
        <f>IFERROR(__xludf.DUMMYFUNCTION("""COMPUTED_VALUE"""),263.12)</f>
        <v>263.12</v>
      </c>
    </row>
    <row r="949">
      <c r="A949" s="2" t="str">
        <f>IFERROR(__xludf.DUMMYFUNCTION("""COMPUTED_VALUE"""),"PR036")</f>
        <v>PR036</v>
      </c>
      <c r="B949" s="2" t="str">
        <f>IFERROR(__xludf.DUMMYFUNCTION("""COMPUTED_VALUE"""),"VD048")</f>
        <v>VD048</v>
      </c>
      <c r="C949" s="2">
        <f>IFERROR(__xludf.DUMMYFUNCTION("""COMPUTED_VALUE"""),14.0)</f>
        <v>14</v>
      </c>
      <c r="D949" s="2">
        <f>IFERROR(__xludf.DUMMYFUNCTION("""COMPUTED_VALUE"""),1374.45)</f>
        <v>1374.45</v>
      </c>
    </row>
    <row r="950">
      <c r="A950" s="2" t="str">
        <f>IFERROR(__xludf.DUMMYFUNCTION("""COMPUTED_VALUE"""),"PR008")</f>
        <v>PR008</v>
      </c>
      <c r="B950" s="2" t="str">
        <f>IFERROR(__xludf.DUMMYFUNCTION("""COMPUTED_VALUE"""),"VD014")</f>
        <v>VD014</v>
      </c>
      <c r="C950" s="2">
        <f>IFERROR(__xludf.DUMMYFUNCTION("""COMPUTED_VALUE"""),8.0)</f>
        <v>8</v>
      </c>
      <c r="D950" s="2">
        <f>IFERROR(__xludf.DUMMYFUNCTION("""COMPUTED_VALUE"""),783.93)</f>
        <v>783.93</v>
      </c>
    </row>
    <row r="951">
      <c r="A951" s="2" t="str">
        <f>IFERROR(__xludf.DUMMYFUNCTION("""COMPUTED_VALUE"""),"PR047")</f>
        <v>PR047</v>
      </c>
      <c r="B951" s="2" t="str">
        <f>IFERROR(__xludf.DUMMYFUNCTION("""COMPUTED_VALUE"""),"VD019")</f>
        <v>VD019</v>
      </c>
      <c r="C951" s="2">
        <f>IFERROR(__xludf.DUMMYFUNCTION("""COMPUTED_VALUE"""),5.0)</f>
        <v>5</v>
      </c>
      <c r="D951" s="2">
        <f>IFERROR(__xludf.DUMMYFUNCTION("""COMPUTED_VALUE"""),1550.97)</f>
        <v>1550.97</v>
      </c>
    </row>
    <row r="952">
      <c r="A952" s="2" t="str">
        <f>IFERROR(__xludf.DUMMYFUNCTION("""COMPUTED_VALUE"""),"PR046")</f>
        <v>PR046</v>
      </c>
      <c r="B952" s="2" t="str">
        <f>IFERROR(__xludf.DUMMYFUNCTION("""COMPUTED_VALUE"""),"VD021")</f>
        <v>VD021</v>
      </c>
      <c r="C952" s="2">
        <f>IFERROR(__xludf.DUMMYFUNCTION("""COMPUTED_VALUE"""),3.0)</f>
        <v>3</v>
      </c>
      <c r="D952" s="2">
        <f>IFERROR(__xludf.DUMMYFUNCTION("""COMPUTED_VALUE"""),930.58)</f>
        <v>930.58</v>
      </c>
    </row>
    <row r="953">
      <c r="A953" s="2" t="str">
        <f>IFERROR(__xludf.DUMMYFUNCTION("""COMPUTED_VALUE"""),"PR050")</f>
        <v>PR050</v>
      </c>
      <c r="B953" s="2" t="str">
        <f>IFERROR(__xludf.DUMMYFUNCTION("""COMPUTED_VALUE"""),"VD018")</f>
        <v>VD018</v>
      </c>
      <c r="C953" s="2">
        <f>IFERROR(__xludf.DUMMYFUNCTION("""COMPUTED_VALUE"""),4.0)</f>
        <v>4</v>
      </c>
      <c r="D953" s="2">
        <f>IFERROR(__xludf.DUMMYFUNCTION("""COMPUTED_VALUE"""),144.76)</f>
        <v>144.76</v>
      </c>
    </row>
    <row r="954">
      <c r="A954" s="2" t="str">
        <f>IFERROR(__xludf.DUMMYFUNCTION("""COMPUTED_VALUE"""),"PR038")</f>
        <v>PR038</v>
      </c>
      <c r="B954" s="2" t="str">
        <f>IFERROR(__xludf.DUMMYFUNCTION("""COMPUTED_VALUE"""),"VD034")</f>
        <v>VD034</v>
      </c>
      <c r="C954" s="2">
        <f>IFERROR(__xludf.DUMMYFUNCTION("""COMPUTED_VALUE"""),1.0)</f>
        <v>1</v>
      </c>
      <c r="D954" s="2">
        <f>IFERROR(__xludf.DUMMYFUNCTION("""COMPUTED_VALUE"""),148.62)</f>
        <v>148.62</v>
      </c>
    </row>
    <row r="955">
      <c r="A955" s="2" t="str">
        <f>IFERROR(__xludf.DUMMYFUNCTION("""COMPUTED_VALUE"""),"PR046")</f>
        <v>PR046</v>
      </c>
      <c r="B955" s="2" t="str">
        <f>IFERROR(__xludf.DUMMYFUNCTION("""COMPUTED_VALUE"""),"VD018")</f>
        <v>VD018</v>
      </c>
      <c r="C955" s="2">
        <f>IFERROR(__xludf.DUMMYFUNCTION("""COMPUTED_VALUE"""),3.0)</f>
        <v>3</v>
      </c>
      <c r="D955" s="2">
        <f>IFERROR(__xludf.DUMMYFUNCTION("""COMPUTED_VALUE"""),947.97)</f>
        <v>947.97</v>
      </c>
    </row>
    <row r="956">
      <c r="A956" s="2" t="str">
        <f>IFERROR(__xludf.DUMMYFUNCTION("""COMPUTED_VALUE"""),"PR004")</f>
        <v>PR004</v>
      </c>
      <c r="B956" s="2" t="str">
        <f>IFERROR(__xludf.DUMMYFUNCTION("""COMPUTED_VALUE"""),"VD026")</f>
        <v>VD026</v>
      </c>
      <c r="C956" s="2">
        <f>IFERROR(__xludf.DUMMYFUNCTION("""COMPUTED_VALUE"""),2.0)</f>
        <v>2</v>
      </c>
      <c r="D956" s="2">
        <f>IFERROR(__xludf.DUMMYFUNCTION("""COMPUTED_VALUE"""),301.6)</f>
        <v>301.6</v>
      </c>
    </row>
    <row r="957">
      <c r="A957" s="2" t="str">
        <f>IFERROR(__xludf.DUMMYFUNCTION("""COMPUTED_VALUE"""),"PR030")</f>
        <v>PR030</v>
      </c>
      <c r="B957" s="2" t="str">
        <f>IFERROR(__xludf.DUMMYFUNCTION("""COMPUTED_VALUE"""),"VD012")</f>
        <v>VD012</v>
      </c>
      <c r="C957" s="2">
        <f>IFERROR(__xludf.DUMMYFUNCTION("""COMPUTED_VALUE"""),9.0)</f>
        <v>9</v>
      </c>
      <c r="D957" s="2">
        <f>IFERROR(__xludf.DUMMYFUNCTION("""COMPUTED_VALUE"""),2339.1)</f>
        <v>2339.1</v>
      </c>
    </row>
    <row r="958">
      <c r="A958" s="2" t="str">
        <f>IFERROR(__xludf.DUMMYFUNCTION("""COMPUTED_VALUE"""),"PR019")</f>
        <v>PR019</v>
      </c>
      <c r="B958" s="2" t="str">
        <f>IFERROR(__xludf.DUMMYFUNCTION("""COMPUTED_VALUE"""),"VD027")</f>
        <v>VD027</v>
      </c>
      <c r="C958" s="2">
        <f>IFERROR(__xludf.DUMMYFUNCTION("""COMPUTED_VALUE"""),1.0)</f>
        <v>1</v>
      </c>
      <c r="D958" s="2">
        <f>IFERROR(__xludf.DUMMYFUNCTION("""COMPUTED_VALUE"""),49.9)</f>
        <v>49.9</v>
      </c>
    </row>
    <row r="959">
      <c r="A959" s="2" t="str">
        <f>IFERROR(__xludf.DUMMYFUNCTION("""COMPUTED_VALUE"""),"PR019")</f>
        <v>PR019</v>
      </c>
      <c r="B959" s="2" t="str">
        <f>IFERROR(__xludf.DUMMYFUNCTION("""COMPUTED_VALUE"""),"VD019")</f>
        <v>VD019</v>
      </c>
      <c r="C959" s="2">
        <f>IFERROR(__xludf.DUMMYFUNCTION("""COMPUTED_VALUE"""),20.0)</f>
        <v>20</v>
      </c>
      <c r="D959" s="2">
        <f>IFERROR(__xludf.DUMMYFUNCTION("""COMPUTED_VALUE"""),1027.94)</f>
        <v>1027.94</v>
      </c>
    </row>
    <row r="960">
      <c r="A960" s="2" t="str">
        <f>IFERROR(__xludf.DUMMYFUNCTION("""COMPUTED_VALUE"""),"PR020")</f>
        <v>PR020</v>
      </c>
      <c r="B960" s="2" t="str">
        <f>IFERROR(__xludf.DUMMYFUNCTION("""COMPUTED_VALUE"""),"VD038")</f>
        <v>VD038</v>
      </c>
      <c r="C960" s="2">
        <f>IFERROR(__xludf.DUMMYFUNCTION("""COMPUTED_VALUE"""),7.0)</f>
        <v>7</v>
      </c>
      <c r="D960" s="2">
        <f>IFERROR(__xludf.DUMMYFUNCTION("""COMPUTED_VALUE"""),2225.26)</f>
        <v>2225.26</v>
      </c>
    </row>
    <row r="961">
      <c r="A961" s="2" t="str">
        <f>IFERROR(__xludf.DUMMYFUNCTION("""COMPUTED_VALUE"""),"PR041")</f>
        <v>PR041</v>
      </c>
      <c r="B961" s="2" t="str">
        <f>IFERROR(__xludf.DUMMYFUNCTION("""COMPUTED_VALUE"""),"VD023")</f>
        <v>VD023</v>
      </c>
      <c r="C961" s="2">
        <f>IFERROR(__xludf.DUMMYFUNCTION("""COMPUTED_VALUE"""),16.0)</f>
        <v>16</v>
      </c>
      <c r="D961" s="2">
        <f>IFERROR(__xludf.DUMMYFUNCTION("""COMPUTED_VALUE"""),887.18)</f>
        <v>887.18</v>
      </c>
    </row>
    <row r="962">
      <c r="A962" s="2" t="str">
        <f>IFERROR(__xludf.DUMMYFUNCTION("""COMPUTED_VALUE"""),"PR004")</f>
        <v>PR004</v>
      </c>
      <c r="B962" s="2" t="str">
        <f>IFERROR(__xludf.DUMMYFUNCTION("""COMPUTED_VALUE"""),"VD039")</f>
        <v>VD039</v>
      </c>
      <c r="C962" s="2">
        <f>IFERROR(__xludf.DUMMYFUNCTION("""COMPUTED_VALUE"""),8.0)</f>
        <v>8</v>
      </c>
      <c r="D962" s="2">
        <f>IFERROR(__xludf.DUMMYFUNCTION("""COMPUTED_VALUE"""),1160.0)</f>
        <v>1160</v>
      </c>
    </row>
    <row r="963">
      <c r="A963" s="2" t="str">
        <f>IFERROR(__xludf.DUMMYFUNCTION("""COMPUTED_VALUE"""),"PR028")</f>
        <v>PR028</v>
      </c>
      <c r="B963" s="2" t="str">
        <f>IFERROR(__xludf.DUMMYFUNCTION("""COMPUTED_VALUE"""),"VD038")</f>
        <v>VD038</v>
      </c>
      <c r="C963" s="2">
        <f>IFERROR(__xludf.DUMMYFUNCTION("""COMPUTED_VALUE"""),6.0)</f>
        <v>6</v>
      </c>
      <c r="D963" s="2">
        <f>IFERROR(__xludf.DUMMYFUNCTION("""COMPUTED_VALUE"""),1544.38)</f>
        <v>1544.38</v>
      </c>
    </row>
    <row r="964">
      <c r="A964" s="2" t="str">
        <f>IFERROR(__xludf.DUMMYFUNCTION("""COMPUTED_VALUE"""),"PR023")</f>
        <v>PR023</v>
      </c>
      <c r="B964" s="2" t="str">
        <f>IFERROR(__xludf.DUMMYFUNCTION("""COMPUTED_VALUE"""),"VD012")</f>
        <v>VD012</v>
      </c>
      <c r="C964" s="2">
        <f>IFERROR(__xludf.DUMMYFUNCTION("""COMPUTED_VALUE"""),10.0)</f>
        <v>10</v>
      </c>
      <c r="D964" s="2">
        <f>IFERROR(__xludf.DUMMYFUNCTION("""COMPUTED_VALUE"""),2673.93)</f>
        <v>2673.93</v>
      </c>
    </row>
    <row r="965">
      <c r="A965" s="2" t="str">
        <f>IFERROR(__xludf.DUMMYFUNCTION("""COMPUTED_VALUE"""),"PR033")</f>
        <v>PR033</v>
      </c>
      <c r="B965" s="2" t="str">
        <f>IFERROR(__xludf.DUMMYFUNCTION("""COMPUTED_VALUE"""),"VD015")</f>
        <v>VD015</v>
      </c>
      <c r="C965" s="2">
        <f>IFERROR(__xludf.DUMMYFUNCTION("""COMPUTED_VALUE"""),7.0)</f>
        <v>7</v>
      </c>
      <c r="D965" s="2">
        <f>IFERROR(__xludf.DUMMYFUNCTION("""COMPUTED_VALUE"""),1910.27)</f>
        <v>1910.27</v>
      </c>
    </row>
    <row r="966">
      <c r="A966" s="2" t="str">
        <f>IFERROR(__xludf.DUMMYFUNCTION("""COMPUTED_VALUE"""),"PR014")</f>
        <v>PR014</v>
      </c>
      <c r="B966" s="2" t="str">
        <f>IFERROR(__xludf.DUMMYFUNCTION("""COMPUTED_VALUE"""),"VD028")</f>
        <v>VD028</v>
      </c>
      <c r="C966" s="2">
        <f>IFERROR(__xludf.DUMMYFUNCTION("""COMPUTED_VALUE"""),10.0)</f>
        <v>10</v>
      </c>
      <c r="D966" s="2">
        <f>IFERROR(__xludf.DUMMYFUNCTION("""COMPUTED_VALUE"""),430.92)</f>
        <v>430.92</v>
      </c>
    </row>
    <row r="967">
      <c r="A967" s="2" t="str">
        <f>IFERROR(__xludf.DUMMYFUNCTION("""COMPUTED_VALUE"""),"PR003")</f>
        <v>PR003</v>
      </c>
      <c r="B967" s="2" t="str">
        <f>IFERROR(__xludf.DUMMYFUNCTION("""COMPUTED_VALUE"""),"VD043")</f>
        <v>VD043</v>
      </c>
      <c r="C967" s="2">
        <f>IFERROR(__xludf.DUMMYFUNCTION("""COMPUTED_VALUE"""),12.0)</f>
        <v>12</v>
      </c>
      <c r="D967" s="2">
        <f>IFERROR(__xludf.DUMMYFUNCTION("""COMPUTED_VALUE"""),893.34)</f>
        <v>893.34</v>
      </c>
    </row>
    <row r="968">
      <c r="A968" s="2" t="str">
        <f>IFERROR(__xludf.DUMMYFUNCTION("""COMPUTED_VALUE"""),"PR037")</f>
        <v>PR037</v>
      </c>
      <c r="B968" s="2" t="str">
        <f>IFERROR(__xludf.DUMMYFUNCTION("""COMPUTED_VALUE"""),"VD047")</f>
        <v>VD047</v>
      </c>
      <c r="C968" s="2">
        <f>IFERROR(__xludf.DUMMYFUNCTION("""COMPUTED_VALUE"""),16.0)</f>
        <v>16</v>
      </c>
      <c r="D968" s="2">
        <f>IFERROR(__xludf.DUMMYFUNCTION("""COMPUTED_VALUE"""),2307.2)</f>
        <v>2307.2</v>
      </c>
    </row>
    <row r="969">
      <c r="A969" s="2" t="str">
        <f>IFERROR(__xludf.DUMMYFUNCTION("""COMPUTED_VALUE"""),"PR010")</f>
        <v>PR010</v>
      </c>
      <c r="B969" s="2" t="str">
        <f>IFERROR(__xludf.DUMMYFUNCTION("""COMPUTED_VALUE"""),"VD048")</f>
        <v>VD048</v>
      </c>
      <c r="C969" s="2">
        <f>IFERROR(__xludf.DUMMYFUNCTION("""COMPUTED_VALUE"""),20.0)</f>
        <v>20</v>
      </c>
      <c r="D969" s="2">
        <f>IFERROR(__xludf.DUMMYFUNCTION("""COMPUTED_VALUE"""),915.96)</f>
        <v>915.96</v>
      </c>
    </row>
    <row r="970">
      <c r="A970" s="2" t="str">
        <f>IFERROR(__xludf.DUMMYFUNCTION("""COMPUTED_VALUE"""),"PR023")</f>
        <v>PR023</v>
      </c>
      <c r="B970" s="2" t="str">
        <f>IFERROR(__xludf.DUMMYFUNCTION("""COMPUTED_VALUE"""),"VD034")</f>
        <v>VD034</v>
      </c>
      <c r="C970" s="2">
        <f>IFERROR(__xludf.DUMMYFUNCTION("""COMPUTED_VALUE"""),4.0)</f>
        <v>4</v>
      </c>
      <c r="D970" s="2">
        <f>IFERROR(__xludf.DUMMYFUNCTION("""COMPUTED_VALUE"""),1059.58)</f>
        <v>1059.58</v>
      </c>
    </row>
    <row r="971">
      <c r="A971" s="2" t="str">
        <f>IFERROR(__xludf.DUMMYFUNCTION("""COMPUTED_VALUE"""),"PR038")</f>
        <v>PR038</v>
      </c>
      <c r="B971" s="2" t="str">
        <f>IFERROR(__xludf.DUMMYFUNCTION("""COMPUTED_VALUE"""),"VD024")</f>
        <v>VD024</v>
      </c>
      <c r="C971" s="2">
        <f>IFERROR(__xludf.DUMMYFUNCTION("""COMPUTED_VALUE"""),1.0)</f>
        <v>1</v>
      </c>
      <c r="D971" s="2">
        <f>IFERROR(__xludf.DUMMYFUNCTION("""COMPUTED_VALUE"""),142.9)</f>
        <v>142.9</v>
      </c>
    </row>
    <row r="972">
      <c r="A972" s="2" t="str">
        <f>IFERROR(__xludf.DUMMYFUNCTION("""COMPUTED_VALUE"""),"PR021")</f>
        <v>PR021</v>
      </c>
      <c r="B972" s="2" t="str">
        <f>IFERROR(__xludf.DUMMYFUNCTION("""COMPUTED_VALUE"""),"VD018")</f>
        <v>VD018</v>
      </c>
      <c r="C972" s="2">
        <f>IFERROR(__xludf.DUMMYFUNCTION("""COMPUTED_VALUE"""),4.0)</f>
        <v>4</v>
      </c>
      <c r="D972" s="2">
        <f>IFERROR(__xludf.DUMMYFUNCTION("""COMPUTED_VALUE"""),1211.6)</f>
        <v>1211.6</v>
      </c>
    </row>
    <row r="973">
      <c r="A973" s="2" t="str">
        <f>IFERROR(__xludf.DUMMYFUNCTION("""COMPUTED_VALUE"""),"PR022")</f>
        <v>PR022</v>
      </c>
      <c r="B973" s="2" t="str">
        <f>IFERROR(__xludf.DUMMYFUNCTION("""COMPUTED_VALUE"""),"VD045")</f>
        <v>VD045</v>
      </c>
      <c r="C973" s="2">
        <f>IFERROR(__xludf.DUMMYFUNCTION("""COMPUTED_VALUE"""),20.0)</f>
        <v>20</v>
      </c>
      <c r="D973" s="2">
        <f>IFERROR(__xludf.DUMMYFUNCTION("""COMPUTED_VALUE"""),6000.0)</f>
        <v>6000</v>
      </c>
    </row>
    <row r="974">
      <c r="A974" s="2" t="str">
        <f>IFERROR(__xludf.DUMMYFUNCTION("""COMPUTED_VALUE"""),"PR002")</f>
        <v>PR002</v>
      </c>
      <c r="B974" s="2" t="str">
        <f>IFERROR(__xludf.DUMMYFUNCTION("""COMPUTED_VALUE"""),"VD023")</f>
        <v>VD023</v>
      </c>
      <c r="C974" s="2">
        <f>IFERROR(__xludf.DUMMYFUNCTION("""COMPUTED_VALUE"""),3.0)</f>
        <v>3</v>
      </c>
      <c r="D974" s="2">
        <f>IFERROR(__xludf.DUMMYFUNCTION("""COMPUTED_VALUE"""),220.19)</f>
        <v>220.19</v>
      </c>
    </row>
    <row r="975">
      <c r="A975" s="2" t="str">
        <f>IFERROR(__xludf.DUMMYFUNCTION("""COMPUTED_VALUE"""),"PR035")</f>
        <v>PR035</v>
      </c>
      <c r="B975" s="2" t="str">
        <f>IFERROR(__xludf.DUMMYFUNCTION("""COMPUTED_VALUE"""),"VD010")</f>
        <v>VD010</v>
      </c>
      <c r="C975" s="2">
        <f>IFERROR(__xludf.DUMMYFUNCTION("""COMPUTED_VALUE"""),6.0)</f>
        <v>6</v>
      </c>
      <c r="D975" s="2">
        <f>IFERROR(__xludf.DUMMYFUNCTION("""COMPUTED_VALUE"""),559.37)</f>
        <v>559.37</v>
      </c>
    </row>
    <row r="976">
      <c r="A976" s="2" t="str">
        <f>IFERROR(__xludf.DUMMYFUNCTION("""COMPUTED_VALUE"""),"PR045")</f>
        <v>PR045</v>
      </c>
      <c r="B976" s="2" t="str">
        <f>IFERROR(__xludf.DUMMYFUNCTION("""COMPUTED_VALUE"""),"VD031")</f>
        <v>VD031</v>
      </c>
      <c r="C976" s="2">
        <f>IFERROR(__xludf.DUMMYFUNCTION("""COMPUTED_VALUE"""),2.0)</f>
        <v>2</v>
      </c>
      <c r="D976" s="2">
        <f>IFERROR(__xludf.DUMMYFUNCTION("""COMPUTED_VALUE"""),146.45)</f>
        <v>146.45</v>
      </c>
    </row>
    <row r="977">
      <c r="A977" s="2" t="str">
        <f>IFERROR(__xludf.DUMMYFUNCTION("""COMPUTED_VALUE"""),"PR011")</f>
        <v>PR011</v>
      </c>
      <c r="B977" s="2" t="str">
        <f>IFERROR(__xludf.DUMMYFUNCTION("""COMPUTED_VALUE"""),"VD040")</f>
        <v>VD040</v>
      </c>
      <c r="C977" s="2">
        <f>IFERROR(__xludf.DUMMYFUNCTION("""COMPUTED_VALUE"""),4.0)</f>
        <v>4</v>
      </c>
      <c r="D977" s="2">
        <f>IFERROR(__xludf.DUMMYFUNCTION("""COMPUTED_VALUE"""),202.61)</f>
        <v>202.61</v>
      </c>
    </row>
    <row r="978">
      <c r="A978" s="2" t="str">
        <f>IFERROR(__xludf.DUMMYFUNCTION("""COMPUTED_VALUE"""),"PR028")</f>
        <v>PR028</v>
      </c>
      <c r="B978" s="2" t="str">
        <f>IFERROR(__xludf.DUMMYFUNCTION("""COMPUTED_VALUE"""),"VD010")</f>
        <v>VD010</v>
      </c>
      <c r="C978" s="2">
        <f>IFERROR(__xludf.DUMMYFUNCTION("""COMPUTED_VALUE"""),10.0)</f>
        <v>10</v>
      </c>
      <c r="D978" s="2">
        <f>IFERROR(__xludf.DUMMYFUNCTION("""COMPUTED_VALUE"""),2673.93)</f>
        <v>2673.93</v>
      </c>
    </row>
    <row r="979">
      <c r="A979" s="2" t="str">
        <f>IFERROR(__xludf.DUMMYFUNCTION("""COMPUTED_VALUE"""),"PR007")</f>
        <v>PR007</v>
      </c>
      <c r="B979" s="2" t="str">
        <f>IFERROR(__xludf.DUMMYFUNCTION("""COMPUTED_VALUE"""),"VD017")</f>
        <v>VD017</v>
      </c>
      <c r="C979" s="2">
        <f>IFERROR(__xludf.DUMMYFUNCTION("""COMPUTED_VALUE"""),14.0)</f>
        <v>14</v>
      </c>
      <c r="D979" s="2">
        <f>IFERROR(__xludf.DUMMYFUNCTION("""COMPUTED_VALUE"""),1274.76)</f>
        <v>1274.76</v>
      </c>
    </row>
    <row r="980">
      <c r="A980" s="2" t="str">
        <f>IFERROR(__xludf.DUMMYFUNCTION("""COMPUTED_VALUE"""),"PR052")</f>
        <v>PR052</v>
      </c>
      <c r="B980" s="2" t="str">
        <f>IFERROR(__xludf.DUMMYFUNCTION("""COMPUTED_VALUE"""),"VD029")</f>
        <v>VD029</v>
      </c>
      <c r="C980" s="2">
        <f>IFERROR(__xludf.DUMMYFUNCTION("""COMPUTED_VALUE"""),6.0)</f>
        <v>6</v>
      </c>
      <c r="D980" s="2">
        <f>IFERROR(__xludf.DUMMYFUNCTION("""COMPUTED_VALUE"""),326.35)</f>
        <v>326.35</v>
      </c>
    </row>
    <row r="981">
      <c r="A981" s="2" t="str">
        <f>IFERROR(__xludf.DUMMYFUNCTION("""COMPUTED_VALUE"""),"PR046")</f>
        <v>PR046</v>
      </c>
      <c r="B981" s="2" t="str">
        <f>IFERROR(__xludf.DUMMYFUNCTION("""COMPUTED_VALUE"""),"VD022")</f>
        <v>VD022</v>
      </c>
      <c r="C981" s="2">
        <f>IFERROR(__xludf.DUMMYFUNCTION("""COMPUTED_VALUE"""),4.0)</f>
        <v>4</v>
      </c>
      <c r="D981" s="2">
        <f>IFERROR(__xludf.DUMMYFUNCTION("""COMPUTED_VALUE"""),1263.96)</f>
        <v>1263.96</v>
      </c>
    </row>
    <row r="982">
      <c r="A982" s="2" t="str">
        <f>IFERROR(__xludf.DUMMYFUNCTION("""COMPUTED_VALUE"""),"PR008")</f>
        <v>PR008</v>
      </c>
      <c r="B982" s="2" t="str">
        <f>IFERROR(__xludf.DUMMYFUNCTION("""COMPUTED_VALUE"""),"VD038")</f>
        <v>VD038</v>
      </c>
      <c r="C982" s="2">
        <f>IFERROR(__xludf.DUMMYFUNCTION("""COMPUTED_VALUE"""),8.0)</f>
        <v>8</v>
      </c>
      <c r="D982" s="2">
        <f>IFERROR(__xludf.DUMMYFUNCTION("""COMPUTED_VALUE"""),769.54)</f>
        <v>769.54</v>
      </c>
    </row>
    <row r="983">
      <c r="A983" s="2" t="str">
        <f>IFERROR(__xludf.DUMMYFUNCTION("""COMPUTED_VALUE"""),"PR039")</f>
        <v>PR039</v>
      </c>
      <c r="B983" s="2" t="str">
        <f>IFERROR(__xludf.DUMMYFUNCTION("""COMPUTED_VALUE"""),"VD038")</f>
        <v>VD038</v>
      </c>
      <c r="C983" s="2">
        <f>IFERROR(__xludf.DUMMYFUNCTION("""COMPUTED_VALUE"""),1.0)</f>
        <v>1</v>
      </c>
      <c r="D983" s="2">
        <f>IFERROR(__xludf.DUMMYFUNCTION("""COMPUTED_VALUE"""),146.0)</f>
        <v>146</v>
      </c>
    </row>
    <row r="984">
      <c r="A984" s="2" t="str">
        <f>IFERROR(__xludf.DUMMYFUNCTION("""COMPUTED_VALUE"""),"PR038")</f>
        <v>PR038</v>
      </c>
      <c r="B984" s="2" t="str">
        <f>IFERROR(__xludf.DUMMYFUNCTION("""COMPUTED_VALUE"""),"VD012")</f>
        <v>VD012</v>
      </c>
      <c r="C984" s="2">
        <f>IFERROR(__xludf.DUMMYFUNCTION("""COMPUTED_VALUE"""),4.0)</f>
        <v>4</v>
      </c>
      <c r="D984" s="2">
        <f>IFERROR(__xludf.DUMMYFUNCTION("""COMPUTED_VALUE"""),577.32)</f>
        <v>577.32</v>
      </c>
    </row>
    <row r="985">
      <c r="A985" s="2" t="str">
        <f>IFERROR(__xludf.DUMMYFUNCTION("""COMPUTED_VALUE"""),"PR030")</f>
        <v>PR030</v>
      </c>
      <c r="B985" s="2" t="str">
        <f>IFERROR(__xludf.DUMMYFUNCTION("""COMPUTED_VALUE"""),"VD035")</f>
        <v>VD035</v>
      </c>
      <c r="C985" s="2">
        <f>IFERROR(__xludf.DUMMYFUNCTION("""COMPUTED_VALUE"""),2.0)</f>
        <v>2</v>
      </c>
      <c r="D985" s="2">
        <f>IFERROR(__xludf.DUMMYFUNCTION("""COMPUTED_VALUE"""),571.78)</f>
        <v>571.78</v>
      </c>
    </row>
    <row r="986">
      <c r="A986" s="2" t="str">
        <f>IFERROR(__xludf.DUMMYFUNCTION("""COMPUTED_VALUE"""),"PR015")</f>
        <v>PR015</v>
      </c>
      <c r="B986" s="2" t="str">
        <f>IFERROR(__xludf.DUMMYFUNCTION("""COMPUTED_VALUE"""),"VD013")</f>
        <v>VD013</v>
      </c>
      <c r="C986" s="2">
        <f>IFERROR(__xludf.DUMMYFUNCTION("""COMPUTED_VALUE"""),20.0)</f>
        <v>20</v>
      </c>
      <c r="D986" s="2">
        <f>IFERROR(__xludf.DUMMYFUNCTION("""COMPUTED_VALUE"""),901.0)</f>
        <v>901</v>
      </c>
    </row>
    <row r="987">
      <c r="A987" s="2" t="str">
        <f>IFERROR(__xludf.DUMMYFUNCTION("""COMPUTED_VALUE"""),"PR025")</f>
        <v>PR025</v>
      </c>
      <c r="B987" s="2" t="str">
        <f>IFERROR(__xludf.DUMMYFUNCTION("""COMPUTED_VALUE"""),"VD021")</f>
        <v>VD021</v>
      </c>
      <c r="C987" s="2">
        <f>IFERROR(__xludf.DUMMYFUNCTION("""COMPUTED_VALUE"""),12.0)</f>
        <v>12</v>
      </c>
      <c r="D987" s="2">
        <f>IFERROR(__xludf.DUMMYFUNCTION("""COMPUTED_VALUE"""),3850.72)</f>
        <v>3850.72</v>
      </c>
    </row>
    <row r="988">
      <c r="A988" s="2" t="str">
        <f>IFERROR(__xludf.DUMMYFUNCTION("""COMPUTED_VALUE"""),"PR016")</f>
        <v>PR016</v>
      </c>
      <c r="B988" s="2" t="str">
        <f>IFERROR(__xludf.DUMMYFUNCTION("""COMPUTED_VALUE"""),"VD023")</f>
        <v>VD023</v>
      </c>
      <c r="C988" s="2">
        <f>IFERROR(__xludf.DUMMYFUNCTION("""COMPUTED_VALUE"""),14.0)</f>
        <v>14</v>
      </c>
      <c r="D988" s="2">
        <f>IFERROR(__xludf.DUMMYFUNCTION("""COMPUTED_VALUE"""),398.86)</f>
        <v>398.86</v>
      </c>
    </row>
    <row r="989">
      <c r="A989" s="2" t="str">
        <f>IFERROR(__xludf.DUMMYFUNCTION("""COMPUTED_VALUE"""),"PR048")</f>
        <v>PR048</v>
      </c>
      <c r="B989" s="2" t="str">
        <f>IFERROR(__xludf.DUMMYFUNCTION("""COMPUTED_VALUE"""),"VD038")</f>
        <v>VD038</v>
      </c>
      <c r="C989" s="2">
        <f>IFERROR(__xludf.DUMMYFUNCTION("""COMPUTED_VALUE"""),2.0)</f>
        <v>2</v>
      </c>
      <c r="D989" s="2">
        <f>IFERROR(__xludf.DUMMYFUNCTION("""COMPUTED_VALUE"""),620.39)</f>
        <v>620.39</v>
      </c>
    </row>
    <row r="990">
      <c r="A990" s="2" t="str">
        <f>IFERROR(__xludf.DUMMYFUNCTION("""COMPUTED_VALUE"""),"PR051")</f>
        <v>PR051</v>
      </c>
      <c r="B990" s="2" t="str">
        <f>IFERROR(__xludf.DUMMYFUNCTION("""COMPUTED_VALUE"""),"VD010")</f>
        <v>VD010</v>
      </c>
      <c r="C990" s="2">
        <f>IFERROR(__xludf.DUMMYFUNCTION("""COMPUTED_VALUE"""),10.0)</f>
        <v>10</v>
      </c>
      <c r="D990" s="2">
        <f>IFERROR(__xludf.DUMMYFUNCTION("""COMPUTED_VALUE"""),342.16)</f>
        <v>342.16</v>
      </c>
    </row>
    <row r="991">
      <c r="A991" s="2" t="str">
        <f>IFERROR(__xludf.DUMMYFUNCTION("""COMPUTED_VALUE"""),"PR060")</f>
        <v>PR060</v>
      </c>
      <c r="B991" s="2" t="str">
        <f>IFERROR(__xludf.DUMMYFUNCTION("""COMPUTED_VALUE"""),"VD025")</f>
        <v>VD025</v>
      </c>
      <c r="C991" s="2">
        <f>IFERROR(__xludf.DUMMYFUNCTION("""COMPUTED_VALUE"""),7.0)</f>
        <v>7</v>
      </c>
      <c r="D991" s="2">
        <f>IFERROR(__xludf.DUMMYFUNCTION("""COMPUTED_VALUE"""),1335.6)</f>
        <v>1335.6</v>
      </c>
    </row>
    <row r="992">
      <c r="A992" s="2" t="str">
        <f>IFERROR(__xludf.DUMMYFUNCTION("""COMPUTED_VALUE"""),"PR056")</f>
        <v>PR056</v>
      </c>
      <c r="B992" s="2" t="str">
        <f>IFERROR(__xludf.DUMMYFUNCTION("""COMPUTED_VALUE"""),"VD035")</f>
        <v>VD035</v>
      </c>
      <c r="C992" s="2">
        <f>IFERROR(__xludf.DUMMYFUNCTION("""COMPUTED_VALUE"""),4.0)</f>
        <v>4</v>
      </c>
      <c r="D992" s="2">
        <f>IFERROR(__xludf.DUMMYFUNCTION("""COMPUTED_VALUE"""),370.39)</f>
        <v>370.39</v>
      </c>
    </row>
    <row r="993">
      <c r="A993" s="2" t="str">
        <f>IFERROR(__xludf.DUMMYFUNCTION("""COMPUTED_VALUE"""),"PR033")</f>
        <v>PR033</v>
      </c>
      <c r="B993" s="2" t="str">
        <f>IFERROR(__xludf.DUMMYFUNCTION("""COMPUTED_VALUE"""),"VD036")</f>
        <v>VD036</v>
      </c>
      <c r="C993" s="2">
        <f>IFERROR(__xludf.DUMMYFUNCTION("""COMPUTED_VALUE"""),1.0)</f>
        <v>1</v>
      </c>
      <c r="D993" s="2">
        <f>IFERROR(__xludf.DUMMYFUNCTION("""COMPUTED_VALUE"""),262.5)</f>
        <v>262.5</v>
      </c>
    </row>
    <row r="994">
      <c r="A994" s="2" t="str">
        <f>IFERROR(__xludf.DUMMYFUNCTION("""COMPUTED_VALUE"""),"PR040")</f>
        <v>PR040</v>
      </c>
      <c r="B994" s="2" t="str">
        <f>IFERROR(__xludf.DUMMYFUNCTION("""COMPUTED_VALUE"""),"VD036")</f>
        <v>VD036</v>
      </c>
      <c r="C994" s="2">
        <f>IFERROR(__xludf.DUMMYFUNCTION("""COMPUTED_VALUE"""),8.0)</f>
        <v>8</v>
      </c>
      <c r="D994" s="2">
        <f>IFERROR(__xludf.DUMMYFUNCTION("""COMPUTED_VALUE"""),576.8)</f>
        <v>576.8</v>
      </c>
    </row>
    <row r="995">
      <c r="A995" s="2" t="str">
        <f>IFERROR(__xludf.DUMMYFUNCTION("""COMPUTED_VALUE"""),"PR045")</f>
        <v>PR045</v>
      </c>
      <c r="B995" s="2" t="str">
        <f>IFERROR(__xludf.DUMMYFUNCTION("""COMPUTED_VALUE"""),"VD020")</f>
        <v>VD020</v>
      </c>
      <c r="C995" s="2">
        <f>IFERROR(__xludf.DUMMYFUNCTION("""COMPUTED_VALUE"""),6.0)</f>
        <v>6</v>
      </c>
      <c r="D995" s="2">
        <f>IFERROR(__xludf.DUMMYFUNCTION("""COMPUTED_VALUE"""),435.0)</f>
        <v>435</v>
      </c>
    </row>
    <row r="996">
      <c r="A996" s="2" t="str">
        <f>IFERROR(__xludf.DUMMYFUNCTION("""COMPUTED_VALUE"""),"PR017")</f>
        <v>PR017</v>
      </c>
      <c r="B996" s="2" t="str">
        <f>IFERROR(__xludf.DUMMYFUNCTION("""COMPUTED_VALUE"""),"VD022")</f>
        <v>VD022</v>
      </c>
      <c r="C996" s="2">
        <f>IFERROR(__xludf.DUMMYFUNCTION("""COMPUTED_VALUE"""),10.0)</f>
        <v>10</v>
      </c>
      <c r="D996" s="2">
        <f>IFERROR(__xludf.DUMMYFUNCTION("""COMPUTED_VALUE"""),325.91)</f>
        <v>325.91</v>
      </c>
    </row>
    <row r="997">
      <c r="A997" s="2" t="str">
        <f>IFERROR(__xludf.DUMMYFUNCTION("""COMPUTED_VALUE"""),"PR033")</f>
        <v>PR033</v>
      </c>
      <c r="B997" s="2" t="str">
        <f>IFERROR(__xludf.DUMMYFUNCTION("""COMPUTED_VALUE"""),"VD036")</f>
        <v>VD036</v>
      </c>
      <c r="C997" s="2">
        <f>IFERROR(__xludf.DUMMYFUNCTION("""COMPUTED_VALUE"""),10.0)</f>
        <v>10</v>
      </c>
      <c r="D997" s="2">
        <f>IFERROR(__xludf.DUMMYFUNCTION("""COMPUTED_VALUE"""),2780.93)</f>
        <v>2780.93</v>
      </c>
    </row>
    <row r="998">
      <c r="A998" s="2" t="str">
        <f>IFERROR(__xludf.DUMMYFUNCTION("""COMPUTED_VALUE"""),"PR017")</f>
        <v>PR017</v>
      </c>
      <c r="B998" s="2" t="str">
        <f>IFERROR(__xludf.DUMMYFUNCTION("""COMPUTED_VALUE"""),"VD025")</f>
        <v>VD025</v>
      </c>
      <c r="C998" s="2">
        <f>IFERROR(__xludf.DUMMYFUNCTION("""COMPUTED_VALUE"""),1.0)</f>
        <v>1</v>
      </c>
      <c r="D998" s="2">
        <f>IFERROR(__xludf.DUMMYFUNCTION("""COMPUTED_VALUE"""),30.2)</f>
        <v>30.2</v>
      </c>
    </row>
    <row r="999">
      <c r="A999" s="2" t="str">
        <f>IFERROR(__xludf.DUMMYFUNCTION("""COMPUTED_VALUE"""),"PR055")</f>
        <v>PR055</v>
      </c>
      <c r="B999" s="2" t="str">
        <f>IFERROR(__xludf.DUMMYFUNCTION("""COMPUTED_VALUE"""),"VD037")</f>
        <v>VD037</v>
      </c>
      <c r="C999" s="2">
        <f>IFERROR(__xludf.DUMMYFUNCTION("""COMPUTED_VALUE"""),3.0)</f>
        <v>3</v>
      </c>
      <c r="D999" s="2">
        <f>IFERROR(__xludf.DUMMYFUNCTION("""COMPUTED_VALUE"""),296.67)</f>
        <v>296.67</v>
      </c>
    </row>
    <row r="1000">
      <c r="A1000" s="2" t="str">
        <f>IFERROR(__xludf.DUMMYFUNCTION("""COMPUTED_VALUE"""),"PR019")</f>
        <v>PR019</v>
      </c>
      <c r="B1000" s="2" t="str">
        <f>IFERROR(__xludf.DUMMYFUNCTION("""COMPUTED_VALUE"""),"VD027")</f>
        <v>VD027</v>
      </c>
      <c r="C1000" s="2">
        <f>IFERROR(__xludf.DUMMYFUNCTION("""COMPUTED_VALUE"""),4.0)</f>
        <v>4</v>
      </c>
      <c r="D1000" s="2">
        <f>IFERROR(__xludf.DUMMYFUNCTION("""COMPUTED_VALUE"""),217.56)</f>
        <v>217.56</v>
      </c>
    </row>
    <row r="1001">
      <c r="A1001" s="2" t="str">
        <f>IFERROR(__xludf.DUMMYFUNCTION("""COMPUTED_VALUE"""),"PR014")</f>
        <v>PR014</v>
      </c>
      <c r="B1001" s="2" t="str">
        <f>IFERROR(__xludf.DUMMYFUNCTION("""COMPUTED_VALUE"""),"VD018")</f>
        <v>VD018</v>
      </c>
      <c r="C1001" s="2">
        <f>IFERROR(__xludf.DUMMYFUNCTION("""COMPUTED_VALUE"""),18.0)</f>
        <v>18</v>
      </c>
      <c r="D1001" s="2">
        <f>IFERROR(__xludf.DUMMYFUNCTION("""COMPUTED_VALUE"""),775.66)</f>
        <v>775.66</v>
      </c>
    </row>
    <row r="1002">
      <c r="A1002" s="2" t="str">
        <f>IFERROR(__xludf.DUMMYFUNCTION("""COMPUTED_VALUE"""),"PR045")</f>
        <v>PR045</v>
      </c>
      <c r="B1002" s="2" t="str">
        <f>IFERROR(__xludf.DUMMYFUNCTION("""COMPUTED_VALUE"""),"VD036")</f>
        <v>VD036</v>
      </c>
      <c r="C1002" s="2">
        <f>IFERROR(__xludf.DUMMYFUNCTION("""COMPUTED_VALUE"""),14.0)</f>
        <v>14</v>
      </c>
      <c r="D1002" s="2">
        <f>IFERROR(__xludf.DUMMYFUNCTION("""COMPUTED_VALUE"""),1025.15)</f>
        <v>1025.15</v>
      </c>
    </row>
    <row r="1003">
      <c r="A1003" s="2" t="str">
        <f>IFERROR(__xludf.DUMMYFUNCTION("""COMPUTED_VALUE"""),"PR036")</f>
        <v>PR036</v>
      </c>
      <c r="B1003" s="2" t="str">
        <f>IFERROR(__xludf.DUMMYFUNCTION("""COMPUTED_VALUE"""),"VD034")</f>
        <v>VD034</v>
      </c>
      <c r="C1003" s="2">
        <f>IFERROR(__xludf.DUMMYFUNCTION("""COMPUTED_VALUE"""),8.0)</f>
        <v>8</v>
      </c>
      <c r="D1003" s="2">
        <f>IFERROR(__xludf.DUMMYFUNCTION("""COMPUTED_VALUE"""),770.44)</f>
        <v>770.44</v>
      </c>
    </row>
    <row r="1004">
      <c r="A1004" s="2" t="str">
        <f>IFERROR(__xludf.DUMMYFUNCTION("""COMPUTED_VALUE"""),"PR007")</f>
        <v>PR007</v>
      </c>
      <c r="B1004" s="2" t="str">
        <f>IFERROR(__xludf.DUMMYFUNCTION("""COMPUTED_VALUE"""),"VD013")</f>
        <v>VD013</v>
      </c>
      <c r="C1004" s="2">
        <f>IFERROR(__xludf.DUMMYFUNCTION("""COMPUTED_VALUE"""),3.0)</f>
        <v>3</v>
      </c>
      <c r="D1004" s="2">
        <f>IFERROR(__xludf.DUMMYFUNCTION("""COMPUTED_VALUE"""),278.32)</f>
        <v>278.32</v>
      </c>
    </row>
    <row r="1005">
      <c r="A1005" s="2" t="str">
        <f>IFERROR(__xludf.DUMMYFUNCTION("""COMPUTED_VALUE"""),"PR051")</f>
        <v>PR051</v>
      </c>
      <c r="B1005" s="2" t="str">
        <f>IFERROR(__xludf.DUMMYFUNCTION("""COMPUTED_VALUE"""),"VD028")</f>
        <v>VD028</v>
      </c>
      <c r="C1005" s="2">
        <f>IFERROR(__xludf.DUMMYFUNCTION("""COMPUTED_VALUE"""),7.0)</f>
        <v>7</v>
      </c>
      <c r="D1005" s="2">
        <f>IFERROR(__xludf.DUMMYFUNCTION("""COMPUTED_VALUE"""),230.3)</f>
        <v>230.3</v>
      </c>
    </row>
    <row r="1006">
      <c r="A1006" s="2" t="str">
        <f>IFERROR(__xludf.DUMMYFUNCTION("""COMPUTED_VALUE"""),"PR020")</f>
        <v>PR020</v>
      </c>
      <c r="B1006" s="2" t="str">
        <f>IFERROR(__xludf.DUMMYFUNCTION("""COMPUTED_VALUE"""),"VD013")</f>
        <v>VD013</v>
      </c>
      <c r="C1006" s="2">
        <f>IFERROR(__xludf.DUMMYFUNCTION("""COMPUTED_VALUE"""),20.0)</f>
        <v>20</v>
      </c>
      <c r="D1006" s="2">
        <f>IFERROR(__xludf.DUMMYFUNCTION("""COMPUTED_VALUE"""),6597.8)</f>
        <v>6597.8</v>
      </c>
    </row>
    <row r="1007">
      <c r="A1007" s="2" t="str">
        <f>IFERROR(__xludf.DUMMYFUNCTION("""COMPUTED_VALUE"""),"PR021")</f>
        <v>PR021</v>
      </c>
      <c r="B1007" s="2" t="str">
        <f>IFERROR(__xludf.DUMMYFUNCTION("""COMPUTED_VALUE"""),"VD033")</f>
        <v>VD033</v>
      </c>
      <c r="C1007" s="2">
        <f>IFERROR(__xludf.DUMMYFUNCTION("""COMPUTED_VALUE"""),6.0)</f>
        <v>6</v>
      </c>
      <c r="D1007" s="2">
        <f>IFERROR(__xludf.DUMMYFUNCTION("""COMPUTED_VALUE"""),1999.14)</f>
        <v>1999.14</v>
      </c>
    </row>
    <row r="1008">
      <c r="A1008" s="2" t="str">
        <f>IFERROR(__xludf.DUMMYFUNCTION("""COMPUTED_VALUE"""),"PR034")</f>
        <v>PR034</v>
      </c>
      <c r="B1008" s="2" t="str">
        <f>IFERROR(__xludf.DUMMYFUNCTION("""COMPUTED_VALUE"""),"VD017")</f>
        <v>VD017</v>
      </c>
      <c r="C1008" s="2">
        <f>IFERROR(__xludf.DUMMYFUNCTION("""COMPUTED_VALUE"""),8.0)</f>
        <v>8</v>
      </c>
      <c r="D1008" s="2">
        <f>IFERROR(__xludf.DUMMYFUNCTION("""COMPUTED_VALUE"""),726.39)</f>
        <v>726.39</v>
      </c>
    </row>
    <row r="1009">
      <c r="A1009" s="2" t="str">
        <f>IFERROR(__xludf.DUMMYFUNCTION("""COMPUTED_VALUE"""),"PR032")</f>
        <v>PR032</v>
      </c>
      <c r="B1009" s="2" t="str">
        <f>IFERROR(__xludf.DUMMYFUNCTION("""COMPUTED_VALUE"""),"VD016")</f>
        <v>VD016</v>
      </c>
      <c r="C1009" s="2">
        <f>IFERROR(__xludf.DUMMYFUNCTION("""COMPUTED_VALUE"""),12.0)</f>
        <v>12</v>
      </c>
      <c r="D1009" s="2">
        <f>IFERROR(__xludf.DUMMYFUNCTION("""COMPUTED_VALUE"""),3150.0)</f>
        <v>3150</v>
      </c>
    </row>
    <row r="1010">
      <c r="A1010" s="2" t="str">
        <f>IFERROR(__xludf.DUMMYFUNCTION("""COMPUTED_VALUE"""),"PR032")</f>
        <v>PR032</v>
      </c>
      <c r="B1010" s="2" t="str">
        <f>IFERROR(__xludf.DUMMYFUNCTION("""COMPUTED_VALUE"""),"VD014")</f>
        <v>VD014</v>
      </c>
      <c r="C1010" s="2">
        <f>IFERROR(__xludf.DUMMYFUNCTION("""COMPUTED_VALUE"""),5.0)</f>
        <v>5</v>
      </c>
      <c r="D1010" s="2">
        <f>IFERROR(__xludf.DUMMYFUNCTION("""COMPUTED_VALUE"""),1325.0)</f>
        <v>1325</v>
      </c>
    </row>
    <row r="1011">
      <c r="A1011" s="2" t="str">
        <f>IFERROR(__xludf.DUMMYFUNCTION("""COMPUTED_VALUE"""),"PR053")</f>
        <v>PR053</v>
      </c>
      <c r="B1011" s="2" t="str">
        <f>IFERROR(__xludf.DUMMYFUNCTION("""COMPUTED_VALUE"""),"VD029")</f>
        <v>VD029</v>
      </c>
      <c r="C1011" s="2">
        <f>IFERROR(__xludf.DUMMYFUNCTION("""COMPUTED_VALUE"""),8.0)</f>
        <v>8</v>
      </c>
      <c r="D1011" s="2">
        <f>IFERROR(__xludf.DUMMYFUNCTION("""COMPUTED_VALUE"""),431.14)</f>
        <v>431.14</v>
      </c>
    </row>
    <row r="1012">
      <c r="A1012" s="2" t="str">
        <f>IFERROR(__xludf.DUMMYFUNCTION("""COMPUTED_VALUE"""),"PR014")</f>
        <v>PR014</v>
      </c>
      <c r="B1012" s="2" t="str">
        <f>IFERROR(__xludf.DUMMYFUNCTION("""COMPUTED_VALUE"""),"VD029")</f>
        <v>VD029</v>
      </c>
      <c r="C1012" s="2">
        <f>IFERROR(__xludf.DUMMYFUNCTION("""COMPUTED_VALUE"""),20.0)</f>
        <v>20</v>
      </c>
      <c r="D1012" s="2">
        <f>IFERROR(__xludf.DUMMYFUNCTION("""COMPUTED_VALUE"""),805.98)</f>
        <v>805.98</v>
      </c>
    </row>
    <row r="1013">
      <c r="A1013" s="2" t="str">
        <f>IFERROR(__xludf.DUMMYFUNCTION("""COMPUTED_VALUE"""),"PR005")</f>
        <v>PR005</v>
      </c>
      <c r="B1013" s="2" t="str">
        <f>IFERROR(__xludf.DUMMYFUNCTION("""COMPUTED_VALUE"""),"VD047")</f>
        <v>VD047</v>
      </c>
      <c r="C1013" s="2">
        <f>IFERROR(__xludf.DUMMYFUNCTION("""COMPUTED_VALUE"""),2.0)</f>
        <v>2</v>
      </c>
      <c r="D1013" s="2">
        <f>IFERROR(__xludf.DUMMYFUNCTION("""COMPUTED_VALUE"""),566.58)</f>
        <v>566.58</v>
      </c>
    </row>
    <row r="1014">
      <c r="A1014" s="2" t="str">
        <f>IFERROR(__xludf.DUMMYFUNCTION("""COMPUTED_VALUE"""),"PR008")</f>
        <v>PR008</v>
      </c>
      <c r="B1014" s="2" t="str">
        <f>IFERROR(__xludf.DUMMYFUNCTION("""COMPUTED_VALUE"""),"VD032")</f>
        <v>VD032</v>
      </c>
      <c r="C1014" s="2">
        <f>IFERROR(__xludf.DUMMYFUNCTION("""COMPUTED_VALUE"""),18.0)</f>
        <v>18</v>
      </c>
      <c r="D1014" s="2">
        <f>IFERROR(__xludf.DUMMYFUNCTION("""COMPUTED_VALUE"""),1715.29)</f>
        <v>1715.29</v>
      </c>
    </row>
    <row r="1015">
      <c r="A1015" s="2" t="str">
        <f>IFERROR(__xludf.DUMMYFUNCTION("""COMPUTED_VALUE"""),"PR048")</f>
        <v>PR048</v>
      </c>
      <c r="B1015" s="2" t="str">
        <f>IFERROR(__xludf.DUMMYFUNCTION("""COMPUTED_VALUE"""),"VD044")</f>
        <v>VD044</v>
      </c>
      <c r="C1015" s="2">
        <f>IFERROR(__xludf.DUMMYFUNCTION("""COMPUTED_VALUE"""),18.0)</f>
        <v>18</v>
      </c>
      <c r="D1015" s="2">
        <f>IFERROR(__xludf.DUMMYFUNCTION("""COMPUTED_VALUE"""),5740.02)</f>
        <v>5740.02</v>
      </c>
    </row>
    <row r="1016">
      <c r="A1016" s="2" t="str">
        <f>IFERROR(__xludf.DUMMYFUNCTION("""COMPUTED_VALUE"""),"PR011")</f>
        <v>PR011</v>
      </c>
      <c r="B1016" s="2" t="str">
        <f>IFERROR(__xludf.DUMMYFUNCTION("""COMPUTED_VALUE"""),"VD030")</f>
        <v>VD030</v>
      </c>
      <c r="C1016" s="2">
        <f>IFERROR(__xludf.DUMMYFUNCTION("""COMPUTED_VALUE"""),8.0)</f>
        <v>8</v>
      </c>
      <c r="D1016" s="2">
        <f>IFERROR(__xludf.DUMMYFUNCTION("""COMPUTED_VALUE"""),390.21)</f>
        <v>390.21</v>
      </c>
    </row>
    <row r="1017">
      <c r="A1017" s="2" t="str">
        <f>IFERROR(__xludf.DUMMYFUNCTION("""COMPUTED_VALUE"""),"PR057")</f>
        <v>PR057</v>
      </c>
      <c r="B1017" s="2" t="str">
        <f>IFERROR(__xludf.DUMMYFUNCTION("""COMPUTED_VALUE"""),"VD025")</f>
        <v>VD025</v>
      </c>
      <c r="C1017" s="2">
        <f>IFERROR(__xludf.DUMMYFUNCTION("""COMPUTED_VALUE"""),14.0)</f>
        <v>14</v>
      </c>
      <c r="D1017" s="2">
        <f>IFERROR(__xludf.DUMMYFUNCTION("""COMPUTED_VALUE"""),1346.7)</f>
        <v>1346.7</v>
      </c>
    </row>
    <row r="1018">
      <c r="A1018" s="2" t="str">
        <f>IFERROR(__xludf.DUMMYFUNCTION("""COMPUTED_VALUE"""),"PR029")</f>
        <v>PR029</v>
      </c>
      <c r="B1018" s="2" t="str">
        <f>IFERROR(__xludf.DUMMYFUNCTION("""COMPUTED_VALUE"""),"VD033")</f>
        <v>VD033</v>
      </c>
      <c r="C1018" s="2">
        <f>IFERROR(__xludf.DUMMYFUNCTION("""COMPUTED_VALUE"""),3.0)</f>
        <v>3</v>
      </c>
      <c r="D1018" s="2">
        <f>IFERROR(__xludf.DUMMYFUNCTION("""COMPUTED_VALUE"""),787.95)</f>
        <v>787.95</v>
      </c>
    </row>
    <row r="1019">
      <c r="A1019" s="2" t="str">
        <f>IFERROR(__xludf.DUMMYFUNCTION("""COMPUTED_VALUE"""),"PR053")</f>
        <v>PR053</v>
      </c>
      <c r="B1019" s="2" t="str">
        <f>IFERROR(__xludf.DUMMYFUNCTION("""COMPUTED_VALUE"""),"VD031")</f>
        <v>VD031</v>
      </c>
      <c r="C1019" s="2">
        <f>IFERROR(__xludf.DUMMYFUNCTION("""COMPUTED_VALUE"""),7.0)</f>
        <v>7</v>
      </c>
      <c r="D1019" s="2">
        <f>IFERROR(__xludf.DUMMYFUNCTION("""COMPUTED_VALUE"""),349.3)</f>
        <v>349.3</v>
      </c>
    </row>
    <row r="1020">
      <c r="A1020" s="2" t="str">
        <f>IFERROR(__xludf.DUMMYFUNCTION("""COMPUTED_VALUE"""),"PR018")</f>
        <v>PR018</v>
      </c>
      <c r="B1020" s="2" t="str">
        <f>IFERROR(__xludf.DUMMYFUNCTION("""COMPUTED_VALUE"""),"VD027")</f>
        <v>VD027</v>
      </c>
      <c r="C1020" s="2">
        <f>IFERROR(__xludf.DUMMYFUNCTION("""COMPUTED_VALUE"""),10.0)</f>
        <v>10</v>
      </c>
      <c r="D1020" s="2">
        <f>IFERROR(__xludf.DUMMYFUNCTION("""COMPUTED_VALUE"""),335.58)</f>
        <v>335.58</v>
      </c>
    </row>
    <row r="1021">
      <c r="A1021" s="2" t="str">
        <f>IFERROR(__xludf.DUMMYFUNCTION("""COMPUTED_VALUE"""),"PR048")</f>
        <v>PR048</v>
      </c>
      <c r="B1021" s="2" t="str">
        <f>IFERROR(__xludf.DUMMYFUNCTION("""COMPUTED_VALUE"""),"VD046")</f>
        <v>VD046</v>
      </c>
      <c r="C1021" s="2">
        <f>IFERROR(__xludf.DUMMYFUNCTION("""COMPUTED_VALUE"""),12.0)</f>
        <v>12</v>
      </c>
      <c r="D1021" s="2">
        <f>IFERROR(__xludf.DUMMYFUNCTION("""COMPUTED_VALUE"""),3757.1)</f>
        <v>3757.1</v>
      </c>
    </row>
    <row r="1022">
      <c r="A1022" s="2" t="str">
        <f>IFERROR(__xludf.DUMMYFUNCTION("""COMPUTED_VALUE"""),"PR031")</f>
        <v>PR031</v>
      </c>
      <c r="B1022" s="2" t="str">
        <f>IFERROR(__xludf.DUMMYFUNCTION("""COMPUTED_VALUE"""),"VD011")</f>
        <v>VD011</v>
      </c>
      <c r="C1022" s="2">
        <f>IFERROR(__xludf.DUMMYFUNCTION("""COMPUTED_VALUE"""),10.0)</f>
        <v>10</v>
      </c>
      <c r="D1022" s="2">
        <f>IFERROR(__xludf.DUMMYFUNCTION("""COMPUTED_VALUE"""),2474.5)</f>
        <v>2474.5</v>
      </c>
    </row>
    <row r="1023">
      <c r="A1023" s="2" t="str">
        <f>IFERROR(__xludf.DUMMYFUNCTION("""COMPUTED_VALUE"""),"PR042")</f>
        <v>PR042</v>
      </c>
      <c r="B1023" s="2" t="str">
        <f>IFERROR(__xludf.DUMMYFUNCTION("""COMPUTED_VALUE"""),"VD020")</f>
        <v>VD020</v>
      </c>
      <c r="C1023" s="2">
        <f>IFERROR(__xludf.DUMMYFUNCTION("""COMPUTED_VALUE"""),3.0)</f>
        <v>3</v>
      </c>
      <c r="D1023" s="2">
        <f>IFERROR(__xludf.DUMMYFUNCTION("""COMPUTED_VALUE"""),169.64)</f>
        <v>169.64</v>
      </c>
    </row>
    <row r="1024">
      <c r="A1024" s="2" t="str">
        <f>IFERROR(__xludf.DUMMYFUNCTION("""COMPUTED_VALUE"""),"PR053")</f>
        <v>PR053</v>
      </c>
      <c r="B1024" s="2" t="str">
        <f>IFERROR(__xludf.DUMMYFUNCTION("""COMPUTED_VALUE"""),"VD027")</f>
        <v>VD027</v>
      </c>
      <c r="C1024" s="2">
        <f>IFERROR(__xludf.DUMMYFUNCTION("""COMPUTED_VALUE"""),12.0)</f>
        <v>12</v>
      </c>
      <c r="D1024" s="2">
        <f>IFERROR(__xludf.DUMMYFUNCTION("""COMPUTED_VALUE"""),604.79)</f>
        <v>604.79</v>
      </c>
    </row>
    <row r="1025">
      <c r="A1025" s="2" t="str">
        <f>IFERROR(__xludf.DUMMYFUNCTION("""COMPUTED_VALUE"""),"PR032")</f>
        <v>PR032</v>
      </c>
      <c r="B1025" s="2" t="str">
        <f>IFERROR(__xludf.DUMMYFUNCTION("""COMPUTED_VALUE"""),"VD047")</f>
        <v>VD047</v>
      </c>
      <c r="C1025" s="2">
        <f>IFERROR(__xludf.DUMMYFUNCTION("""COMPUTED_VALUE"""),18.0)</f>
        <v>18</v>
      </c>
      <c r="D1025" s="2">
        <f>IFERROR(__xludf.DUMMYFUNCTION("""COMPUTED_VALUE"""),4860.0)</f>
        <v>4860</v>
      </c>
    </row>
    <row r="1026">
      <c r="A1026" s="2" t="str">
        <f>IFERROR(__xludf.DUMMYFUNCTION("""COMPUTED_VALUE"""),"PR015")</f>
        <v>PR015</v>
      </c>
      <c r="B1026" s="2" t="str">
        <f>IFERROR(__xludf.DUMMYFUNCTION("""COMPUTED_VALUE"""),"VD038")</f>
        <v>VD038</v>
      </c>
      <c r="C1026" s="2">
        <f>IFERROR(__xludf.DUMMYFUNCTION("""COMPUTED_VALUE"""),12.0)</f>
        <v>12</v>
      </c>
      <c r="D1026" s="2">
        <f>IFERROR(__xludf.DUMMYFUNCTION("""COMPUTED_VALUE"""),535.5)</f>
        <v>535.5</v>
      </c>
    </row>
    <row r="1027">
      <c r="A1027" s="2" t="str">
        <f>IFERROR(__xludf.DUMMYFUNCTION("""COMPUTED_VALUE"""),"PR059")</f>
        <v>PR059</v>
      </c>
      <c r="B1027" s="2" t="str">
        <f>IFERROR(__xludf.DUMMYFUNCTION("""COMPUTED_VALUE"""),"VD047")</f>
        <v>VD047</v>
      </c>
      <c r="C1027" s="2">
        <f>IFERROR(__xludf.DUMMYFUNCTION("""COMPUTED_VALUE"""),14.0)</f>
        <v>14</v>
      </c>
      <c r="D1027" s="2">
        <f>IFERROR(__xludf.DUMMYFUNCTION("""COMPUTED_VALUE"""),2671.2)</f>
        <v>2671.2</v>
      </c>
    </row>
    <row r="1028">
      <c r="A1028" s="2" t="str">
        <f>IFERROR(__xludf.DUMMYFUNCTION("""COMPUTED_VALUE"""),"PR004")</f>
        <v>PR004</v>
      </c>
      <c r="B1028" s="2" t="str">
        <f>IFERROR(__xludf.DUMMYFUNCTION("""COMPUTED_VALUE"""),"VD022")</f>
        <v>VD022</v>
      </c>
      <c r="C1028" s="2">
        <f>IFERROR(__xludf.DUMMYFUNCTION("""COMPUTED_VALUE"""),6.0)</f>
        <v>6</v>
      </c>
      <c r="D1028" s="2">
        <f>IFERROR(__xludf.DUMMYFUNCTION("""COMPUTED_VALUE"""),887.4)</f>
        <v>887.4</v>
      </c>
    </row>
    <row r="1029">
      <c r="A1029" s="2" t="str">
        <f>IFERROR(__xludf.DUMMYFUNCTION("""COMPUTED_VALUE"""),"PR028")</f>
        <v>PR028</v>
      </c>
      <c r="B1029" s="2" t="str">
        <f>IFERROR(__xludf.DUMMYFUNCTION("""COMPUTED_VALUE"""),"VD026")</f>
        <v>VD026</v>
      </c>
      <c r="C1029" s="2">
        <f>IFERROR(__xludf.DUMMYFUNCTION("""COMPUTED_VALUE"""),5.0)</f>
        <v>5</v>
      </c>
      <c r="D1029" s="2">
        <f>IFERROR(__xludf.DUMMYFUNCTION("""COMPUTED_VALUE"""),1361.96)</f>
        <v>1361.96</v>
      </c>
    </row>
    <row r="1030">
      <c r="A1030" s="2" t="str">
        <f>IFERROR(__xludf.DUMMYFUNCTION("""COMPUTED_VALUE"""),"PR037")</f>
        <v>PR037</v>
      </c>
      <c r="B1030" s="2" t="str">
        <f>IFERROR(__xludf.DUMMYFUNCTION("""COMPUTED_VALUE"""),"VD019")</f>
        <v>VD019</v>
      </c>
      <c r="C1030" s="2">
        <f>IFERROR(__xludf.DUMMYFUNCTION("""COMPUTED_VALUE"""),12.0)</f>
        <v>12</v>
      </c>
      <c r="D1030" s="2">
        <f>IFERROR(__xludf.DUMMYFUNCTION("""COMPUTED_VALUE"""),1747.2)</f>
        <v>1747.2</v>
      </c>
    </row>
    <row r="1031">
      <c r="A1031" s="2" t="str">
        <f>IFERROR(__xludf.DUMMYFUNCTION("""COMPUTED_VALUE"""),"PR031")</f>
        <v>PR031</v>
      </c>
      <c r="B1031" s="2" t="str">
        <f>IFERROR(__xludf.DUMMYFUNCTION("""COMPUTED_VALUE"""),"VD036")</f>
        <v>VD036</v>
      </c>
      <c r="C1031" s="2">
        <f>IFERROR(__xludf.DUMMYFUNCTION("""COMPUTED_VALUE"""),6.0)</f>
        <v>6</v>
      </c>
      <c r="D1031" s="2">
        <f>IFERROR(__xludf.DUMMYFUNCTION("""COMPUTED_VALUE"""),1499.4)</f>
        <v>1499.4</v>
      </c>
    </row>
    <row r="1032">
      <c r="A1032" s="2" t="str">
        <f>IFERROR(__xludf.DUMMYFUNCTION("""COMPUTED_VALUE"""),"PR038")</f>
        <v>PR038</v>
      </c>
      <c r="B1032" s="2" t="str">
        <f>IFERROR(__xludf.DUMMYFUNCTION("""COMPUTED_VALUE"""),"VD033")</f>
        <v>VD033</v>
      </c>
      <c r="C1032" s="2">
        <f>IFERROR(__xludf.DUMMYFUNCTION("""COMPUTED_VALUE"""),10.0)</f>
        <v>10</v>
      </c>
      <c r="D1032" s="2">
        <f>IFERROR(__xludf.DUMMYFUNCTION("""COMPUTED_VALUE"""),1443.29)</f>
        <v>1443.29</v>
      </c>
    </row>
    <row r="1033">
      <c r="A1033" s="2" t="str">
        <f>IFERROR(__xludf.DUMMYFUNCTION("""COMPUTED_VALUE"""),"PR009")</f>
        <v>PR009</v>
      </c>
      <c r="B1033" s="2" t="str">
        <f>IFERROR(__xludf.DUMMYFUNCTION("""COMPUTED_VALUE"""),"VD035")</f>
        <v>VD035</v>
      </c>
      <c r="C1033" s="2">
        <f>IFERROR(__xludf.DUMMYFUNCTION("""COMPUTED_VALUE"""),16.0)</f>
        <v>16</v>
      </c>
      <c r="D1033" s="2">
        <f>IFERROR(__xludf.DUMMYFUNCTION("""COMPUTED_VALUE"""),1545.86)</f>
        <v>1545.86</v>
      </c>
    </row>
    <row r="1034">
      <c r="A1034" s="2" t="str">
        <f>IFERROR(__xludf.DUMMYFUNCTION("""COMPUTED_VALUE"""),"PR041")</f>
        <v>PR041</v>
      </c>
      <c r="B1034" s="2" t="str">
        <f>IFERROR(__xludf.DUMMYFUNCTION("""COMPUTED_VALUE"""),"VD019")</f>
        <v>VD019</v>
      </c>
      <c r="C1034" s="2">
        <f>IFERROR(__xludf.DUMMYFUNCTION("""COMPUTED_VALUE"""),3.0)</f>
        <v>3</v>
      </c>
      <c r="D1034" s="2">
        <f>IFERROR(__xludf.DUMMYFUNCTION("""COMPUTED_VALUE"""),171.29)</f>
        <v>171.29</v>
      </c>
    </row>
    <row r="1035">
      <c r="A1035" s="2" t="str">
        <f>IFERROR(__xludf.DUMMYFUNCTION("""COMPUTED_VALUE"""),"PR026")</f>
        <v>PR026</v>
      </c>
      <c r="B1035" s="2" t="str">
        <f>IFERROR(__xludf.DUMMYFUNCTION("""COMPUTED_VALUE"""),"VD027")</f>
        <v>VD027</v>
      </c>
      <c r="C1035" s="2">
        <f>IFERROR(__xludf.DUMMYFUNCTION("""COMPUTED_VALUE"""),12.0)</f>
        <v>12</v>
      </c>
      <c r="D1035" s="2">
        <f>IFERROR(__xludf.DUMMYFUNCTION("""COMPUTED_VALUE"""),4618.68)</f>
        <v>4618.68</v>
      </c>
    </row>
    <row r="1036">
      <c r="A1036" s="2" t="str">
        <f>IFERROR(__xludf.DUMMYFUNCTION("""COMPUTED_VALUE"""),"PR026")</f>
        <v>PR026</v>
      </c>
      <c r="B1036" s="2" t="str">
        <f>IFERROR(__xludf.DUMMYFUNCTION("""COMPUTED_VALUE"""),"VD030")</f>
        <v>VD030</v>
      </c>
      <c r="C1036" s="2">
        <f>IFERROR(__xludf.DUMMYFUNCTION("""COMPUTED_VALUE"""),2.0)</f>
        <v>2</v>
      </c>
      <c r="D1036" s="2">
        <f>IFERROR(__xludf.DUMMYFUNCTION("""COMPUTED_VALUE"""),713.8)</f>
        <v>713.8</v>
      </c>
    </row>
    <row r="1037">
      <c r="A1037" s="2" t="str">
        <f>IFERROR(__xludf.DUMMYFUNCTION("""COMPUTED_VALUE"""),"PR012")</f>
        <v>PR012</v>
      </c>
      <c r="B1037" s="2" t="str">
        <f>IFERROR(__xludf.DUMMYFUNCTION("""COMPUTED_VALUE"""),"VD027")</f>
        <v>VD027</v>
      </c>
      <c r="C1037" s="2">
        <f>IFERROR(__xludf.DUMMYFUNCTION("""COMPUTED_VALUE"""),18.0)</f>
        <v>18</v>
      </c>
      <c r="D1037" s="2">
        <f>IFERROR(__xludf.DUMMYFUNCTION("""COMPUTED_VALUE"""),933.01)</f>
        <v>933.01</v>
      </c>
    </row>
    <row r="1038">
      <c r="A1038" s="2" t="str">
        <f>IFERROR(__xludf.DUMMYFUNCTION("""COMPUTED_VALUE"""),"PR010")</f>
        <v>PR010</v>
      </c>
      <c r="B1038" s="2" t="str">
        <f>IFERROR(__xludf.DUMMYFUNCTION("""COMPUTED_VALUE"""),"VD025")</f>
        <v>VD025</v>
      </c>
      <c r="C1038" s="2">
        <f>IFERROR(__xludf.DUMMYFUNCTION("""COMPUTED_VALUE"""),14.0)</f>
        <v>14</v>
      </c>
      <c r="D1038" s="2">
        <f>IFERROR(__xludf.DUMMYFUNCTION("""COMPUTED_VALUE"""),672.6)</f>
        <v>672.6</v>
      </c>
    </row>
    <row r="1039">
      <c r="A1039" s="2" t="str">
        <f>IFERROR(__xludf.DUMMYFUNCTION("""COMPUTED_VALUE"""),"PR060")</f>
        <v>PR060</v>
      </c>
      <c r="B1039" s="2" t="str">
        <f>IFERROR(__xludf.DUMMYFUNCTION("""COMPUTED_VALUE"""),"VD033")</f>
        <v>VD033</v>
      </c>
      <c r="C1039" s="2">
        <f>IFERROR(__xludf.DUMMYFUNCTION("""COMPUTED_VALUE"""),10.0)</f>
        <v>10</v>
      </c>
      <c r="D1039" s="2">
        <f>IFERROR(__xludf.DUMMYFUNCTION("""COMPUTED_VALUE"""),1962.0)</f>
        <v>1962</v>
      </c>
    </row>
    <row r="1040">
      <c r="A1040" s="2" t="str">
        <f>IFERROR(__xludf.DUMMYFUNCTION("""COMPUTED_VALUE"""),"PR016")</f>
        <v>PR016</v>
      </c>
      <c r="B1040" s="2" t="str">
        <f>IFERROR(__xludf.DUMMYFUNCTION("""COMPUTED_VALUE"""),"VD011")</f>
        <v>VD011</v>
      </c>
      <c r="C1040" s="2">
        <f>IFERROR(__xludf.DUMMYFUNCTION("""COMPUTED_VALUE"""),2.0)</f>
        <v>2</v>
      </c>
      <c r="D1040" s="2">
        <f>IFERROR(__xludf.DUMMYFUNCTION("""COMPUTED_VALUE"""),51.8)</f>
        <v>51.8</v>
      </c>
    </row>
    <row r="1041">
      <c r="A1041" s="2" t="str">
        <f>IFERROR(__xludf.DUMMYFUNCTION("""COMPUTED_VALUE"""),"PR044")</f>
        <v>PR044</v>
      </c>
      <c r="B1041" s="2" t="str">
        <f>IFERROR(__xludf.DUMMYFUNCTION("""COMPUTED_VALUE"""),"VD044")</f>
        <v>VD044</v>
      </c>
      <c r="C1041" s="2">
        <f>IFERROR(__xludf.DUMMYFUNCTION("""COMPUTED_VALUE"""),8.0)</f>
        <v>8</v>
      </c>
      <c r="D1041" s="2">
        <f>IFERROR(__xludf.DUMMYFUNCTION("""COMPUTED_VALUE"""),580.0)</f>
        <v>580</v>
      </c>
    </row>
    <row r="1042">
      <c r="A1042" s="2" t="str">
        <f>IFERROR(__xludf.DUMMYFUNCTION("""COMPUTED_VALUE"""),"PR001")</f>
        <v>PR001</v>
      </c>
      <c r="B1042" s="2" t="str">
        <f>IFERROR(__xludf.DUMMYFUNCTION("""COMPUTED_VALUE"""),"VD027")</f>
        <v>VD027</v>
      </c>
      <c r="C1042" s="2">
        <f>IFERROR(__xludf.DUMMYFUNCTION("""COMPUTED_VALUE"""),2.0)</f>
        <v>2</v>
      </c>
      <c r="D1042" s="2">
        <f>IFERROR(__xludf.DUMMYFUNCTION("""COMPUTED_VALUE"""),133.12)</f>
        <v>133.12</v>
      </c>
    </row>
    <row r="1043">
      <c r="A1043" s="2" t="str">
        <f>IFERROR(__xludf.DUMMYFUNCTION("""COMPUTED_VALUE"""),"PR013")</f>
        <v>PR013</v>
      </c>
      <c r="B1043" s="2" t="str">
        <f>IFERROR(__xludf.DUMMYFUNCTION("""COMPUTED_VALUE"""),"VD044")</f>
        <v>VD044</v>
      </c>
      <c r="C1043" s="2">
        <f>IFERROR(__xludf.DUMMYFUNCTION("""COMPUTED_VALUE"""),5.0)</f>
        <v>5</v>
      </c>
      <c r="D1043" s="2">
        <f>IFERROR(__xludf.DUMMYFUNCTION("""COMPUTED_VALUE"""),215.46)</f>
        <v>215.46</v>
      </c>
    </row>
    <row r="1044">
      <c r="A1044" s="2" t="str">
        <f>IFERROR(__xludf.DUMMYFUNCTION("""COMPUTED_VALUE"""),"PR017")</f>
        <v>PR017</v>
      </c>
      <c r="B1044" s="2" t="str">
        <f>IFERROR(__xludf.DUMMYFUNCTION("""COMPUTED_VALUE"""),"VD020")</f>
        <v>VD020</v>
      </c>
      <c r="C1044" s="2">
        <f>IFERROR(__xludf.DUMMYFUNCTION("""COMPUTED_VALUE"""),2.0)</f>
        <v>2</v>
      </c>
      <c r="D1044" s="2">
        <f>IFERROR(__xludf.DUMMYFUNCTION("""COMPUTED_VALUE"""),61.59)</f>
        <v>61.59</v>
      </c>
    </row>
    <row r="1045">
      <c r="A1045" s="2" t="str">
        <f>IFERROR(__xludf.DUMMYFUNCTION("""COMPUTED_VALUE"""),"PR036")</f>
        <v>PR036</v>
      </c>
      <c r="B1045" s="2" t="str">
        <f>IFERROR(__xludf.DUMMYFUNCTION("""COMPUTED_VALUE"""),"VD010")</f>
        <v>VD010</v>
      </c>
      <c r="C1045" s="2">
        <f>IFERROR(__xludf.DUMMYFUNCTION("""COMPUTED_VALUE"""),10.0)</f>
        <v>10</v>
      </c>
      <c r="D1045" s="2">
        <f>IFERROR(__xludf.DUMMYFUNCTION("""COMPUTED_VALUE"""),935.0)</f>
        <v>935</v>
      </c>
    </row>
    <row r="1046">
      <c r="A1046" s="2" t="str">
        <f>IFERROR(__xludf.DUMMYFUNCTION("""COMPUTED_VALUE"""),"PR009")</f>
        <v>PR009</v>
      </c>
      <c r="B1046" s="2" t="str">
        <f>IFERROR(__xludf.DUMMYFUNCTION("""COMPUTED_VALUE"""),"VD048")</f>
        <v>VD048</v>
      </c>
      <c r="C1046" s="2">
        <f>IFERROR(__xludf.DUMMYFUNCTION("""COMPUTED_VALUE"""),16.0)</f>
        <v>16</v>
      </c>
      <c r="D1046" s="2">
        <f>IFERROR(__xludf.DUMMYFUNCTION("""COMPUTED_VALUE"""),1560.72)</f>
        <v>1560.72</v>
      </c>
    </row>
    <row r="1047">
      <c r="A1047" s="2" t="str">
        <f>IFERROR(__xludf.DUMMYFUNCTION("""COMPUTED_VALUE"""),"PR009")</f>
        <v>PR009</v>
      </c>
      <c r="B1047" s="2" t="str">
        <f>IFERROR(__xludf.DUMMYFUNCTION("""COMPUTED_VALUE"""),"VD043")</f>
        <v>VD043</v>
      </c>
      <c r="C1047" s="2">
        <f>IFERROR(__xludf.DUMMYFUNCTION("""COMPUTED_VALUE"""),2.0)</f>
        <v>2</v>
      </c>
      <c r="D1047" s="2">
        <f>IFERROR(__xludf.DUMMYFUNCTION("""COMPUTED_VALUE"""),198.81)</f>
        <v>198.81</v>
      </c>
    </row>
    <row r="1048">
      <c r="A1048" s="2" t="str">
        <f>IFERROR(__xludf.DUMMYFUNCTION("""COMPUTED_VALUE"""),"PR001")</f>
        <v>PR001</v>
      </c>
      <c r="B1048" s="2" t="str">
        <f>IFERROR(__xludf.DUMMYFUNCTION("""COMPUTED_VALUE"""),"VD044")</f>
        <v>VD044</v>
      </c>
      <c r="C1048" s="2">
        <f>IFERROR(__xludf.DUMMYFUNCTION("""COMPUTED_VALUE"""),1.0)</f>
        <v>1</v>
      </c>
      <c r="D1048" s="2">
        <f>IFERROR(__xludf.DUMMYFUNCTION("""COMPUTED_VALUE"""),66.56)</f>
        <v>66.56</v>
      </c>
    </row>
    <row r="1049">
      <c r="A1049" s="2" t="str">
        <f>IFERROR(__xludf.DUMMYFUNCTION("""COMPUTED_VALUE"""),"PR056")</f>
        <v>PR056</v>
      </c>
      <c r="B1049" s="2" t="str">
        <f>IFERROR(__xludf.DUMMYFUNCTION("""COMPUTED_VALUE"""),"VD020")</f>
        <v>VD020</v>
      </c>
      <c r="C1049" s="2">
        <f>IFERROR(__xludf.DUMMYFUNCTION("""COMPUTED_VALUE"""),10.0)</f>
        <v>10</v>
      </c>
      <c r="D1049" s="2">
        <f>IFERROR(__xludf.DUMMYFUNCTION("""COMPUTED_VALUE"""),916.98)</f>
        <v>916.98</v>
      </c>
    </row>
    <row r="1050">
      <c r="A1050" s="2" t="str">
        <f>IFERROR(__xludf.DUMMYFUNCTION("""COMPUTED_VALUE"""),"PR008")</f>
        <v>PR008</v>
      </c>
      <c r="B1050" s="2" t="str">
        <f>IFERROR(__xludf.DUMMYFUNCTION("""COMPUTED_VALUE"""),"VD023")</f>
        <v>VD023</v>
      </c>
      <c r="C1050" s="2">
        <f>IFERROR(__xludf.DUMMYFUNCTION("""COMPUTED_VALUE"""),2.0)</f>
        <v>2</v>
      </c>
      <c r="D1050" s="2">
        <f>IFERROR(__xludf.DUMMYFUNCTION("""COMPUTED_VALUE"""),194.18)</f>
        <v>194.18</v>
      </c>
    </row>
    <row r="1051">
      <c r="A1051" s="2" t="str">
        <f>IFERROR(__xludf.DUMMYFUNCTION("""COMPUTED_VALUE"""),"PR051")</f>
        <v>PR051</v>
      </c>
      <c r="B1051" s="2" t="str">
        <f>IFERROR(__xludf.DUMMYFUNCTION("""COMPUTED_VALUE"""),"VD011")</f>
        <v>VD011</v>
      </c>
      <c r="C1051" s="2">
        <f>IFERROR(__xludf.DUMMYFUNCTION("""COMPUTED_VALUE"""),10.0)</f>
        <v>10</v>
      </c>
      <c r="D1051" s="2">
        <f>IFERROR(__xludf.DUMMYFUNCTION("""COMPUTED_VALUE"""),338.87)</f>
        <v>338.87</v>
      </c>
    </row>
    <row r="1052">
      <c r="A1052" s="2" t="str">
        <f>IFERROR(__xludf.DUMMYFUNCTION("""COMPUTED_VALUE"""),"PR037")</f>
        <v>PR037</v>
      </c>
      <c r="B1052" s="2" t="str">
        <f>IFERROR(__xludf.DUMMYFUNCTION("""COMPUTED_VALUE"""),"VD019")</f>
        <v>VD019</v>
      </c>
      <c r="C1052" s="2">
        <f>IFERROR(__xludf.DUMMYFUNCTION("""COMPUTED_VALUE"""),4.0)</f>
        <v>4</v>
      </c>
      <c r="D1052" s="2">
        <f>IFERROR(__xludf.DUMMYFUNCTION("""COMPUTED_VALUE"""),616.0)</f>
        <v>616</v>
      </c>
    </row>
    <row r="1053">
      <c r="A1053" s="2" t="str">
        <f>IFERROR(__xludf.DUMMYFUNCTION("""COMPUTED_VALUE"""),"PR055")</f>
        <v>PR055</v>
      </c>
      <c r="B1053" s="2" t="str">
        <f>IFERROR(__xludf.DUMMYFUNCTION("""COMPUTED_VALUE"""),"VD038")</f>
        <v>VD038</v>
      </c>
      <c r="C1053" s="2">
        <f>IFERROR(__xludf.DUMMYFUNCTION("""COMPUTED_VALUE"""),20.0)</f>
        <v>20</v>
      </c>
      <c r="D1053" s="2">
        <f>IFERROR(__xludf.DUMMYFUNCTION("""COMPUTED_VALUE"""),1923.86)</f>
        <v>1923.86</v>
      </c>
    </row>
    <row r="1054">
      <c r="A1054" s="2" t="str">
        <f>IFERROR(__xludf.DUMMYFUNCTION("""COMPUTED_VALUE"""),"PR005")</f>
        <v>PR005</v>
      </c>
      <c r="B1054" s="2" t="str">
        <f>IFERROR(__xludf.DUMMYFUNCTION("""COMPUTED_VALUE"""),"VD049")</f>
        <v>VD049</v>
      </c>
      <c r="C1054" s="2">
        <f>IFERROR(__xludf.DUMMYFUNCTION("""COMPUTED_VALUE"""),5.0)</f>
        <v>5</v>
      </c>
      <c r="D1054" s="2">
        <f>IFERROR(__xludf.DUMMYFUNCTION("""COMPUTED_VALUE"""),1364.48)</f>
        <v>1364.48</v>
      </c>
    </row>
    <row r="1055">
      <c r="A1055" s="2" t="str">
        <f>IFERROR(__xludf.DUMMYFUNCTION("""COMPUTED_VALUE"""),"PR025")</f>
        <v>PR025</v>
      </c>
      <c r="B1055" s="2" t="str">
        <f>IFERROR(__xludf.DUMMYFUNCTION("""COMPUTED_VALUE"""),"VD018")</f>
        <v>VD018</v>
      </c>
      <c r="C1055" s="2">
        <f>IFERROR(__xludf.DUMMYFUNCTION("""COMPUTED_VALUE"""),8.0)</f>
        <v>8</v>
      </c>
      <c r="D1055" s="2">
        <f>IFERROR(__xludf.DUMMYFUNCTION("""COMPUTED_VALUE"""),2519.16)</f>
        <v>2519.16</v>
      </c>
    </row>
    <row r="1056">
      <c r="A1056" s="2" t="str">
        <f>IFERROR(__xludf.DUMMYFUNCTION("""COMPUTED_VALUE"""),"PR034")</f>
        <v>PR034</v>
      </c>
      <c r="B1056" s="2" t="str">
        <f>IFERROR(__xludf.DUMMYFUNCTION("""COMPUTED_VALUE"""),"VD015")</f>
        <v>VD015</v>
      </c>
      <c r="C1056" s="2">
        <f>IFERROR(__xludf.DUMMYFUNCTION("""COMPUTED_VALUE"""),2.0)</f>
        <v>2</v>
      </c>
      <c r="D1056" s="2">
        <f>IFERROR(__xludf.DUMMYFUNCTION("""COMPUTED_VALUE"""),192.39)</f>
        <v>192.39</v>
      </c>
    </row>
    <row r="1057">
      <c r="A1057" s="2" t="str">
        <f>IFERROR(__xludf.DUMMYFUNCTION("""COMPUTED_VALUE"""),"PR048")</f>
        <v>PR048</v>
      </c>
      <c r="B1057" s="2" t="str">
        <f>IFERROR(__xludf.DUMMYFUNCTION("""COMPUTED_VALUE"""),"VD034")</f>
        <v>VD034</v>
      </c>
      <c r="C1057" s="2">
        <f>IFERROR(__xludf.DUMMYFUNCTION("""COMPUTED_VALUE"""),20.0)</f>
        <v>20</v>
      </c>
      <c r="D1057" s="2">
        <f>IFERROR(__xludf.DUMMYFUNCTION("""COMPUTED_VALUE"""),5855.98)</f>
        <v>5855.98</v>
      </c>
    </row>
    <row r="1058">
      <c r="A1058" s="2" t="str">
        <f>IFERROR(__xludf.DUMMYFUNCTION("""COMPUTED_VALUE"""),"PR024")</f>
        <v>PR024</v>
      </c>
      <c r="B1058" s="2" t="str">
        <f>IFERROR(__xludf.DUMMYFUNCTION("""COMPUTED_VALUE"""),"VD046")</f>
        <v>VD046</v>
      </c>
      <c r="C1058" s="2">
        <f>IFERROR(__xludf.DUMMYFUNCTION("""COMPUTED_VALUE"""),2.0)</f>
        <v>2</v>
      </c>
      <c r="D1058" s="2">
        <f>IFERROR(__xludf.DUMMYFUNCTION("""COMPUTED_VALUE"""),530.2)</f>
        <v>530.2</v>
      </c>
    </row>
    <row r="1059">
      <c r="A1059" s="2" t="str">
        <f>IFERROR(__xludf.DUMMYFUNCTION("""COMPUTED_VALUE"""),"PR028")</f>
        <v>PR028</v>
      </c>
      <c r="B1059" s="2" t="str">
        <f>IFERROR(__xludf.DUMMYFUNCTION("""COMPUTED_VALUE"""),"VD014")</f>
        <v>VD014</v>
      </c>
      <c r="C1059" s="2">
        <f>IFERROR(__xludf.DUMMYFUNCTION("""COMPUTED_VALUE"""),4.0)</f>
        <v>4</v>
      </c>
      <c r="D1059" s="2">
        <f>IFERROR(__xludf.DUMMYFUNCTION("""COMPUTED_VALUE"""),1069.57)</f>
        <v>1069.57</v>
      </c>
    </row>
    <row r="1060">
      <c r="A1060" s="2" t="str">
        <f>IFERROR(__xludf.DUMMYFUNCTION("""COMPUTED_VALUE"""),"PR018")</f>
        <v>PR018</v>
      </c>
      <c r="B1060" s="2" t="str">
        <f>IFERROR(__xludf.DUMMYFUNCTION("""COMPUTED_VALUE"""),"VD041")</f>
        <v>VD041</v>
      </c>
      <c r="C1060" s="2">
        <f>IFERROR(__xludf.DUMMYFUNCTION("""COMPUTED_VALUE"""),3.0)</f>
        <v>3</v>
      </c>
      <c r="D1060" s="2">
        <f>IFERROR(__xludf.DUMMYFUNCTION("""COMPUTED_VALUE"""),102.65)</f>
        <v>102.65</v>
      </c>
    </row>
    <row r="1061">
      <c r="A1061" s="2" t="str">
        <f>IFERROR(__xludf.DUMMYFUNCTION("""COMPUTED_VALUE"""),"PR001")</f>
        <v>PR001</v>
      </c>
      <c r="B1061" s="2" t="str">
        <f>IFERROR(__xludf.DUMMYFUNCTION("""COMPUTED_VALUE"""),"VD027")</f>
        <v>VD027</v>
      </c>
      <c r="C1061" s="2">
        <f>IFERROR(__xludf.DUMMYFUNCTION("""COMPUTED_VALUE"""),18.0)</f>
        <v>18</v>
      </c>
      <c r="D1061" s="2">
        <f>IFERROR(__xludf.DUMMYFUNCTION("""COMPUTED_VALUE"""),1221.79)</f>
        <v>1221.79</v>
      </c>
    </row>
    <row r="1062">
      <c r="A1062" s="2" t="str">
        <f>IFERROR(__xludf.DUMMYFUNCTION("""COMPUTED_VALUE"""),"PR021")</f>
        <v>PR021</v>
      </c>
      <c r="B1062" s="2" t="str">
        <f>IFERROR(__xludf.DUMMYFUNCTION("""COMPUTED_VALUE"""),"VD048")</f>
        <v>VD048</v>
      </c>
      <c r="C1062" s="2">
        <f>IFERROR(__xludf.DUMMYFUNCTION("""COMPUTED_VALUE"""),2.0)</f>
        <v>2</v>
      </c>
      <c r="D1062" s="2">
        <f>IFERROR(__xludf.DUMMYFUNCTION("""COMPUTED_VALUE"""),617.92)</f>
        <v>617.92</v>
      </c>
    </row>
    <row r="1063">
      <c r="A1063" s="2" t="str">
        <f>IFERROR(__xludf.DUMMYFUNCTION("""COMPUTED_VALUE"""),"PR012")</f>
        <v>PR012</v>
      </c>
      <c r="B1063" s="2" t="str">
        <f>IFERROR(__xludf.DUMMYFUNCTION("""COMPUTED_VALUE"""),"VD012")</f>
        <v>VD012</v>
      </c>
      <c r="C1063" s="2">
        <f>IFERROR(__xludf.DUMMYFUNCTION("""COMPUTED_VALUE"""),3.0)</f>
        <v>3</v>
      </c>
      <c r="D1063" s="2">
        <f>IFERROR(__xludf.DUMMYFUNCTION("""COMPUTED_VALUE"""),152.57)</f>
        <v>152.57</v>
      </c>
    </row>
    <row r="1064">
      <c r="A1064" s="2" t="str">
        <f>IFERROR(__xludf.DUMMYFUNCTION("""COMPUTED_VALUE"""),"PR035")</f>
        <v>PR035</v>
      </c>
      <c r="B1064" s="2" t="str">
        <f>IFERROR(__xludf.DUMMYFUNCTION("""COMPUTED_VALUE"""),"VD023")</f>
        <v>VD023</v>
      </c>
      <c r="C1064" s="2">
        <f>IFERROR(__xludf.DUMMYFUNCTION("""COMPUTED_VALUE"""),1.0)</f>
        <v>1</v>
      </c>
      <c r="D1064" s="2">
        <f>IFERROR(__xludf.DUMMYFUNCTION("""COMPUTED_VALUE"""),99.63)</f>
        <v>99.63</v>
      </c>
    </row>
    <row r="1065">
      <c r="A1065" s="2" t="str">
        <f>IFERROR(__xludf.DUMMYFUNCTION("""COMPUTED_VALUE"""),"PR006")</f>
        <v>PR006</v>
      </c>
      <c r="B1065" s="2" t="str">
        <f>IFERROR(__xludf.DUMMYFUNCTION("""COMPUTED_VALUE"""),"VD030")</f>
        <v>VD030</v>
      </c>
      <c r="C1065" s="2">
        <f>IFERROR(__xludf.DUMMYFUNCTION("""COMPUTED_VALUE"""),16.0)</f>
        <v>16</v>
      </c>
      <c r="D1065" s="2">
        <f>IFERROR(__xludf.DUMMYFUNCTION("""COMPUTED_VALUE"""),689.47)</f>
        <v>689.47</v>
      </c>
    </row>
    <row r="1066">
      <c r="A1066" s="2" t="str">
        <f>IFERROR(__xludf.DUMMYFUNCTION("""COMPUTED_VALUE"""),"PR053")</f>
        <v>PR053</v>
      </c>
      <c r="B1066" s="2" t="str">
        <f>IFERROR(__xludf.DUMMYFUNCTION("""COMPUTED_VALUE"""),"VD011")</f>
        <v>VD011</v>
      </c>
      <c r="C1066" s="2">
        <f>IFERROR(__xludf.DUMMYFUNCTION("""COMPUTED_VALUE"""),8.0)</f>
        <v>8</v>
      </c>
      <c r="D1066" s="2">
        <f>IFERROR(__xludf.DUMMYFUNCTION("""COMPUTED_VALUE"""),415.17)</f>
        <v>415.17</v>
      </c>
    </row>
    <row r="1067">
      <c r="A1067" s="2" t="str">
        <f>IFERROR(__xludf.DUMMYFUNCTION("""COMPUTED_VALUE"""),"PR009")</f>
        <v>PR009</v>
      </c>
      <c r="B1067" s="2" t="str">
        <f>IFERROR(__xludf.DUMMYFUNCTION("""COMPUTED_VALUE"""),"VD028")</f>
        <v>VD028</v>
      </c>
      <c r="C1067" s="2">
        <f>IFERROR(__xludf.DUMMYFUNCTION("""COMPUTED_VALUE"""),8.0)</f>
        <v>8</v>
      </c>
      <c r="D1067" s="2">
        <f>IFERROR(__xludf.DUMMYFUNCTION("""COMPUTED_VALUE"""),765.5)</f>
        <v>765.5</v>
      </c>
    </row>
    <row r="1068">
      <c r="A1068" s="2" t="str">
        <f>IFERROR(__xludf.DUMMYFUNCTION("""COMPUTED_VALUE"""),"PR004")</f>
        <v>PR004</v>
      </c>
      <c r="B1068" s="2" t="str">
        <f>IFERROR(__xludf.DUMMYFUNCTION("""COMPUTED_VALUE"""),"VD043")</f>
        <v>VD043</v>
      </c>
      <c r="C1068" s="2">
        <f>IFERROR(__xludf.DUMMYFUNCTION("""COMPUTED_VALUE"""),8.0)</f>
        <v>8</v>
      </c>
      <c r="D1068" s="2">
        <f>IFERROR(__xludf.DUMMYFUNCTION("""COMPUTED_VALUE"""),1194.8)</f>
        <v>1194.8</v>
      </c>
    </row>
    <row r="1069">
      <c r="A1069" s="2" t="str">
        <f>IFERROR(__xludf.DUMMYFUNCTION("""COMPUTED_VALUE"""),"PR024")</f>
        <v>PR024</v>
      </c>
      <c r="B1069" s="2" t="str">
        <f>IFERROR(__xludf.DUMMYFUNCTION("""COMPUTED_VALUE"""),"VD027")</f>
        <v>VD027</v>
      </c>
      <c r="C1069" s="2">
        <f>IFERROR(__xludf.DUMMYFUNCTION("""COMPUTED_VALUE"""),4.0)</f>
        <v>4</v>
      </c>
      <c r="D1069" s="2">
        <f>IFERROR(__xludf.DUMMYFUNCTION("""COMPUTED_VALUE"""),1070.79)</f>
        <v>1070.79</v>
      </c>
    </row>
    <row r="1070">
      <c r="A1070" s="2" t="str">
        <f>IFERROR(__xludf.DUMMYFUNCTION("""COMPUTED_VALUE"""),"PR035")</f>
        <v>PR035</v>
      </c>
      <c r="B1070" s="2" t="str">
        <f>IFERROR(__xludf.DUMMYFUNCTION("""COMPUTED_VALUE"""),"VD046")</f>
        <v>VD046</v>
      </c>
      <c r="C1070" s="2">
        <f>IFERROR(__xludf.DUMMYFUNCTION("""COMPUTED_VALUE"""),2.0)</f>
        <v>2</v>
      </c>
      <c r="D1070" s="2">
        <f>IFERROR(__xludf.DUMMYFUNCTION("""COMPUTED_VALUE"""),190.11)</f>
        <v>190.11</v>
      </c>
    </row>
    <row r="1071">
      <c r="A1071" s="2" t="str">
        <f>IFERROR(__xludf.DUMMYFUNCTION("""COMPUTED_VALUE"""),"PR031")</f>
        <v>PR031</v>
      </c>
      <c r="B1071" s="2" t="str">
        <f>IFERROR(__xludf.DUMMYFUNCTION("""COMPUTED_VALUE"""),"VD029")</f>
        <v>VD029</v>
      </c>
      <c r="C1071" s="2">
        <f>IFERROR(__xludf.DUMMYFUNCTION("""COMPUTED_VALUE"""),16.0)</f>
        <v>16</v>
      </c>
      <c r="D1071" s="2">
        <f>IFERROR(__xludf.DUMMYFUNCTION("""COMPUTED_VALUE"""),3998.4)</f>
        <v>3998.4</v>
      </c>
    </row>
    <row r="1072">
      <c r="A1072" s="2" t="str">
        <f>IFERROR(__xludf.DUMMYFUNCTION("""COMPUTED_VALUE"""),"PR052")</f>
        <v>PR052</v>
      </c>
      <c r="B1072" s="2" t="str">
        <f>IFERROR(__xludf.DUMMYFUNCTION("""COMPUTED_VALUE"""),"VD043")</f>
        <v>VD043</v>
      </c>
      <c r="C1072" s="2">
        <f>IFERROR(__xludf.DUMMYFUNCTION("""COMPUTED_VALUE"""),10.0)</f>
        <v>10</v>
      </c>
      <c r="D1072" s="2">
        <f>IFERROR(__xludf.DUMMYFUNCTION("""COMPUTED_VALUE"""),528.94)</f>
        <v>528.94</v>
      </c>
    </row>
    <row r="1073">
      <c r="A1073" s="2" t="str">
        <f>IFERROR(__xludf.DUMMYFUNCTION("""COMPUTED_VALUE"""),"PR044")</f>
        <v>PR044</v>
      </c>
      <c r="B1073" s="2" t="str">
        <f>IFERROR(__xludf.DUMMYFUNCTION("""COMPUTED_VALUE"""),"VD023")</f>
        <v>VD023</v>
      </c>
      <c r="C1073" s="2">
        <f>IFERROR(__xludf.DUMMYFUNCTION("""COMPUTED_VALUE"""),1.0)</f>
        <v>1</v>
      </c>
      <c r="D1073" s="2">
        <f>IFERROR(__xludf.DUMMYFUNCTION("""COMPUTED_VALUE"""),77.58)</f>
        <v>77.58</v>
      </c>
    </row>
    <row r="1074">
      <c r="A1074" s="2" t="str">
        <f>IFERROR(__xludf.DUMMYFUNCTION("""COMPUTED_VALUE"""),"PR047")</f>
        <v>PR047</v>
      </c>
      <c r="B1074" s="2" t="str">
        <f>IFERROR(__xludf.DUMMYFUNCTION("""COMPUTED_VALUE"""),"VD041")</f>
        <v>VD041</v>
      </c>
      <c r="C1074" s="2">
        <f>IFERROR(__xludf.DUMMYFUNCTION("""COMPUTED_VALUE"""),9.0)</f>
        <v>9</v>
      </c>
      <c r="D1074" s="2">
        <f>IFERROR(__xludf.DUMMYFUNCTION("""COMPUTED_VALUE"""),2870.01)</f>
        <v>2870.01</v>
      </c>
    </row>
    <row r="1075">
      <c r="A1075" s="2" t="str">
        <f>IFERROR(__xludf.DUMMYFUNCTION("""COMPUTED_VALUE"""),"PR023")</f>
        <v>PR023</v>
      </c>
      <c r="B1075" s="2" t="str">
        <f>IFERROR(__xludf.DUMMYFUNCTION("""COMPUTED_VALUE"""),"VD021")</f>
        <v>VD021</v>
      </c>
      <c r="C1075" s="2">
        <f>IFERROR(__xludf.DUMMYFUNCTION("""COMPUTED_VALUE"""),3.0)</f>
        <v>3</v>
      </c>
      <c r="D1075" s="2">
        <f>IFERROR(__xludf.DUMMYFUNCTION("""COMPUTED_VALUE"""),764.69)</f>
        <v>764.69</v>
      </c>
    </row>
    <row r="1076">
      <c r="A1076" s="2" t="str">
        <f>IFERROR(__xludf.DUMMYFUNCTION("""COMPUTED_VALUE"""),"PR036")</f>
        <v>PR036</v>
      </c>
      <c r="B1076" s="2" t="str">
        <f>IFERROR(__xludf.DUMMYFUNCTION("""COMPUTED_VALUE"""),"VD022")</f>
        <v>VD022</v>
      </c>
      <c r="C1076" s="2">
        <f>IFERROR(__xludf.DUMMYFUNCTION("""COMPUTED_VALUE"""),20.0)</f>
        <v>20</v>
      </c>
      <c r="D1076" s="2">
        <f>IFERROR(__xludf.DUMMYFUNCTION("""COMPUTED_VALUE"""),1926.1)</f>
        <v>1926.1</v>
      </c>
    </row>
    <row r="1077">
      <c r="A1077" s="2" t="str">
        <f>IFERROR(__xludf.DUMMYFUNCTION("""COMPUTED_VALUE"""),"PR048")</f>
        <v>PR048</v>
      </c>
      <c r="B1077" s="2" t="str">
        <f>IFERROR(__xludf.DUMMYFUNCTION("""COMPUTED_VALUE"""),"VD013")</f>
        <v>VD013</v>
      </c>
      <c r="C1077" s="2">
        <f>IFERROR(__xludf.DUMMYFUNCTION("""COMPUTED_VALUE"""),10.0)</f>
        <v>10</v>
      </c>
      <c r="D1077" s="2">
        <f>IFERROR(__xludf.DUMMYFUNCTION("""COMPUTED_VALUE"""),3043.95)</f>
        <v>3043.95</v>
      </c>
    </row>
    <row r="1078">
      <c r="A1078" s="2" t="str">
        <f>IFERROR(__xludf.DUMMYFUNCTION("""COMPUTED_VALUE"""),"PR056")</f>
        <v>PR056</v>
      </c>
      <c r="B1078" s="2" t="str">
        <f>IFERROR(__xludf.DUMMYFUNCTION("""COMPUTED_VALUE"""),"VD036")</f>
        <v>VD036</v>
      </c>
      <c r="C1078" s="2">
        <f>IFERROR(__xludf.DUMMYFUNCTION("""COMPUTED_VALUE"""),10.0)</f>
        <v>10</v>
      </c>
      <c r="D1078" s="2">
        <f>IFERROR(__xludf.DUMMYFUNCTION("""COMPUTED_VALUE"""),943.95)</f>
        <v>943.95</v>
      </c>
    </row>
    <row r="1079">
      <c r="A1079" s="2" t="str">
        <f>IFERROR(__xludf.DUMMYFUNCTION("""COMPUTED_VALUE"""),"PR018")</f>
        <v>PR018</v>
      </c>
      <c r="B1079" s="2" t="str">
        <f>IFERROR(__xludf.DUMMYFUNCTION("""COMPUTED_VALUE"""),"VD011")</f>
        <v>VD011</v>
      </c>
      <c r="C1079" s="2">
        <f>IFERROR(__xludf.DUMMYFUNCTION("""COMPUTED_VALUE"""),9.0)</f>
        <v>9</v>
      </c>
      <c r="D1079" s="2">
        <f>IFERROR(__xludf.DUMMYFUNCTION("""COMPUTED_VALUE"""),319.79)</f>
        <v>319.79</v>
      </c>
    </row>
    <row r="1080">
      <c r="A1080" s="2" t="str">
        <f>IFERROR(__xludf.DUMMYFUNCTION("""COMPUTED_VALUE"""),"PR017")</f>
        <v>PR017</v>
      </c>
      <c r="B1080" s="2" t="str">
        <f>IFERROR(__xludf.DUMMYFUNCTION("""COMPUTED_VALUE"""),"VD020")</f>
        <v>VD020</v>
      </c>
      <c r="C1080" s="2">
        <f>IFERROR(__xludf.DUMMYFUNCTION("""COMPUTED_VALUE"""),8.0)</f>
        <v>8</v>
      </c>
      <c r="D1080" s="2">
        <f>IFERROR(__xludf.DUMMYFUNCTION("""COMPUTED_VALUE"""),241.59)</f>
        <v>241.59</v>
      </c>
    </row>
    <row r="1081">
      <c r="A1081" s="2" t="str">
        <f>IFERROR(__xludf.DUMMYFUNCTION("""COMPUTED_VALUE"""),"PR048")</f>
        <v>PR048</v>
      </c>
      <c r="B1081" s="2" t="str">
        <f>IFERROR(__xludf.DUMMYFUNCTION("""COMPUTED_VALUE"""),"VD046")</f>
        <v>VD046</v>
      </c>
      <c r="C1081" s="2">
        <f>IFERROR(__xludf.DUMMYFUNCTION("""COMPUTED_VALUE"""),10.0)</f>
        <v>10</v>
      </c>
      <c r="D1081" s="2">
        <f>IFERROR(__xludf.DUMMYFUNCTION("""COMPUTED_VALUE"""),3101.93)</f>
        <v>3101.93</v>
      </c>
    </row>
    <row r="1082">
      <c r="A1082" s="2" t="str">
        <f>IFERROR(__xludf.DUMMYFUNCTION("""COMPUTED_VALUE"""),"PR014")</f>
        <v>PR014</v>
      </c>
      <c r="B1082" s="2" t="str">
        <f>IFERROR(__xludf.DUMMYFUNCTION("""COMPUTED_VALUE"""),"VD029")</f>
        <v>VD029</v>
      </c>
      <c r="C1082" s="2">
        <f>IFERROR(__xludf.DUMMYFUNCTION("""COMPUTED_VALUE"""),18.0)</f>
        <v>18</v>
      </c>
      <c r="D1082" s="2">
        <f>IFERROR(__xludf.DUMMYFUNCTION("""COMPUTED_VALUE"""),718.2)</f>
        <v>718.2</v>
      </c>
    </row>
    <row r="1083">
      <c r="A1083" s="2" t="str">
        <f>IFERROR(__xludf.DUMMYFUNCTION("""COMPUTED_VALUE"""),"PR008")</f>
        <v>PR008</v>
      </c>
      <c r="B1083" s="2" t="str">
        <f>IFERROR(__xludf.DUMMYFUNCTION("""COMPUTED_VALUE"""),"VD020")</f>
        <v>VD020</v>
      </c>
      <c r="C1083" s="2">
        <f>IFERROR(__xludf.DUMMYFUNCTION("""COMPUTED_VALUE"""),1.0)</f>
        <v>1</v>
      </c>
      <c r="D1083" s="2">
        <f>IFERROR(__xludf.DUMMYFUNCTION("""COMPUTED_VALUE"""),90.8)</f>
        <v>90.8</v>
      </c>
    </row>
    <row r="1084">
      <c r="A1084" s="2" t="str">
        <f>IFERROR(__xludf.DUMMYFUNCTION("""COMPUTED_VALUE"""),"PR032")</f>
        <v>PR032</v>
      </c>
      <c r="B1084" s="2" t="str">
        <f>IFERROR(__xludf.DUMMYFUNCTION("""COMPUTED_VALUE"""),"VD042")</f>
        <v>VD042</v>
      </c>
      <c r="C1084" s="2">
        <f>IFERROR(__xludf.DUMMYFUNCTION("""COMPUTED_VALUE"""),7.0)</f>
        <v>7</v>
      </c>
      <c r="D1084" s="2">
        <f>IFERROR(__xludf.DUMMYFUNCTION("""COMPUTED_VALUE"""),1872.5)</f>
        <v>1872.5</v>
      </c>
    </row>
    <row r="1085">
      <c r="A1085" s="2" t="str">
        <f>IFERROR(__xludf.DUMMYFUNCTION("""COMPUTED_VALUE"""),"PR024")</f>
        <v>PR024</v>
      </c>
      <c r="B1085" s="2" t="str">
        <f>IFERROR(__xludf.DUMMYFUNCTION("""COMPUTED_VALUE"""),"VD028")</f>
        <v>VD028</v>
      </c>
      <c r="C1085" s="2">
        <f>IFERROR(__xludf.DUMMYFUNCTION("""COMPUTED_VALUE"""),20.0)</f>
        <v>20</v>
      </c>
      <c r="D1085" s="2">
        <f>IFERROR(__xludf.DUMMYFUNCTION("""COMPUTED_VALUE"""),5561.86)</f>
        <v>5561.86</v>
      </c>
    </row>
    <row r="1086">
      <c r="A1086" s="2" t="str">
        <f>IFERROR(__xludf.DUMMYFUNCTION("""COMPUTED_VALUE"""),"PR047")</f>
        <v>PR047</v>
      </c>
      <c r="B1086" s="2" t="str">
        <f>IFERROR(__xludf.DUMMYFUNCTION("""COMPUTED_VALUE"""),"VD020")</f>
        <v>VD020</v>
      </c>
      <c r="C1086" s="2">
        <f>IFERROR(__xludf.DUMMYFUNCTION("""COMPUTED_VALUE"""),12.0)</f>
        <v>12</v>
      </c>
      <c r="D1086" s="2">
        <f>IFERROR(__xludf.DUMMYFUNCTION("""COMPUTED_VALUE"""),3722.32)</f>
        <v>3722.32</v>
      </c>
    </row>
    <row r="1087">
      <c r="A1087" s="2" t="str">
        <f>IFERROR(__xludf.DUMMYFUNCTION("""COMPUTED_VALUE"""),"PR033")</f>
        <v>PR033</v>
      </c>
      <c r="B1087" s="2" t="str">
        <f>IFERROR(__xludf.DUMMYFUNCTION("""COMPUTED_VALUE"""),"VD031")</f>
        <v>VD031</v>
      </c>
      <c r="C1087" s="2">
        <f>IFERROR(__xludf.DUMMYFUNCTION("""COMPUTED_VALUE"""),4.0)</f>
        <v>4</v>
      </c>
      <c r="D1087" s="2">
        <f>IFERROR(__xludf.DUMMYFUNCTION("""COMPUTED_VALUE"""),1091.58)</f>
        <v>1091.58</v>
      </c>
    </row>
    <row r="1088">
      <c r="A1088" s="2" t="str">
        <f>IFERROR(__xludf.DUMMYFUNCTION("""COMPUTED_VALUE"""),"PR017")</f>
        <v>PR017</v>
      </c>
      <c r="B1088" s="2" t="str">
        <f>IFERROR(__xludf.DUMMYFUNCTION("""COMPUTED_VALUE"""),"VD024")</f>
        <v>VD024</v>
      </c>
      <c r="C1088" s="2">
        <f>IFERROR(__xludf.DUMMYFUNCTION("""COMPUTED_VALUE"""),2.0)</f>
        <v>2</v>
      </c>
      <c r="D1088" s="2">
        <f>IFERROR(__xludf.DUMMYFUNCTION("""COMPUTED_VALUE"""),65.18)</f>
        <v>65.18</v>
      </c>
    </row>
    <row r="1089">
      <c r="A1089" s="2" t="str">
        <f>IFERROR(__xludf.DUMMYFUNCTION("""COMPUTED_VALUE"""),"PR022")</f>
        <v>PR022</v>
      </c>
      <c r="B1089" s="2" t="str">
        <f>IFERROR(__xludf.DUMMYFUNCTION("""COMPUTED_VALUE"""),"VD029")</f>
        <v>VD029</v>
      </c>
      <c r="C1089" s="2">
        <f>IFERROR(__xludf.DUMMYFUNCTION("""COMPUTED_VALUE"""),18.0)</f>
        <v>18</v>
      </c>
      <c r="D1089" s="2">
        <f>IFERROR(__xludf.DUMMYFUNCTION("""COMPUTED_VALUE"""),5832.0)</f>
        <v>5832</v>
      </c>
    </row>
    <row r="1090">
      <c r="A1090" s="2" t="str">
        <f>IFERROR(__xludf.DUMMYFUNCTION("""COMPUTED_VALUE"""),"PR022")</f>
        <v>PR022</v>
      </c>
      <c r="B1090" s="2" t="str">
        <f>IFERROR(__xludf.DUMMYFUNCTION("""COMPUTED_VALUE"""),"VD011")</f>
        <v>VD011</v>
      </c>
      <c r="C1090" s="2">
        <f>IFERROR(__xludf.DUMMYFUNCTION("""COMPUTED_VALUE"""),2.0)</f>
        <v>2</v>
      </c>
      <c r="D1090" s="2">
        <f>IFERROR(__xludf.DUMMYFUNCTION("""COMPUTED_VALUE"""),624.0)</f>
        <v>624</v>
      </c>
    </row>
    <row r="1091">
      <c r="A1091" s="2" t="str">
        <f>IFERROR(__xludf.DUMMYFUNCTION("""COMPUTED_VALUE"""),"PR038")</f>
        <v>PR038</v>
      </c>
      <c r="B1091" s="2" t="str">
        <f>IFERROR(__xludf.DUMMYFUNCTION("""COMPUTED_VALUE"""),"VD032")</f>
        <v>VD032</v>
      </c>
      <c r="C1091" s="2">
        <f>IFERROR(__xludf.DUMMYFUNCTION("""COMPUTED_VALUE"""),8.0)</f>
        <v>8</v>
      </c>
      <c r="D1091" s="2">
        <f>IFERROR(__xludf.DUMMYFUNCTION("""COMPUTED_VALUE"""),1188.93)</f>
        <v>1188.93</v>
      </c>
    </row>
    <row r="1092">
      <c r="A1092" s="2" t="str">
        <f>IFERROR(__xludf.DUMMYFUNCTION("""COMPUTED_VALUE"""),"PR060")</f>
        <v>PR060</v>
      </c>
      <c r="B1092" s="2" t="str">
        <f>IFERROR(__xludf.DUMMYFUNCTION("""COMPUTED_VALUE"""),"VD047")</f>
        <v>VD047</v>
      </c>
      <c r="C1092" s="2">
        <f>IFERROR(__xludf.DUMMYFUNCTION("""COMPUTED_VALUE"""),16.0)</f>
        <v>16</v>
      </c>
      <c r="D1092" s="2">
        <f>IFERROR(__xludf.DUMMYFUNCTION("""COMPUTED_VALUE"""),3139.2)</f>
        <v>3139.2</v>
      </c>
    </row>
    <row r="1093">
      <c r="A1093" s="2" t="str">
        <f>IFERROR(__xludf.DUMMYFUNCTION("""COMPUTED_VALUE"""),"PR049")</f>
        <v>PR049</v>
      </c>
      <c r="B1093" s="2" t="str">
        <f>IFERROR(__xludf.DUMMYFUNCTION("""COMPUTED_VALUE"""),"VD035")</f>
        <v>VD035</v>
      </c>
      <c r="C1093" s="2">
        <f>IFERROR(__xludf.DUMMYFUNCTION("""COMPUTED_VALUE"""),3.0)</f>
        <v>3</v>
      </c>
      <c r="D1093" s="2">
        <f>IFERROR(__xludf.DUMMYFUNCTION("""COMPUTED_VALUE"""),102.65)</f>
        <v>102.65</v>
      </c>
    </row>
    <row r="1094">
      <c r="A1094" s="2" t="str">
        <f>IFERROR(__xludf.DUMMYFUNCTION("""COMPUTED_VALUE"""),"PR035")</f>
        <v>PR035</v>
      </c>
      <c r="B1094" s="2" t="str">
        <f>IFERROR(__xludf.DUMMYFUNCTION("""COMPUTED_VALUE"""),"VD045")</f>
        <v>VD045</v>
      </c>
      <c r="C1094" s="2">
        <f>IFERROR(__xludf.DUMMYFUNCTION("""COMPUTED_VALUE"""),5.0)</f>
        <v>5</v>
      </c>
      <c r="D1094" s="2">
        <f>IFERROR(__xludf.DUMMYFUNCTION("""COMPUTED_VALUE"""),466.14)</f>
        <v>466.14</v>
      </c>
    </row>
    <row r="1095">
      <c r="A1095" s="2" t="str">
        <f>IFERROR(__xludf.DUMMYFUNCTION("""COMPUTED_VALUE"""),"PR017")</f>
        <v>PR017</v>
      </c>
      <c r="B1095" s="2" t="str">
        <f>IFERROR(__xludf.DUMMYFUNCTION("""COMPUTED_VALUE"""),"VD032")</f>
        <v>VD032</v>
      </c>
      <c r="C1095" s="2">
        <f>IFERROR(__xludf.DUMMYFUNCTION("""COMPUTED_VALUE"""),18.0)</f>
        <v>18</v>
      </c>
      <c r="D1095" s="2">
        <f>IFERROR(__xludf.DUMMYFUNCTION("""COMPUTED_VALUE"""),559.73)</f>
        <v>559.73</v>
      </c>
    </row>
    <row r="1096">
      <c r="A1096" s="2" t="str">
        <f>IFERROR(__xludf.DUMMYFUNCTION("""COMPUTED_VALUE"""),"PR060")</f>
        <v>PR060</v>
      </c>
      <c r="B1096" s="2" t="str">
        <f>IFERROR(__xludf.DUMMYFUNCTION("""COMPUTED_VALUE"""),"VD020")</f>
        <v>VD020</v>
      </c>
      <c r="C1096" s="2">
        <f>IFERROR(__xludf.DUMMYFUNCTION("""COMPUTED_VALUE"""),9.0)</f>
        <v>9</v>
      </c>
      <c r="D1096" s="2">
        <f>IFERROR(__xludf.DUMMYFUNCTION("""COMPUTED_VALUE"""),1684.8)</f>
        <v>1684.8</v>
      </c>
    </row>
    <row r="1097">
      <c r="A1097" s="2" t="str">
        <f>IFERROR(__xludf.DUMMYFUNCTION("""COMPUTED_VALUE"""),"PR036")</f>
        <v>PR036</v>
      </c>
      <c r="B1097" s="2" t="str">
        <f>IFERROR(__xludf.DUMMYFUNCTION("""COMPUTED_VALUE"""),"VD046")</f>
        <v>VD046</v>
      </c>
      <c r="C1097" s="2">
        <f>IFERROR(__xludf.DUMMYFUNCTION("""COMPUTED_VALUE"""),10.0)</f>
        <v>10</v>
      </c>
      <c r="D1097" s="2">
        <f>IFERROR(__xludf.DUMMYFUNCTION("""COMPUTED_VALUE"""),1028.5)</f>
        <v>1028.5</v>
      </c>
    </row>
    <row r="1098">
      <c r="A1098" s="2" t="str">
        <f>IFERROR(__xludf.DUMMYFUNCTION("""COMPUTED_VALUE"""),"PR043")</f>
        <v>PR043</v>
      </c>
      <c r="B1098" s="2" t="str">
        <f>IFERROR(__xludf.DUMMYFUNCTION("""COMPUTED_VALUE"""),"VD022")</f>
        <v>VD022</v>
      </c>
      <c r="C1098" s="2">
        <f>IFERROR(__xludf.DUMMYFUNCTION("""COMPUTED_VALUE"""),2.0)</f>
        <v>2</v>
      </c>
      <c r="D1098" s="2">
        <f>IFERROR(__xludf.DUMMYFUNCTION("""COMPUTED_VALUE"""),153.7)</f>
        <v>153.7</v>
      </c>
    </row>
    <row r="1099">
      <c r="A1099" s="2" t="str">
        <f>IFERROR(__xludf.DUMMYFUNCTION("""COMPUTED_VALUE"""),"PR007")</f>
        <v>PR007</v>
      </c>
      <c r="B1099" s="2" t="str">
        <f>IFERROR(__xludf.DUMMYFUNCTION("""COMPUTED_VALUE"""),"VD041")</f>
        <v>VD041</v>
      </c>
      <c r="C1099" s="2">
        <f>IFERROR(__xludf.DUMMYFUNCTION("""COMPUTED_VALUE"""),2.0)</f>
        <v>2</v>
      </c>
      <c r="D1099" s="2">
        <f>IFERROR(__xludf.DUMMYFUNCTION("""COMPUTED_VALUE"""),187.26)</f>
        <v>187.26</v>
      </c>
    </row>
    <row r="1100">
      <c r="A1100" s="2" t="str">
        <f>IFERROR(__xludf.DUMMYFUNCTION("""COMPUTED_VALUE"""),"PR037")</f>
        <v>PR037</v>
      </c>
      <c r="B1100" s="2" t="str">
        <f>IFERROR(__xludf.DUMMYFUNCTION("""COMPUTED_VALUE"""),"VD043")</f>
        <v>VD043</v>
      </c>
      <c r="C1100" s="2">
        <f>IFERROR(__xludf.DUMMYFUNCTION("""COMPUTED_VALUE"""),9.0)</f>
        <v>9</v>
      </c>
      <c r="D1100" s="2">
        <f>IFERROR(__xludf.DUMMYFUNCTION("""COMPUTED_VALUE"""),1297.8)</f>
        <v>1297.8</v>
      </c>
    </row>
    <row r="1101">
      <c r="A1101" s="2" t="str">
        <f>IFERROR(__xludf.DUMMYFUNCTION("""COMPUTED_VALUE"""),"PR030")</f>
        <v>PR030</v>
      </c>
      <c r="B1101" s="2" t="str">
        <f>IFERROR(__xludf.DUMMYFUNCTION("""COMPUTED_VALUE"""),"VD010")</f>
        <v>VD010</v>
      </c>
      <c r="C1101" s="2">
        <f>IFERROR(__xludf.DUMMYFUNCTION("""COMPUTED_VALUE"""),18.0)</f>
        <v>18</v>
      </c>
      <c r="D1101" s="2">
        <f>IFERROR(__xludf.DUMMYFUNCTION("""COMPUTED_VALUE"""),5146.02)</f>
        <v>5146.02</v>
      </c>
    </row>
    <row r="1102">
      <c r="A1102" s="2" t="str">
        <f>IFERROR(__xludf.DUMMYFUNCTION("""COMPUTED_VALUE"""),"PR049")</f>
        <v>PR049</v>
      </c>
      <c r="B1102" s="2" t="str">
        <f>IFERROR(__xludf.DUMMYFUNCTION("""COMPUTED_VALUE"""),"VD049")</f>
        <v>VD049</v>
      </c>
      <c r="C1102" s="2">
        <f>IFERROR(__xludf.DUMMYFUNCTION("""COMPUTED_VALUE"""),4.0)</f>
        <v>4</v>
      </c>
      <c r="D1102" s="2">
        <f>IFERROR(__xludf.DUMMYFUNCTION("""COMPUTED_VALUE"""),142.13)</f>
        <v>142.13</v>
      </c>
    </row>
    <row r="1103">
      <c r="A1103" s="2" t="str">
        <f>IFERROR(__xludf.DUMMYFUNCTION("""COMPUTED_VALUE"""),"PR024")</f>
        <v>PR024</v>
      </c>
      <c r="B1103" s="2" t="str">
        <f>IFERROR(__xludf.DUMMYFUNCTION("""COMPUTED_VALUE"""),"VD033")</f>
        <v>VD033</v>
      </c>
      <c r="C1103" s="2">
        <f>IFERROR(__xludf.DUMMYFUNCTION("""COMPUTED_VALUE"""),5.0)</f>
        <v>5</v>
      </c>
      <c r="D1103" s="2">
        <f>IFERROR(__xludf.DUMMYFUNCTION("""COMPUTED_VALUE"""),1312.5)</f>
        <v>1312.5</v>
      </c>
    </row>
    <row r="1104">
      <c r="A1104" s="2" t="str">
        <f>IFERROR(__xludf.DUMMYFUNCTION("""COMPUTED_VALUE"""),"PR025")</f>
        <v>PR025</v>
      </c>
      <c r="B1104" s="2" t="str">
        <f>IFERROR(__xludf.DUMMYFUNCTION("""COMPUTED_VALUE"""),"VD027")</f>
        <v>VD027</v>
      </c>
      <c r="C1104" s="2">
        <f>IFERROR(__xludf.DUMMYFUNCTION("""COMPUTED_VALUE"""),16.0)</f>
        <v>16</v>
      </c>
      <c r="D1104" s="2">
        <f>IFERROR(__xludf.DUMMYFUNCTION("""COMPUTED_VALUE"""),5278.24)</f>
        <v>5278.24</v>
      </c>
    </row>
    <row r="1105">
      <c r="A1105" s="2" t="str">
        <f>IFERROR(__xludf.DUMMYFUNCTION("""COMPUTED_VALUE"""),"PR040")</f>
        <v>PR040</v>
      </c>
      <c r="B1105" s="2" t="str">
        <f>IFERROR(__xludf.DUMMYFUNCTION("""COMPUTED_VALUE"""),"VD020")</f>
        <v>VD020</v>
      </c>
      <c r="C1105" s="2">
        <f>IFERROR(__xludf.DUMMYFUNCTION("""COMPUTED_VALUE"""),5.0)</f>
        <v>5</v>
      </c>
      <c r="D1105" s="2">
        <f>IFERROR(__xludf.DUMMYFUNCTION("""COMPUTED_VALUE"""),385.0)</f>
        <v>385</v>
      </c>
    </row>
    <row r="1106">
      <c r="A1106" s="2" t="str">
        <f>IFERROR(__xludf.DUMMYFUNCTION("""COMPUTED_VALUE"""),"PR012")</f>
        <v>PR012</v>
      </c>
      <c r="B1106" s="2" t="str">
        <f>IFERROR(__xludf.DUMMYFUNCTION("""COMPUTED_VALUE"""),"VD042")</f>
        <v>VD042</v>
      </c>
      <c r="C1106" s="2">
        <f>IFERROR(__xludf.DUMMYFUNCTION("""COMPUTED_VALUE"""),6.0)</f>
        <v>6</v>
      </c>
      <c r="D1106" s="2">
        <f>IFERROR(__xludf.DUMMYFUNCTION("""COMPUTED_VALUE"""),316.87)</f>
        <v>316.87</v>
      </c>
    </row>
    <row r="1107">
      <c r="A1107" s="2" t="str">
        <f>IFERROR(__xludf.DUMMYFUNCTION("""COMPUTED_VALUE"""),"PR050")</f>
        <v>PR050</v>
      </c>
      <c r="B1107" s="2" t="str">
        <f>IFERROR(__xludf.DUMMYFUNCTION("""COMPUTED_VALUE"""),"VD039")</f>
        <v>VD039</v>
      </c>
      <c r="C1107" s="2">
        <f>IFERROR(__xludf.DUMMYFUNCTION("""COMPUTED_VALUE"""),2.0)</f>
        <v>2</v>
      </c>
      <c r="D1107" s="2">
        <f>IFERROR(__xludf.DUMMYFUNCTION("""COMPUTED_VALUE"""),65.8)</f>
        <v>65.8</v>
      </c>
    </row>
    <row r="1108">
      <c r="A1108" s="2" t="str">
        <f>IFERROR(__xludf.DUMMYFUNCTION("""COMPUTED_VALUE"""),"PR036")</f>
        <v>PR036</v>
      </c>
      <c r="B1108" s="2" t="str">
        <f>IFERROR(__xludf.DUMMYFUNCTION("""COMPUTED_VALUE"""),"VD010")</f>
        <v>VD010</v>
      </c>
      <c r="C1108" s="2">
        <f>IFERROR(__xludf.DUMMYFUNCTION("""COMPUTED_VALUE"""),8.0)</f>
        <v>8</v>
      </c>
      <c r="D1108" s="2">
        <f>IFERROR(__xludf.DUMMYFUNCTION("""COMPUTED_VALUE"""),755.48)</f>
        <v>755.48</v>
      </c>
    </row>
    <row r="1109">
      <c r="A1109" s="2" t="str">
        <f>IFERROR(__xludf.DUMMYFUNCTION("""COMPUTED_VALUE"""),"PR031")</f>
        <v>PR031</v>
      </c>
      <c r="B1109" s="2" t="str">
        <f>IFERROR(__xludf.DUMMYFUNCTION("""COMPUTED_VALUE"""),"VD030")</f>
        <v>VD030</v>
      </c>
      <c r="C1109" s="2">
        <f>IFERROR(__xludf.DUMMYFUNCTION("""COMPUTED_VALUE"""),9.0)</f>
        <v>9</v>
      </c>
      <c r="D1109" s="2">
        <f>IFERROR(__xludf.DUMMYFUNCTION("""COMPUTED_VALUE"""),2227.05)</f>
        <v>2227.05</v>
      </c>
    </row>
    <row r="1110">
      <c r="A1110" s="2" t="str">
        <f>IFERROR(__xludf.DUMMYFUNCTION("""COMPUTED_VALUE"""),"PR060")</f>
        <v>PR060</v>
      </c>
      <c r="B1110" s="2" t="str">
        <f>IFERROR(__xludf.DUMMYFUNCTION("""COMPUTED_VALUE"""),"VD045")</f>
        <v>VD045</v>
      </c>
      <c r="C1110" s="2">
        <f>IFERROR(__xludf.DUMMYFUNCTION("""COMPUTED_VALUE"""),3.0)</f>
        <v>3</v>
      </c>
      <c r="D1110" s="2">
        <f>IFERROR(__xludf.DUMMYFUNCTION("""COMPUTED_VALUE"""),556.2)</f>
        <v>556.2</v>
      </c>
    </row>
    <row r="1111">
      <c r="A1111" s="2" t="str">
        <f>IFERROR(__xludf.DUMMYFUNCTION("""COMPUTED_VALUE"""),"PR028")</f>
        <v>PR028</v>
      </c>
      <c r="B1111" s="2" t="str">
        <f>IFERROR(__xludf.DUMMYFUNCTION("""COMPUTED_VALUE"""),"VD038")</f>
        <v>VD038</v>
      </c>
      <c r="C1111" s="2">
        <f>IFERROR(__xludf.DUMMYFUNCTION("""COMPUTED_VALUE"""),1.0)</f>
        <v>1</v>
      </c>
      <c r="D1111" s="2">
        <f>IFERROR(__xludf.DUMMYFUNCTION("""COMPUTED_VALUE"""),249.9)</f>
        <v>249.9</v>
      </c>
    </row>
    <row r="1112">
      <c r="A1112" s="2" t="str">
        <f>IFERROR(__xludf.DUMMYFUNCTION("""COMPUTED_VALUE"""),"PR056")</f>
        <v>PR056</v>
      </c>
      <c r="B1112" s="2" t="str">
        <f>IFERROR(__xludf.DUMMYFUNCTION("""COMPUTED_VALUE"""),"VD031")</f>
        <v>VD031</v>
      </c>
      <c r="C1112" s="2">
        <f>IFERROR(__xludf.DUMMYFUNCTION("""COMPUTED_VALUE"""),18.0)</f>
        <v>18</v>
      </c>
      <c r="D1112" s="2">
        <f>IFERROR(__xludf.DUMMYFUNCTION("""COMPUTED_VALUE"""),1747.66)</f>
        <v>1747.66</v>
      </c>
    </row>
    <row r="1113">
      <c r="A1113" s="2" t="str">
        <f>IFERROR(__xludf.DUMMYFUNCTION("""COMPUTED_VALUE"""),"PR055")</f>
        <v>PR055</v>
      </c>
      <c r="B1113" s="2" t="str">
        <f>IFERROR(__xludf.DUMMYFUNCTION("""COMPUTED_VALUE"""),"VD041")</f>
        <v>VD041</v>
      </c>
      <c r="C1113" s="2">
        <f>IFERROR(__xludf.DUMMYFUNCTION("""COMPUTED_VALUE"""),6.0)</f>
        <v>6</v>
      </c>
      <c r="D1113" s="2">
        <f>IFERROR(__xludf.DUMMYFUNCTION("""COMPUTED_VALUE"""),550.19)</f>
        <v>550.19</v>
      </c>
    </row>
    <row r="1114">
      <c r="A1114" s="2" t="str">
        <f>IFERROR(__xludf.DUMMYFUNCTION("""COMPUTED_VALUE"""),"PR058")</f>
        <v>PR058</v>
      </c>
      <c r="B1114" s="2" t="str">
        <f>IFERROR(__xludf.DUMMYFUNCTION("""COMPUTED_VALUE"""),"VD027")</f>
        <v>VD027</v>
      </c>
      <c r="C1114" s="2">
        <f>IFERROR(__xludf.DUMMYFUNCTION("""COMPUTED_VALUE"""),18.0)</f>
        <v>18</v>
      </c>
      <c r="D1114" s="2">
        <f>IFERROR(__xludf.DUMMYFUNCTION("""COMPUTED_VALUE"""),3531.6)</f>
        <v>3531.6</v>
      </c>
    </row>
    <row r="1115">
      <c r="A1115" s="2" t="str">
        <f>IFERROR(__xludf.DUMMYFUNCTION("""COMPUTED_VALUE"""),"PR021")</f>
        <v>PR021</v>
      </c>
      <c r="B1115" s="2" t="str">
        <f>IFERROR(__xludf.DUMMYFUNCTION("""COMPUTED_VALUE"""),"VD025")</f>
        <v>VD025</v>
      </c>
      <c r="C1115" s="2">
        <f>IFERROR(__xludf.DUMMYFUNCTION("""COMPUTED_VALUE"""),10.0)</f>
        <v>10</v>
      </c>
      <c r="D1115" s="2">
        <f>IFERROR(__xludf.DUMMYFUNCTION("""COMPUTED_VALUE"""),3271.32)</f>
        <v>3271.32</v>
      </c>
    </row>
    <row r="1116">
      <c r="A1116" s="2" t="str">
        <f>IFERROR(__xludf.DUMMYFUNCTION("""COMPUTED_VALUE"""),"PR019")</f>
        <v>PR019</v>
      </c>
      <c r="B1116" s="2" t="str">
        <f>IFERROR(__xludf.DUMMYFUNCTION("""COMPUTED_VALUE"""),"VD033")</f>
        <v>VD033</v>
      </c>
      <c r="C1116" s="2">
        <f>IFERROR(__xludf.DUMMYFUNCTION("""COMPUTED_VALUE"""),6.0)</f>
        <v>6</v>
      </c>
      <c r="D1116" s="2">
        <f>IFERROR(__xludf.DUMMYFUNCTION("""COMPUTED_VALUE"""),314.37)</f>
        <v>314.37</v>
      </c>
    </row>
    <row r="1117">
      <c r="A1117" s="2" t="str">
        <f>IFERROR(__xludf.DUMMYFUNCTION("""COMPUTED_VALUE"""),"PR024")</f>
        <v>PR024</v>
      </c>
      <c r="B1117" s="2" t="str">
        <f>IFERROR(__xludf.DUMMYFUNCTION("""COMPUTED_VALUE"""),"VD014")</f>
        <v>VD014</v>
      </c>
      <c r="C1117" s="2">
        <f>IFERROR(__xludf.DUMMYFUNCTION("""COMPUTED_VALUE"""),20.0)</f>
        <v>20</v>
      </c>
      <c r="D1117" s="2">
        <f>IFERROR(__xludf.DUMMYFUNCTION("""COMPUTED_VALUE"""),5613.84)</f>
        <v>5613.84</v>
      </c>
    </row>
    <row r="1118">
      <c r="A1118" s="2" t="str">
        <f>IFERROR(__xludf.DUMMYFUNCTION("""COMPUTED_VALUE"""),"PR042")</f>
        <v>PR042</v>
      </c>
      <c r="B1118" s="2" t="str">
        <f>IFERROR(__xludf.DUMMYFUNCTION("""COMPUTED_VALUE"""),"VD042")</f>
        <v>VD042</v>
      </c>
      <c r="C1118" s="2">
        <f>IFERROR(__xludf.DUMMYFUNCTION("""COMPUTED_VALUE"""),3.0)</f>
        <v>3</v>
      </c>
      <c r="D1118" s="2">
        <f>IFERROR(__xludf.DUMMYFUNCTION("""COMPUTED_VALUE"""),171.29)</f>
        <v>171.29</v>
      </c>
    </row>
    <row r="1119">
      <c r="A1119" s="2" t="str">
        <f>IFERROR(__xludf.DUMMYFUNCTION("""COMPUTED_VALUE"""),"PR041")</f>
        <v>PR041</v>
      </c>
      <c r="B1119" s="2" t="str">
        <f>IFERROR(__xludf.DUMMYFUNCTION("""COMPUTED_VALUE"""),"VD012")</f>
        <v>VD012</v>
      </c>
      <c r="C1119" s="2">
        <f>IFERROR(__xludf.DUMMYFUNCTION("""COMPUTED_VALUE"""),1.0)</f>
        <v>1</v>
      </c>
      <c r="D1119" s="2">
        <f>IFERROR(__xludf.DUMMYFUNCTION("""COMPUTED_VALUE"""),55.45)</f>
        <v>55.45</v>
      </c>
    </row>
    <row r="1120">
      <c r="A1120" s="2" t="str">
        <f>IFERROR(__xludf.DUMMYFUNCTION("""COMPUTED_VALUE"""),"PR055")</f>
        <v>PR055</v>
      </c>
      <c r="B1120" s="2" t="str">
        <f>IFERROR(__xludf.DUMMYFUNCTION("""COMPUTED_VALUE"""),"VD040")</f>
        <v>VD040</v>
      </c>
      <c r="C1120" s="2">
        <f>IFERROR(__xludf.DUMMYFUNCTION("""COMPUTED_VALUE"""),4.0)</f>
        <v>4</v>
      </c>
      <c r="D1120" s="2">
        <f>IFERROR(__xludf.DUMMYFUNCTION("""COMPUTED_VALUE"""),373.98)</f>
        <v>373.98</v>
      </c>
    </row>
    <row r="1121">
      <c r="A1121" s="2" t="str">
        <f>IFERROR(__xludf.DUMMYFUNCTION("""COMPUTED_VALUE"""),"PR011")</f>
        <v>PR011</v>
      </c>
      <c r="B1121" s="2" t="str">
        <f>IFERROR(__xludf.DUMMYFUNCTION("""COMPUTED_VALUE"""),"VD018")</f>
        <v>VD018</v>
      </c>
      <c r="C1121" s="2">
        <f>IFERROR(__xludf.DUMMYFUNCTION("""COMPUTED_VALUE"""),8.0)</f>
        <v>8</v>
      </c>
      <c r="D1121" s="2">
        <f>IFERROR(__xludf.DUMMYFUNCTION("""COMPUTED_VALUE"""),378.95)</f>
        <v>378.95</v>
      </c>
    </row>
    <row r="1122">
      <c r="A1122" s="2" t="str">
        <f>IFERROR(__xludf.DUMMYFUNCTION("""COMPUTED_VALUE"""),"PR053")</f>
        <v>PR053</v>
      </c>
      <c r="B1122" s="2" t="str">
        <f>IFERROR(__xludf.DUMMYFUNCTION("""COMPUTED_VALUE"""),"VD016")</f>
        <v>VD016</v>
      </c>
      <c r="C1122" s="2">
        <f>IFERROR(__xludf.DUMMYFUNCTION("""COMPUTED_VALUE"""),16.0)</f>
        <v>16</v>
      </c>
      <c r="D1122" s="2">
        <f>IFERROR(__xludf.DUMMYFUNCTION("""COMPUTED_VALUE"""),830.34)</f>
        <v>830.34</v>
      </c>
    </row>
    <row r="1123">
      <c r="A1123" s="2" t="str">
        <f>IFERROR(__xludf.DUMMYFUNCTION("""COMPUTED_VALUE"""),"PR044")</f>
        <v>PR044</v>
      </c>
      <c r="B1123" s="2" t="str">
        <f>IFERROR(__xludf.DUMMYFUNCTION("""COMPUTED_VALUE"""),"VD012")</f>
        <v>VD012</v>
      </c>
      <c r="C1123" s="2">
        <f>IFERROR(__xludf.DUMMYFUNCTION("""COMPUTED_VALUE"""),8.0)</f>
        <v>8</v>
      </c>
      <c r="D1123" s="2">
        <f>IFERROR(__xludf.DUMMYFUNCTION("""COMPUTED_VALUE"""),614.8)</f>
        <v>614.8</v>
      </c>
    </row>
    <row r="1124">
      <c r="A1124" s="2" t="str">
        <f>IFERROR(__xludf.DUMMYFUNCTION("""COMPUTED_VALUE"""),"PR024")</f>
        <v>PR024</v>
      </c>
      <c r="B1124" s="2" t="str">
        <f>IFERROR(__xludf.DUMMYFUNCTION("""COMPUTED_VALUE"""),"VD036")</f>
        <v>VD036</v>
      </c>
      <c r="C1124" s="2">
        <f>IFERROR(__xludf.DUMMYFUNCTION("""COMPUTED_VALUE"""),16.0)</f>
        <v>16</v>
      </c>
      <c r="D1124" s="2">
        <f>IFERROR(__xludf.DUMMYFUNCTION("""COMPUTED_VALUE"""),4283.15)</f>
        <v>4283.15</v>
      </c>
    </row>
    <row r="1125">
      <c r="A1125" s="2" t="str">
        <f>IFERROR(__xludf.DUMMYFUNCTION("""COMPUTED_VALUE"""),"PR029")</f>
        <v>PR029</v>
      </c>
      <c r="B1125" s="2" t="str">
        <f>IFERROR(__xludf.DUMMYFUNCTION("""COMPUTED_VALUE"""),"VD017")</f>
        <v>VD017</v>
      </c>
      <c r="C1125" s="2">
        <f>IFERROR(__xludf.DUMMYFUNCTION("""COMPUTED_VALUE"""),8.0)</f>
        <v>8</v>
      </c>
      <c r="D1125" s="2">
        <f>IFERROR(__xludf.DUMMYFUNCTION("""COMPUTED_VALUE"""),2182.8)</f>
        <v>2182.8</v>
      </c>
    </row>
    <row r="1126">
      <c r="A1126" s="2" t="str">
        <f>IFERROR(__xludf.DUMMYFUNCTION("""COMPUTED_VALUE"""),"PR039")</f>
        <v>PR039</v>
      </c>
      <c r="B1126" s="2" t="str">
        <f>IFERROR(__xludf.DUMMYFUNCTION("""COMPUTED_VALUE"""),"VD037")</f>
        <v>VD037</v>
      </c>
      <c r="C1126" s="2">
        <f>IFERROR(__xludf.DUMMYFUNCTION("""COMPUTED_VALUE"""),16.0)</f>
        <v>16</v>
      </c>
      <c r="D1126" s="2">
        <f>IFERROR(__xludf.DUMMYFUNCTION("""COMPUTED_VALUE"""),2429.44)</f>
        <v>2429.44</v>
      </c>
    </row>
    <row r="1127">
      <c r="A1127" s="2" t="str">
        <f>IFERROR(__xludf.DUMMYFUNCTION("""COMPUTED_VALUE"""),"PR002")</f>
        <v>PR002</v>
      </c>
      <c r="B1127" s="2" t="str">
        <f>IFERROR(__xludf.DUMMYFUNCTION("""COMPUTED_VALUE"""),"VD015")</f>
        <v>VD015</v>
      </c>
      <c r="C1127" s="2">
        <f>IFERROR(__xludf.DUMMYFUNCTION("""COMPUTED_VALUE"""),1.0)</f>
        <v>1</v>
      </c>
      <c r="D1127" s="2">
        <f>IFERROR(__xludf.DUMMYFUNCTION("""COMPUTED_VALUE"""),72.0)</f>
        <v>72</v>
      </c>
    </row>
    <row r="1128">
      <c r="A1128" s="2" t="str">
        <f>IFERROR(__xludf.DUMMYFUNCTION("""COMPUTED_VALUE"""),"PR007")</f>
        <v>PR007</v>
      </c>
      <c r="B1128" s="2" t="str">
        <f>IFERROR(__xludf.DUMMYFUNCTION("""COMPUTED_VALUE"""),"VD035")</f>
        <v>VD035</v>
      </c>
      <c r="C1128" s="2">
        <f>IFERROR(__xludf.DUMMYFUNCTION("""COMPUTED_VALUE"""),2.0)</f>
        <v>2</v>
      </c>
      <c r="D1128" s="2">
        <f>IFERROR(__xludf.DUMMYFUNCTION("""COMPUTED_VALUE"""),185.54)</f>
        <v>185.54</v>
      </c>
    </row>
    <row r="1129">
      <c r="A1129" s="2" t="str">
        <f>IFERROR(__xludf.DUMMYFUNCTION("""COMPUTED_VALUE"""),"PR012")</f>
        <v>PR012</v>
      </c>
      <c r="B1129" s="2" t="str">
        <f>IFERROR(__xludf.DUMMYFUNCTION("""COMPUTED_VALUE"""),"VD027")</f>
        <v>VD027</v>
      </c>
      <c r="C1129" s="2">
        <f>IFERROR(__xludf.DUMMYFUNCTION("""COMPUTED_VALUE"""),6.0)</f>
        <v>6</v>
      </c>
      <c r="D1129" s="2">
        <f>IFERROR(__xludf.DUMMYFUNCTION("""COMPUTED_VALUE"""),296.33)</f>
        <v>296.33</v>
      </c>
    </row>
    <row r="1130">
      <c r="A1130" s="2" t="str">
        <f>IFERROR(__xludf.DUMMYFUNCTION("""COMPUTED_VALUE"""),"PR034")</f>
        <v>PR034</v>
      </c>
      <c r="B1130" s="2" t="str">
        <f>IFERROR(__xludf.DUMMYFUNCTION("""COMPUTED_VALUE"""),"VD017")</f>
        <v>VD017</v>
      </c>
      <c r="C1130" s="2">
        <f>IFERROR(__xludf.DUMMYFUNCTION("""COMPUTED_VALUE"""),3.0)</f>
        <v>3</v>
      </c>
      <c r="D1130" s="2">
        <f>IFERROR(__xludf.DUMMYFUNCTION("""COMPUTED_VALUE"""),275.09)</f>
        <v>275.09</v>
      </c>
    </row>
    <row r="1131">
      <c r="A1131" s="2" t="str">
        <f>IFERROR(__xludf.DUMMYFUNCTION("""COMPUTED_VALUE"""),"PR039")</f>
        <v>PR039</v>
      </c>
      <c r="B1131" s="2" t="str">
        <f>IFERROR(__xludf.DUMMYFUNCTION("""COMPUTED_VALUE"""),"VD020")</f>
        <v>VD020</v>
      </c>
      <c r="C1131" s="2">
        <f>IFERROR(__xludf.DUMMYFUNCTION("""COMPUTED_VALUE"""),14.0)</f>
        <v>14</v>
      </c>
      <c r="D1131" s="2">
        <f>IFERROR(__xludf.DUMMYFUNCTION("""COMPUTED_VALUE"""),2125.76)</f>
        <v>2125.76</v>
      </c>
    </row>
    <row r="1132">
      <c r="A1132" s="2" t="str">
        <f>IFERROR(__xludf.DUMMYFUNCTION("""COMPUTED_VALUE"""),"PR015")</f>
        <v>PR015</v>
      </c>
      <c r="B1132" s="2" t="str">
        <f>IFERROR(__xludf.DUMMYFUNCTION("""COMPUTED_VALUE"""),"VD048")</f>
        <v>VD048</v>
      </c>
      <c r="C1132" s="2">
        <f>IFERROR(__xludf.DUMMYFUNCTION("""COMPUTED_VALUE"""),6.0)</f>
        <v>6</v>
      </c>
      <c r="D1132" s="2">
        <f>IFERROR(__xludf.DUMMYFUNCTION("""COMPUTED_VALUE"""),267.75)</f>
        <v>267.75</v>
      </c>
    </row>
    <row r="1133">
      <c r="A1133" s="2" t="str">
        <f>IFERROR(__xludf.DUMMYFUNCTION("""COMPUTED_VALUE"""),"PR029")</f>
        <v>PR029</v>
      </c>
      <c r="B1133" s="2" t="str">
        <f>IFERROR(__xludf.DUMMYFUNCTION("""COMPUTED_VALUE"""),"VD043")</f>
        <v>VD043</v>
      </c>
      <c r="C1133" s="2">
        <f>IFERROR(__xludf.DUMMYFUNCTION("""COMPUTED_VALUE"""),5.0)</f>
        <v>5</v>
      </c>
      <c r="D1133" s="2">
        <f>IFERROR(__xludf.DUMMYFUNCTION("""COMPUTED_VALUE"""),1300.5)</f>
        <v>1300.5</v>
      </c>
    </row>
    <row r="1134">
      <c r="A1134" s="2" t="str">
        <f>IFERROR(__xludf.DUMMYFUNCTION("""COMPUTED_VALUE"""),"PR016")</f>
        <v>PR016</v>
      </c>
      <c r="B1134" s="2" t="str">
        <f>IFERROR(__xludf.DUMMYFUNCTION("""COMPUTED_VALUE"""),"VD039")</f>
        <v>VD039</v>
      </c>
      <c r="C1134" s="2">
        <f>IFERROR(__xludf.DUMMYFUNCTION("""COMPUTED_VALUE"""),4.0)</f>
        <v>4</v>
      </c>
      <c r="D1134" s="2">
        <f>IFERROR(__xludf.DUMMYFUNCTION("""COMPUTED_VALUE"""),111.89)</f>
        <v>111.89</v>
      </c>
    </row>
    <row r="1135">
      <c r="A1135" s="2" t="str">
        <f>IFERROR(__xludf.DUMMYFUNCTION("""COMPUTED_VALUE"""),"PR012")</f>
        <v>PR012</v>
      </c>
      <c r="B1135" s="2" t="str">
        <f>IFERROR(__xludf.DUMMYFUNCTION("""COMPUTED_VALUE"""),"VD037")</f>
        <v>VD037</v>
      </c>
      <c r="C1135" s="2">
        <f>IFERROR(__xludf.DUMMYFUNCTION("""COMPUTED_VALUE"""),2.0)</f>
        <v>2</v>
      </c>
      <c r="D1135" s="2">
        <f>IFERROR(__xludf.DUMMYFUNCTION("""COMPUTED_VALUE"""),99.76)</f>
        <v>99.76</v>
      </c>
    </row>
    <row r="1136">
      <c r="A1136" s="2" t="str">
        <f>IFERROR(__xludf.DUMMYFUNCTION("""COMPUTED_VALUE"""),"PR020")</f>
        <v>PR020</v>
      </c>
      <c r="B1136" s="2" t="str">
        <f>IFERROR(__xludf.DUMMYFUNCTION("""COMPUTED_VALUE"""),"VD014")</f>
        <v>VD014</v>
      </c>
      <c r="C1136" s="2">
        <f>IFERROR(__xludf.DUMMYFUNCTION("""COMPUTED_VALUE"""),2.0)</f>
        <v>2</v>
      </c>
      <c r="D1136" s="2">
        <f>IFERROR(__xludf.DUMMYFUNCTION("""COMPUTED_VALUE"""),659.78)</f>
        <v>659.78</v>
      </c>
    </row>
    <row r="1137">
      <c r="A1137" s="2" t="str">
        <f>IFERROR(__xludf.DUMMYFUNCTION("""COMPUTED_VALUE"""),"PR043")</f>
        <v>PR043</v>
      </c>
      <c r="B1137" s="2" t="str">
        <f>IFERROR(__xludf.DUMMYFUNCTION("""COMPUTED_VALUE"""),"VD039")</f>
        <v>VD039</v>
      </c>
      <c r="C1137" s="2">
        <f>IFERROR(__xludf.DUMMYFUNCTION("""COMPUTED_VALUE"""),8.0)</f>
        <v>8</v>
      </c>
      <c r="D1137" s="2">
        <f>IFERROR(__xludf.DUMMYFUNCTION("""COMPUTED_VALUE"""),585.8)</f>
        <v>585.8</v>
      </c>
    </row>
    <row r="1138">
      <c r="A1138" s="2" t="str">
        <f>IFERROR(__xludf.DUMMYFUNCTION("""COMPUTED_VALUE"""),"PR059")</f>
        <v>PR059</v>
      </c>
      <c r="B1138" s="2" t="str">
        <f>IFERROR(__xludf.DUMMYFUNCTION("""COMPUTED_VALUE"""),"VD039")</f>
        <v>VD039</v>
      </c>
      <c r="C1138" s="2">
        <f>IFERROR(__xludf.DUMMYFUNCTION("""COMPUTED_VALUE"""),14.0)</f>
        <v>14</v>
      </c>
      <c r="D1138" s="2">
        <f>IFERROR(__xludf.DUMMYFUNCTION("""COMPUTED_VALUE"""),2620.8)</f>
        <v>2620.8</v>
      </c>
    </row>
    <row r="1139">
      <c r="A1139" s="2" t="str">
        <f>IFERROR(__xludf.DUMMYFUNCTION("""COMPUTED_VALUE"""),"PR053")</f>
        <v>PR053</v>
      </c>
      <c r="B1139" s="2" t="str">
        <f>IFERROR(__xludf.DUMMYFUNCTION("""COMPUTED_VALUE"""),"VD035")</f>
        <v>VD035</v>
      </c>
      <c r="C1139" s="2">
        <f>IFERROR(__xludf.DUMMYFUNCTION("""COMPUTED_VALUE"""),1.0)</f>
        <v>1</v>
      </c>
      <c r="D1139" s="2">
        <f>IFERROR(__xludf.DUMMYFUNCTION("""COMPUTED_VALUE"""),51.4)</f>
        <v>51.4</v>
      </c>
    </row>
    <row r="1140">
      <c r="A1140" s="2" t="str">
        <f>IFERROR(__xludf.DUMMYFUNCTION("""COMPUTED_VALUE"""),"PR016")</f>
        <v>PR016</v>
      </c>
      <c r="B1140" s="2" t="str">
        <f>IFERROR(__xludf.DUMMYFUNCTION("""COMPUTED_VALUE"""),"VD041")</f>
        <v>VD041</v>
      </c>
      <c r="C1140" s="2">
        <f>IFERROR(__xludf.DUMMYFUNCTION("""COMPUTED_VALUE"""),10.0)</f>
        <v>10</v>
      </c>
      <c r="D1140" s="2">
        <f>IFERROR(__xludf.DUMMYFUNCTION("""COMPUTED_VALUE"""),271.95)</f>
        <v>271.95</v>
      </c>
    </row>
    <row r="1141">
      <c r="A1141" s="2" t="str">
        <f>IFERROR(__xludf.DUMMYFUNCTION("""COMPUTED_VALUE"""),"PR038")</f>
        <v>PR038</v>
      </c>
      <c r="B1141" s="2" t="str">
        <f>IFERROR(__xludf.DUMMYFUNCTION("""COMPUTED_VALUE"""),"VD031")</f>
        <v>VD031</v>
      </c>
      <c r="C1141" s="2">
        <f>IFERROR(__xludf.DUMMYFUNCTION("""COMPUTED_VALUE"""),8.0)</f>
        <v>8</v>
      </c>
      <c r="D1141" s="2">
        <f>IFERROR(__xludf.DUMMYFUNCTION("""COMPUTED_VALUE"""),1177.5)</f>
        <v>1177.5</v>
      </c>
    </row>
    <row r="1142">
      <c r="A1142" s="2" t="str">
        <f>IFERROR(__xludf.DUMMYFUNCTION("""COMPUTED_VALUE"""),"PR059")</f>
        <v>PR059</v>
      </c>
      <c r="B1142" s="2" t="str">
        <f>IFERROR(__xludf.DUMMYFUNCTION("""COMPUTED_VALUE"""),"VD045")</f>
        <v>VD045</v>
      </c>
      <c r="C1142" s="2">
        <f>IFERROR(__xludf.DUMMYFUNCTION("""COMPUTED_VALUE"""),2.0)</f>
        <v>2</v>
      </c>
      <c r="D1142" s="2">
        <f>IFERROR(__xludf.DUMMYFUNCTION("""COMPUTED_VALUE"""),378.0)</f>
        <v>378</v>
      </c>
    </row>
    <row r="1143">
      <c r="A1143" s="2" t="str">
        <f>IFERROR(__xludf.DUMMYFUNCTION("""COMPUTED_VALUE"""),"PR047")</f>
        <v>PR047</v>
      </c>
      <c r="B1143" s="2" t="str">
        <f>IFERROR(__xludf.DUMMYFUNCTION("""COMPUTED_VALUE"""),"VD018")</f>
        <v>VD018</v>
      </c>
      <c r="C1143" s="2">
        <f>IFERROR(__xludf.DUMMYFUNCTION("""COMPUTED_VALUE"""),16.0)</f>
        <v>16</v>
      </c>
      <c r="D1143" s="2">
        <f>IFERROR(__xludf.DUMMYFUNCTION("""COMPUTED_VALUE"""),4731.17)</f>
        <v>4731.17</v>
      </c>
    </row>
    <row r="1144">
      <c r="A1144" s="2" t="str">
        <f>IFERROR(__xludf.DUMMYFUNCTION("""COMPUTED_VALUE"""),"PR011")</f>
        <v>PR011</v>
      </c>
      <c r="B1144" s="2" t="str">
        <f>IFERROR(__xludf.DUMMYFUNCTION("""COMPUTED_VALUE"""),"VD032")</f>
        <v>VD032</v>
      </c>
      <c r="C1144" s="2">
        <f>IFERROR(__xludf.DUMMYFUNCTION("""COMPUTED_VALUE"""),2.0)</f>
        <v>2</v>
      </c>
      <c r="D1144" s="2">
        <f>IFERROR(__xludf.DUMMYFUNCTION("""COMPUTED_VALUE"""),95.68)</f>
        <v>95.68</v>
      </c>
    </row>
    <row r="1145">
      <c r="A1145" s="2" t="str">
        <f>IFERROR(__xludf.DUMMYFUNCTION("""COMPUTED_VALUE"""),"PR054")</f>
        <v>PR054</v>
      </c>
      <c r="B1145" s="2" t="str">
        <f>IFERROR(__xludf.DUMMYFUNCTION("""COMPUTED_VALUE"""),"VD046")</f>
        <v>VD046</v>
      </c>
      <c r="C1145" s="2">
        <f>IFERROR(__xludf.DUMMYFUNCTION("""COMPUTED_VALUE"""),8.0)</f>
        <v>8</v>
      </c>
      <c r="D1145" s="2">
        <f>IFERROR(__xludf.DUMMYFUNCTION("""COMPUTED_VALUE"""),431.14)</f>
        <v>431.14</v>
      </c>
    </row>
    <row r="1146">
      <c r="A1146" s="2" t="str">
        <f>IFERROR(__xludf.DUMMYFUNCTION("""COMPUTED_VALUE"""),"PR058")</f>
        <v>PR058</v>
      </c>
      <c r="B1146" s="2" t="str">
        <f>IFERROR(__xludf.DUMMYFUNCTION("""COMPUTED_VALUE"""),"VD033")</f>
        <v>VD033</v>
      </c>
      <c r="C1146" s="2">
        <f>IFERROR(__xludf.DUMMYFUNCTION("""COMPUTED_VALUE"""),10.0)</f>
        <v>10</v>
      </c>
      <c r="D1146" s="2">
        <f>IFERROR(__xludf.DUMMYFUNCTION("""COMPUTED_VALUE"""),1980.0)</f>
        <v>1980</v>
      </c>
    </row>
    <row r="1147">
      <c r="A1147" s="2" t="str">
        <f>IFERROR(__xludf.DUMMYFUNCTION("""COMPUTED_VALUE"""),"PR002")</f>
        <v>PR002</v>
      </c>
      <c r="B1147" s="2" t="str">
        <f>IFERROR(__xludf.DUMMYFUNCTION("""COMPUTED_VALUE"""),"VD043")</f>
        <v>VD043</v>
      </c>
      <c r="C1147" s="2">
        <f>IFERROR(__xludf.DUMMYFUNCTION("""COMPUTED_VALUE"""),16.0)</f>
        <v>16</v>
      </c>
      <c r="D1147" s="2">
        <f>IFERROR(__xludf.DUMMYFUNCTION("""COMPUTED_VALUE"""),1118.4)</f>
        <v>1118.4</v>
      </c>
    </row>
    <row r="1148">
      <c r="A1148" s="2" t="str">
        <f>IFERROR(__xludf.DUMMYFUNCTION("""COMPUTED_VALUE"""),"PR052")</f>
        <v>PR052</v>
      </c>
      <c r="B1148" s="2" t="str">
        <f>IFERROR(__xludf.DUMMYFUNCTION("""COMPUTED_VALUE"""),"VD025")</f>
        <v>VD025</v>
      </c>
      <c r="C1148" s="2">
        <f>IFERROR(__xludf.DUMMYFUNCTION("""COMPUTED_VALUE"""),8.0)</f>
        <v>8</v>
      </c>
      <c r="D1148" s="2">
        <f>IFERROR(__xludf.DUMMYFUNCTION("""COMPUTED_VALUE"""),439.12)</f>
        <v>439.12</v>
      </c>
    </row>
    <row r="1149">
      <c r="A1149" s="2" t="str">
        <f>IFERROR(__xludf.DUMMYFUNCTION("""COMPUTED_VALUE"""),"PR002")</f>
        <v>PR002</v>
      </c>
      <c r="B1149" s="2" t="str">
        <f>IFERROR(__xludf.DUMMYFUNCTION("""COMPUTED_VALUE"""),"VD029")</f>
        <v>VD029</v>
      </c>
      <c r="C1149" s="2">
        <f>IFERROR(__xludf.DUMMYFUNCTION("""COMPUTED_VALUE"""),8.0)</f>
        <v>8</v>
      </c>
      <c r="D1149" s="2">
        <f>IFERROR(__xludf.DUMMYFUNCTION("""COMPUTED_VALUE"""),559.2)</f>
        <v>559.2</v>
      </c>
    </row>
    <row r="1150">
      <c r="A1150" s="2" t="str">
        <f>IFERROR(__xludf.DUMMYFUNCTION("""COMPUTED_VALUE"""),"PR050")</f>
        <v>PR050</v>
      </c>
      <c r="B1150" s="2" t="str">
        <f>IFERROR(__xludf.DUMMYFUNCTION("""COMPUTED_VALUE"""),"VD026")</f>
        <v>VD026</v>
      </c>
      <c r="C1150" s="2">
        <f>IFERROR(__xludf.DUMMYFUNCTION("""COMPUTED_VALUE"""),18.0)</f>
        <v>18</v>
      </c>
      <c r="D1150" s="2">
        <f>IFERROR(__xludf.DUMMYFUNCTION("""COMPUTED_VALUE"""),604.04)</f>
        <v>604.04</v>
      </c>
    </row>
    <row r="1151">
      <c r="A1151" s="2" t="str">
        <f>IFERROR(__xludf.DUMMYFUNCTION("""COMPUTED_VALUE"""),"PR040")</f>
        <v>PR040</v>
      </c>
      <c r="B1151" s="2" t="str">
        <f>IFERROR(__xludf.DUMMYFUNCTION("""COMPUTED_VALUE"""),"VD031")</f>
        <v>VD031</v>
      </c>
      <c r="C1151" s="2">
        <f>IFERROR(__xludf.DUMMYFUNCTION("""COMPUTED_VALUE"""),4.0)</f>
        <v>4</v>
      </c>
      <c r="D1151" s="2">
        <f>IFERROR(__xludf.DUMMYFUNCTION("""COMPUTED_VALUE"""),282.8)</f>
        <v>282.8</v>
      </c>
    </row>
    <row r="1152">
      <c r="A1152" s="2" t="str">
        <f>IFERROR(__xludf.DUMMYFUNCTION("""COMPUTED_VALUE"""),"PR021")</f>
        <v>PR021</v>
      </c>
      <c r="B1152" s="2" t="str">
        <f>IFERROR(__xludf.DUMMYFUNCTION("""COMPUTED_VALUE"""),"VD049")</f>
        <v>VD049</v>
      </c>
      <c r="C1152" s="2">
        <f>IFERROR(__xludf.DUMMYFUNCTION("""COMPUTED_VALUE"""),2.0)</f>
        <v>2</v>
      </c>
      <c r="D1152" s="2">
        <f>IFERROR(__xludf.DUMMYFUNCTION("""COMPUTED_VALUE"""),623.97)</f>
        <v>623.97</v>
      </c>
    </row>
    <row r="1153">
      <c r="A1153" s="2" t="str">
        <f>IFERROR(__xludf.DUMMYFUNCTION("""COMPUTED_VALUE"""),"PR028")</f>
        <v>PR028</v>
      </c>
      <c r="B1153" s="2" t="str">
        <f>IFERROR(__xludf.DUMMYFUNCTION("""COMPUTED_VALUE"""),"VD011")</f>
        <v>VD011</v>
      </c>
      <c r="C1153" s="2">
        <f>IFERROR(__xludf.DUMMYFUNCTION("""COMPUTED_VALUE"""),2.0)</f>
        <v>2</v>
      </c>
      <c r="D1153" s="2">
        <f>IFERROR(__xludf.DUMMYFUNCTION("""COMPUTED_VALUE"""),504.8)</f>
        <v>504.8</v>
      </c>
    </row>
    <row r="1154">
      <c r="A1154" s="2" t="str">
        <f>IFERROR(__xludf.DUMMYFUNCTION("""COMPUTED_VALUE"""),"PR020")</f>
        <v>PR020</v>
      </c>
      <c r="B1154" s="2" t="str">
        <f>IFERROR(__xludf.DUMMYFUNCTION("""COMPUTED_VALUE"""),"VD019")</f>
        <v>VD019</v>
      </c>
      <c r="C1154" s="2">
        <f>IFERROR(__xludf.DUMMYFUNCTION("""COMPUTED_VALUE"""),6.0)</f>
        <v>6</v>
      </c>
      <c r="D1154" s="2">
        <f>IFERROR(__xludf.DUMMYFUNCTION("""COMPUTED_VALUE"""),1907.36)</f>
        <v>1907.36</v>
      </c>
    </row>
    <row r="1155">
      <c r="A1155" s="2" t="str">
        <f>IFERROR(__xludf.DUMMYFUNCTION("""COMPUTED_VALUE"""),"PR052")</f>
        <v>PR052</v>
      </c>
      <c r="B1155" s="2" t="str">
        <f>IFERROR(__xludf.DUMMYFUNCTION("""COMPUTED_VALUE"""),"VD030")</f>
        <v>VD030</v>
      </c>
      <c r="C1155" s="2">
        <f>IFERROR(__xludf.DUMMYFUNCTION("""COMPUTED_VALUE"""),20.0)</f>
        <v>20</v>
      </c>
      <c r="D1155" s="2">
        <f>IFERROR(__xludf.DUMMYFUNCTION("""COMPUTED_VALUE"""),1097.8)</f>
        <v>1097.8</v>
      </c>
    </row>
    <row r="1156">
      <c r="A1156" s="2" t="str">
        <f>IFERROR(__xludf.DUMMYFUNCTION("""COMPUTED_VALUE"""),"PR033")</f>
        <v>PR033</v>
      </c>
      <c r="B1156" s="2" t="str">
        <f>IFERROR(__xludf.DUMMYFUNCTION("""COMPUTED_VALUE"""),"VD017")</f>
        <v>VD017</v>
      </c>
      <c r="C1156" s="2">
        <f>IFERROR(__xludf.DUMMYFUNCTION("""COMPUTED_VALUE"""),9.0)</f>
        <v>9</v>
      </c>
      <c r="D1156" s="2">
        <f>IFERROR(__xludf.DUMMYFUNCTION("""COMPUTED_VALUE"""),2479.45)</f>
        <v>2479.45</v>
      </c>
    </row>
    <row r="1157">
      <c r="A1157" s="2" t="str">
        <f>IFERROR(__xludf.DUMMYFUNCTION("""COMPUTED_VALUE"""),"PR016")</f>
        <v>PR016</v>
      </c>
      <c r="B1157" s="2" t="str">
        <f>IFERROR(__xludf.DUMMYFUNCTION("""COMPUTED_VALUE"""),"VD039")</f>
        <v>VD039</v>
      </c>
      <c r="C1157" s="2">
        <f>IFERROR(__xludf.DUMMYFUNCTION("""COMPUTED_VALUE"""),4.0)</f>
        <v>4</v>
      </c>
      <c r="D1157" s="2">
        <f>IFERROR(__xludf.DUMMYFUNCTION("""COMPUTED_VALUE"""),103.6)</f>
        <v>103.6</v>
      </c>
    </row>
    <row r="1158">
      <c r="A1158" s="2" t="str">
        <f>IFERROR(__xludf.DUMMYFUNCTION("""COMPUTED_VALUE"""),"PR034")</f>
        <v>PR034</v>
      </c>
      <c r="B1158" s="2" t="str">
        <f>IFERROR(__xludf.DUMMYFUNCTION("""COMPUTED_VALUE"""),"VD028")</f>
        <v>VD028</v>
      </c>
      <c r="C1158" s="2">
        <f>IFERROR(__xludf.DUMMYFUNCTION("""COMPUTED_VALUE"""),20.0)</f>
        <v>20</v>
      </c>
      <c r="D1158" s="2">
        <f>IFERROR(__xludf.DUMMYFUNCTION("""COMPUTED_VALUE"""),1905.88)</f>
        <v>1905.88</v>
      </c>
    </row>
    <row r="1159">
      <c r="A1159" s="2" t="str">
        <f>IFERROR(__xludf.DUMMYFUNCTION("""COMPUTED_VALUE"""),"PR014")</f>
        <v>PR014</v>
      </c>
      <c r="B1159" s="2" t="str">
        <f>IFERROR(__xludf.DUMMYFUNCTION("""COMPUTED_VALUE"""),"VD047")</f>
        <v>VD047</v>
      </c>
      <c r="C1159" s="2">
        <f>IFERROR(__xludf.DUMMYFUNCTION("""COMPUTED_VALUE"""),4.0)</f>
        <v>4</v>
      </c>
      <c r="D1159" s="2">
        <f>IFERROR(__xludf.DUMMYFUNCTION("""COMPUTED_VALUE"""),165.98)</f>
        <v>165.98</v>
      </c>
    </row>
    <row r="1160">
      <c r="A1160" s="2" t="str">
        <f>IFERROR(__xludf.DUMMYFUNCTION("""COMPUTED_VALUE"""),"PR048")</f>
        <v>PR048</v>
      </c>
      <c r="B1160" s="2" t="str">
        <f>IFERROR(__xludf.DUMMYFUNCTION("""COMPUTED_VALUE"""),"VD034")</f>
        <v>VD034</v>
      </c>
      <c r="C1160" s="2">
        <f>IFERROR(__xludf.DUMMYFUNCTION("""COMPUTED_VALUE"""),4.0)</f>
        <v>4</v>
      </c>
      <c r="D1160" s="2">
        <f>IFERROR(__xludf.DUMMYFUNCTION("""COMPUTED_VALUE"""),1171.2)</f>
        <v>1171.2</v>
      </c>
    </row>
    <row r="1161">
      <c r="A1161" s="2" t="str">
        <f>IFERROR(__xludf.DUMMYFUNCTION("""COMPUTED_VALUE"""),"PR040")</f>
        <v>PR040</v>
      </c>
      <c r="B1161" s="2" t="str">
        <f>IFERROR(__xludf.DUMMYFUNCTION("""COMPUTED_VALUE"""),"VD021")</f>
        <v>VD021</v>
      </c>
      <c r="C1161" s="2">
        <f>IFERROR(__xludf.DUMMYFUNCTION("""COMPUTED_VALUE"""),4.0)</f>
        <v>4</v>
      </c>
      <c r="D1161" s="2">
        <f>IFERROR(__xludf.DUMMYFUNCTION("""COMPUTED_VALUE"""),282.8)</f>
        <v>282.8</v>
      </c>
    </row>
    <row r="1162">
      <c r="A1162" s="2" t="str">
        <f>IFERROR(__xludf.DUMMYFUNCTION("""COMPUTED_VALUE"""),"PR055")</f>
        <v>PR055</v>
      </c>
      <c r="B1162" s="2" t="str">
        <f>IFERROR(__xludf.DUMMYFUNCTION("""COMPUTED_VALUE"""),"VD041")</f>
        <v>VD041</v>
      </c>
      <c r="C1162" s="2">
        <f>IFERROR(__xludf.DUMMYFUNCTION("""COMPUTED_VALUE"""),8.0)</f>
        <v>8</v>
      </c>
      <c r="D1162" s="2">
        <f>IFERROR(__xludf.DUMMYFUNCTION("""COMPUTED_VALUE"""),740.78)</f>
        <v>740.78</v>
      </c>
    </row>
    <row r="1163">
      <c r="A1163" s="2" t="str">
        <f>IFERROR(__xludf.DUMMYFUNCTION("""COMPUTED_VALUE"""),"PR035")</f>
        <v>PR035</v>
      </c>
      <c r="B1163" s="2" t="str">
        <f>IFERROR(__xludf.DUMMYFUNCTION("""COMPUTED_VALUE"""),"VD039")</f>
        <v>VD039</v>
      </c>
      <c r="C1163" s="2">
        <f>IFERROR(__xludf.DUMMYFUNCTION("""COMPUTED_VALUE"""),6.0)</f>
        <v>6</v>
      </c>
      <c r="D1163" s="2">
        <f>IFERROR(__xludf.DUMMYFUNCTION("""COMPUTED_VALUE"""),581.3)</f>
        <v>581.3</v>
      </c>
    </row>
    <row r="1164">
      <c r="A1164" s="2" t="str">
        <f>IFERROR(__xludf.DUMMYFUNCTION("""COMPUTED_VALUE"""),"PR007")</f>
        <v>PR007</v>
      </c>
      <c r="B1164" s="2" t="str">
        <f>IFERROR(__xludf.DUMMYFUNCTION("""COMPUTED_VALUE"""),"VD021")</f>
        <v>VD021</v>
      </c>
      <c r="C1164" s="2">
        <f>IFERROR(__xludf.DUMMYFUNCTION("""COMPUTED_VALUE"""),8.0)</f>
        <v>8</v>
      </c>
      <c r="D1164" s="2">
        <f>IFERROR(__xludf.DUMMYFUNCTION("""COMPUTED_VALUE"""),755.92)</f>
        <v>755.92</v>
      </c>
    </row>
    <row r="1165">
      <c r="A1165" s="2" t="str">
        <f>IFERROR(__xludf.DUMMYFUNCTION("""COMPUTED_VALUE"""),"PR020")</f>
        <v>PR020</v>
      </c>
      <c r="B1165" s="2" t="str">
        <f>IFERROR(__xludf.DUMMYFUNCTION("""COMPUTED_VALUE"""),"VD024")</f>
        <v>VD024</v>
      </c>
      <c r="C1165" s="2">
        <f>IFERROR(__xludf.DUMMYFUNCTION("""COMPUTED_VALUE"""),2.0)</f>
        <v>2</v>
      </c>
      <c r="D1165" s="2">
        <f>IFERROR(__xludf.DUMMYFUNCTION("""COMPUTED_VALUE"""),599.8)</f>
        <v>599.8</v>
      </c>
    </row>
    <row r="1166">
      <c r="A1166" s="2" t="str">
        <f>IFERROR(__xludf.DUMMYFUNCTION("""COMPUTED_VALUE"""),"PR052")</f>
        <v>PR052</v>
      </c>
      <c r="B1166" s="2" t="str">
        <f>IFERROR(__xludf.DUMMYFUNCTION("""COMPUTED_VALUE"""),"VD040")</f>
        <v>VD040</v>
      </c>
      <c r="C1166" s="2">
        <f>IFERROR(__xludf.DUMMYFUNCTION("""COMPUTED_VALUE"""),10.0)</f>
        <v>10</v>
      </c>
      <c r="D1166" s="2">
        <f>IFERROR(__xludf.DUMMYFUNCTION("""COMPUTED_VALUE"""),508.98)</f>
        <v>508.98</v>
      </c>
    </row>
    <row r="1167">
      <c r="A1167" s="2" t="str">
        <f>IFERROR(__xludf.DUMMYFUNCTION("""COMPUTED_VALUE"""),"PR003")</f>
        <v>PR003</v>
      </c>
      <c r="B1167" s="2" t="str">
        <f>IFERROR(__xludf.DUMMYFUNCTION("""COMPUTED_VALUE"""),"VD017")</f>
        <v>VD017</v>
      </c>
      <c r="C1167" s="2">
        <f>IFERROR(__xludf.DUMMYFUNCTION("""COMPUTED_VALUE"""),20.0)</f>
        <v>20</v>
      </c>
      <c r="D1167" s="2">
        <f>IFERROR(__xludf.DUMMYFUNCTION("""COMPUTED_VALUE"""),1559.8)</f>
        <v>1559.8</v>
      </c>
    </row>
    <row r="1168">
      <c r="A1168" s="2" t="str">
        <f>IFERROR(__xludf.DUMMYFUNCTION("""COMPUTED_VALUE"""),"PR018")</f>
        <v>PR018</v>
      </c>
      <c r="B1168" s="2" t="str">
        <f>IFERROR(__xludf.DUMMYFUNCTION("""COMPUTED_VALUE"""),"VD011")</f>
        <v>VD011</v>
      </c>
      <c r="C1168" s="2">
        <f>IFERROR(__xludf.DUMMYFUNCTION("""COMPUTED_VALUE"""),16.0)</f>
        <v>16</v>
      </c>
      <c r="D1168" s="2">
        <f>IFERROR(__xludf.DUMMYFUNCTION("""COMPUTED_VALUE"""),568.51)</f>
        <v>568.51</v>
      </c>
    </row>
    <row r="1169">
      <c r="A1169" s="2" t="str">
        <f>IFERROR(__xludf.DUMMYFUNCTION("""COMPUTED_VALUE"""),"PR012")</f>
        <v>PR012</v>
      </c>
      <c r="B1169" s="2" t="str">
        <f>IFERROR(__xludf.DUMMYFUNCTION("""COMPUTED_VALUE"""),"VD035")</f>
        <v>VD035</v>
      </c>
      <c r="C1169" s="2">
        <f>IFERROR(__xludf.DUMMYFUNCTION("""COMPUTED_VALUE"""),14.0)</f>
        <v>14</v>
      </c>
      <c r="D1169" s="2">
        <f>IFERROR(__xludf.DUMMYFUNCTION("""COMPUTED_VALUE"""),684.6)</f>
        <v>684.6</v>
      </c>
    </row>
    <row r="1170">
      <c r="A1170" s="2" t="str">
        <f>IFERROR(__xludf.DUMMYFUNCTION("""COMPUTED_VALUE"""),"PR019")</f>
        <v>PR019</v>
      </c>
      <c r="B1170" s="2" t="str">
        <f>IFERROR(__xludf.DUMMYFUNCTION("""COMPUTED_VALUE"""),"VD032")</f>
        <v>VD032</v>
      </c>
      <c r="C1170" s="2">
        <f>IFERROR(__xludf.DUMMYFUNCTION("""COMPUTED_VALUE"""),14.0)</f>
        <v>14</v>
      </c>
      <c r="D1170" s="2">
        <f>IFERROR(__xludf.DUMMYFUNCTION("""COMPUTED_VALUE"""),761.47)</f>
        <v>761.47</v>
      </c>
    </row>
    <row r="1171">
      <c r="A1171" s="2" t="str">
        <f>IFERROR(__xludf.DUMMYFUNCTION("""COMPUTED_VALUE"""),"PR026")</f>
        <v>PR026</v>
      </c>
      <c r="B1171" s="2" t="str">
        <f>IFERROR(__xludf.DUMMYFUNCTION("""COMPUTED_VALUE"""),"VD021")</f>
        <v>VD021</v>
      </c>
      <c r="C1171" s="2">
        <f>IFERROR(__xludf.DUMMYFUNCTION("""COMPUTED_VALUE"""),14.0)</f>
        <v>14</v>
      </c>
      <c r="D1171" s="2">
        <f>IFERROR(__xludf.DUMMYFUNCTION("""COMPUTED_VALUE"""),5339.47)</f>
        <v>5339.47</v>
      </c>
    </row>
    <row r="1172">
      <c r="A1172" s="2" t="str">
        <f>IFERROR(__xludf.DUMMYFUNCTION("""COMPUTED_VALUE"""),"PR049")</f>
        <v>PR049</v>
      </c>
      <c r="B1172" s="2" t="str">
        <f>IFERROR(__xludf.DUMMYFUNCTION("""COMPUTED_VALUE"""),"VD031")</f>
        <v>VD031</v>
      </c>
      <c r="C1172" s="2">
        <f>IFERROR(__xludf.DUMMYFUNCTION("""COMPUTED_VALUE"""),18.0)</f>
        <v>18</v>
      </c>
      <c r="D1172" s="2">
        <f>IFERROR(__xludf.DUMMYFUNCTION("""COMPUTED_VALUE"""),633.65)</f>
        <v>633.65</v>
      </c>
    </row>
    <row r="1173">
      <c r="A1173" s="2" t="str">
        <f>IFERROR(__xludf.DUMMYFUNCTION("""COMPUTED_VALUE"""),"PR012")</f>
        <v>PR012</v>
      </c>
      <c r="B1173" s="2" t="str">
        <f>IFERROR(__xludf.DUMMYFUNCTION("""COMPUTED_VALUE"""),"VD026")</f>
        <v>VD026</v>
      </c>
      <c r="C1173" s="2">
        <f>IFERROR(__xludf.DUMMYFUNCTION("""COMPUTED_VALUE"""),5.0)</f>
        <v>5</v>
      </c>
      <c r="D1173" s="2">
        <f>IFERROR(__xludf.DUMMYFUNCTION("""COMPUTED_VALUE"""),244.5)</f>
        <v>244.5</v>
      </c>
    </row>
    <row r="1174">
      <c r="A1174" s="2" t="str">
        <f>IFERROR(__xludf.DUMMYFUNCTION("""COMPUTED_VALUE"""),"PR015")</f>
        <v>PR015</v>
      </c>
      <c r="B1174" s="2" t="str">
        <f>IFERROR(__xludf.DUMMYFUNCTION("""COMPUTED_VALUE"""),"VD033")</f>
        <v>VD033</v>
      </c>
      <c r="C1174" s="2">
        <f>IFERROR(__xludf.DUMMYFUNCTION("""COMPUTED_VALUE"""),20.0)</f>
        <v>20</v>
      </c>
      <c r="D1174" s="2">
        <f>IFERROR(__xludf.DUMMYFUNCTION("""COMPUTED_VALUE"""),918.0)</f>
        <v>918</v>
      </c>
    </row>
    <row r="1175">
      <c r="A1175" s="2" t="str">
        <f>IFERROR(__xludf.DUMMYFUNCTION("""COMPUTED_VALUE"""),"PR036")</f>
        <v>PR036</v>
      </c>
      <c r="B1175" s="2" t="str">
        <f>IFERROR(__xludf.DUMMYFUNCTION("""COMPUTED_VALUE"""),"VD017")</f>
        <v>VD017</v>
      </c>
      <c r="C1175" s="2">
        <f>IFERROR(__xludf.DUMMYFUNCTION("""COMPUTED_VALUE"""),5.0)</f>
        <v>5</v>
      </c>
      <c r="D1175" s="2">
        <f>IFERROR(__xludf.DUMMYFUNCTION("""COMPUTED_VALUE"""),467.5)</f>
        <v>467.5</v>
      </c>
    </row>
    <row r="1176">
      <c r="A1176" s="2" t="str">
        <f>IFERROR(__xludf.DUMMYFUNCTION("""COMPUTED_VALUE"""),"PR013")</f>
        <v>PR013</v>
      </c>
      <c r="B1176" s="2" t="str">
        <f>IFERROR(__xludf.DUMMYFUNCTION("""COMPUTED_VALUE"""),"VD041")</f>
        <v>VD041</v>
      </c>
      <c r="C1176" s="2">
        <f>IFERROR(__xludf.DUMMYFUNCTION("""COMPUTED_VALUE"""),8.0)</f>
        <v>8</v>
      </c>
      <c r="D1176" s="2">
        <f>IFERROR(__xludf.DUMMYFUNCTION("""COMPUTED_VALUE"""),322.39)</f>
        <v>322.39</v>
      </c>
    </row>
    <row r="1177">
      <c r="A1177" s="2" t="str">
        <f>IFERROR(__xludf.DUMMYFUNCTION("""COMPUTED_VALUE"""),"PR015")</f>
        <v>PR015</v>
      </c>
      <c r="B1177" s="2" t="str">
        <f>IFERROR(__xludf.DUMMYFUNCTION("""COMPUTED_VALUE"""),"VD027")</f>
        <v>VD027</v>
      </c>
      <c r="C1177" s="2">
        <f>IFERROR(__xludf.DUMMYFUNCTION("""COMPUTED_VALUE"""),2.0)</f>
        <v>2</v>
      </c>
      <c r="D1177" s="2">
        <f>IFERROR(__xludf.DUMMYFUNCTION("""COMPUTED_VALUE"""),89.25)</f>
        <v>89.25</v>
      </c>
    </row>
    <row r="1178">
      <c r="A1178" s="2" t="str">
        <f>IFERROR(__xludf.DUMMYFUNCTION("""COMPUTED_VALUE"""),"PR024")</f>
        <v>PR024</v>
      </c>
      <c r="B1178" s="2" t="str">
        <f>IFERROR(__xludf.DUMMYFUNCTION("""COMPUTED_VALUE"""),"VD049")</f>
        <v>VD049</v>
      </c>
      <c r="C1178" s="2">
        <f>IFERROR(__xludf.DUMMYFUNCTION("""COMPUTED_VALUE"""),2.0)</f>
        <v>2</v>
      </c>
      <c r="D1178" s="2">
        <f>IFERROR(__xludf.DUMMYFUNCTION("""COMPUTED_VALUE"""),556.19)</f>
        <v>556.19</v>
      </c>
    </row>
    <row r="1179">
      <c r="A1179" s="2" t="str">
        <f>IFERROR(__xludf.DUMMYFUNCTION("""COMPUTED_VALUE"""),"PR042")</f>
        <v>PR042</v>
      </c>
      <c r="B1179" s="2" t="str">
        <f>IFERROR(__xludf.DUMMYFUNCTION("""COMPUTED_VALUE"""),"VD025")</f>
        <v>VD025</v>
      </c>
      <c r="C1179" s="2">
        <f>IFERROR(__xludf.DUMMYFUNCTION("""COMPUTED_VALUE"""),2.0)</f>
        <v>2</v>
      </c>
      <c r="D1179" s="2">
        <f>IFERROR(__xludf.DUMMYFUNCTION("""COMPUTED_VALUE"""),116.39)</f>
        <v>116.39</v>
      </c>
    </row>
    <row r="1180">
      <c r="A1180" s="2" t="str">
        <f>IFERROR(__xludf.DUMMYFUNCTION("""COMPUTED_VALUE"""),"PR047")</f>
        <v>PR047</v>
      </c>
      <c r="B1180" s="2" t="str">
        <f>IFERROR(__xludf.DUMMYFUNCTION("""COMPUTED_VALUE"""),"VD039")</f>
        <v>VD039</v>
      </c>
      <c r="C1180" s="2">
        <f>IFERROR(__xludf.DUMMYFUNCTION("""COMPUTED_VALUE"""),20.0)</f>
        <v>20</v>
      </c>
      <c r="D1180" s="2">
        <f>IFERROR(__xludf.DUMMYFUNCTION("""COMPUTED_VALUE"""),5913.96)</f>
        <v>5913.96</v>
      </c>
    </row>
    <row r="1181">
      <c r="A1181" s="2" t="str">
        <f>IFERROR(__xludf.DUMMYFUNCTION("""COMPUTED_VALUE"""),"PR010")</f>
        <v>PR010</v>
      </c>
      <c r="B1181" s="2" t="str">
        <f>IFERROR(__xludf.DUMMYFUNCTION("""COMPUTED_VALUE"""),"VD045")</f>
        <v>VD045</v>
      </c>
      <c r="C1181" s="2">
        <f>IFERROR(__xludf.DUMMYFUNCTION("""COMPUTED_VALUE"""),8.0)</f>
        <v>8</v>
      </c>
      <c r="D1181" s="2">
        <f>IFERROR(__xludf.DUMMYFUNCTION("""COMPUTED_VALUE"""),373.57)</f>
        <v>373.57</v>
      </c>
    </row>
    <row r="1182">
      <c r="A1182" s="2" t="str">
        <f>IFERROR(__xludf.DUMMYFUNCTION("""COMPUTED_VALUE"""),"PR004")</f>
        <v>PR004</v>
      </c>
      <c r="B1182" s="2" t="str">
        <f>IFERROR(__xludf.DUMMYFUNCTION("""COMPUTED_VALUE"""),"VD047")</f>
        <v>VD047</v>
      </c>
      <c r="C1182" s="2">
        <f>IFERROR(__xludf.DUMMYFUNCTION("""COMPUTED_VALUE"""),2.0)</f>
        <v>2</v>
      </c>
      <c r="D1182" s="2">
        <f>IFERROR(__xludf.DUMMYFUNCTION("""COMPUTED_VALUE"""),290.0)</f>
        <v>290</v>
      </c>
    </row>
    <row r="1183">
      <c r="A1183" s="2" t="str">
        <f>IFERROR(__xludf.DUMMYFUNCTION("""COMPUTED_VALUE"""),"PR028")</f>
        <v>PR028</v>
      </c>
      <c r="B1183" s="2" t="str">
        <f>IFERROR(__xludf.DUMMYFUNCTION("""COMPUTED_VALUE"""),"VD027")</f>
        <v>VD027</v>
      </c>
      <c r="C1183" s="2">
        <f>IFERROR(__xludf.DUMMYFUNCTION("""COMPUTED_VALUE"""),8.0)</f>
        <v>8</v>
      </c>
      <c r="D1183" s="2">
        <f>IFERROR(__xludf.DUMMYFUNCTION("""COMPUTED_VALUE"""),2159.14)</f>
        <v>2159.14</v>
      </c>
    </row>
    <row r="1184">
      <c r="A1184" s="2" t="str">
        <f>IFERROR(__xludf.DUMMYFUNCTION("""COMPUTED_VALUE"""),"PR029")</f>
        <v>PR029</v>
      </c>
      <c r="B1184" s="2" t="str">
        <f>IFERROR(__xludf.DUMMYFUNCTION("""COMPUTED_VALUE"""),"VD025")</f>
        <v>VD025</v>
      </c>
      <c r="C1184" s="2">
        <f>IFERROR(__xludf.DUMMYFUNCTION("""COMPUTED_VALUE"""),4.0)</f>
        <v>4</v>
      </c>
      <c r="D1184" s="2">
        <f>IFERROR(__xludf.DUMMYFUNCTION("""COMPUTED_VALUE"""),1050.6)</f>
        <v>1050.6</v>
      </c>
    </row>
    <row r="1185">
      <c r="A1185" s="2" t="str">
        <f>IFERROR(__xludf.DUMMYFUNCTION("""COMPUTED_VALUE"""),"PR046")</f>
        <v>PR046</v>
      </c>
      <c r="B1185" s="2" t="str">
        <f>IFERROR(__xludf.DUMMYFUNCTION("""COMPUTED_VALUE"""),"VD042")</f>
        <v>VD042</v>
      </c>
      <c r="C1185" s="2">
        <f>IFERROR(__xludf.DUMMYFUNCTION("""COMPUTED_VALUE"""),10.0)</f>
        <v>10</v>
      </c>
      <c r="D1185" s="2">
        <f>IFERROR(__xludf.DUMMYFUNCTION("""COMPUTED_VALUE"""),3014.96)</f>
        <v>3014.96</v>
      </c>
    </row>
    <row r="1186">
      <c r="A1186" s="2" t="str">
        <f>IFERROR(__xludf.DUMMYFUNCTION("""COMPUTED_VALUE"""),"PR043")</f>
        <v>PR043</v>
      </c>
      <c r="B1186" s="2" t="str">
        <f>IFERROR(__xludf.DUMMYFUNCTION("""COMPUTED_VALUE"""),"VD041")</f>
        <v>VD041</v>
      </c>
      <c r="C1186" s="2">
        <f>IFERROR(__xludf.DUMMYFUNCTION("""COMPUTED_VALUE"""),10.0)</f>
        <v>10</v>
      </c>
      <c r="D1186" s="2">
        <f>IFERROR(__xludf.DUMMYFUNCTION("""COMPUTED_VALUE"""),754.0)</f>
        <v>754</v>
      </c>
    </row>
    <row r="1187">
      <c r="A1187" s="2" t="str">
        <f>IFERROR(__xludf.DUMMYFUNCTION("""COMPUTED_VALUE"""),"PR034")</f>
        <v>PR034</v>
      </c>
      <c r="B1187" s="2" t="str">
        <f>IFERROR(__xludf.DUMMYFUNCTION("""COMPUTED_VALUE"""),"VD032")</f>
        <v>VD032</v>
      </c>
      <c r="C1187" s="2">
        <f>IFERROR(__xludf.DUMMYFUNCTION("""COMPUTED_VALUE"""),8.0)</f>
        <v>8</v>
      </c>
      <c r="D1187" s="2">
        <f>IFERROR(__xludf.DUMMYFUNCTION("""COMPUTED_VALUE"""),726.39)</f>
        <v>726.39</v>
      </c>
    </row>
    <row r="1188">
      <c r="A1188" s="2" t="str">
        <f>IFERROR(__xludf.DUMMYFUNCTION("""COMPUTED_VALUE"""),"PR041")</f>
        <v>PR041</v>
      </c>
      <c r="B1188" s="2" t="str">
        <f>IFERROR(__xludf.DUMMYFUNCTION("""COMPUTED_VALUE"""),"VD044")</f>
        <v>VD044</v>
      </c>
      <c r="C1188" s="2">
        <f>IFERROR(__xludf.DUMMYFUNCTION("""COMPUTED_VALUE"""),6.0)</f>
        <v>6</v>
      </c>
      <c r="D1188" s="2">
        <f>IFERROR(__xludf.DUMMYFUNCTION("""COMPUTED_VALUE"""),335.99)</f>
        <v>335.99</v>
      </c>
    </row>
    <row r="1189">
      <c r="A1189" s="2" t="str">
        <f>IFERROR(__xludf.DUMMYFUNCTION("""COMPUTED_VALUE"""),"PR004")</f>
        <v>PR004</v>
      </c>
      <c r="B1189" s="2" t="str">
        <f>IFERROR(__xludf.DUMMYFUNCTION("""COMPUTED_VALUE"""),"VD041")</f>
        <v>VD041</v>
      </c>
      <c r="C1189" s="2">
        <f>IFERROR(__xludf.DUMMYFUNCTION("""COMPUTED_VALUE"""),12.0)</f>
        <v>12</v>
      </c>
      <c r="D1189" s="2">
        <f>IFERROR(__xludf.DUMMYFUNCTION("""COMPUTED_VALUE"""),1879.2)</f>
        <v>1879.2</v>
      </c>
    </row>
    <row r="1190">
      <c r="A1190" s="2" t="str">
        <f>IFERROR(__xludf.DUMMYFUNCTION("""COMPUTED_VALUE"""),"PR041")</f>
        <v>PR041</v>
      </c>
      <c r="B1190" s="2" t="str">
        <f>IFERROR(__xludf.DUMMYFUNCTION("""COMPUTED_VALUE"""),"VD033")</f>
        <v>VD033</v>
      </c>
      <c r="C1190" s="2">
        <f>IFERROR(__xludf.DUMMYFUNCTION("""COMPUTED_VALUE"""),6.0)</f>
        <v>6</v>
      </c>
      <c r="D1190" s="2">
        <f>IFERROR(__xludf.DUMMYFUNCTION("""COMPUTED_VALUE"""),335.99)</f>
        <v>335.99</v>
      </c>
    </row>
    <row r="1191">
      <c r="A1191" s="2" t="str">
        <f>IFERROR(__xludf.DUMMYFUNCTION("""COMPUTED_VALUE"""),"PR048")</f>
        <v>PR048</v>
      </c>
      <c r="B1191" s="2" t="str">
        <f>IFERROR(__xludf.DUMMYFUNCTION("""COMPUTED_VALUE"""),"VD028")</f>
        <v>VD028</v>
      </c>
      <c r="C1191" s="2">
        <f>IFERROR(__xludf.DUMMYFUNCTION("""COMPUTED_VALUE"""),10.0)</f>
        <v>10</v>
      </c>
      <c r="D1191" s="2">
        <f>IFERROR(__xludf.DUMMYFUNCTION("""COMPUTED_VALUE"""),3101.93)</f>
        <v>3101.93</v>
      </c>
    </row>
    <row r="1192">
      <c r="A1192" s="2" t="str">
        <f>IFERROR(__xludf.DUMMYFUNCTION("""COMPUTED_VALUE"""),"PR051")</f>
        <v>PR051</v>
      </c>
      <c r="B1192" s="2" t="str">
        <f>IFERROR(__xludf.DUMMYFUNCTION("""COMPUTED_VALUE"""),"VD025")</f>
        <v>VD025</v>
      </c>
      <c r="C1192" s="2">
        <f>IFERROR(__xludf.DUMMYFUNCTION("""COMPUTED_VALUE"""),14.0)</f>
        <v>14</v>
      </c>
      <c r="D1192" s="2">
        <f>IFERROR(__xludf.DUMMYFUNCTION("""COMPUTED_VALUE"""),502.05)</f>
        <v>502.05</v>
      </c>
    </row>
    <row r="1193">
      <c r="A1193" s="2" t="str">
        <f>IFERROR(__xludf.DUMMYFUNCTION("""COMPUTED_VALUE"""),"PR025")</f>
        <v>PR025</v>
      </c>
      <c r="B1193" s="2" t="str">
        <f>IFERROR(__xludf.DUMMYFUNCTION("""COMPUTED_VALUE"""),"VD016")</f>
        <v>VD016</v>
      </c>
      <c r="C1193" s="2">
        <f>IFERROR(__xludf.DUMMYFUNCTION("""COMPUTED_VALUE"""),10.0)</f>
        <v>10</v>
      </c>
      <c r="D1193" s="2">
        <f>IFERROR(__xludf.DUMMYFUNCTION("""COMPUTED_VALUE"""),3058.98)</f>
        <v>3058.98</v>
      </c>
    </row>
    <row r="1194">
      <c r="A1194" s="2" t="str">
        <f>IFERROR(__xludf.DUMMYFUNCTION("""COMPUTED_VALUE"""),"PR055")</f>
        <v>PR055</v>
      </c>
      <c r="B1194" s="2" t="str">
        <f>IFERROR(__xludf.DUMMYFUNCTION("""COMPUTED_VALUE"""),"VD029")</f>
        <v>VD029</v>
      </c>
      <c r="C1194" s="2">
        <f>IFERROR(__xludf.DUMMYFUNCTION("""COMPUTED_VALUE"""),2.0)</f>
        <v>2</v>
      </c>
      <c r="D1194" s="2">
        <f>IFERROR(__xludf.DUMMYFUNCTION("""COMPUTED_VALUE"""),195.98)</f>
        <v>195.98</v>
      </c>
    </row>
    <row r="1195">
      <c r="A1195" s="2" t="str">
        <f>IFERROR(__xludf.DUMMYFUNCTION("""COMPUTED_VALUE"""),"PR043")</f>
        <v>PR043</v>
      </c>
      <c r="B1195" s="2" t="str">
        <f>IFERROR(__xludf.DUMMYFUNCTION("""COMPUTED_VALUE"""),"VD042")</f>
        <v>VD042</v>
      </c>
      <c r="C1195" s="2">
        <f>IFERROR(__xludf.DUMMYFUNCTION("""COMPUTED_VALUE"""),18.0)</f>
        <v>18</v>
      </c>
      <c r="D1195" s="2">
        <f>IFERROR(__xludf.DUMMYFUNCTION("""COMPUTED_VALUE"""),1318.05)</f>
        <v>1318.05</v>
      </c>
    </row>
    <row r="1196">
      <c r="A1196" s="2" t="str">
        <f>IFERROR(__xludf.DUMMYFUNCTION("""COMPUTED_VALUE"""),"PR010")</f>
        <v>PR010</v>
      </c>
      <c r="B1196" s="2" t="str">
        <f>IFERROR(__xludf.DUMMYFUNCTION("""COMPUTED_VALUE"""),"VD015")</f>
        <v>VD015</v>
      </c>
      <c r="C1196" s="2">
        <f>IFERROR(__xludf.DUMMYFUNCTION("""COMPUTED_VALUE"""),12.0)</f>
        <v>12</v>
      </c>
      <c r="D1196" s="2">
        <f>IFERROR(__xludf.DUMMYFUNCTION("""COMPUTED_VALUE"""),538.8)</f>
        <v>538.8</v>
      </c>
    </row>
    <row r="1197">
      <c r="A1197" s="2" t="str">
        <f>IFERROR(__xludf.DUMMYFUNCTION("""COMPUTED_VALUE"""),"PR043")</f>
        <v>PR043</v>
      </c>
      <c r="B1197" s="2" t="str">
        <f>IFERROR(__xludf.DUMMYFUNCTION("""COMPUTED_VALUE"""),"VD025")</f>
        <v>VD025</v>
      </c>
      <c r="C1197" s="2">
        <f>IFERROR(__xludf.DUMMYFUNCTION("""COMPUTED_VALUE"""),8.0)</f>
        <v>8</v>
      </c>
      <c r="D1197" s="2">
        <f>IFERROR(__xludf.DUMMYFUNCTION("""COMPUTED_VALUE"""),591.6)</f>
        <v>591.6</v>
      </c>
    </row>
    <row r="1198">
      <c r="A1198" s="2" t="str">
        <f>IFERROR(__xludf.DUMMYFUNCTION("""COMPUTED_VALUE"""),"PR041")</f>
        <v>PR041</v>
      </c>
      <c r="B1198" s="2" t="str">
        <f>IFERROR(__xludf.DUMMYFUNCTION("""COMPUTED_VALUE"""),"VD028")</f>
        <v>VD028</v>
      </c>
      <c r="C1198" s="2">
        <f>IFERROR(__xludf.DUMMYFUNCTION("""COMPUTED_VALUE"""),6.0)</f>
        <v>6</v>
      </c>
      <c r="D1198" s="2">
        <f>IFERROR(__xludf.DUMMYFUNCTION("""COMPUTED_VALUE"""),335.99)</f>
        <v>335.99</v>
      </c>
    </row>
    <row r="1199">
      <c r="A1199" s="2" t="str">
        <f>IFERROR(__xludf.DUMMYFUNCTION("""COMPUTED_VALUE"""),"PR001")</f>
        <v>PR001</v>
      </c>
      <c r="B1199" s="2" t="str">
        <f>IFERROR(__xludf.DUMMYFUNCTION("""COMPUTED_VALUE"""),"VD031")</f>
        <v>VD031</v>
      </c>
      <c r="C1199" s="2">
        <f>IFERROR(__xludf.DUMMYFUNCTION("""COMPUTED_VALUE"""),8.0)</f>
        <v>8</v>
      </c>
      <c r="D1199" s="2">
        <f>IFERROR(__xludf.DUMMYFUNCTION("""COMPUTED_VALUE"""),574.65)</f>
        <v>574.65</v>
      </c>
    </row>
    <row r="1200">
      <c r="A1200" s="2" t="str">
        <f>IFERROR(__xludf.DUMMYFUNCTION("""COMPUTED_VALUE"""),"PR007")</f>
        <v>PR007</v>
      </c>
      <c r="B1200" s="2" t="str">
        <f>IFERROR(__xludf.DUMMYFUNCTION("""COMPUTED_VALUE"""),"VD044")</f>
        <v>VD044</v>
      </c>
      <c r="C1200" s="2">
        <f>IFERROR(__xludf.DUMMYFUNCTION("""COMPUTED_VALUE"""),3.0)</f>
        <v>3</v>
      </c>
      <c r="D1200" s="2">
        <f>IFERROR(__xludf.DUMMYFUNCTION("""COMPUTED_VALUE"""),257.7)</f>
        <v>257.7</v>
      </c>
    </row>
    <row r="1201">
      <c r="A1201" s="2" t="str">
        <f>IFERROR(__xludf.DUMMYFUNCTION("""COMPUTED_VALUE"""),"PR032")</f>
        <v>PR032</v>
      </c>
      <c r="B1201" s="2" t="str">
        <f>IFERROR(__xludf.DUMMYFUNCTION("""COMPUTED_VALUE"""),"VD019")</f>
        <v>VD019</v>
      </c>
      <c r="C1201" s="2">
        <f>IFERROR(__xludf.DUMMYFUNCTION("""COMPUTED_VALUE"""),6.0)</f>
        <v>6</v>
      </c>
      <c r="D1201" s="2">
        <f>IFERROR(__xludf.DUMMYFUNCTION("""COMPUTED_VALUE"""),1515.0)</f>
        <v>1515</v>
      </c>
    </row>
    <row r="1202">
      <c r="A1202" s="2" t="str">
        <f>IFERROR(__xludf.DUMMYFUNCTION("""COMPUTED_VALUE"""),"PR040")</f>
        <v>PR040</v>
      </c>
      <c r="B1202" s="2" t="str">
        <f>IFERROR(__xludf.DUMMYFUNCTION("""COMPUTED_VALUE"""),"VD035")</f>
        <v>VD035</v>
      </c>
      <c r="C1202" s="2">
        <f>IFERROR(__xludf.DUMMYFUNCTION("""COMPUTED_VALUE"""),2.0)</f>
        <v>2</v>
      </c>
      <c r="D1202" s="2">
        <f>IFERROR(__xludf.DUMMYFUNCTION("""COMPUTED_VALUE"""),142.8)</f>
        <v>142.8</v>
      </c>
    </row>
    <row r="1203">
      <c r="A1203" s="2" t="str">
        <f>IFERROR(__xludf.DUMMYFUNCTION("""COMPUTED_VALUE"""),"PR027")</f>
        <v>PR027</v>
      </c>
      <c r="B1203" s="2" t="str">
        <f>IFERROR(__xludf.DUMMYFUNCTION("""COMPUTED_VALUE"""),"VD020")</f>
        <v>VD020</v>
      </c>
      <c r="C1203" s="2">
        <f>IFERROR(__xludf.DUMMYFUNCTION("""COMPUTED_VALUE"""),12.0)</f>
        <v>12</v>
      </c>
      <c r="D1203" s="2">
        <f>IFERROR(__xludf.DUMMYFUNCTION("""COMPUTED_VALUE"""),1555.2)</f>
        <v>1555.2</v>
      </c>
    </row>
    <row r="1204">
      <c r="A1204" s="2" t="str">
        <f>IFERROR(__xludf.DUMMYFUNCTION("""COMPUTED_VALUE"""),"PR021")</f>
        <v>PR021</v>
      </c>
      <c r="B1204" s="2" t="str">
        <f>IFERROR(__xludf.DUMMYFUNCTION("""COMPUTED_VALUE"""),"VD025")</f>
        <v>VD025</v>
      </c>
      <c r="C1204" s="2">
        <f>IFERROR(__xludf.DUMMYFUNCTION("""COMPUTED_VALUE"""),8.0)</f>
        <v>8</v>
      </c>
      <c r="D1204" s="2">
        <f>IFERROR(__xludf.DUMMYFUNCTION("""COMPUTED_VALUE"""),2447.43)</f>
        <v>2447.43</v>
      </c>
    </row>
    <row r="1205">
      <c r="A1205" s="2" t="str">
        <f>IFERROR(__xludf.DUMMYFUNCTION("""COMPUTED_VALUE"""),"PR007")</f>
        <v>PR007</v>
      </c>
      <c r="B1205" s="2" t="str">
        <f>IFERROR(__xludf.DUMMYFUNCTION("""COMPUTED_VALUE"""),"VD010")</f>
        <v>VD010</v>
      </c>
      <c r="C1205" s="2">
        <f>IFERROR(__xludf.DUMMYFUNCTION("""COMPUTED_VALUE"""),14.0)</f>
        <v>14</v>
      </c>
      <c r="D1205" s="2">
        <f>IFERROR(__xludf.DUMMYFUNCTION("""COMPUTED_VALUE"""),1310.83)</f>
        <v>1310.83</v>
      </c>
    </row>
    <row r="1206">
      <c r="A1206" s="2" t="str">
        <f>IFERROR(__xludf.DUMMYFUNCTION("""COMPUTED_VALUE"""),"PR049")</f>
        <v>PR049</v>
      </c>
      <c r="B1206" s="2" t="str">
        <f>IFERROR(__xludf.DUMMYFUNCTION("""COMPUTED_VALUE"""),"VD023")</f>
        <v>VD023</v>
      </c>
      <c r="C1206" s="2">
        <f>IFERROR(__xludf.DUMMYFUNCTION("""COMPUTED_VALUE"""),4.0)</f>
        <v>4</v>
      </c>
      <c r="D1206" s="2">
        <f>IFERROR(__xludf.DUMMYFUNCTION("""COMPUTED_VALUE"""),138.18)</f>
        <v>138.18</v>
      </c>
    </row>
    <row r="1207">
      <c r="A1207" s="2" t="str">
        <f>IFERROR(__xludf.DUMMYFUNCTION("""COMPUTED_VALUE"""),"PR011")</f>
        <v>PR011</v>
      </c>
      <c r="B1207" s="2" t="str">
        <f>IFERROR(__xludf.DUMMYFUNCTION("""COMPUTED_VALUE"""),"VD045")</f>
        <v>VD045</v>
      </c>
      <c r="C1207" s="2">
        <f>IFERROR(__xludf.DUMMYFUNCTION("""COMPUTED_VALUE"""),7.0)</f>
        <v>7</v>
      </c>
      <c r="D1207" s="2">
        <f>IFERROR(__xludf.DUMMYFUNCTION("""COMPUTED_VALUE"""),341.43)</f>
        <v>341.43</v>
      </c>
    </row>
    <row r="1208">
      <c r="A1208" s="2" t="str">
        <f>IFERROR(__xludf.DUMMYFUNCTION("""COMPUTED_VALUE"""),"PR014")</f>
        <v>PR014</v>
      </c>
      <c r="B1208" s="2" t="str">
        <f>IFERROR(__xludf.DUMMYFUNCTION("""COMPUTED_VALUE"""),"VD015")</f>
        <v>VD015</v>
      </c>
      <c r="C1208" s="2">
        <f>IFERROR(__xludf.DUMMYFUNCTION("""COMPUTED_VALUE"""),16.0)</f>
        <v>16</v>
      </c>
      <c r="D1208" s="2">
        <f>IFERROR(__xludf.DUMMYFUNCTION("""COMPUTED_VALUE"""),644.78)</f>
        <v>644.78</v>
      </c>
    </row>
    <row r="1209">
      <c r="A1209" s="2" t="str">
        <f>IFERROR(__xludf.DUMMYFUNCTION("""COMPUTED_VALUE"""),"PR021")</f>
        <v>PR021</v>
      </c>
      <c r="B1209" s="2" t="str">
        <f>IFERROR(__xludf.DUMMYFUNCTION("""COMPUTED_VALUE"""),"VD040")</f>
        <v>VD040</v>
      </c>
      <c r="C1209" s="2">
        <f>IFERROR(__xludf.DUMMYFUNCTION("""COMPUTED_VALUE"""),18.0)</f>
        <v>18</v>
      </c>
      <c r="D1209" s="2">
        <f>IFERROR(__xludf.DUMMYFUNCTION("""COMPUTED_VALUE"""),5942.9)</f>
        <v>5942.9</v>
      </c>
    </row>
    <row r="1210">
      <c r="A1210" s="2" t="str">
        <f>IFERROR(__xludf.DUMMYFUNCTION("""COMPUTED_VALUE"""),"PR011")</f>
        <v>PR011</v>
      </c>
      <c r="B1210" s="2" t="str">
        <f>IFERROR(__xludf.DUMMYFUNCTION("""COMPUTED_VALUE"""),"VD027")</f>
        <v>VD027</v>
      </c>
      <c r="C1210" s="2">
        <f>IFERROR(__xludf.DUMMYFUNCTION("""COMPUTED_VALUE"""),8.0)</f>
        <v>8</v>
      </c>
      <c r="D1210" s="2">
        <f>IFERROR(__xludf.DUMMYFUNCTION("""COMPUTED_VALUE"""),408.97)</f>
        <v>408.97</v>
      </c>
    </row>
    <row r="1211">
      <c r="A1211" s="2" t="str">
        <f>IFERROR(__xludf.DUMMYFUNCTION("""COMPUTED_VALUE"""),"PR003")</f>
        <v>PR003</v>
      </c>
      <c r="B1211" s="2" t="str">
        <f>IFERROR(__xludf.DUMMYFUNCTION("""COMPUTED_VALUE"""),"VD019")</f>
        <v>VD019</v>
      </c>
      <c r="C1211" s="2">
        <f>IFERROR(__xludf.DUMMYFUNCTION("""COMPUTED_VALUE"""),3.0)</f>
        <v>3</v>
      </c>
      <c r="D1211" s="2">
        <f>IFERROR(__xludf.DUMMYFUNCTION("""COMPUTED_VALUE"""),212.7)</f>
        <v>212.7</v>
      </c>
    </row>
    <row r="1212">
      <c r="A1212" s="2" t="str">
        <f>IFERROR(__xludf.DUMMYFUNCTION("""COMPUTED_VALUE"""),"PR045")</f>
        <v>PR045</v>
      </c>
      <c r="B1212" s="2" t="str">
        <f>IFERROR(__xludf.DUMMYFUNCTION("""COMPUTED_VALUE"""),"VD016")</f>
        <v>VD016</v>
      </c>
      <c r="C1212" s="2">
        <f>IFERROR(__xludf.DUMMYFUNCTION("""COMPUTED_VALUE"""),5.0)</f>
        <v>5</v>
      </c>
      <c r="D1212" s="2">
        <f>IFERROR(__xludf.DUMMYFUNCTION("""COMPUTED_VALUE"""),380.63)</f>
        <v>380.63</v>
      </c>
    </row>
    <row r="1213">
      <c r="A1213" s="2" t="str">
        <f>IFERROR(__xludf.DUMMYFUNCTION("""COMPUTED_VALUE"""),"PR056")</f>
        <v>PR056</v>
      </c>
      <c r="B1213" s="2" t="str">
        <f>IFERROR(__xludf.DUMMYFUNCTION("""COMPUTED_VALUE"""),"VD013")</f>
        <v>VD013</v>
      </c>
      <c r="C1213" s="2">
        <f>IFERROR(__xludf.DUMMYFUNCTION("""COMPUTED_VALUE"""),3.0)</f>
        <v>3</v>
      </c>
      <c r="D1213" s="2">
        <f>IFERROR(__xludf.DUMMYFUNCTION("""COMPUTED_VALUE"""),293.97)</f>
        <v>293.97</v>
      </c>
    </row>
    <row r="1214">
      <c r="A1214" s="2" t="str">
        <f>IFERROR(__xludf.DUMMYFUNCTION("""COMPUTED_VALUE"""),"PR039")</f>
        <v>PR039</v>
      </c>
      <c r="B1214" s="2" t="str">
        <f>IFERROR(__xludf.DUMMYFUNCTION("""COMPUTED_VALUE"""),"VD025")</f>
        <v>VD025</v>
      </c>
      <c r="C1214" s="2">
        <f>IFERROR(__xludf.DUMMYFUNCTION("""COMPUTED_VALUE"""),18.0)</f>
        <v>18</v>
      </c>
      <c r="D1214" s="2">
        <f>IFERROR(__xludf.DUMMYFUNCTION("""COMPUTED_VALUE"""),2733.12)</f>
        <v>2733.12</v>
      </c>
    </row>
    <row r="1215">
      <c r="A1215" s="2" t="str">
        <f>IFERROR(__xludf.DUMMYFUNCTION("""COMPUTED_VALUE"""),"PR001")</f>
        <v>PR001</v>
      </c>
      <c r="B1215" s="2" t="str">
        <f>IFERROR(__xludf.DUMMYFUNCTION("""COMPUTED_VALUE"""),"VD025")</f>
        <v>VD025</v>
      </c>
      <c r="C1215" s="2">
        <f>IFERROR(__xludf.DUMMYFUNCTION("""COMPUTED_VALUE"""),9.0)</f>
        <v>9</v>
      </c>
      <c r="D1215" s="2">
        <f>IFERROR(__xludf.DUMMYFUNCTION("""COMPUTED_VALUE"""),610.89)</f>
        <v>610.89</v>
      </c>
    </row>
    <row r="1216">
      <c r="A1216" s="2" t="str">
        <f>IFERROR(__xludf.DUMMYFUNCTION("""COMPUTED_VALUE"""),"PR004")</f>
        <v>PR004</v>
      </c>
      <c r="B1216" s="2" t="str">
        <f>IFERROR(__xludf.DUMMYFUNCTION("""COMPUTED_VALUE"""),"VD021")</f>
        <v>VD021</v>
      </c>
      <c r="C1216" s="2">
        <f>IFERROR(__xludf.DUMMYFUNCTION("""COMPUTED_VALUE"""),10.0)</f>
        <v>10</v>
      </c>
      <c r="D1216" s="2">
        <f>IFERROR(__xludf.DUMMYFUNCTION("""COMPUTED_VALUE"""),1537.0)</f>
        <v>1537</v>
      </c>
    </row>
    <row r="1217">
      <c r="A1217" s="2" t="str">
        <f>IFERROR(__xludf.DUMMYFUNCTION("""COMPUTED_VALUE"""),"PR026")</f>
        <v>PR026</v>
      </c>
      <c r="B1217" s="2" t="str">
        <f>IFERROR(__xludf.DUMMYFUNCTION("""COMPUTED_VALUE"""),"VD011")</f>
        <v>VD011</v>
      </c>
      <c r="C1217" s="2">
        <f>IFERROR(__xludf.DUMMYFUNCTION("""COMPUTED_VALUE"""),3.0)</f>
        <v>3</v>
      </c>
      <c r="D1217" s="2">
        <f>IFERROR(__xludf.DUMMYFUNCTION("""COMPUTED_VALUE"""),1060.2)</f>
        <v>1060.2</v>
      </c>
    </row>
    <row r="1218">
      <c r="A1218" s="2" t="str">
        <f>IFERROR(__xludf.DUMMYFUNCTION("""COMPUTED_VALUE"""),"PR013")</f>
        <v>PR013</v>
      </c>
      <c r="B1218" s="2" t="str">
        <f>IFERROR(__xludf.DUMMYFUNCTION("""COMPUTED_VALUE"""),"VD025")</f>
        <v>VD025</v>
      </c>
      <c r="C1218" s="2">
        <f>IFERROR(__xludf.DUMMYFUNCTION("""COMPUTED_VALUE"""),18.0)</f>
        <v>18</v>
      </c>
      <c r="D1218" s="2">
        <f>IFERROR(__xludf.DUMMYFUNCTION("""COMPUTED_VALUE"""),732.56)</f>
        <v>732.56</v>
      </c>
    </row>
    <row r="1219">
      <c r="A1219" s="2" t="str">
        <f>IFERROR(__xludf.DUMMYFUNCTION("""COMPUTED_VALUE"""),"PR033")</f>
        <v>PR033</v>
      </c>
      <c r="B1219" s="2" t="str">
        <f>IFERROR(__xludf.DUMMYFUNCTION("""COMPUTED_VALUE"""),"VD023")</f>
        <v>VD023</v>
      </c>
      <c r="C1219" s="2">
        <f>IFERROR(__xludf.DUMMYFUNCTION("""COMPUTED_VALUE"""),7.0)</f>
        <v>7</v>
      </c>
      <c r="D1219" s="2">
        <f>IFERROR(__xludf.DUMMYFUNCTION("""COMPUTED_VALUE"""),2001.23)</f>
        <v>2001.23</v>
      </c>
    </row>
    <row r="1220">
      <c r="A1220" s="2" t="str">
        <f>IFERROR(__xludf.DUMMYFUNCTION("""COMPUTED_VALUE"""),"PR052")</f>
        <v>PR052</v>
      </c>
      <c r="B1220" s="2" t="str">
        <f>IFERROR(__xludf.DUMMYFUNCTION("""COMPUTED_VALUE"""),"VD022")</f>
        <v>VD022</v>
      </c>
      <c r="C1220" s="2">
        <f>IFERROR(__xludf.DUMMYFUNCTION("""COMPUTED_VALUE"""),5.0)</f>
        <v>5</v>
      </c>
      <c r="D1220" s="2">
        <f>IFERROR(__xludf.DUMMYFUNCTION("""COMPUTED_VALUE"""),254.49)</f>
        <v>254.49</v>
      </c>
    </row>
    <row r="1221">
      <c r="A1221" s="2" t="str">
        <f>IFERROR(__xludf.DUMMYFUNCTION("""COMPUTED_VALUE"""),"PR028")</f>
        <v>PR028</v>
      </c>
      <c r="B1221" s="2" t="str">
        <f>IFERROR(__xludf.DUMMYFUNCTION("""COMPUTED_VALUE"""),"VD024")</f>
        <v>VD024</v>
      </c>
      <c r="C1221" s="2">
        <f>IFERROR(__xludf.DUMMYFUNCTION("""COMPUTED_VALUE"""),18.0)</f>
        <v>18</v>
      </c>
      <c r="D1221" s="2">
        <f>IFERROR(__xludf.DUMMYFUNCTION("""COMPUTED_VALUE"""),4498.2)</f>
        <v>4498.2</v>
      </c>
    </row>
    <row r="1222">
      <c r="A1222" s="2" t="str">
        <f>IFERROR(__xludf.DUMMYFUNCTION("""COMPUTED_VALUE"""),"PR032")</f>
        <v>PR032</v>
      </c>
      <c r="B1222" s="2" t="str">
        <f>IFERROR(__xludf.DUMMYFUNCTION("""COMPUTED_VALUE"""),"VD026")</f>
        <v>VD026</v>
      </c>
      <c r="C1222" s="2">
        <f>IFERROR(__xludf.DUMMYFUNCTION("""COMPUTED_VALUE"""),7.0)</f>
        <v>7</v>
      </c>
      <c r="D1222" s="2">
        <f>IFERROR(__xludf.DUMMYFUNCTION("""COMPUTED_VALUE"""),1785.0)</f>
        <v>1785</v>
      </c>
    </row>
    <row r="1223">
      <c r="A1223" s="2" t="str">
        <f>IFERROR(__xludf.DUMMYFUNCTION("""COMPUTED_VALUE"""),"PR014")</f>
        <v>PR014</v>
      </c>
      <c r="B1223" s="2" t="str">
        <f>IFERROR(__xludf.DUMMYFUNCTION("""COMPUTED_VALUE"""),"VD019")</f>
        <v>VD019</v>
      </c>
      <c r="C1223" s="2">
        <f>IFERROR(__xludf.DUMMYFUNCTION("""COMPUTED_VALUE"""),2.0)</f>
        <v>2</v>
      </c>
      <c r="D1223" s="2">
        <f>IFERROR(__xludf.DUMMYFUNCTION("""COMPUTED_VALUE"""),85.39)</f>
        <v>85.39</v>
      </c>
    </row>
    <row r="1224">
      <c r="A1224" s="2" t="str">
        <f>IFERROR(__xludf.DUMMYFUNCTION("""COMPUTED_VALUE"""),"PR027")</f>
        <v>PR027</v>
      </c>
      <c r="B1224" s="2" t="str">
        <f>IFERROR(__xludf.DUMMYFUNCTION("""COMPUTED_VALUE"""),"VD011")</f>
        <v>VD011</v>
      </c>
      <c r="C1224" s="2">
        <f>IFERROR(__xludf.DUMMYFUNCTION("""COMPUTED_VALUE"""),4.0)</f>
        <v>4</v>
      </c>
      <c r="D1224" s="2">
        <f>IFERROR(__xludf.DUMMYFUNCTION("""COMPUTED_VALUE"""),513.6)</f>
        <v>513.6</v>
      </c>
    </row>
    <row r="1225">
      <c r="A1225" s="2" t="str">
        <f>IFERROR(__xludf.DUMMYFUNCTION("""COMPUTED_VALUE"""),"PR054")</f>
        <v>PR054</v>
      </c>
      <c r="B1225" s="2" t="str">
        <f>IFERROR(__xludf.DUMMYFUNCTION("""COMPUTED_VALUE"""),"VD039")</f>
        <v>VD039</v>
      </c>
      <c r="C1225" s="2">
        <f>IFERROR(__xludf.DUMMYFUNCTION("""COMPUTED_VALUE"""),10.0)</f>
        <v>10</v>
      </c>
      <c r="D1225" s="2">
        <f>IFERROR(__xludf.DUMMYFUNCTION("""COMPUTED_VALUE"""),528.94)</f>
        <v>528.94</v>
      </c>
    </row>
    <row r="1226">
      <c r="A1226" s="2" t="str">
        <f>IFERROR(__xludf.DUMMYFUNCTION("""COMPUTED_VALUE"""),"PR050")</f>
        <v>PR050</v>
      </c>
      <c r="B1226" s="2" t="str">
        <f>IFERROR(__xludf.DUMMYFUNCTION("""COMPUTED_VALUE"""),"VD016")</f>
        <v>VD016</v>
      </c>
      <c r="C1226" s="2">
        <f>IFERROR(__xludf.DUMMYFUNCTION("""COMPUTED_VALUE"""),4.0)</f>
        <v>4</v>
      </c>
      <c r="D1226" s="2">
        <f>IFERROR(__xludf.DUMMYFUNCTION("""COMPUTED_VALUE"""),139.5)</f>
        <v>139.5</v>
      </c>
    </row>
    <row r="1227">
      <c r="A1227" s="2" t="str">
        <f>IFERROR(__xludf.DUMMYFUNCTION("""COMPUTED_VALUE"""),"PR041")</f>
        <v>PR041</v>
      </c>
      <c r="B1227" s="2" t="str">
        <f>IFERROR(__xludf.DUMMYFUNCTION("""COMPUTED_VALUE"""),"VD027")</f>
        <v>VD027</v>
      </c>
      <c r="C1227" s="2">
        <f>IFERROR(__xludf.DUMMYFUNCTION("""COMPUTED_VALUE"""),10.0)</f>
        <v>10</v>
      </c>
      <c r="D1227" s="2">
        <f>IFERROR(__xludf.DUMMYFUNCTION("""COMPUTED_VALUE"""),592.92)</f>
        <v>592.92</v>
      </c>
    </row>
    <row r="1228">
      <c r="A1228" s="2" t="str">
        <f>IFERROR(__xludf.DUMMYFUNCTION("""COMPUTED_VALUE"""),"PR046")</f>
        <v>PR046</v>
      </c>
      <c r="B1228" s="2" t="str">
        <f>IFERROR(__xludf.DUMMYFUNCTION("""COMPUTED_VALUE"""),"VD020")</f>
        <v>VD020</v>
      </c>
      <c r="C1228" s="2">
        <f>IFERROR(__xludf.DUMMYFUNCTION("""COMPUTED_VALUE"""),12.0)</f>
        <v>12</v>
      </c>
      <c r="D1228" s="2">
        <f>IFERROR(__xludf.DUMMYFUNCTION("""COMPUTED_VALUE"""),3513.59)</f>
        <v>3513.59</v>
      </c>
    </row>
    <row r="1229">
      <c r="A1229" s="2" t="str">
        <f>IFERROR(__xludf.DUMMYFUNCTION("""COMPUTED_VALUE"""),"PR039")</f>
        <v>PR039</v>
      </c>
      <c r="B1229" s="2" t="str">
        <f>IFERROR(__xludf.DUMMYFUNCTION("""COMPUTED_VALUE"""),"VD048")</f>
        <v>VD048</v>
      </c>
      <c r="C1229" s="2">
        <f>IFERROR(__xludf.DUMMYFUNCTION("""COMPUTED_VALUE"""),12.0)</f>
        <v>12</v>
      </c>
      <c r="D1229" s="2">
        <f>IFERROR(__xludf.DUMMYFUNCTION("""COMPUTED_VALUE"""),1752.0)</f>
        <v>1752</v>
      </c>
    </row>
    <row r="1230">
      <c r="A1230" s="2" t="str">
        <f>IFERROR(__xludf.DUMMYFUNCTION("""COMPUTED_VALUE"""),"PR008")</f>
        <v>PR008</v>
      </c>
      <c r="B1230" s="2" t="str">
        <f>IFERROR(__xludf.DUMMYFUNCTION("""COMPUTED_VALUE"""),"VD033")</f>
        <v>VD033</v>
      </c>
      <c r="C1230" s="2">
        <f>IFERROR(__xludf.DUMMYFUNCTION("""COMPUTED_VALUE"""),8.0)</f>
        <v>8</v>
      </c>
      <c r="D1230" s="2">
        <f>IFERROR(__xludf.DUMMYFUNCTION("""COMPUTED_VALUE"""),776.74)</f>
        <v>776.74</v>
      </c>
    </row>
    <row r="1231">
      <c r="A1231" s="2" t="str">
        <f>IFERROR(__xludf.DUMMYFUNCTION("""COMPUTED_VALUE"""),"PR035")</f>
        <v>PR035</v>
      </c>
      <c r="B1231" s="2" t="str">
        <f>IFERROR(__xludf.DUMMYFUNCTION("""COMPUTED_VALUE"""),"VD011")</f>
        <v>VD011</v>
      </c>
      <c r="C1231" s="2">
        <f>IFERROR(__xludf.DUMMYFUNCTION("""COMPUTED_VALUE"""),2.0)</f>
        <v>2</v>
      </c>
      <c r="D1231" s="2">
        <f>IFERROR(__xludf.DUMMYFUNCTION("""COMPUTED_VALUE"""),186.46)</f>
        <v>186.46</v>
      </c>
    </row>
    <row r="1232">
      <c r="A1232" s="2" t="str">
        <f>IFERROR(__xludf.DUMMYFUNCTION("""COMPUTED_VALUE"""),"PR026")</f>
        <v>PR026</v>
      </c>
      <c r="B1232" s="2" t="str">
        <f>IFERROR(__xludf.DUMMYFUNCTION("""COMPUTED_VALUE"""),"VD025")</f>
        <v>VD025</v>
      </c>
      <c r="C1232" s="2">
        <f>IFERROR(__xludf.DUMMYFUNCTION("""COMPUTED_VALUE"""),16.0)</f>
        <v>16</v>
      </c>
      <c r="D1232" s="2">
        <f>IFERROR(__xludf.DUMMYFUNCTION("""COMPUTED_VALUE"""),5710.37)</f>
        <v>5710.37</v>
      </c>
    </row>
    <row r="1233">
      <c r="A1233" s="2" t="str">
        <f>IFERROR(__xludf.DUMMYFUNCTION("""COMPUTED_VALUE"""),"PR059")</f>
        <v>PR059</v>
      </c>
      <c r="B1233" s="2" t="str">
        <f>IFERROR(__xludf.DUMMYFUNCTION("""COMPUTED_VALUE"""),"VD033")</f>
        <v>VD033</v>
      </c>
      <c r="C1233" s="2">
        <f>IFERROR(__xludf.DUMMYFUNCTION("""COMPUTED_VALUE"""),20.0)</f>
        <v>20</v>
      </c>
      <c r="D1233" s="2">
        <f>IFERROR(__xludf.DUMMYFUNCTION("""COMPUTED_VALUE"""),3924.0)</f>
        <v>3924</v>
      </c>
    </row>
    <row r="1234">
      <c r="A1234" s="2" t="str">
        <f>IFERROR(__xludf.DUMMYFUNCTION("""COMPUTED_VALUE"""),"PR033")</f>
        <v>PR033</v>
      </c>
      <c r="B1234" s="2" t="str">
        <f>IFERROR(__xludf.DUMMYFUNCTION("""COMPUTED_VALUE"""),"VD035")</f>
        <v>VD035</v>
      </c>
      <c r="C1234" s="2">
        <f>IFERROR(__xludf.DUMMYFUNCTION("""COMPUTED_VALUE"""),6.0)</f>
        <v>6</v>
      </c>
      <c r="D1234" s="2">
        <f>IFERROR(__xludf.DUMMYFUNCTION("""COMPUTED_VALUE"""),1652.96)</f>
        <v>1652.96</v>
      </c>
    </row>
    <row r="1235">
      <c r="A1235" s="2" t="str">
        <f>IFERROR(__xludf.DUMMYFUNCTION("""COMPUTED_VALUE"""),"PR044")</f>
        <v>PR044</v>
      </c>
      <c r="B1235" s="2" t="str">
        <f>IFERROR(__xludf.DUMMYFUNCTION("""COMPUTED_VALUE"""),"VD034")</f>
        <v>VD034</v>
      </c>
      <c r="C1235" s="2">
        <f>IFERROR(__xludf.DUMMYFUNCTION("""COMPUTED_VALUE"""),6.0)</f>
        <v>6</v>
      </c>
      <c r="D1235" s="2">
        <f>IFERROR(__xludf.DUMMYFUNCTION("""COMPUTED_VALUE"""),439.35)</f>
        <v>439.35</v>
      </c>
    </row>
    <row r="1236">
      <c r="A1236" s="2" t="str">
        <f>IFERROR(__xludf.DUMMYFUNCTION("""COMPUTED_VALUE"""),"PR050")</f>
        <v>PR050</v>
      </c>
      <c r="B1236" s="2" t="str">
        <f>IFERROR(__xludf.DUMMYFUNCTION("""COMPUTED_VALUE"""),"VD026")</f>
        <v>VD026</v>
      </c>
      <c r="C1236" s="2">
        <f>IFERROR(__xludf.DUMMYFUNCTION("""COMPUTED_VALUE"""),1.0)</f>
        <v>1</v>
      </c>
      <c r="D1236" s="2">
        <f>IFERROR(__xludf.DUMMYFUNCTION("""COMPUTED_VALUE"""),33.56)</f>
        <v>33.56</v>
      </c>
    </row>
    <row r="1237">
      <c r="A1237" s="2" t="str">
        <f>IFERROR(__xludf.DUMMYFUNCTION("""COMPUTED_VALUE"""),"PR019")</f>
        <v>PR019</v>
      </c>
      <c r="B1237" s="2" t="str">
        <f>IFERROR(__xludf.DUMMYFUNCTION("""COMPUTED_VALUE"""),"VD010")</f>
        <v>VD010</v>
      </c>
      <c r="C1237" s="2">
        <f>IFERROR(__xludf.DUMMYFUNCTION("""COMPUTED_VALUE"""),6.0)</f>
        <v>6</v>
      </c>
      <c r="D1237" s="2">
        <f>IFERROR(__xludf.DUMMYFUNCTION("""COMPUTED_VALUE"""),323.35)</f>
        <v>323.35</v>
      </c>
    </row>
    <row r="1238">
      <c r="A1238" s="2" t="str">
        <f>IFERROR(__xludf.DUMMYFUNCTION("""COMPUTED_VALUE"""),"PR058")</f>
        <v>PR058</v>
      </c>
      <c r="B1238" s="2" t="str">
        <f>IFERROR(__xludf.DUMMYFUNCTION("""COMPUTED_VALUE"""),"VD019")</f>
        <v>VD019</v>
      </c>
      <c r="C1238" s="2">
        <f>IFERROR(__xludf.DUMMYFUNCTION("""COMPUTED_VALUE"""),16.0)</f>
        <v>16</v>
      </c>
      <c r="D1238" s="2">
        <f>IFERROR(__xludf.DUMMYFUNCTION("""COMPUTED_VALUE"""),2908.8)</f>
        <v>2908.8</v>
      </c>
    </row>
    <row r="1239">
      <c r="A1239" s="2" t="str">
        <f>IFERROR(__xludf.DUMMYFUNCTION("""COMPUTED_VALUE"""),"PR024")</f>
        <v>PR024</v>
      </c>
      <c r="B1239" s="2" t="str">
        <f>IFERROR(__xludf.DUMMYFUNCTION("""COMPUTED_VALUE"""),"VD015")</f>
        <v>VD015</v>
      </c>
      <c r="C1239" s="2">
        <f>IFERROR(__xludf.DUMMYFUNCTION("""COMPUTED_VALUE"""),5.0)</f>
        <v>5</v>
      </c>
      <c r="D1239" s="2">
        <f>IFERROR(__xludf.DUMMYFUNCTION("""COMPUTED_VALUE"""),1390.47)</f>
        <v>1390.47</v>
      </c>
    </row>
    <row r="1240">
      <c r="A1240" s="2" t="str">
        <f>IFERROR(__xludf.DUMMYFUNCTION("""COMPUTED_VALUE"""),"PR022")</f>
        <v>PR022</v>
      </c>
      <c r="B1240" s="2" t="str">
        <f>IFERROR(__xludf.DUMMYFUNCTION("""COMPUTED_VALUE"""),"VD049")</f>
        <v>VD049</v>
      </c>
      <c r="C1240" s="2">
        <f>IFERROR(__xludf.DUMMYFUNCTION("""COMPUTED_VALUE"""),20.0)</f>
        <v>20</v>
      </c>
      <c r="D1240" s="2">
        <f>IFERROR(__xludf.DUMMYFUNCTION("""COMPUTED_VALUE"""),6540.0)</f>
        <v>6540</v>
      </c>
    </row>
    <row r="1241">
      <c r="A1241" s="2" t="str">
        <f>IFERROR(__xludf.DUMMYFUNCTION("""COMPUTED_VALUE"""),"PR015")</f>
        <v>PR015</v>
      </c>
      <c r="B1241" s="2" t="str">
        <f>IFERROR(__xludf.DUMMYFUNCTION("""COMPUTED_VALUE"""),"VD010")</f>
        <v>VD010</v>
      </c>
      <c r="C1241" s="2">
        <f>IFERROR(__xludf.DUMMYFUNCTION("""COMPUTED_VALUE"""),4.0)</f>
        <v>4</v>
      </c>
      <c r="D1241" s="2">
        <f>IFERROR(__xludf.DUMMYFUNCTION("""COMPUTED_VALUE"""),185.3)</f>
        <v>185.3</v>
      </c>
    </row>
    <row r="1242">
      <c r="A1242" s="2" t="str">
        <f>IFERROR(__xludf.DUMMYFUNCTION("""COMPUTED_VALUE"""),"PR005")</f>
        <v>PR005</v>
      </c>
      <c r="B1242" s="2" t="str">
        <f>IFERROR(__xludf.DUMMYFUNCTION("""COMPUTED_VALUE"""),"VD043")</f>
        <v>VD043</v>
      </c>
      <c r="C1242" s="2">
        <f>IFERROR(__xludf.DUMMYFUNCTION("""COMPUTED_VALUE"""),7.0)</f>
        <v>7</v>
      </c>
      <c r="D1242" s="2">
        <f>IFERROR(__xludf.DUMMYFUNCTION("""COMPUTED_VALUE"""),1910.27)</f>
        <v>1910.27</v>
      </c>
    </row>
    <row r="1243">
      <c r="A1243" s="2" t="str">
        <f>IFERROR(__xludf.DUMMYFUNCTION("""COMPUTED_VALUE"""),"PR048")</f>
        <v>PR048</v>
      </c>
      <c r="B1243" s="2" t="str">
        <f>IFERROR(__xludf.DUMMYFUNCTION("""COMPUTED_VALUE"""),"VD012")</f>
        <v>VD012</v>
      </c>
      <c r="C1243" s="2">
        <f>IFERROR(__xludf.DUMMYFUNCTION("""COMPUTED_VALUE"""),2.0)</f>
        <v>2</v>
      </c>
      <c r="D1243" s="2">
        <f>IFERROR(__xludf.DUMMYFUNCTION("""COMPUTED_VALUE"""),626.18)</f>
        <v>626.18</v>
      </c>
    </row>
    <row r="1244">
      <c r="A1244" s="2" t="str">
        <f>IFERROR(__xludf.DUMMYFUNCTION("""COMPUTED_VALUE"""),"PR024")</f>
        <v>PR024</v>
      </c>
      <c r="B1244" s="2" t="str">
        <f>IFERROR(__xludf.DUMMYFUNCTION("""COMPUTED_VALUE"""),"VD025")</f>
        <v>VD025</v>
      </c>
      <c r="C1244" s="2">
        <f>IFERROR(__xludf.DUMMYFUNCTION("""COMPUTED_VALUE"""),10.0)</f>
        <v>10</v>
      </c>
      <c r="D1244" s="2">
        <f>IFERROR(__xludf.DUMMYFUNCTION("""COMPUTED_VALUE"""),2858.9)</f>
        <v>2858.9</v>
      </c>
    </row>
    <row r="1245">
      <c r="A1245" s="2" t="str">
        <f>IFERROR(__xludf.DUMMYFUNCTION("""COMPUTED_VALUE"""),"PR019")</f>
        <v>PR019</v>
      </c>
      <c r="B1245" s="2" t="str">
        <f>IFERROR(__xludf.DUMMYFUNCTION("""COMPUTED_VALUE"""),"VD035")</f>
        <v>VD035</v>
      </c>
      <c r="C1245" s="2">
        <f>IFERROR(__xludf.DUMMYFUNCTION("""COMPUTED_VALUE"""),8.0)</f>
        <v>8</v>
      </c>
      <c r="D1245" s="2">
        <f>IFERROR(__xludf.DUMMYFUNCTION("""COMPUTED_VALUE"""),419.16)</f>
        <v>419.16</v>
      </c>
    </row>
    <row r="1246">
      <c r="A1246" s="2" t="str">
        <f>IFERROR(__xludf.DUMMYFUNCTION("""COMPUTED_VALUE"""),"PR029")</f>
        <v>PR029</v>
      </c>
      <c r="B1246" s="2" t="str">
        <f>IFERROR(__xludf.DUMMYFUNCTION("""COMPUTED_VALUE"""),"VD038")</f>
        <v>VD038</v>
      </c>
      <c r="C1246" s="2">
        <f>IFERROR(__xludf.DUMMYFUNCTION("""COMPUTED_VALUE"""),9.0)</f>
        <v>9</v>
      </c>
      <c r="D1246" s="2">
        <f>IFERROR(__xludf.DUMMYFUNCTION("""COMPUTED_VALUE"""),2478.6)</f>
        <v>2478.6</v>
      </c>
    </row>
    <row r="1247">
      <c r="A1247" s="2" t="str">
        <f>IFERROR(__xludf.DUMMYFUNCTION("""COMPUTED_VALUE"""),"PR043")</f>
        <v>PR043</v>
      </c>
      <c r="B1247" s="2" t="str">
        <f>IFERROR(__xludf.DUMMYFUNCTION("""COMPUTED_VALUE"""),"VD045")</f>
        <v>VD045</v>
      </c>
      <c r="C1247" s="2">
        <f>IFERROR(__xludf.DUMMYFUNCTION("""COMPUTED_VALUE"""),18.0)</f>
        <v>18</v>
      </c>
      <c r="D1247" s="2">
        <f>IFERROR(__xludf.DUMMYFUNCTION("""COMPUTED_VALUE"""),1396.35)</f>
        <v>1396.35</v>
      </c>
    </row>
    <row r="1248">
      <c r="A1248" s="2" t="str">
        <f>IFERROR(__xludf.DUMMYFUNCTION("""COMPUTED_VALUE"""),"PR039")</f>
        <v>PR039</v>
      </c>
      <c r="B1248" s="2" t="str">
        <f>IFERROR(__xludf.DUMMYFUNCTION("""COMPUTED_VALUE"""),"VD042")</f>
        <v>VD042</v>
      </c>
      <c r="C1248" s="2">
        <f>IFERROR(__xludf.DUMMYFUNCTION("""COMPUTED_VALUE"""),2.0)</f>
        <v>2</v>
      </c>
      <c r="D1248" s="2">
        <f>IFERROR(__xludf.DUMMYFUNCTION("""COMPUTED_VALUE"""),315.36)</f>
        <v>315.36</v>
      </c>
    </row>
    <row r="1249">
      <c r="A1249" s="2" t="str">
        <f>IFERROR(__xludf.DUMMYFUNCTION("""COMPUTED_VALUE"""),"PR003")</f>
        <v>PR003</v>
      </c>
      <c r="B1249" s="2" t="str">
        <f>IFERROR(__xludf.DUMMYFUNCTION("""COMPUTED_VALUE"""),"VD010")</f>
        <v>VD010</v>
      </c>
      <c r="C1249" s="2">
        <f>IFERROR(__xludf.DUMMYFUNCTION("""COMPUTED_VALUE"""),9.0)</f>
        <v>9</v>
      </c>
      <c r="D1249" s="2">
        <f>IFERROR(__xludf.DUMMYFUNCTION("""COMPUTED_VALUE"""),689.15)</f>
        <v>689.15</v>
      </c>
    </row>
    <row r="1250">
      <c r="A1250" s="2" t="str">
        <f>IFERROR(__xludf.DUMMYFUNCTION("""COMPUTED_VALUE"""),"PR002")</f>
        <v>PR002</v>
      </c>
      <c r="B1250" s="2" t="str">
        <f>IFERROR(__xludf.DUMMYFUNCTION("""COMPUTED_VALUE"""),"VD042")</f>
        <v>VD042</v>
      </c>
      <c r="C1250" s="2">
        <f>IFERROR(__xludf.DUMMYFUNCTION("""COMPUTED_VALUE"""),10.0)</f>
        <v>10</v>
      </c>
      <c r="D1250" s="2">
        <f>IFERROR(__xludf.DUMMYFUNCTION("""COMPUTED_VALUE"""),726.96)</f>
        <v>726.96</v>
      </c>
    </row>
    <row r="1251">
      <c r="A1251" s="2" t="str">
        <f>IFERROR(__xludf.DUMMYFUNCTION("""COMPUTED_VALUE"""),"PR015")</f>
        <v>PR015</v>
      </c>
      <c r="B1251" s="2" t="str">
        <f>IFERROR(__xludf.DUMMYFUNCTION("""COMPUTED_VALUE"""),"VD037")</f>
        <v>VD037</v>
      </c>
      <c r="C1251" s="2">
        <f>IFERROR(__xludf.DUMMYFUNCTION("""COMPUTED_VALUE"""),9.0)</f>
        <v>9</v>
      </c>
      <c r="D1251" s="2">
        <f>IFERROR(__xludf.DUMMYFUNCTION("""COMPUTED_VALUE"""),416.93)</f>
        <v>416.93</v>
      </c>
    </row>
    <row r="1252">
      <c r="A1252" s="2" t="str">
        <f>IFERROR(__xludf.DUMMYFUNCTION("""COMPUTED_VALUE"""),"PR017")</f>
        <v>PR017</v>
      </c>
      <c r="B1252" s="2" t="str">
        <f>IFERROR(__xludf.DUMMYFUNCTION("""COMPUTED_VALUE"""),"VD049")</f>
        <v>VD049</v>
      </c>
      <c r="C1252" s="2">
        <f>IFERROR(__xludf.DUMMYFUNCTION("""COMPUTED_VALUE"""),6.0)</f>
        <v>6</v>
      </c>
      <c r="D1252" s="2">
        <f>IFERROR(__xludf.DUMMYFUNCTION("""COMPUTED_VALUE"""),182.99)</f>
        <v>182.99</v>
      </c>
    </row>
    <row r="1253">
      <c r="A1253" s="2" t="str">
        <f>IFERROR(__xludf.DUMMYFUNCTION("""COMPUTED_VALUE"""),"PR031")</f>
        <v>PR031</v>
      </c>
      <c r="B1253" s="2" t="str">
        <f>IFERROR(__xludf.DUMMYFUNCTION("""COMPUTED_VALUE"""),"VD021")</f>
        <v>VD021</v>
      </c>
      <c r="C1253" s="2">
        <f>IFERROR(__xludf.DUMMYFUNCTION("""COMPUTED_VALUE"""),8.0)</f>
        <v>8</v>
      </c>
      <c r="D1253" s="2">
        <f>IFERROR(__xludf.DUMMYFUNCTION("""COMPUTED_VALUE"""),1999.2)</f>
        <v>1999.2</v>
      </c>
    </row>
    <row r="1254">
      <c r="A1254" s="2" t="str">
        <f>IFERROR(__xludf.DUMMYFUNCTION("""COMPUTED_VALUE"""),"PR053")</f>
        <v>PR053</v>
      </c>
      <c r="B1254" s="2" t="str">
        <f>IFERROR(__xludf.DUMMYFUNCTION("""COMPUTED_VALUE"""),"VD041")</f>
        <v>VD041</v>
      </c>
      <c r="C1254" s="2">
        <f>IFERROR(__xludf.DUMMYFUNCTION("""COMPUTED_VALUE"""),1.0)</f>
        <v>1</v>
      </c>
      <c r="D1254" s="2">
        <f>IFERROR(__xludf.DUMMYFUNCTION("""COMPUTED_VALUE"""),54.39)</f>
        <v>54.39</v>
      </c>
    </row>
    <row r="1255">
      <c r="A1255" s="2" t="str">
        <f>IFERROR(__xludf.DUMMYFUNCTION("""COMPUTED_VALUE"""),"PR016")</f>
        <v>PR016</v>
      </c>
      <c r="B1255" s="2" t="str">
        <f>IFERROR(__xludf.DUMMYFUNCTION("""COMPUTED_VALUE"""),"VD042")</f>
        <v>VD042</v>
      </c>
      <c r="C1255" s="2">
        <f>IFERROR(__xludf.DUMMYFUNCTION("""COMPUTED_VALUE"""),6.0)</f>
        <v>6</v>
      </c>
      <c r="D1255" s="2">
        <f>IFERROR(__xludf.DUMMYFUNCTION("""COMPUTED_VALUE"""),166.28)</f>
        <v>166.28</v>
      </c>
    </row>
    <row r="1256">
      <c r="A1256" s="2" t="str">
        <f>IFERROR(__xludf.DUMMYFUNCTION("""COMPUTED_VALUE"""),"PR016")</f>
        <v>PR016</v>
      </c>
      <c r="B1256" s="2" t="str">
        <f>IFERROR(__xludf.DUMMYFUNCTION("""COMPUTED_VALUE"""),"VD048")</f>
        <v>VD048</v>
      </c>
      <c r="C1256" s="2">
        <f>IFERROR(__xludf.DUMMYFUNCTION("""COMPUTED_VALUE"""),5.0)</f>
        <v>5</v>
      </c>
      <c r="D1256" s="2">
        <f>IFERROR(__xludf.DUMMYFUNCTION("""COMPUTED_VALUE"""),132.09)</f>
        <v>132.09</v>
      </c>
    </row>
    <row r="1257">
      <c r="A1257" s="2" t="str">
        <f>IFERROR(__xludf.DUMMYFUNCTION("""COMPUTED_VALUE"""),"PR002")</f>
        <v>PR002</v>
      </c>
      <c r="B1257" s="2" t="str">
        <f>IFERROR(__xludf.DUMMYFUNCTION("""COMPUTED_VALUE"""),"VD025")</f>
        <v>VD025</v>
      </c>
      <c r="C1257" s="2">
        <f>IFERROR(__xludf.DUMMYFUNCTION("""COMPUTED_VALUE"""),18.0)</f>
        <v>18</v>
      </c>
      <c r="D1257" s="2">
        <f>IFERROR(__xludf.DUMMYFUNCTION("""COMPUTED_VALUE"""),1295.95)</f>
        <v>1295.95</v>
      </c>
    </row>
    <row r="1258">
      <c r="A1258" s="2" t="str">
        <f>IFERROR(__xludf.DUMMYFUNCTION("""COMPUTED_VALUE"""),"PR039")</f>
        <v>PR039</v>
      </c>
      <c r="B1258" s="2" t="str">
        <f>IFERROR(__xludf.DUMMYFUNCTION("""COMPUTED_VALUE"""),"VD046")</f>
        <v>VD046</v>
      </c>
      <c r="C1258" s="2">
        <f>IFERROR(__xludf.DUMMYFUNCTION("""COMPUTED_VALUE"""),8.0)</f>
        <v>8</v>
      </c>
      <c r="D1258" s="2">
        <f>IFERROR(__xludf.DUMMYFUNCTION("""COMPUTED_VALUE"""),1214.72)</f>
        <v>1214.72</v>
      </c>
    </row>
    <row r="1259">
      <c r="A1259" s="2" t="str">
        <f>IFERROR(__xludf.DUMMYFUNCTION("""COMPUTED_VALUE"""),"PR020")</f>
        <v>PR020</v>
      </c>
      <c r="B1259" s="2" t="str">
        <f>IFERROR(__xludf.DUMMYFUNCTION("""COMPUTED_VALUE"""),"VD017")</f>
        <v>VD017</v>
      </c>
      <c r="C1259" s="2">
        <f>IFERROR(__xludf.DUMMYFUNCTION("""COMPUTED_VALUE"""),8.0)</f>
        <v>8</v>
      </c>
      <c r="D1259" s="2">
        <f>IFERROR(__xludf.DUMMYFUNCTION("""COMPUTED_VALUE"""),2423.19)</f>
        <v>2423.19</v>
      </c>
    </row>
    <row r="1260">
      <c r="A1260" s="2" t="str">
        <f>IFERROR(__xludf.DUMMYFUNCTION("""COMPUTED_VALUE"""),"PR050")</f>
        <v>PR050</v>
      </c>
      <c r="B1260" s="2" t="str">
        <f>IFERROR(__xludf.DUMMYFUNCTION("""COMPUTED_VALUE"""),"VD028")</f>
        <v>VD028</v>
      </c>
      <c r="C1260" s="2">
        <f>IFERROR(__xludf.DUMMYFUNCTION("""COMPUTED_VALUE"""),10.0)</f>
        <v>10</v>
      </c>
      <c r="D1260" s="2">
        <f>IFERROR(__xludf.DUMMYFUNCTION("""COMPUTED_VALUE"""),345.45)</f>
        <v>345.45</v>
      </c>
    </row>
    <row r="1261">
      <c r="A1261" s="2" t="str">
        <f>IFERROR(__xludf.DUMMYFUNCTION("""COMPUTED_VALUE"""),"PR018")</f>
        <v>PR018</v>
      </c>
      <c r="B1261" s="2" t="str">
        <f>IFERROR(__xludf.DUMMYFUNCTION("""COMPUTED_VALUE"""),"VD044")</f>
        <v>VD044</v>
      </c>
      <c r="C1261" s="2">
        <f>IFERROR(__xludf.DUMMYFUNCTION("""COMPUTED_VALUE"""),2.0)</f>
        <v>2</v>
      </c>
      <c r="D1261" s="2">
        <f>IFERROR(__xludf.DUMMYFUNCTION("""COMPUTED_VALUE"""),67.12)</f>
        <v>67.12</v>
      </c>
    </row>
    <row r="1262">
      <c r="A1262" s="2" t="str">
        <f>IFERROR(__xludf.DUMMYFUNCTION("""COMPUTED_VALUE"""),"PR013")</f>
        <v>PR013</v>
      </c>
      <c r="B1262" s="2" t="str">
        <f>IFERROR(__xludf.DUMMYFUNCTION("""COMPUTED_VALUE"""),"VD035")</f>
        <v>VD035</v>
      </c>
      <c r="C1262" s="2">
        <f>IFERROR(__xludf.DUMMYFUNCTION("""COMPUTED_VALUE"""),9.0)</f>
        <v>9</v>
      </c>
      <c r="D1262" s="2">
        <f>IFERROR(__xludf.DUMMYFUNCTION("""COMPUTED_VALUE"""),395.01)</f>
        <v>395.01</v>
      </c>
    </row>
    <row r="1263">
      <c r="A1263" s="2" t="str">
        <f>IFERROR(__xludf.DUMMYFUNCTION("""COMPUTED_VALUE"""),"PR059")</f>
        <v>PR059</v>
      </c>
      <c r="B1263" s="2" t="str">
        <f>IFERROR(__xludf.DUMMYFUNCTION("""COMPUTED_VALUE"""),"VD047")</f>
        <v>VD047</v>
      </c>
      <c r="C1263" s="2">
        <f>IFERROR(__xludf.DUMMYFUNCTION("""COMPUTED_VALUE"""),12.0)</f>
        <v>12</v>
      </c>
      <c r="D1263" s="2">
        <f>IFERROR(__xludf.DUMMYFUNCTION("""COMPUTED_VALUE"""),2311.2)</f>
        <v>2311.2</v>
      </c>
    </row>
    <row r="1264">
      <c r="A1264" s="2" t="str">
        <f>IFERROR(__xludf.DUMMYFUNCTION("""COMPUTED_VALUE"""),"PR027")</f>
        <v>PR027</v>
      </c>
      <c r="B1264" s="2" t="str">
        <f>IFERROR(__xludf.DUMMYFUNCTION("""COMPUTED_VALUE"""),"VD026")</f>
        <v>VD026</v>
      </c>
      <c r="C1264" s="2">
        <f>IFERROR(__xludf.DUMMYFUNCTION("""COMPUTED_VALUE"""),1.0)</f>
        <v>1</v>
      </c>
      <c r="D1264" s="2">
        <f>IFERROR(__xludf.DUMMYFUNCTION("""COMPUTED_VALUE"""),127.2)</f>
        <v>127.2</v>
      </c>
    </row>
    <row r="1265">
      <c r="A1265" s="2" t="str">
        <f>IFERROR(__xludf.DUMMYFUNCTION("""COMPUTED_VALUE"""),"PR011")</f>
        <v>PR011</v>
      </c>
      <c r="B1265" s="2" t="str">
        <f>IFERROR(__xludf.DUMMYFUNCTION("""COMPUTED_VALUE"""),"VD026")</f>
        <v>VD026</v>
      </c>
      <c r="C1265" s="2">
        <f>IFERROR(__xludf.DUMMYFUNCTION("""COMPUTED_VALUE"""),6.0)</f>
        <v>6</v>
      </c>
      <c r="D1265" s="2">
        <f>IFERROR(__xludf.DUMMYFUNCTION("""COMPUTED_VALUE"""),284.21)</f>
        <v>284.21</v>
      </c>
    </row>
    <row r="1266">
      <c r="A1266" s="2" t="str">
        <f>IFERROR(__xludf.DUMMYFUNCTION("""COMPUTED_VALUE"""),"PR017")</f>
        <v>PR017</v>
      </c>
      <c r="B1266" s="2" t="str">
        <f>IFERROR(__xludf.DUMMYFUNCTION("""COMPUTED_VALUE"""),"VD033")</f>
        <v>VD033</v>
      </c>
      <c r="C1266" s="2">
        <f>IFERROR(__xludf.DUMMYFUNCTION("""COMPUTED_VALUE"""),6.0)</f>
        <v>6</v>
      </c>
      <c r="D1266" s="2">
        <f>IFERROR(__xludf.DUMMYFUNCTION("""COMPUTED_VALUE"""),188.37)</f>
        <v>188.37</v>
      </c>
    </row>
    <row r="1267">
      <c r="A1267" s="2" t="str">
        <f>IFERROR(__xludf.DUMMYFUNCTION("""COMPUTED_VALUE"""),"PR003")</f>
        <v>PR003</v>
      </c>
      <c r="B1267" s="2" t="str">
        <f>IFERROR(__xludf.DUMMYFUNCTION("""COMPUTED_VALUE"""),"VD015")</f>
        <v>VD015</v>
      </c>
      <c r="C1267" s="2">
        <f>IFERROR(__xludf.DUMMYFUNCTION("""COMPUTED_VALUE"""),3.0)</f>
        <v>3</v>
      </c>
      <c r="D1267" s="2">
        <f>IFERROR(__xludf.DUMMYFUNCTION("""COMPUTED_VALUE"""),212.7)</f>
        <v>212.7</v>
      </c>
    </row>
    <row r="1268">
      <c r="A1268" s="2" t="str">
        <f>IFERROR(__xludf.DUMMYFUNCTION("""COMPUTED_VALUE"""),"PR017")</f>
        <v>PR017</v>
      </c>
      <c r="B1268" s="2" t="str">
        <f>IFERROR(__xludf.DUMMYFUNCTION("""COMPUTED_VALUE"""),"VD017")</f>
        <v>VD017</v>
      </c>
      <c r="C1268" s="2">
        <f>IFERROR(__xludf.DUMMYFUNCTION("""COMPUTED_VALUE"""),10.0)</f>
        <v>10</v>
      </c>
      <c r="D1268" s="2">
        <f>IFERROR(__xludf.DUMMYFUNCTION("""COMPUTED_VALUE"""),307.97)</f>
        <v>307.97</v>
      </c>
    </row>
    <row r="1269">
      <c r="A1269" s="2" t="str">
        <f>IFERROR(__xludf.DUMMYFUNCTION("""COMPUTED_VALUE"""),"PR011")</f>
        <v>PR011</v>
      </c>
      <c r="B1269" s="2" t="str">
        <f>IFERROR(__xludf.DUMMYFUNCTION("""COMPUTED_VALUE"""),"VD037")</f>
        <v>VD037</v>
      </c>
      <c r="C1269" s="2">
        <f>IFERROR(__xludf.DUMMYFUNCTION("""COMPUTED_VALUE"""),10.0)</f>
        <v>10</v>
      </c>
      <c r="D1269" s="2">
        <f>IFERROR(__xludf.DUMMYFUNCTION("""COMPUTED_VALUE"""),492.45)</f>
        <v>492.45</v>
      </c>
    </row>
    <row r="1270">
      <c r="A1270" s="2" t="str">
        <f>IFERROR(__xludf.DUMMYFUNCTION("""COMPUTED_VALUE"""),"PR031")</f>
        <v>PR031</v>
      </c>
      <c r="B1270" s="2" t="str">
        <f>IFERROR(__xludf.DUMMYFUNCTION("""COMPUTED_VALUE"""),"VD024")</f>
        <v>VD024</v>
      </c>
      <c r="C1270" s="2">
        <f>IFERROR(__xludf.DUMMYFUNCTION("""COMPUTED_VALUE"""),4.0)</f>
        <v>4</v>
      </c>
      <c r="D1270" s="2">
        <f>IFERROR(__xludf.DUMMYFUNCTION("""COMPUTED_VALUE"""),1019.2)</f>
        <v>1019.2</v>
      </c>
    </row>
    <row r="1271">
      <c r="A1271" s="2" t="str">
        <f>IFERROR(__xludf.DUMMYFUNCTION("""COMPUTED_VALUE"""),"PR011")</f>
        <v>PR011</v>
      </c>
      <c r="B1271" s="2" t="str">
        <f>IFERROR(__xludf.DUMMYFUNCTION("""COMPUTED_VALUE"""),"VD030")</f>
        <v>VD030</v>
      </c>
      <c r="C1271" s="2">
        <f>IFERROR(__xludf.DUMMYFUNCTION("""COMPUTED_VALUE"""),16.0)</f>
        <v>16</v>
      </c>
      <c r="D1271" s="2">
        <f>IFERROR(__xludf.DUMMYFUNCTION("""COMPUTED_VALUE"""),825.44)</f>
        <v>825.44</v>
      </c>
    </row>
    <row r="1272">
      <c r="A1272" s="2" t="str">
        <f>IFERROR(__xludf.DUMMYFUNCTION("""COMPUTED_VALUE"""),"PR035")</f>
        <v>PR035</v>
      </c>
      <c r="B1272" s="2" t="str">
        <f>IFERROR(__xludf.DUMMYFUNCTION("""COMPUTED_VALUE"""),"VD025")</f>
        <v>VD025</v>
      </c>
      <c r="C1272" s="2">
        <f>IFERROR(__xludf.DUMMYFUNCTION("""COMPUTED_VALUE"""),9.0)</f>
        <v>9</v>
      </c>
      <c r="D1272" s="2">
        <f>IFERROR(__xludf.DUMMYFUNCTION("""COMPUTED_VALUE"""),888.41)</f>
        <v>888.41</v>
      </c>
    </row>
    <row r="1273">
      <c r="A1273" s="2" t="str">
        <f>IFERROR(__xludf.DUMMYFUNCTION("""COMPUTED_VALUE"""),"PR043")</f>
        <v>PR043</v>
      </c>
      <c r="B1273" s="2" t="str">
        <f>IFERROR(__xludf.DUMMYFUNCTION("""COMPUTED_VALUE"""),"VD030")</f>
        <v>VD030</v>
      </c>
      <c r="C1273" s="2">
        <f>IFERROR(__xludf.DUMMYFUNCTION("""COMPUTED_VALUE"""),20.0)</f>
        <v>20</v>
      </c>
      <c r="D1273" s="2">
        <f>IFERROR(__xludf.DUMMYFUNCTION("""COMPUTED_VALUE"""),1464.5)</f>
        <v>1464.5</v>
      </c>
    </row>
    <row r="1274">
      <c r="A1274" s="2" t="str">
        <f>IFERROR(__xludf.DUMMYFUNCTION("""COMPUTED_VALUE"""),"PR060")</f>
        <v>PR060</v>
      </c>
      <c r="B1274" s="2" t="str">
        <f>IFERROR(__xludf.DUMMYFUNCTION("""COMPUTED_VALUE"""),"VD017")</f>
        <v>VD017</v>
      </c>
      <c r="C1274" s="2">
        <f>IFERROR(__xludf.DUMMYFUNCTION("""COMPUTED_VALUE"""),7.0)</f>
        <v>7</v>
      </c>
      <c r="D1274" s="2">
        <f>IFERROR(__xludf.DUMMYFUNCTION("""COMPUTED_VALUE"""),1373.4)</f>
        <v>1373.4</v>
      </c>
    </row>
    <row r="1275">
      <c r="A1275" s="2" t="str">
        <f>IFERROR(__xludf.DUMMYFUNCTION("""COMPUTED_VALUE"""),"PR026")</f>
        <v>PR026</v>
      </c>
      <c r="B1275" s="2" t="str">
        <f>IFERROR(__xludf.DUMMYFUNCTION("""COMPUTED_VALUE"""),"VD049")</f>
        <v>VD049</v>
      </c>
      <c r="C1275" s="2">
        <f>IFERROR(__xludf.DUMMYFUNCTION("""COMPUTED_VALUE"""),14.0)</f>
        <v>14</v>
      </c>
      <c r="D1275" s="2">
        <f>IFERROR(__xludf.DUMMYFUNCTION("""COMPUTED_VALUE"""),5094.54)</f>
        <v>5094.54</v>
      </c>
    </row>
    <row r="1276">
      <c r="A1276" s="2" t="str">
        <f>IFERROR(__xludf.DUMMYFUNCTION("""COMPUTED_VALUE"""),"PR040")</f>
        <v>PR040</v>
      </c>
      <c r="B1276" s="2" t="str">
        <f>IFERROR(__xludf.DUMMYFUNCTION("""COMPUTED_VALUE"""),"VD026")</f>
        <v>VD026</v>
      </c>
      <c r="C1276" s="2">
        <f>IFERROR(__xludf.DUMMYFUNCTION("""COMPUTED_VALUE"""),1.0)</f>
        <v>1</v>
      </c>
      <c r="D1276" s="2">
        <f>IFERROR(__xludf.DUMMYFUNCTION("""COMPUTED_VALUE"""),74.2)</f>
        <v>74.2</v>
      </c>
    </row>
    <row r="1277">
      <c r="A1277" s="2" t="str">
        <f>IFERROR(__xludf.DUMMYFUNCTION("""COMPUTED_VALUE"""),"PR029")</f>
        <v>PR029</v>
      </c>
      <c r="B1277" s="2" t="str">
        <f>IFERROR(__xludf.DUMMYFUNCTION("""COMPUTED_VALUE"""),"VD024")</f>
        <v>VD024</v>
      </c>
      <c r="C1277" s="2">
        <f>IFERROR(__xludf.DUMMYFUNCTION("""COMPUTED_VALUE"""),9.0)</f>
        <v>9</v>
      </c>
      <c r="D1277" s="2">
        <f>IFERROR(__xludf.DUMMYFUNCTION("""COMPUTED_VALUE"""),2363.85)</f>
        <v>2363.85</v>
      </c>
    </row>
    <row r="1278">
      <c r="A1278" s="2" t="str">
        <f>IFERROR(__xludf.DUMMYFUNCTION("""COMPUTED_VALUE"""),"PR002")</f>
        <v>PR002</v>
      </c>
      <c r="B1278" s="2" t="str">
        <f>IFERROR(__xludf.DUMMYFUNCTION("""COMPUTED_VALUE"""),"VD040")</f>
        <v>VD040</v>
      </c>
      <c r="C1278" s="2">
        <f>IFERROR(__xludf.DUMMYFUNCTION("""COMPUTED_VALUE"""),8.0)</f>
        <v>8</v>
      </c>
      <c r="D1278" s="2">
        <f>IFERROR(__xludf.DUMMYFUNCTION("""COMPUTED_VALUE"""),570.38)</f>
        <v>570.38</v>
      </c>
    </row>
    <row r="1279">
      <c r="A1279" s="2" t="str">
        <f>IFERROR(__xludf.DUMMYFUNCTION("""COMPUTED_VALUE"""),"PR016")</f>
        <v>PR016</v>
      </c>
      <c r="B1279" s="2" t="str">
        <f>IFERROR(__xludf.DUMMYFUNCTION("""COMPUTED_VALUE"""),"VD026")</f>
        <v>VD026</v>
      </c>
      <c r="C1279" s="2">
        <f>IFERROR(__xludf.DUMMYFUNCTION("""COMPUTED_VALUE"""),10.0)</f>
        <v>10</v>
      </c>
      <c r="D1279" s="2">
        <f>IFERROR(__xludf.DUMMYFUNCTION("""COMPUTED_VALUE"""),259.0)</f>
        <v>259</v>
      </c>
    </row>
    <row r="1280">
      <c r="A1280" s="2" t="str">
        <f>IFERROR(__xludf.DUMMYFUNCTION("""COMPUTED_VALUE"""),"PR018")</f>
        <v>PR018</v>
      </c>
      <c r="B1280" s="2" t="str">
        <f>IFERROR(__xludf.DUMMYFUNCTION("""COMPUTED_VALUE"""),"VD029")</f>
        <v>VD029</v>
      </c>
      <c r="C1280" s="2">
        <f>IFERROR(__xludf.DUMMYFUNCTION("""COMPUTED_VALUE"""),9.0)</f>
        <v>9</v>
      </c>
      <c r="D1280" s="2">
        <f>IFERROR(__xludf.DUMMYFUNCTION("""COMPUTED_VALUE"""),307.94)</f>
        <v>307.94</v>
      </c>
    </row>
    <row r="1281">
      <c r="A1281" s="2" t="str">
        <f>IFERROR(__xludf.DUMMYFUNCTION("""COMPUTED_VALUE"""),"PR021")</f>
        <v>PR021</v>
      </c>
      <c r="B1281" s="2" t="str">
        <f>IFERROR(__xludf.DUMMYFUNCTION("""COMPUTED_VALUE"""),"VD010")</f>
        <v>VD010</v>
      </c>
      <c r="C1281" s="2">
        <f>IFERROR(__xludf.DUMMYFUNCTION("""COMPUTED_VALUE"""),3.0)</f>
        <v>3</v>
      </c>
      <c r="D1281" s="2">
        <f>IFERROR(__xludf.DUMMYFUNCTION("""COMPUTED_VALUE"""),935.96)</f>
        <v>935.96</v>
      </c>
    </row>
    <row r="1282">
      <c r="A1282" s="2" t="str">
        <f>IFERROR(__xludf.DUMMYFUNCTION("""COMPUTED_VALUE"""),"PR004")</f>
        <v>PR004</v>
      </c>
      <c r="B1282" s="2" t="str">
        <f>IFERROR(__xludf.DUMMYFUNCTION("""COMPUTED_VALUE"""),"VD041")</f>
        <v>VD041</v>
      </c>
      <c r="C1282" s="2">
        <f>IFERROR(__xludf.DUMMYFUNCTION("""COMPUTED_VALUE"""),12.0)</f>
        <v>12</v>
      </c>
      <c r="D1282" s="2">
        <f>IFERROR(__xludf.DUMMYFUNCTION("""COMPUTED_VALUE"""),1809.6)</f>
        <v>1809.6</v>
      </c>
    </row>
    <row r="1283">
      <c r="A1283" s="2" t="str">
        <f>IFERROR(__xludf.DUMMYFUNCTION("""COMPUTED_VALUE"""),"PR044")</f>
        <v>PR044</v>
      </c>
      <c r="B1283" s="2" t="str">
        <f>IFERROR(__xludf.DUMMYFUNCTION("""COMPUTED_VALUE"""),"VD039")</f>
        <v>VD039</v>
      </c>
      <c r="C1283" s="2">
        <f>IFERROR(__xludf.DUMMYFUNCTION("""COMPUTED_VALUE"""),5.0)</f>
        <v>5</v>
      </c>
      <c r="D1283" s="2">
        <f>IFERROR(__xludf.DUMMYFUNCTION("""COMPUTED_VALUE"""),387.88)</f>
        <v>387.88</v>
      </c>
    </row>
    <row r="1284">
      <c r="A1284" s="2" t="str">
        <f>IFERROR(__xludf.DUMMYFUNCTION("""COMPUTED_VALUE"""),"PR028")</f>
        <v>PR028</v>
      </c>
      <c r="B1284" s="2" t="str">
        <f>IFERROR(__xludf.DUMMYFUNCTION("""COMPUTED_VALUE"""),"VD026")</f>
        <v>VD026</v>
      </c>
      <c r="C1284" s="2">
        <f>IFERROR(__xludf.DUMMYFUNCTION("""COMPUTED_VALUE"""),1.0)</f>
        <v>1</v>
      </c>
      <c r="D1284" s="2">
        <f>IFERROR(__xludf.DUMMYFUNCTION("""COMPUTED_VALUE"""),259.9)</f>
        <v>259.9</v>
      </c>
    </row>
    <row r="1285">
      <c r="A1285" s="2" t="str">
        <f>IFERROR(__xludf.DUMMYFUNCTION("""COMPUTED_VALUE"""),"PR024")</f>
        <v>PR024</v>
      </c>
      <c r="B1285" s="2" t="str">
        <f>IFERROR(__xludf.DUMMYFUNCTION("""COMPUTED_VALUE"""),"VD036")</f>
        <v>VD036</v>
      </c>
      <c r="C1285" s="2">
        <f>IFERROR(__xludf.DUMMYFUNCTION("""COMPUTED_VALUE"""),2.0)</f>
        <v>2</v>
      </c>
      <c r="D1285" s="2">
        <f>IFERROR(__xludf.DUMMYFUNCTION("""COMPUTED_VALUE"""),540.59)</f>
        <v>540.59</v>
      </c>
    </row>
    <row r="1286">
      <c r="A1286" s="2" t="str">
        <f>IFERROR(__xludf.DUMMYFUNCTION("""COMPUTED_VALUE"""),"PR004")</f>
        <v>PR004</v>
      </c>
      <c r="B1286" s="2" t="str">
        <f>IFERROR(__xludf.DUMMYFUNCTION("""COMPUTED_VALUE"""),"VD020")</f>
        <v>VD020</v>
      </c>
      <c r="C1286" s="2">
        <f>IFERROR(__xludf.DUMMYFUNCTION("""COMPUTED_VALUE"""),10.0)</f>
        <v>10</v>
      </c>
      <c r="D1286" s="2">
        <f>IFERROR(__xludf.DUMMYFUNCTION("""COMPUTED_VALUE"""),1464.5)</f>
        <v>1464.5</v>
      </c>
    </row>
    <row r="1287">
      <c r="A1287" s="2" t="str">
        <f>IFERROR(__xludf.DUMMYFUNCTION("""COMPUTED_VALUE"""),"PR004")</f>
        <v>PR004</v>
      </c>
      <c r="B1287" s="2" t="str">
        <f>IFERROR(__xludf.DUMMYFUNCTION("""COMPUTED_VALUE"""),"VD011")</f>
        <v>VD011</v>
      </c>
      <c r="C1287" s="2">
        <f>IFERROR(__xludf.DUMMYFUNCTION("""COMPUTED_VALUE"""),16.0)</f>
        <v>16</v>
      </c>
      <c r="D1287" s="2">
        <f>IFERROR(__xludf.DUMMYFUNCTION("""COMPUTED_VALUE"""),2528.8)</f>
        <v>2528.8</v>
      </c>
    </row>
    <row r="1288">
      <c r="A1288" s="2" t="str">
        <f>IFERROR(__xludf.DUMMYFUNCTION("""COMPUTED_VALUE"""),"PR007")</f>
        <v>PR007</v>
      </c>
      <c r="B1288" s="2" t="str">
        <f>IFERROR(__xludf.DUMMYFUNCTION("""COMPUTED_VALUE"""),"VD023")</f>
        <v>VD023</v>
      </c>
      <c r="C1288" s="2">
        <f>IFERROR(__xludf.DUMMYFUNCTION("""COMPUTED_VALUE"""),4.0)</f>
        <v>4</v>
      </c>
      <c r="D1288" s="2">
        <f>IFERROR(__xludf.DUMMYFUNCTION("""COMPUTED_VALUE"""),343.6)</f>
        <v>343.6</v>
      </c>
    </row>
    <row r="1289">
      <c r="A1289" s="2" t="str">
        <f>IFERROR(__xludf.DUMMYFUNCTION("""COMPUTED_VALUE"""),"PR020")</f>
        <v>PR020</v>
      </c>
      <c r="B1289" s="2" t="str">
        <f>IFERROR(__xludf.DUMMYFUNCTION("""COMPUTED_VALUE"""),"VD015")</f>
        <v>VD015</v>
      </c>
      <c r="C1289" s="2">
        <f>IFERROR(__xludf.DUMMYFUNCTION("""COMPUTED_VALUE"""),18.0)</f>
        <v>18</v>
      </c>
      <c r="D1289" s="2">
        <f>IFERROR(__xludf.DUMMYFUNCTION("""COMPUTED_VALUE"""),5830.06)</f>
        <v>5830.06</v>
      </c>
    </row>
    <row r="1290">
      <c r="A1290" s="2" t="str">
        <f>IFERROR(__xludf.DUMMYFUNCTION("""COMPUTED_VALUE"""),"PR051")</f>
        <v>PR051</v>
      </c>
      <c r="B1290" s="2" t="str">
        <f>IFERROR(__xludf.DUMMYFUNCTION("""COMPUTED_VALUE"""),"VD046")</f>
        <v>VD046</v>
      </c>
      <c r="C1290" s="2">
        <f>IFERROR(__xludf.DUMMYFUNCTION("""COMPUTED_VALUE"""),6.0)</f>
        <v>6</v>
      </c>
      <c r="D1290" s="2">
        <f>IFERROR(__xludf.DUMMYFUNCTION("""COMPUTED_VALUE"""),213.19)</f>
        <v>213.19</v>
      </c>
    </row>
    <row r="1291">
      <c r="A1291" s="2" t="str">
        <f>IFERROR(__xludf.DUMMYFUNCTION("""COMPUTED_VALUE"""),"PR057")</f>
        <v>PR057</v>
      </c>
      <c r="B1291" s="2" t="str">
        <f>IFERROR(__xludf.DUMMYFUNCTION("""COMPUTED_VALUE"""),"VD017")</f>
        <v>VD017</v>
      </c>
      <c r="C1291" s="2">
        <f>IFERROR(__xludf.DUMMYFUNCTION("""COMPUTED_VALUE"""),5.0)</f>
        <v>5</v>
      </c>
      <c r="D1291" s="2">
        <f>IFERROR(__xludf.DUMMYFUNCTION("""COMPUTED_VALUE"""),454.0)</f>
        <v>454</v>
      </c>
    </row>
    <row r="1292">
      <c r="A1292" s="2" t="str">
        <f>IFERROR(__xludf.DUMMYFUNCTION("""COMPUTED_VALUE"""),"PR035")</f>
        <v>PR035</v>
      </c>
      <c r="B1292" s="2" t="str">
        <f>IFERROR(__xludf.DUMMYFUNCTION("""COMPUTED_VALUE"""),"VD017")</f>
        <v>VD017</v>
      </c>
      <c r="C1292" s="2">
        <f>IFERROR(__xludf.DUMMYFUNCTION("""COMPUTED_VALUE"""),12.0)</f>
        <v>12</v>
      </c>
      <c r="D1292" s="2">
        <f>IFERROR(__xludf.DUMMYFUNCTION("""COMPUTED_VALUE"""),1173.58)</f>
        <v>1173.58</v>
      </c>
    </row>
    <row r="1293">
      <c r="A1293" s="2" t="str">
        <f>IFERROR(__xludf.DUMMYFUNCTION("""COMPUTED_VALUE"""),"PR049")</f>
        <v>PR049</v>
      </c>
      <c r="B1293" s="2" t="str">
        <f>IFERROR(__xludf.DUMMYFUNCTION("""COMPUTED_VALUE"""),"VD023")</f>
        <v>VD023</v>
      </c>
      <c r="C1293" s="2">
        <f>IFERROR(__xludf.DUMMYFUNCTION("""COMPUTED_VALUE"""),9.0)</f>
        <v>9</v>
      </c>
      <c r="D1293" s="2">
        <f>IFERROR(__xludf.DUMMYFUNCTION("""COMPUTED_VALUE"""),302.02)</f>
        <v>302.02</v>
      </c>
    </row>
    <row r="1294">
      <c r="A1294" s="2" t="str">
        <f>IFERROR(__xludf.DUMMYFUNCTION("""COMPUTED_VALUE"""),"PR054")</f>
        <v>PR054</v>
      </c>
      <c r="B1294" s="2" t="str">
        <f>IFERROR(__xludf.DUMMYFUNCTION("""COMPUTED_VALUE"""),"VD036")</f>
        <v>VD036</v>
      </c>
      <c r="C1294" s="2">
        <f>IFERROR(__xludf.DUMMYFUNCTION("""COMPUTED_VALUE"""),18.0)</f>
        <v>18</v>
      </c>
      <c r="D1294" s="2">
        <f>IFERROR(__xludf.DUMMYFUNCTION("""COMPUTED_VALUE"""),952.09)</f>
        <v>952.09</v>
      </c>
    </row>
    <row r="1295">
      <c r="A1295" s="2" t="str">
        <f>IFERROR(__xludf.DUMMYFUNCTION("""COMPUTED_VALUE"""),"PR056")</f>
        <v>PR056</v>
      </c>
      <c r="B1295" s="2" t="str">
        <f>IFERROR(__xludf.DUMMYFUNCTION("""COMPUTED_VALUE"""),"VD032")</f>
        <v>VD032</v>
      </c>
      <c r="C1295" s="2">
        <f>IFERROR(__xludf.DUMMYFUNCTION("""COMPUTED_VALUE"""),2.0)</f>
        <v>2</v>
      </c>
      <c r="D1295" s="2">
        <f>IFERROR(__xludf.DUMMYFUNCTION("""COMPUTED_VALUE"""),188.79)</f>
        <v>188.79</v>
      </c>
    </row>
    <row r="1296">
      <c r="A1296" s="2" t="str">
        <f>IFERROR(__xludf.DUMMYFUNCTION("""COMPUTED_VALUE"""),"PR055")</f>
        <v>PR055</v>
      </c>
      <c r="B1296" s="2" t="str">
        <f>IFERROR(__xludf.DUMMYFUNCTION("""COMPUTED_VALUE"""),"VD025")</f>
        <v>VD025</v>
      </c>
      <c r="C1296" s="2">
        <f>IFERROR(__xludf.DUMMYFUNCTION("""COMPUTED_VALUE"""),1.0)</f>
        <v>1</v>
      </c>
      <c r="D1296" s="2">
        <f>IFERROR(__xludf.DUMMYFUNCTION("""COMPUTED_VALUE"""),89.9)</f>
        <v>89.9</v>
      </c>
    </row>
    <row r="1297">
      <c r="A1297" s="2" t="str">
        <f>IFERROR(__xludf.DUMMYFUNCTION("""COMPUTED_VALUE"""),"PR027")</f>
        <v>PR027</v>
      </c>
      <c r="B1297" s="2" t="str">
        <f>IFERROR(__xludf.DUMMYFUNCTION("""COMPUTED_VALUE"""),"VD021")</f>
        <v>VD021</v>
      </c>
      <c r="C1297" s="2">
        <f>IFERROR(__xludf.DUMMYFUNCTION("""COMPUTED_VALUE"""),12.0)</f>
        <v>12</v>
      </c>
      <c r="D1297" s="2">
        <f>IFERROR(__xludf.DUMMYFUNCTION("""COMPUTED_VALUE"""),1555.2)</f>
        <v>1555.2</v>
      </c>
    </row>
    <row r="1298">
      <c r="A1298" s="2" t="str">
        <f>IFERROR(__xludf.DUMMYFUNCTION("""COMPUTED_VALUE"""),"PR013")</f>
        <v>PR013</v>
      </c>
      <c r="B1298" s="2" t="str">
        <f>IFERROR(__xludf.DUMMYFUNCTION("""COMPUTED_VALUE"""),"VD044")</f>
        <v>VD044</v>
      </c>
      <c r="C1298" s="2">
        <f>IFERROR(__xludf.DUMMYFUNCTION("""COMPUTED_VALUE"""),4.0)</f>
        <v>4</v>
      </c>
      <c r="D1298" s="2">
        <f>IFERROR(__xludf.DUMMYFUNCTION("""COMPUTED_VALUE"""),173.96)</f>
        <v>173.96</v>
      </c>
    </row>
    <row r="1299">
      <c r="A1299" s="2" t="str">
        <f>IFERROR(__xludf.DUMMYFUNCTION("""COMPUTED_VALUE"""),"PR050")</f>
        <v>PR050</v>
      </c>
      <c r="B1299" s="2" t="str">
        <f>IFERROR(__xludf.DUMMYFUNCTION("""COMPUTED_VALUE"""),"VD024")</f>
        <v>VD024</v>
      </c>
      <c r="C1299" s="2">
        <f>IFERROR(__xludf.DUMMYFUNCTION("""COMPUTED_VALUE"""),9.0)</f>
        <v>9</v>
      </c>
      <c r="D1299" s="2">
        <f>IFERROR(__xludf.DUMMYFUNCTION("""COMPUTED_VALUE"""),310.91)</f>
        <v>310.91</v>
      </c>
    </row>
    <row r="1300">
      <c r="A1300" s="2" t="str">
        <f>IFERROR(__xludf.DUMMYFUNCTION("""COMPUTED_VALUE"""),"PR036")</f>
        <v>PR036</v>
      </c>
      <c r="B1300" s="2" t="str">
        <f>IFERROR(__xludf.DUMMYFUNCTION("""COMPUTED_VALUE"""),"VD016")</f>
        <v>VD016</v>
      </c>
      <c r="C1300" s="2">
        <f>IFERROR(__xludf.DUMMYFUNCTION("""COMPUTED_VALUE"""),6.0)</f>
        <v>6</v>
      </c>
      <c r="D1300" s="2">
        <f>IFERROR(__xludf.DUMMYFUNCTION("""COMPUTED_VALUE"""),566.61)</f>
        <v>566.61</v>
      </c>
    </row>
    <row r="1301">
      <c r="A1301" s="2" t="str">
        <f>IFERROR(__xludf.DUMMYFUNCTION("""COMPUTED_VALUE"""),"PR005")</f>
        <v>PR005</v>
      </c>
      <c r="B1301" s="2" t="str">
        <f>IFERROR(__xludf.DUMMYFUNCTION("""COMPUTED_VALUE"""),"VD028")</f>
        <v>VD028</v>
      </c>
      <c r="C1301" s="2">
        <f>IFERROR(__xludf.DUMMYFUNCTION("""COMPUTED_VALUE"""),10.0)</f>
        <v>10</v>
      </c>
      <c r="D1301" s="2">
        <f>IFERROR(__xludf.DUMMYFUNCTION("""COMPUTED_VALUE"""),2832.91)</f>
        <v>2832.91</v>
      </c>
    </row>
    <row r="1302">
      <c r="A1302" s="2" t="str">
        <f>IFERROR(__xludf.DUMMYFUNCTION("""COMPUTED_VALUE"""),"PR032")</f>
        <v>PR032</v>
      </c>
      <c r="B1302" s="2" t="str">
        <f>IFERROR(__xludf.DUMMYFUNCTION("""COMPUTED_VALUE"""),"VD035")</f>
        <v>VD035</v>
      </c>
      <c r="C1302" s="2">
        <f>IFERROR(__xludf.DUMMYFUNCTION("""COMPUTED_VALUE"""),6.0)</f>
        <v>6</v>
      </c>
      <c r="D1302" s="2">
        <f>IFERROR(__xludf.DUMMYFUNCTION("""COMPUTED_VALUE"""),1605.0)</f>
        <v>1605</v>
      </c>
    </row>
    <row r="1303">
      <c r="A1303" s="2" t="str">
        <f>IFERROR(__xludf.DUMMYFUNCTION("""COMPUTED_VALUE"""),"PR002")</f>
        <v>PR002</v>
      </c>
      <c r="B1303" s="2" t="str">
        <f>IFERROR(__xludf.DUMMYFUNCTION("""COMPUTED_VALUE"""),"VD012")</f>
        <v>VD012</v>
      </c>
      <c r="C1303" s="2">
        <f>IFERROR(__xludf.DUMMYFUNCTION("""COMPUTED_VALUE"""),14.0)</f>
        <v>14</v>
      </c>
      <c r="D1303" s="2">
        <f>IFERROR(__xludf.DUMMYFUNCTION("""COMPUTED_VALUE"""),1037.32)</f>
        <v>1037.32</v>
      </c>
    </row>
    <row r="1304">
      <c r="A1304" s="2" t="str">
        <f>IFERROR(__xludf.DUMMYFUNCTION("""COMPUTED_VALUE"""),"PR015")</f>
        <v>PR015</v>
      </c>
      <c r="B1304" s="2" t="str">
        <f>IFERROR(__xludf.DUMMYFUNCTION("""COMPUTED_VALUE"""),"VD032")</f>
        <v>VD032</v>
      </c>
      <c r="C1304" s="2">
        <f>IFERROR(__xludf.DUMMYFUNCTION("""COMPUTED_VALUE"""),10.0)</f>
        <v>10</v>
      </c>
      <c r="D1304" s="2">
        <f>IFERROR(__xludf.DUMMYFUNCTION("""COMPUTED_VALUE"""),437.75)</f>
        <v>437.75</v>
      </c>
    </row>
    <row r="1305">
      <c r="A1305" s="2" t="str">
        <f>IFERROR(__xludf.DUMMYFUNCTION("""COMPUTED_VALUE"""),"PR038")</f>
        <v>PR038</v>
      </c>
      <c r="B1305" s="2" t="str">
        <f>IFERROR(__xludf.DUMMYFUNCTION("""COMPUTED_VALUE"""),"VD021")</f>
        <v>VD021</v>
      </c>
      <c r="C1305" s="2">
        <f>IFERROR(__xludf.DUMMYFUNCTION("""COMPUTED_VALUE"""),4.0)</f>
        <v>4</v>
      </c>
      <c r="D1305" s="2">
        <f>IFERROR(__xludf.DUMMYFUNCTION("""COMPUTED_VALUE"""),571.6)</f>
        <v>571.6</v>
      </c>
    </row>
    <row r="1306">
      <c r="A1306" s="2" t="str">
        <f>IFERROR(__xludf.DUMMYFUNCTION("""COMPUTED_VALUE"""),"PR043")</f>
        <v>PR043</v>
      </c>
      <c r="B1306" s="2" t="str">
        <f>IFERROR(__xludf.DUMMYFUNCTION("""COMPUTED_VALUE"""),"VD040")</f>
        <v>VD040</v>
      </c>
      <c r="C1306" s="2">
        <f>IFERROR(__xludf.DUMMYFUNCTION("""COMPUTED_VALUE"""),8.0)</f>
        <v>8</v>
      </c>
      <c r="D1306" s="2">
        <f>IFERROR(__xludf.DUMMYFUNCTION("""COMPUTED_VALUE"""),580.0)</f>
        <v>580</v>
      </c>
    </row>
    <row r="1307">
      <c r="A1307" s="2" t="str">
        <f>IFERROR(__xludf.DUMMYFUNCTION("""COMPUTED_VALUE"""),"PR060")</f>
        <v>PR060</v>
      </c>
      <c r="B1307" s="2" t="str">
        <f>IFERROR(__xludf.DUMMYFUNCTION("""COMPUTED_VALUE"""),"VD035")</f>
        <v>VD035</v>
      </c>
      <c r="C1307" s="2">
        <f>IFERROR(__xludf.DUMMYFUNCTION("""COMPUTED_VALUE"""),8.0)</f>
        <v>8</v>
      </c>
      <c r="D1307" s="2">
        <f>IFERROR(__xludf.DUMMYFUNCTION("""COMPUTED_VALUE"""),1440.0)</f>
        <v>1440</v>
      </c>
    </row>
    <row r="1308">
      <c r="A1308" s="2" t="str">
        <f>IFERROR(__xludf.DUMMYFUNCTION("""COMPUTED_VALUE"""),"PR056")</f>
        <v>PR056</v>
      </c>
      <c r="B1308" s="2" t="str">
        <f>IFERROR(__xludf.DUMMYFUNCTION("""COMPUTED_VALUE"""),"VD045")</f>
        <v>VD045</v>
      </c>
      <c r="C1308" s="2">
        <f>IFERROR(__xludf.DUMMYFUNCTION("""COMPUTED_VALUE"""),6.0)</f>
        <v>6</v>
      </c>
      <c r="D1308" s="2">
        <f>IFERROR(__xludf.DUMMYFUNCTION("""COMPUTED_VALUE"""),560.98)</f>
        <v>560.98</v>
      </c>
    </row>
    <row r="1309">
      <c r="A1309" s="2" t="str">
        <f>IFERROR(__xludf.DUMMYFUNCTION("""COMPUTED_VALUE"""),"PR053")</f>
        <v>PR053</v>
      </c>
      <c r="B1309" s="2" t="str">
        <f>IFERROR(__xludf.DUMMYFUNCTION("""COMPUTED_VALUE"""),"VD028")</f>
        <v>VD028</v>
      </c>
      <c r="C1309" s="2">
        <f>IFERROR(__xludf.DUMMYFUNCTION("""COMPUTED_VALUE"""),6.0)</f>
        <v>6</v>
      </c>
      <c r="D1309" s="2">
        <f>IFERROR(__xludf.DUMMYFUNCTION("""COMPUTED_VALUE"""),311.38)</f>
        <v>311.38</v>
      </c>
    </row>
    <row r="1310">
      <c r="A1310" s="2" t="str">
        <f>IFERROR(__xludf.DUMMYFUNCTION("""COMPUTED_VALUE"""),"PR015")</f>
        <v>PR015</v>
      </c>
      <c r="B1310" s="2" t="str">
        <f>IFERROR(__xludf.DUMMYFUNCTION("""COMPUTED_VALUE"""),"VD037")</f>
        <v>VD037</v>
      </c>
      <c r="C1310" s="2">
        <f>IFERROR(__xludf.DUMMYFUNCTION("""COMPUTED_VALUE"""),2.0)</f>
        <v>2</v>
      </c>
      <c r="D1310" s="2">
        <f>IFERROR(__xludf.DUMMYFUNCTION("""COMPUTED_VALUE"""),85.0)</f>
        <v>85</v>
      </c>
    </row>
    <row r="1311">
      <c r="A1311" s="2" t="str">
        <f>IFERROR(__xludf.DUMMYFUNCTION("""COMPUTED_VALUE"""),"PR044")</f>
        <v>PR044</v>
      </c>
      <c r="B1311" s="2" t="str">
        <f>IFERROR(__xludf.DUMMYFUNCTION("""COMPUTED_VALUE"""),"VD043")</f>
        <v>VD043</v>
      </c>
      <c r="C1311" s="2">
        <f>IFERROR(__xludf.DUMMYFUNCTION("""COMPUTED_VALUE"""),4.0)</f>
        <v>4</v>
      </c>
      <c r="D1311" s="2">
        <f>IFERROR(__xludf.DUMMYFUNCTION("""COMPUTED_VALUE"""),310.3)</f>
        <v>310.3</v>
      </c>
    </row>
    <row r="1312">
      <c r="A1312" s="2" t="str">
        <f>IFERROR(__xludf.DUMMYFUNCTION("""COMPUTED_VALUE"""),"PR058")</f>
        <v>PR058</v>
      </c>
      <c r="B1312" s="2" t="str">
        <f>IFERROR(__xludf.DUMMYFUNCTION("""COMPUTED_VALUE"""),"VD013")</f>
        <v>VD013</v>
      </c>
      <c r="C1312" s="2">
        <f>IFERROR(__xludf.DUMMYFUNCTION("""COMPUTED_VALUE"""),5.0)</f>
        <v>5</v>
      </c>
      <c r="D1312" s="2">
        <f>IFERROR(__xludf.DUMMYFUNCTION("""COMPUTED_VALUE"""),954.0)</f>
        <v>954</v>
      </c>
    </row>
    <row r="1313">
      <c r="A1313" s="2" t="str">
        <f>IFERROR(__xludf.DUMMYFUNCTION("""COMPUTED_VALUE"""),"PR006")</f>
        <v>PR006</v>
      </c>
      <c r="B1313" s="2" t="str">
        <f>IFERROR(__xludf.DUMMYFUNCTION("""COMPUTED_VALUE"""),"VD016")</f>
        <v>VD016</v>
      </c>
      <c r="C1313" s="2">
        <f>IFERROR(__xludf.DUMMYFUNCTION("""COMPUTED_VALUE"""),7.0)</f>
        <v>7</v>
      </c>
      <c r="D1313" s="2">
        <f>IFERROR(__xludf.DUMMYFUNCTION("""COMPUTED_VALUE"""),296.06)</f>
        <v>296.06</v>
      </c>
    </row>
    <row r="1314">
      <c r="A1314" s="2" t="str">
        <f>IFERROR(__xludf.DUMMYFUNCTION("""COMPUTED_VALUE"""),"PR023")</f>
        <v>PR023</v>
      </c>
      <c r="B1314" s="2" t="str">
        <f>IFERROR(__xludf.DUMMYFUNCTION("""COMPUTED_VALUE"""),"VD021")</f>
        <v>VD021</v>
      </c>
      <c r="C1314" s="2">
        <f>IFERROR(__xludf.DUMMYFUNCTION("""COMPUTED_VALUE"""),14.0)</f>
        <v>14</v>
      </c>
      <c r="D1314" s="2">
        <f>IFERROR(__xludf.DUMMYFUNCTION("""COMPUTED_VALUE"""),3638.54)</f>
        <v>3638.54</v>
      </c>
    </row>
    <row r="1315">
      <c r="A1315" s="2" t="str">
        <f>IFERROR(__xludf.DUMMYFUNCTION("""COMPUTED_VALUE"""),"PR055")</f>
        <v>PR055</v>
      </c>
      <c r="B1315" s="2" t="str">
        <f>IFERROR(__xludf.DUMMYFUNCTION("""COMPUTED_VALUE"""),"VD038")</f>
        <v>VD038</v>
      </c>
      <c r="C1315" s="2">
        <f>IFERROR(__xludf.DUMMYFUNCTION("""COMPUTED_VALUE"""),5.0)</f>
        <v>5</v>
      </c>
      <c r="D1315" s="2">
        <f>IFERROR(__xludf.DUMMYFUNCTION("""COMPUTED_VALUE"""),449.5)</f>
        <v>449.5</v>
      </c>
    </row>
    <row r="1316">
      <c r="A1316" s="2" t="str">
        <f>IFERROR(__xludf.DUMMYFUNCTION("""COMPUTED_VALUE"""),"PR006")</f>
        <v>PR006</v>
      </c>
      <c r="B1316" s="2" t="str">
        <f>IFERROR(__xludf.DUMMYFUNCTION("""COMPUTED_VALUE"""),"VD046")</f>
        <v>VD046</v>
      </c>
      <c r="C1316" s="2">
        <f>IFERROR(__xludf.DUMMYFUNCTION("""COMPUTED_VALUE"""),7.0)</f>
        <v>7</v>
      </c>
      <c r="D1316" s="2">
        <f>IFERROR(__xludf.DUMMYFUNCTION("""COMPUTED_VALUE"""),293.27)</f>
        <v>293.27</v>
      </c>
    </row>
    <row r="1317">
      <c r="A1317" s="2" t="str">
        <f>IFERROR(__xludf.DUMMYFUNCTION("""COMPUTED_VALUE"""),"PR033")</f>
        <v>PR033</v>
      </c>
      <c r="B1317" s="2" t="str">
        <f>IFERROR(__xludf.DUMMYFUNCTION("""COMPUTED_VALUE"""),"VD049")</f>
        <v>VD049</v>
      </c>
      <c r="C1317" s="2">
        <f>IFERROR(__xludf.DUMMYFUNCTION("""COMPUTED_VALUE"""),8.0)</f>
        <v>8</v>
      </c>
      <c r="D1317" s="2">
        <f>IFERROR(__xludf.DUMMYFUNCTION("""COMPUTED_VALUE"""),2287.12)</f>
        <v>2287.12</v>
      </c>
    </row>
    <row r="1318">
      <c r="A1318" s="2" t="str">
        <f>IFERROR(__xludf.DUMMYFUNCTION("""COMPUTED_VALUE"""),"PR028")</f>
        <v>PR028</v>
      </c>
      <c r="B1318" s="2" t="str">
        <f>IFERROR(__xludf.DUMMYFUNCTION("""COMPUTED_VALUE"""),"VD039")</f>
        <v>VD039</v>
      </c>
      <c r="C1318" s="2">
        <f>IFERROR(__xludf.DUMMYFUNCTION("""COMPUTED_VALUE"""),8.0)</f>
        <v>8</v>
      </c>
      <c r="D1318" s="2">
        <f>IFERROR(__xludf.DUMMYFUNCTION("""COMPUTED_VALUE"""),2119.15)</f>
        <v>2119.15</v>
      </c>
    </row>
    <row r="1319">
      <c r="A1319" s="2" t="str">
        <f>IFERROR(__xludf.DUMMYFUNCTION("""COMPUTED_VALUE"""),"PR047")</f>
        <v>PR047</v>
      </c>
      <c r="B1319" s="2" t="str">
        <f>IFERROR(__xludf.DUMMYFUNCTION("""COMPUTED_VALUE"""),"VD049")</f>
        <v>VD049</v>
      </c>
      <c r="C1319" s="2">
        <f>IFERROR(__xludf.DUMMYFUNCTION("""COMPUTED_VALUE"""),2.0)</f>
        <v>2</v>
      </c>
      <c r="D1319" s="2">
        <f>IFERROR(__xludf.DUMMYFUNCTION("""COMPUTED_VALUE"""),608.79)</f>
        <v>608.79</v>
      </c>
    </row>
    <row r="1320">
      <c r="A1320" s="2" t="str">
        <f>IFERROR(__xludf.DUMMYFUNCTION("""COMPUTED_VALUE"""),"PR030")</f>
        <v>PR030</v>
      </c>
      <c r="B1320" s="2" t="str">
        <f>IFERROR(__xludf.DUMMYFUNCTION("""COMPUTED_VALUE"""),"VD040")</f>
        <v>VD040</v>
      </c>
      <c r="C1320" s="2">
        <f>IFERROR(__xludf.DUMMYFUNCTION("""COMPUTED_VALUE"""),10.0)</f>
        <v>10</v>
      </c>
      <c r="D1320" s="2">
        <f>IFERROR(__xludf.DUMMYFUNCTION("""COMPUTED_VALUE"""),2728.95)</f>
        <v>2728.95</v>
      </c>
    </row>
    <row r="1321">
      <c r="A1321" s="2" t="str">
        <f>IFERROR(__xludf.DUMMYFUNCTION("""COMPUTED_VALUE"""),"PR017")</f>
        <v>PR017</v>
      </c>
      <c r="B1321" s="2" t="str">
        <f>IFERROR(__xludf.DUMMYFUNCTION("""COMPUTED_VALUE"""),"VD043")</f>
        <v>VD043</v>
      </c>
      <c r="C1321" s="2">
        <f>IFERROR(__xludf.DUMMYFUNCTION("""COMPUTED_VALUE"""),2.0)</f>
        <v>2</v>
      </c>
      <c r="D1321" s="2">
        <f>IFERROR(__xludf.DUMMYFUNCTION("""COMPUTED_VALUE"""),61.59)</f>
        <v>61.59</v>
      </c>
    </row>
    <row r="1322">
      <c r="A1322" s="2" t="str">
        <f>IFERROR(__xludf.DUMMYFUNCTION("""COMPUTED_VALUE"""),"PR018")</f>
        <v>PR018</v>
      </c>
      <c r="B1322" s="2" t="str">
        <f>IFERROR(__xludf.DUMMYFUNCTION("""COMPUTED_VALUE"""),"VD012")</f>
        <v>VD012</v>
      </c>
      <c r="C1322" s="2">
        <f>IFERROR(__xludf.DUMMYFUNCTION("""COMPUTED_VALUE"""),16.0)</f>
        <v>16</v>
      </c>
      <c r="D1322" s="2">
        <f>IFERROR(__xludf.DUMMYFUNCTION("""COMPUTED_VALUE"""),536.93)</f>
        <v>536.93</v>
      </c>
    </row>
    <row r="1323">
      <c r="A1323" s="2" t="str">
        <f>IFERROR(__xludf.DUMMYFUNCTION("""COMPUTED_VALUE"""),"PR044")</f>
        <v>PR044</v>
      </c>
      <c r="B1323" s="2" t="str">
        <f>IFERROR(__xludf.DUMMYFUNCTION("""COMPUTED_VALUE"""),"VD023")</f>
        <v>VD023</v>
      </c>
      <c r="C1323" s="2">
        <f>IFERROR(__xludf.DUMMYFUNCTION("""COMPUTED_VALUE"""),10.0)</f>
        <v>10</v>
      </c>
      <c r="D1323" s="2">
        <f>IFERROR(__xludf.DUMMYFUNCTION("""COMPUTED_VALUE"""),768.5)</f>
        <v>768.5</v>
      </c>
    </row>
    <row r="1324">
      <c r="A1324" s="2" t="str">
        <f>IFERROR(__xludf.DUMMYFUNCTION("""COMPUTED_VALUE"""),"PR053")</f>
        <v>PR053</v>
      </c>
      <c r="B1324" s="2" t="str">
        <f>IFERROR(__xludf.DUMMYFUNCTION("""COMPUTED_VALUE"""),"VD029")</f>
        <v>VD029</v>
      </c>
      <c r="C1324" s="2">
        <f>IFERROR(__xludf.DUMMYFUNCTION("""COMPUTED_VALUE"""),12.0)</f>
        <v>12</v>
      </c>
      <c r="D1324" s="2">
        <f>IFERROR(__xludf.DUMMYFUNCTION("""COMPUTED_VALUE"""),628.74)</f>
        <v>628.74</v>
      </c>
    </row>
    <row r="1325">
      <c r="A1325" s="2" t="str">
        <f>IFERROR(__xludf.DUMMYFUNCTION("""COMPUTED_VALUE"""),"PR025")</f>
        <v>PR025</v>
      </c>
      <c r="B1325" s="2" t="str">
        <f>IFERROR(__xludf.DUMMYFUNCTION("""COMPUTED_VALUE"""),"VD015")</f>
        <v>VD015</v>
      </c>
      <c r="C1325" s="2">
        <f>IFERROR(__xludf.DUMMYFUNCTION("""COMPUTED_VALUE"""),7.0)</f>
        <v>7</v>
      </c>
      <c r="D1325" s="2">
        <f>IFERROR(__xludf.DUMMYFUNCTION("""COMPUTED_VALUE"""),2183.27)</f>
        <v>2183.27</v>
      </c>
    </row>
    <row r="1326">
      <c r="A1326" s="2" t="str">
        <f>IFERROR(__xludf.DUMMYFUNCTION("""COMPUTED_VALUE"""),"PR021")</f>
        <v>PR021</v>
      </c>
      <c r="B1326" s="2" t="str">
        <f>IFERROR(__xludf.DUMMYFUNCTION("""COMPUTED_VALUE"""),"VD030")</f>
        <v>VD030</v>
      </c>
      <c r="C1326" s="2">
        <f>IFERROR(__xludf.DUMMYFUNCTION("""COMPUTED_VALUE"""),18.0)</f>
        <v>18</v>
      </c>
      <c r="D1326" s="2">
        <f>IFERROR(__xludf.DUMMYFUNCTION("""COMPUTED_VALUE"""),5670.29)</f>
        <v>5670.29</v>
      </c>
    </row>
    <row r="1327">
      <c r="A1327" s="2" t="str">
        <f>IFERROR(__xludf.DUMMYFUNCTION("""COMPUTED_VALUE"""),"PR054")</f>
        <v>PR054</v>
      </c>
      <c r="B1327" s="2" t="str">
        <f>IFERROR(__xludf.DUMMYFUNCTION("""COMPUTED_VALUE"""),"VD026")</f>
        <v>VD026</v>
      </c>
      <c r="C1327" s="2">
        <f>IFERROR(__xludf.DUMMYFUNCTION("""COMPUTED_VALUE"""),10.0)</f>
        <v>10</v>
      </c>
      <c r="D1327" s="2">
        <f>IFERROR(__xludf.DUMMYFUNCTION("""COMPUTED_VALUE"""),523.95)</f>
        <v>523.95</v>
      </c>
    </row>
    <row r="1328">
      <c r="A1328" s="2" t="str">
        <f>IFERROR(__xludf.DUMMYFUNCTION("""COMPUTED_VALUE"""),"PR002")</f>
        <v>PR002</v>
      </c>
      <c r="B1328" s="2" t="str">
        <f>IFERROR(__xludf.DUMMYFUNCTION("""COMPUTED_VALUE"""),"VD019")</f>
        <v>VD019</v>
      </c>
      <c r="C1328" s="2">
        <f>IFERROR(__xludf.DUMMYFUNCTION("""COMPUTED_VALUE"""),2.0)</f>
        <v>2</v>
      </c>
      <c r="D1328" s="2">
        <f>IFERROR(__xludf.DUMMYFUNCTION("""COMPUTED_VALUE"""),153.78)</f>
        <v>153.78</v>
      </c>
    </row>
    <row r="1329">
      <c r="A1329" s="2" t="str">
        <f>IFERROR(__xludf.DUMMYFUNCTION("""COMPUTED_VALUE"""),"PR022")</f>
        <v>PR022</v>
      </c>
      <c r="B1329" s="2" t="str">
        <f>IFERROR(__xludf.DUMMYFUNCTION("""COMPUTED_VALUE"""),"VD029")</f>
        <v>VD029</v>
      </c>
      <c r="C1329" s="2">
        <f>IFERROR(__xludf.DUMMYFUNCTION("""COMPUTED_VALUE"""),6.0)</f>
        <v>6</v>
      </c>
      <c r="D1329" s="2">
        <f>IFERROR(__xludf.DUMMYFUNCTION("""COMPUTED_VALUE"""),1980.0)</f>
        <v>1980</v>
      </c>
    </row>
    <row r="1330">
      <c r="A1330" s="2" t="str">
        <f>IFERROR(__xludf.DUMMYFUNCTION("""COMPUTED_VALUE"""),"PR058")</f>
        <v>PR058</v>
      </c>
      <c r="B1330" s="2" t="str">
        <f>IFERROR(__xludf.DUMMYFUNCTION("""COMPUTED_VALUE"""),"VD024")</f>
        <v>VD024</v>
      </c>
      <c r="C1330" s="2">
        <f>IFERROR(__xludf.DUMMYFUNCTION("""COMPUTED_VALUE"""),5.0)</f>
        <v>5</v>
      </c>
      <c r="D1330" s="2">
        <f>IFERROR(__xludf.DUMMYFUNCTION("""COMPUTED_VALUE"""),954.0)</f>
        <v>954</v>
      </c>
    </row>
    <row r="1331">
      <c r="A1331" s="2" t="str">
        <f>IFERROR(__xludf.DUMMYFUNCTION("""COMPUTED_VALUE"""),"PR055")</f>
        <v>PR055</v>
      </c>
      <c r="B1331" s="2" t="str">
        <f>IFERROR(__xludf.DUMMYFUNCTION("""COMPUTED_VALUE"""),"VD044")</f>
        <v>VD044</v>
      </c>
      <c r="C1331" s="2">
        <f>IFERROR(__xludf.DUMMYFUNCTION("""COMPUTED_VALUE"""),10.0)</f>
        <v>10</v>
      </c>
      <c r="D1331" s="2">
        <f>IFERROR(__xludf.DUMMYFUNCTION("""COMPUTED_VALUE"""),970.92)</f>
        <v>970.92</v>
      </c>
    </row>
    <row r="1332">
      <c r="A1332" s="2" t="str">
        <f>IFERROR(__xludf.DUMMYFUNCTION("""COMPUTED_VALUE"""),"PR027")</f>
        <v>PR027</v>
      </c>
      <c r="B1332" s="2" t="str">
        <f>IFERROR(__xludf.DUMMYFUNCTION("""COMPUTED_VALUE"""),"VD018")</f>
        <v>VD018</v>
      </c>
      <c r="C1332" s="2">
        <f>IFERROR(__xludf.DUMMYFUNCTION("""COMPUTED_VALUE"""),4.0)</f>
        <v>4</v>
      </c>
      <c r="D1332" s="2">
        <f>IFERROR(__xludf.DUMMYFUNCTION("""COMPUTED_VALUE"""),480.0)</f>
        <v>480</v>
      </c>
    </row>
    <row r="1333">
      <c r="A1333" s="2" t="str">
        <f>IFERROR(__xludf.DUMMYFUNCTION("""COMPUTED_VALUE"""),"PR031")</f>
        <v>PR031</v>
      </c>
      <c r="B1333" s="2" t="str">
        <f>IFERROR(__xludf.DUMMYFUNCTION("""COMPUTED_VALUE"""),"VD046")</f>
        <v>VD046</v>
      </c>
      <c r="C1333" s="2">
        <f>IFERROR(__xludf.DUMMYFUNCTION("""COMPUTED_VALUE"""),5.0)</f>
        <v>5</v>
      </c>
      <c r="D1333" s="2">
        <f>IFERROR(__xludf.DUMMYFUNCTION("""COMPUTED_VALUE"""),1249.5)</f>
        <v>1249.5</v>
      </c>
    </row>
    <row r="1334">
      <c r="A1334" s="2" t="str">
        <f>IFERROR(__xludf.DUMMYFUNCTION("""COMPUTED_VALUE"""),"PR021")</f>
        <v>PR021</v>
      </c>
      <c r="B1334" s="2" t="str">
        <f>IFERROR(__xludf.DUMMYFUNCTION("""COMPUTED_VALUE"""),"VD019")</f>
        <v>VD019</v>
      </c>
      <c r="C1334" s="2">
        <f>IFERROR(__xludf.DUMMYFUNCTION("""COMPUTED_VALUE"""),20.0)</f>
        <v>20</v>
      </c>
      <c r="D1334" s="2">
        <f>IFERROR(__xludf.DUMMYFUNCTION("""COMPUTED_VALUE"""),6300.32)</f>
        <v>6300.32</v>
      </c>
    </row>
    <row r="1335">
      <c r="A1335" s="2" t="str">
        <f>IFERROR(__xludf.DUMMYFUNCTION("""COMPUTED_VALUE"""),"PR001")</f>
        <v>PR001</v>
      </c>
      <c r="B1335" s="2" t="str">
        <f>IFERROR(__xludf.DUMMYFUNCTION("""COMPUTED_VALUE"""),"VD029")</f>
        <v>VD029</v>
      </c>
      <c r="C1335" s="2">
        <f>IFERROR(__xludf.DUMMYFUNCTION("""COMPUTED_VALUE"""),2.0)</f>
        <v>2</v>
      </c>
      <c r="D1335" s="2">
        <f>IFERROR(__xludf.DUMMYFUNCTION("""COMPUTED_VALUE"""),135.75)</f>
        <v>135.75</v>
      </c>
    </row>
    <row r="1336">
      <c r="A1336" s="2" t="str">
        <f>IFERROR(__xludf.DUMMYFUNCTION("""COMPUTED_VALUE"""),"PR055")</f>
        <v>PR055</v>
      </c>
      <c r="B1336" s="2" t="str">
        <f>IFERROR(__xludf.DUMMYFUNCTION("""COMPUTED_VALUE"""),"VD043")</f>
        <v>VD043</v>
      </c>
      <c r="C1336" s="2">
        <f>IFERROR(__xludf.DUMMYFUNCTION("""COMPUTED_VALUE"""),4.0)</f>
        <v>4</v>
      </c>
      <c r="D1336" s="2">
        <f>IFERROR(__xludf.DUMMYFUNCTION("""COMPUTED_VALUE"""),377.58)</f>
        <v>377.58</v>
      </c>
    </row>
    <row r="1337">
      <c r="A1337" s="2" t="str">
        <f>IFERROR(__xludf.DUMMYFUNCTION("""COMPUTED_VALUE"""),"PR053")</f>
        <v>PR053</v>
      </c>
      <c r="B1337" s="2" t="str">
        <f>IFERROR(__xludf.DUMMYFUNCTION("""COMPUTED_VALUE"""),"VD033")</f>
        <v>VD033</v>
      </c>
      <c r="C1337" s="2">
        <f>IFERROR(__xludf.DUMMYFUNCTION("""COMPUTED_VALUE"""),3.0)</f>
        <v>3</v>
      </c>
      <c r="D1337" s="2">
        <f>IFERROR(__xludf.DUMMYFUNCTION("""COMPUTED_VALUE"""),164.67)</f>
        <v>164.67</v>
      </c>
    </row>
    <row r="1338">
      <c r="A1338" s="2" t="str">
        <f>IFERROR(__xludf.DUMMYFUNCTION("""COMPUTED_VALUE"""),"PR024")</f>
        <v>PR024</v>
      </c>
      <c r="B1338" s="2" t="str">
        <f>IFERROR(__xludf.DUMMYFUNCTION("""COMPUTED_VALUE"""),"VD032")</f>
        <v>VD032</v>
      </c>
      <c r="C1338" s="2">
        <f>IFERROR(__xludf.DUMMYFUNCTION("""COMPUTED_VALUE"""),8.0)</f>
        <v>8</v>
      </c>
      <c r="D1338" s="2">
        <f>IFERROR(__xludf.DUMMYFUNCTION("""COMPUTED_VALUE"""),2183.16)</f>
        <v>2183.16</v>
      </c>
    </row>
    <row r="1339">
      <c r="A1339" s="2" t="str">
        <f>IFERROR(__xludf.DUMMYFUNCTION("""COMPUTED_VALUE"""),"PR042")</f>
        <v>PR042</v>
      </c>
      <c r="B1339" s="2" t="str">
        <f>IFERROR(__xludf.DUMMYFUNCTION("""COMPUTED_VALUE"""),"VD041")</f>
        <v>VD041</v>
      </c>
      <c r="C1339" s="2">
        <f>IFERROR(__xludf.DUMMYFUNCTION("""COMPUTED_VALUE"""),16.0)</f>
        <v>16</v>
      </c>
      <c r="D1339" s="2">
        <f>IFERROR(__xludf.DUMMYFUNCTION("""COMPUTED_VALUE"""),931.1)</f>
        <v>931.1</v>
      </c>
    </row>
    <row r="1340">
      <c r="A1340" s="2" t="str">
        <f>IFERROR(__xludf.DUMMYFUNCTION("""COMPUTED_VALUE"""),"PR021")</f>
        <v>PR021</v>
      </c>
      <c r="B1340" s="2" t="str">
        <f>IFERROR(__xludf.DUMMYFUNCTION("""COMPUTED_VALUE"""),"VD032")</f>
        <v>VD032</v>
      </c>
      <c r="C1340" s="2">
        <f>IFERROR(__xludf.DUMMYFUNCTION("""COMPUTED_VALUE"""),14.0)</f>
        <v>14</v>
      </c>
      <c r="D1340" s="2">
        <f>IFERROR(__xludf.DUMMYFUNCTION("""COMPUTED_VALUE"""),4240.6)</f>
        <v>4240.6</v>
      </c>
    </row>
    <row r="1341">
      <c r="A1341" s="2" t="str">
        <f>IFERROR(__xludf.DUMMYFUNCTION("""COMPUTED_VALUE"""),"PR056")</f>
        <v>PR056</v>
      </c>
      <c r="B1341" s="2" t="str">
        <f>IFERROR(__xludf.DUMMYFUNCTION("""COMPUTED_VALUE"""),"VD016")</f>
        <v>VD016</v>
      </c>
      <c r="C1341" s="2">
        <f>IFERROR(__xludf.DUMMYFUNCTION("""COMPUTED_VALUE"""),12.0)</f>
        <v>12</v>
      </c>
      <c r="D1341" s="2">
        <f>IFERROR(__xludf.DUMMYFUNCTION("""COMPUTED_VALUE"""),1175.89)</f>
        <v>1175.89</v>
      </c>
    </row>
    <row r="1342">
      <c r="A1342" s="2" t="str">
        <f>IFERROR(__xludf.DUMMYFUNCTION("""COMPUTED_VALUE"""),"PR006")</f>
        <v>PR006</v>
      </c>
      <c r="B1342" s="2" t="str">
        <f>IFERROR(__xludf.DUMMYFUNCTION("""COMPUTED_VALUE"""),"VD012")</f>
        <v>VD012</v>
      </c>
      <c r="C1342" s="2">
        <f>IFERROR(__xludf.DUMMYFUNCTION("""COMPUTED_VALUE"""),14.0)</f>
        <v>14</v>
      </c>
      <c r="D1342" s="2">
        <f>IFERROR(__xludf.DUMMYFUNCTION("""COMPUTED_VALUE"""),592.12)</f>
        <v>592.12</v>
      </c>
    </row>
    <row r="1343">
      <c r="A1343" s="2" t="str">
        <f>IFERROR(__xludf.DUMMYFUNCTION("""COMPUTED_VALUE"""),"PR029")</f>
        <v>PR029</v>
      </c>
      <c r="B1343" s="2" t="str">
        <f>IFERROR(__xludf.DUMMYFUNCTION("""COMPUTED_VALUE"""),"VD043")</f>
        <v>VD043</v>
      </c>
      <c r="C1343" s="2">
        <f>IFERROR(__xludf.DUMMYFUNCTION("""COMPUTED_VALUE"""),2.0)</f>
        <v>2</v>
      </c>
      <c r="D1343" s="2">
        <f>IFERROR(__xludf.DUMMYFUNCTION("""COMPUTED_VALUE"""),515.1)</f>
        <v>515.1</v>
      </c>
    </row>
    <row r="1344">
      <c r="A1344" s="2" t="str">
        <f>IFERROR(__xludf.DUMMYFUNCTION("""COMPUTED_VALUE"""),"PR037")</f>
        <v>PR037</v>
      </c>
      <c r="B1344" s="2" t="str">
        <f>IFERROR(__xludf.DUMMYFUNCTION("""COMPUTED_VALUE"""),"VD039")</f>
        <v>VD039</v>
      </c>
      <c r="C1344" s="2">
        <f>IFERROR(__xludf.DUMMYFUNCTION("""COMPUTED_VALUE"""),9.0)</f>
        <v>9</v>
      </c>
      <c r="D1344" s="2">
        <f>IFERROR(__xludf.DUMMYFUNCTION("""COMPUTED_VALUE"""),1335.6)</f>
        <v>1335.6</v>
      </c>
    </row>
    <row r="1345">
      <c r="A1345" s="2" t="str">
        <f>IFERROR(__xludf.DUMMYFUNCTION("""COMPUTED_VALUE"""),"PR028")</f>
        <v>PR028</v>
      </c>
      <c r="B1345" s="2" t="str">
        <f>IFERROR(__xludf.DUMMYFUNCTION("""COMPUTED_VALUE"""),"VD040")</f>
        <v>VD040</v>
      </c>
      <c r="C1345" s="2">
        <f>IFERROR(__xludf.DUMMYFUNCTION("""COMPUTED_VALUE"""),2.0)</f>
        <v>2</v>
      </c>
      <c r="D1345" s="2">
        <f>IFERROR(__xludf.DUMMYFUNCTION("""COMPUTED_VALUE"""),499.8)</f>
        <v>499.8</v>
      </c>
    </row>
    <row r="1346">
      <c r="A1346" s="2" t="str">
        <f>IFERROR(__xludf.DUMMYFUNCTION("""COMPUTED_VALUE"""),"PR054")</f>
        <v>PR054</v>
      </c>
      <c r="B1346" s="2" t="str">
        <f>IFERROR(__xludf.DUMMYFUNCTION("""COMPUTED_VALUE"""),"VD012")</f>
        <v>VD012</v>
      </c>
      <c r="C1346" s="2">
        <f>IFERROR(__xludf.DUMMYFUNCTION("""COMPUTED_VALUE"""),18.0)</f>
        <v>18</v>
      </c>
      <c r="D1346" s="2">
        <f>IFERROR(__xludf.DUMMYFUNCTION("""COMPUTED_VALUE"""),961.07)</f>
        <v>961.07</v>
      </c>
    </row>
    <row r="1347">
      <c r="A1347" s="2" t="str">
        <f>IFERROR(__xludf.DUMMYFUNCTION("""COMPUTED_VALUE"""),"PR023")</f>
        <v>PR023</v>
      </c>
      <c r="B1347" s="2" t="str">
        <f>IFERROR(__xludf.DUMMYFUNCTION("""COMPUTED_VALUE"""),"VD036")</f>
        <v>VD036</v>
      </c>
      <c r="C1347" s="2">
        <f>IFERROR(__xludf.DUMMYFUNCTION("""COMPUTED_VALUE"""),6.0)</f>
        <v>6</v>
      </c>
      <c r="D1347" s="2">
        <f>IFERROR(__xludf.DUMMYFUNCTION("""COMPUTED_VALUE"""),1514.39)</f>
        <v>1514.39</v>
      </c>
    </row>
    <row r="1348">
      <c r="A1348" s="2" t="str">
        <f>IFERROR(__xludf.DUMMYFUNCTION("""COMPUTED_VALUE"""),"PR041")</f>
        <v>PR041</v>
      </c>
      <c r="B1348" s="2" t="str">
        <f>IFERROR(__xludf.DUMMYFUNCTION("""COMPUTED_VALUE"""),"VD013")</f>
        <v>VD013</v>
      </c>
      <c r="C1348" s="2">
        <f>IFERROR(__xludf.DUMMYFUNCTION("""COMPUTED_VALUE"""),9.0)</f>
        <v>9</v>
      </c>
      <c r="D1348" s="2">
        <f>IFERROR(__xludf.DUMMYFUNCTION("""COMPUTED_VALUE"""),503.98)</f>
        <v>503.98</v>
      </c>
    </row>
    <row r="1349">
      <c r="A1349" s="2" t="str">
        <f>IFERROR(__xludf.DUMMYFUNCTION("""COMPUTED_VALUE"""),"PR012")</f>
        <v>PR012</v>
      </c>
      <c r="B1349" s="2" t="str">
        <f>IFERROR(__xludf.DUMMYFUNCTION("""COMPUTED_VALUE"""),"VD015")</f>
        <v>VD015</v>
      </c>
      <c r="C1349" s="2">
        <f>IFERROR(__xludf.DUMMYFUNCTION("""COMPUTED_VALUE"""),10.0)</f>
        <v>10</v>
      </c>
      <c r="D1349" s="2">
        <f>IFERROR(__xludf.DUMMYFUNCTION("""COMPUTED_VALUE"""),518.34)</f>
        <v>518.34</v>
      </c>
    </row>
    <row r="1350">
      <c r="A1350" s="2" t="str">
        <f>IFERROR(__xludf.DUMMYFUNCTION("""COMPUTED_VALUE"""),"PR053")</f>
        <v>PR053</v>
      </c>
      <c r="B1350" s="2" t="str">
        <f>IFERROR(__xludf.DUMMYFUNCTION("""COMPUTED_VALUE"""),"VD021")</f>
        <v>VD021</v>
      </c>
      <c r="C1350" s="2">
        <f>IFERROR(__xludf.DUMMYFUNCTION("""COMPUTED_VALUE"""),18.0)</f>
        <v>18</v>
      </c>
      <c r="D1350" s="2">
        <f>IFERROR(__xludf.DUMMYFUNCTION("""COMPUTED_VALUE"""),898.2)</f>
        <v>898.2</v>
      </c>
    </row>
    <row r="1351">
      <c r="A1351" s="2" t="str">
        <f>IFERROR(__xludf.DUMMYFUNCTION("""COMPUTED_VALUE"""),"PR038")</f>
        <v>PR038</v>
      </c>
      <c r="B1351" s="2" t="str">
        <f>IFERROR(__xludf.DUMMYFUNCTION("""COMPUTED_VALUE"""),"VD013")</f>
        <v>VD013</v>
      </c>
      <c r="C1351" s="2">
        <f>IFERROR(__xludf.DUMMYFUNCTION("""COMPUTED_VALUE"""),2.0)</f>
        <v>2</v>
      </c>
      <c r="D1351" s="2">
        <f>IFERROR(__xludf.DUMMYFUNCTION("""COMPUTED_VALUE"""),311.52)</f>
        <v>311.52</v>
      </c>
    </row>
    <row r="1352">
      <c r="A1352" s="2" t="str">
        <f>IFERROR(__xludf.DUMMYFUNCTION("""COMPUTED_VALUE"""),"PR009")</f>
        <v>PR009</v>
      </c>
      <c r="B1352" s="2" t="str">
        <f>IFERROR(__xludf.DUMMYFUNCTION("""COMPUTED_VALUE"""),"VD022")</f>
        <v>VD022</v>
      </c>
      <c r="C1352" s="2">
        <f>IFERROR(__xludf.DUMMYFUNCTION("""COMPUTED_VALUE"""),12.0)</f>
        <v>12</v>
      </c>
      <c r="D1352" s="2">
        <f>IFERROR(__xludf.DUMMYFUNCTION("""COMPUTED_VALUE"""),1181.69)</f>
        <v>1181.69</v>
      </c>
    </row>
    <row r="1353">
      <c r="A1353" s="2" t="str">
        <f>IFERROR(__xludf.DUMMYFUNCTION("""COMPUTED_VALUE"""),"PR019")</f>
        <v>PR019</v>
      </c>
      <c r="B1353" s="2" t="str">
        <f>IFERROR(__xludf.DUMMYFUNCTION("""COMPUTED_VALUE"""),"VD025")</f>
        <v>VD025</v>
      </c>
      <c r="C1353" s="2">
        <f>IFERROR(__xludf.DUMMYFUNCTION("""COMPUTED_VALUE"""),14.0)</f>
        <v>14</v>
      </c>
      <c r="D1353" s="2">
        <f>IFERROR(__xludf.DUMMYFUNCTION("""COMPUTED_VALUE"""),705.59)</f>
        <v>705.59</v>
      </c>
    </row>
    <row r="1354">
      <c r="A1354" s="2" t="str">
        <f>IFERROR(__xludf.DUMMYFUNCTION("""COMPUTED_VALUE"""),"PR029")</f>
        <v>PR029</v>
      </c>
      <c r="B1354" s="2" t="str">
        <f>IFERROR(__xludf.DUMMYFUNCTION("""COMPUTED_VALUE"""),"VD018")</f>
        <v>VD018</v>
      </c>
      <c r="C1354" s="2">
        <f>IFERROR(__xludf.DUMMYFUNCTION("""COMPUTED_VALUE"""),1.0)</f>
        <v>1</v>
      </c>
      <c r="D1354" s="2">
        <f>IFERROR(__xludf.DUMMYFUNCTION("""COMPUTED_VALUE"""),257.55)</f>
        <v>257.55</v>
      </c>
    </row>
    <row r="1355">
      <c r="A1355" s="2" t="str">
        <f>IFERROR(__xludf.DUMMYFUNCTION("""COMPUTED_VALUE"""),"PR032")</f>
        <v>PR032</v>
      </c>
      <c r="B1355" s="2" t="str">
        <f>IFERROR(__xludf.DUMMYFUNCTION("""COMPUTED_VALUE"""),"VD018")</f>
        <v>VD018</v>
      </c>
      <c r="C1355" s="2">
        <f>IFERROR(__xludf.DUMMYFUNCTION("""COMPUTED_VALUE"""),2.0)</f>
        <v>2</v>
      </c>
      <c r="D1355" s="2">
        <f>IFERROR(__xludf.DUMMYFUNCTION("""COMPUTED_VALUE"""),520.0)</f>
        <v>520</v>
      </c>
    </row>
    <row r="1356">
      <c r="A1356" s="2" t="str">
        <f>IFERROR(__xludf.DUMMYFUNCTION("""COMPUTED_VALUE"""),"PR048")</f>
        <v>PR048</v>
      </c>
      <c r="B1356" s="2" t="str">
        <f>IFERROR(__xludf.DUMMYFUNCTION("""COMPUTED_VALUE"""),"VD042")</f>
        <v>VD042</v>
      </c>
      <c r="C1356" s="2">
        <f>IFERROR(__xludf.DUMMYFUNCTION("""COMPUTED_VALUE"""),2.0)</f>
        <v>2</v>
      </c>
      <c r="D1356" s="2">
        <f>IFERROR(__xludf.DUMMYFUNCTION("""COMPUTED_VALUE"""),585.6)</f>
        <v>585.6</v>
      </c>
    </row>
    <row r="1357">
      <c r="A1357" s="2" t="str">
        <f>IFERROR(__xludf.DUMMYFUNCTION("""COMPUTED_VALUE"""),"PR044")</f>
        <v>PR044</v>
      </c>
      <c r="B1357" s="2" t="str">
        <f>IFERROR(__xludf.DUMMYFUNCTION("""COMPUTED_VALUE"""),"VD042")</f>
        <v>VD042</v>
      </c>
      <c r="C1357" s="2">
        <f>IFERROR(__xludf.DUMMYFUNCTION("""COMPUTED_VALUE"""),8.0)</f>
        <v>8</v>
      </c>
      <c r="D1357" s="2">
        <f>IFERROR(__xludf.DUMMYFUNCTION("""COMPUTED_VALUE"""),626.4)</f>
        <v>626.4</v>
      </c>
    </row>
    <row r="1358">
      <c r="A1358" s="2" t="str">
        <f>IFERROR(__xludf.DUMMYFUNCTION("""COMPUTED_VALUE"""),"PR007")</f>
        <v>PR007</v>
      </c>
      <c r="B1358" s="2" t="str">
        <f>IFERROR(__xludf.DUMMYFUNCTION("""COMPUTED_VALUE"""),"VD019")</f>
        <v>VD019</v>
      </c>
      <c r="C1358" s="2">
        <f>IFERROR(__xludf.DUMMYFUNCTION("""COMPUTED_VALUE"""),3.0)</f>
        <v>3</v>
      </c>
      <c r="D1358" s="2">
        <f>IFERROR(__xludf.DUMMYFUNCTION("""COMPUTED_VALUE"""),280.89)</f>
        <v>280.89</v>
      </c>
    </row>
    <row r="1359">
      <c r="A1359" s="2" t="str">
        <f>IFERROR(__xludf.DUMMYFUNCTION("""COMPUTED_VALUE"""),"PR018")</f>
        <v>PR018</v>
      </c>
      <c r="B1359" s="2" t="str">
        <f>IFERROR(__xludf.DUMMYFUNCTION("""COMPUTED_VALUE"""),"VD029")</f>
        <v>VD029</v>
      </c>
      <c r="C1359" s="2">
        <f>IFERROR(__xludf.DUMMYFUNCTION("""COMPUTED_VALUE"""),20.0)</f>
        <v>20</v>
      </c>
      <c r="D1359" s="2">
        <f>IFERROR(__xludf.DUMMYFUNCTION("""COMPUTED_VALUE"""),717.22)</f>
        <v>717.22</v>
      </c>
    </row>
    <row r="1360">
      <c r="A1360" s="2" t="str">
        <f>IFERROR(__xludf.DUMMYFUNCTION("""COMPUTED_VALUE"""),"PR017")</f>
        <v>PR017</v>
      </c>
      <c r="B1360" s="2" t="str">
        <f>IFERROR(__xludf.DUMMYFUNCTION("""COMPUTED_VALUE"""),"VD028")</f>
        <v>VD028</v>
      </c>
      <c r="C1360" s="2">
        <f>IFERROR(__xludf.DUMMYFUNCTION("""COMPUTED_VALUE"""),9.0)</f>
        <v>9</v>
      </c>
      <c r="D1360" s="2">
        <f>IFERROR(__xludf.DUMMYFUNCTION("""COMPUTED_VALUE"""),279.86)</f>
        <v>279.86</v>
      </c>
    </row>
    <row r="1361">
      <c r="A1361" s="2" t="str">
        <f>IFERROR(__xludf.DUMMYFUNCTION("""COMPUTED_VALUE"""),"PR053")</f>
        <v>PR053</v>
      </c>
      <c r="B1361" s="2" t="str">
        <f>IFERROR(__xludf.DUMMYFUNCTION("""COMPUTED_VALUE"""),"VD014")</f>
        <v>VD014</v>
      </c>
      <c r="C1361" s="2">
        <f>IFERROR(__xludf.DUMMYFUNCTION("""COMPUTED_VALUE"""),8.0)</f>
        <v>8</v>
      </c>
      <c r="D1361" s="2">
        <f>IFERROR(__xludf.DUMMYFUNCTION("""COMPUTED_VALUE"""),419.16)</f>
        <v>419.16</v>
      </c>
    </row>
    <row r="1362">
      <c r="A1362" s="2" t="str">
        <f>IFERROR(__xludf.DUMMYFUNCTION("""COMPUTED_VALUE"""),"PR059")</f>
        <v>PR059</v>
      </c>
      <c r="B1362" s="2" t="str">
        <f>IFERROR(__xludf.DUMMYFUNCTION("""COMPUTED_VALUE"""),"VD015")</f>
        <v>VD015</v>
      </c>
      <c r="C1362" s="2">
        <f>IFERROR(__xludf.DUMMYFUNCTION("""COMPUTED_VALUE"""),1.0)</f>
        <v>1</v>
      </c>
      <c r="D1362" s="2">
        <f>IFERROR(__xludf.DUMMYFUNCTION("""COMPUTED_VALUE"""),181.8)</f>
        <v>181.8</v>
      </c>
    </row>
    <row r="1363">
      <c r="A1363" s="2" t="str">
        <f>IFERROR(__xludf.DUMMYFUNCTION("""COMPUTED_VALUE"""),"PR014")</f>
        <v>PR014</v>
      </c>
      <c r="B1363" s="2" t="str">
        <f>IFERROR(__xludf.DUMMYFUNCTION("""COMPUTED_VALUE"""),"VD018")</f>
        <v>VD018</v>
      </c>
      <c r="C1363" s="2">
        <f>IFERROR(__xludf.DUMMYFUNCTION("""COMPUTED_VALUE"""),16.0)</f>
        <v>16</v>
      </c>
      <c r="D1363" s="2">
        <f>IFERROR(__xludf.DUMMYFUNCTION("""COMPUTED_VALUE"""),651.17)</f>
        <v>651.17</v>
      </c>
    </row>
    <row r="1364">
      <c r="A1364" s="2" t="str">
        <f>IFERROR(__xludf.DUMMYFUNCTION("""COMPUTED_VALUE"""),"PR022")</f>
        <v>PR022</v>
      </c>
      <c r="B1364" s="2" t="str">
        <f>IFERROR(__xludf.DUMMYFUNCTION("""COMPUTED_VALUE"""),"VD032")</f>
        <v>VD032</v>
      </c>
      <c r="C1364" s="2">
        <f>IFERROR(__xludf.DUMMYFUNCTION("""COMPUTED_VALUE"""),10.0)</f>
        <v>10</v>
      </c>
      <c r="D1364" s="2">
        <f>IFERROR(__xludf.DUMMYFUNCTION("""COMPUTED_VALUE"""),3150.0)</f>
        <v>3150</v>
      </c>
    </row>
    <row r="1365">
      <c r="A1365" s="2" t="str">
        <f>IFERROR(__xludf.DUMMYFUNCTION("""COMPUTED_VALUE"""),"PR007")</f>
        <v>PR007</v>
      </c>
      <c r="B1365" s="2" t="str">
        <f>IFERROR(__xludf.DUMMYFUNCTION("""COMPUTED_VALUE"""),"VD028")</f>
        <v>VD028</v>
      </c>
      <c r="C1365" s="2">
        <f>IFERROR(__xludf.DUMMYFUNCTION("""COMPUTED_VALUE"""),10.0)</f>
        <v>10</v>
      </c>
      <c r="D1365" s="2">
        <f>IFERROR(__xludf.DUMMYFUNCTION("""COMPUTED_VALUE"""),859.0)</f>
        <v>859</v>
      </c>
    </row>
    <row r="1366">
      <c r="A1366" s="2" t="str">
        <f>IFERROR(__xludf.DUMMYFUNCTION("""COMPUTED_VALUE"""),"PR035")</f>
        <v>PR035</v>
      </c>
      <c r="B1366" s="2" t="str">
        <f>IFERROR(__xludf.DUMMYFUNCTION("""COMPUTED_VALUE"""),"VD049")</f>
        <v>VD049</v>
      </c>
      <c r="C1366" s="2">
        <f>IFERROR(__xludf.DUMMYFUNCTION("""COMPUTED_VALUE"""),8.0)</f>
        <v>8</v>
      </c>
      <c r="D1366" s="2">
        <f>IFERROR(__xludf.DUMMYFUNCTION("""COMPUTED_VALUE"""),775.07)</f>
        <v>775.07</v>
      </c>
    </row>
    <row r="1367">
      <c r="A1367" s="2" t="str">
        <f>IFERROR(__xludf.DUMMYFUNCTION("""COMPUTED_VALUE"""),"PR024")</f>
        <v>PR024</v>
      </c>
      <c r="B1367" s="2" t="str">
        <f>IFERROR(__xludf.DUMMYFUNCTION("""COMPUTED_VALUE"""),"VD037")</f>
        <v>VD037</v>
      </c>
      <c r="C1367" s="2">
        <f>IFERROR(__xludf.DUMMYFUNCTION("""COMPUTED_VALUE"""),5.0)</f>
        <v>5</v>
      </c>
      <c r="D1367" s="2">
        <f>IFERROR(__xludf.DUMMYFUNCTION("""COMPUTED_VALUE"""),1299.5)</f>
        <v>1299.5</v>
      </c>
    </row>
    <row r="1368">
      <c r="A1368" s="2" t="str">
        <f>IFERROR(__xludf.DUMMYFUNCTION("""COMPUTED_VALUE"""),"PR057")</f>
        <v>PR057</v>
      </c>
      <c r="B1368" s="2" t="str">
        <f>IFERROR(__xludf.DUMMYFUNCTION("""COMPUTED_VALUE"""),"VD033")</f>
        <v>VD033</v>
      </c>
      <c r="C1368" s="2">
        <f>IFERROR(__xludf.DUMMYFUNCTION("""COMPUTED_VALUE"""),14.0)</f>
        <v>14</v>
      </c>
      <c r="D1368" s="2">
        <f>IFERROR(__xludf.DUMMYFUNCTION("""COMPUTED_VALUE"""),1296.36)</f>
        <v>1296.36</v>
      </c>
    </row>
    <row r="1369">
      <c r="A1369" s="2" t="str">
        <f>IFERROR(__xludf.DUMMYFUNCTION("""COMPUTED_VALUE"""),"PR047")</f>
        <v>PR047</v>
      </c>
      <c r="B1369" s="2" t="str">
        <f>IFERROR(__xludf.DUMMYFUNCTION("""COMPUTED_VALUE"""),"VD037")</f>
        <v>VD037</v>
      </c>
      <c r="C1369" s="2">
        <f>IFERROR(__xludf.DUMMYFUNCTION("""COMPUTED_VALUE"""),3.0)</f>
        <v>3</v>
      </c>
      <c r="D1369" s="2">
        <f>IFERROR(__xludf.DUMMYFUNCTION("""COMPUTED_VALUE"""),913.19)</f>
        <v>913.19</v>
      </c>
    </row>
    <row r="1370">
      <c r="A1370" s="2" t="str">
        <f>IFERROR(__xludf.DUMMYFUNCTION("""COMPUTED_VALUE"""),"PR035")</f>
        <v>PR035</v>
      </c>
      <c r="B1370" s="2" t="str">
        <f>IFERROR(__xludf.DUMMYFUNCTION("""COMPUTED_VALUE"""),"VD042")</f>
        <v>VD042</v>
      </c>
      <c r="C1370" s="2">
        <f>IFERROR(__xludf.DUMMYFUNCTION("""COMPUTED_VALUE"""),20.0)</f>
        <v>20</v>
      </c>
      <c r="D1370" s="2">
        <f>IFERROR(__xludf.DUMMYFUNCTION("""COMPUTED_VALUE"""),1937.68)</f>
        <v>1937.68</v>
      </c>
    </row>
    <row r="1371">
      <c r="A1371" s="2" t="str">
        <f>IFERROR(__xludf.DUMMYFUNCTION("""COMPUTED_VALUE"""),"PR007")</f>
        <v>PR007</v>
      </c>
      <c r="B1371" s="2" t="str">
        <f>IFERROR(__xludf.DUMMYFUNCTION("""COMPUTED_VALUE"""),"VD026")</f>
        <v>VD026</v>
      </c>
      <c r="C1371" s="2">
        <f>IFERROR(__xludf.DUMMYFUNCTION("""COMPUTED_VALUE"""),3.0)</f>
        <v>3</v>
      </c>
      <c r="D1371" s="2">
        <f>IFERROR(__xludf.DUMMYFUNCTION("""COMPUTED_VALUE"""),270.59)</f>
        <v>270.59</v>
      </c>
    </row>
    <row r="1372">
      <c r="A1372" s="2" t="str">
        <f>IFERROR(__xludf.DUMMYFUNCTION("""COMPUTED_VALUE"""),"PR002")</f>
        <v>PR002</v>
      </c>
      <c r="B1372" s="2" t="str">
        <f>IFERROR(__xludf.DUMMYFUNCTION("""COMPUTED_VALUE"""),"VD013")</f>
        <v>VD013</v>
      </c>
      <c r="C1372" s="2">
        <f>IFERROR(__xludf.DUMMYFUNCTION("""COMPUTED_VALUE"""),5.0)</f>
        <v>5</v>
      </c>
      <c r="D1372" s="2">
        <f>IFERROR(__xludf.DUMMYFUNCTION("""COMPUTED_VALUE"""),373.97)</f>
        <v>373.97</v>
      </c>
    </row>
    <row r="1373">
      <c r="A1373" s="2" t="str">
        <f>IFERROR(__xludf.DUMMYFUNCTION("""COMPUTED_VALUE"""),"PR035")</f>
        <v>PR035</v>
      </c>
      <c r="B1373" s="2" t="str">
        <f>IFERROR(__xludf.DUMMYFUNCTION("""COMPUTED_VALUE"""),"VD036")</f>
        <v>VD036</v>
      </c>
      <c r="C1373" s="2">
        <f>IFERROR(__xludf.DUMMYFUNCTION("""COMPUTED_VALUE"""),2.0)</f>
        <v>2</v>
      </c>
      <c r="D1373" s="2">
        <f>IFERROR(__xludf.DUMMYFUNCTION("""COMPUTED_VALUE"""),184.63)</f>
        <v>184.63</v>
      </c>
    </row>
    <row r="1374">
      <c r="A1374" s="2" t="str">
        <f>IFERROR(__xludf.DUMMYFUNCTION("""COMPUTED_VALUE"""),"PR049")</f>
        <v>PR049</v>
      </c>
      <c r="B1374" s="2" t="str">
        <f>IFERROR(__xludf.DUMMYFUNCTION("""COMPUTED_VALUE"""),"VD026")</f>
        <v>VD026</v>
      </c>
      <c r="C1374" s="2">
        <f>IFERROR(__xludf.DUMMYFUNCTION("""COMPUTED_VALUE"""),10.0)</f>
        <v>10</v>
      </c>
      <c r="D1374" s="2">
        <f>IFERROR(__xludf.DUMMYFUNCTION("""COMPUTED_VALUE"""),348.74)</f>
        <v>348.74</v>
      </c>
    </row>
    <row r="1375">
      <c r="A1375" s="2" t="str">
        <f>IFERROR(__xludf.DUMMYFUNCTION("""COMPUTED_VALUE"""),"PR048")</f>
        <v>PR048</v>
      </c>
      <c r="B1375" s="2" t="str">
        <f>IFERROR(__xludf.DUMMYFUNCTION("""COMPUTED_VALUE"""),"VD019")</f>
        <v>VD019</v>
      </c>
      <c r="C1375" s="2">
        <f>IFERROR(__xludf.DUMMYFUNCTION("""COMPUTED_VALUE"""),14.0)</f>
        <v>14</v>
      </c>
      <c r="D1375" s="2">
        <f>IFERROR(__xludf.DUMMYFUNCTION("""COMPUTED_VALUE"""),4139.77)</f>
        <v>4139.77</v>
      </c>
    </row>
    <row r="1376">
      <c r="A1376" s="2" t="str">
        <f>IFERROR(__xludf.DUMMYFUNCTION("""COMPUTED_VALUE"""),"PR058")</f>
        <v>PR058</v>
      </c>
      <c r="B1376" s="2" t="str">
        <f>IFERROR(__xludf.DUMMYFUNCTION("""COMPUTED_VALUE"""),"VD029")</f>
        <v>VD029</v>
      </c>
      <c r="C1376" s="2">
        <f>IFERROR(__xludf.DUMMYFUNCTION("""COMPUTED_VALUE"""),5.0)</f>
        <v>5</v>
      </c>
      <c r="D1376" s="2">
        <f>IFERROR(__xludf.DUMMYFUNCTION("""COMPUTED_VALUE"""),918.0)</f>
        <v>918</v>
      </c>
    </row>
    <row r="1377">
      <c r="A1377" s="2" t="str">
        <f>IFERROR(__xludf.DUMMYFUNCTION("""COMPUTED_VALUE"""),"PR032")</f>
        <v>PR032</v>
      </c>
      <c r="B1377" s="2" t="str">
        <f>IFERROR(__xludf.DUMMYFUNCTION("""COMPUTED_VALUE"""),"VD038")</f>
        <v>VD038</v>
      </c>
      <c r="C1377" s="2">
        <f>IFERROR(__xludf.DUMMYFUNCTION("""COMPUTED_VALUE"""),8.0)</f>
        <v>8</v>
      </c>
      <c r="D1377" s="2">
        <f>IFERROR(__xludf.DUMMYFUNCTION("""COMPUTED_VALUE"""),2080.0)</f>
        <v>2080</v>
      </c>
    </row>
    <row r="1378">
      <c r="A1378" s="2" t="str">
        <f>IFERROR(__xludf.DUMMYFUNCTION("""COMPUTED_VALUE"""),"PR009")</f>
        <v>PR009</v>
      </c>
      <c r="B1378" s="2" t="str">
        <f>IFERROR(__xludf.DUMMYFUNCTION("""COMPUTED_VALUE"""),"VD032")</f>
        <v>VD032</v>
      </c>
      <c r="C1378" s="2">
        <f>IFERROR(__xludf.DUMMYFUNCTION("""COMPUTED_VALUE"""),20.0)</f>
        <v>20</v>
      </c>
      <c r="D1378" s="2">
        <f>IFERROR(__xludf.DUMMYFUNCTION("""COMPUTED_VALUE"""),1969.48)</f>
        <v>1969.48</v>
      </c>
    </row>
    <row r="1379">
      <c r="A1379" s="2" t="str">
        <f>IFERROR(__xludf.DUMMYFUNCTION("""COMPUTED_VALUE"""),"PR060")</f>
        <v>PR060</v>
      </c>
      <c r="B1379" s="2" t="str">
        <f>IFERROR(__xludf.DUMMYFUNCTION("""COMPUTED_VALUE"""),"VD032")</f>
        <v>VD032</v>
      </c>
      <c r="C1379" s="2">
        <f>IFERROR(__xludf.DUMMYFUNCTION("""COMPUTED_VALUE"""),5.0)</f>
        <v>5</v>
      </c>
      <c r="D1379" s="2">
        <f>IFERROR(__xludf.DUMMYFUNCTION("""COMPUTED_VALUE"""),927.0)</f>
        <v>927</v>
      </c>
    </row>
    <row r="1380">
      <c r="A1380" s="2" t="str">
        <f>IFERROR(__xludf.DUMMYFUNCTION("""COMPUTED_VALUE"""),"PR026")</f>
        <v>PR026</v>
      </c>
      <c r="B1380" s="2" t="str">
        <f>IFERROR(__xludf.DUMMYFUNCTION("""COMPUTED_VALUE"""),"VD026")</f>
        <v>VD026</v>
      </c>
      <c r="C1380" s="2">
        <f>IFERROR(__xludf.DUMMYFUNCTION("""COMPUTED_VALUE"""),14.0)</f>
        <v>14</v>
      </c>
      <c r="D1380" s="2">
        <f>IFERROR(__xludf.DUMMYFUNCTION("""COMPUTED_VALUE"""),5290.49)</f>
        <v>5290.49</v>
      </c>
    </row>
    <row r="1381">
      <c r="A1381" s="2" t="str">
        <f>IFERROR(__xludf.DUMMYFUNCTION("""COMPUTED_VALUE"""),"PR012")</f>
        <v>PR012</v>
      </c>
      <c r="B1381" s="2" t="str">
        <f>IFERROR(__xludf.DUMMYFUNCTION("""COMPUTED_VALUE"""),"VD035")</f>
        <v>VD035</v>
      </c>
      <c r="C1381" s="2">
        <f>IFERROR(__xludf.DUMMYFUNCTION("""COMPUTED_VALUE"""),16.0)</f>
        <v>16</v>
      </c>
      <c r="D1381" s="2">
        <f>IFERROR(__xludf.DUMMYFUNCTION("""COMPUTED_VALUE"""),852.82)</f>
        <v>852.82</v>
      </c>
    </row>
    <row r="1382">
      <c r="A1382" s="2" t="str">
        <f>IFERROR(__xludf.DUMMYFUNCTION("""COMPUTED_VALUE"""),"PR036")</f>
        <v>PR036</v>
      </c>
      <c r="B1382" s="2" t="str">
        <f>IFERROR(__xludf.DUMMYFUNCTION("""COMPUTED_VALUE"""),"VD046")</f>
        <v>VD046</v>
      </c>
      <c r="C1382" s="2">
        <f>IFERROR(__xludf.DUMMYFUNCTION("""COMPUTED_VALUE"""),5.0)</f>
        <v>5</v>
      </c>
      <c r="D1382" s="2">
        <f>IFERROR(__xludf.DUMMYFUNCTION("""COMPUTED_VALUE"""),514.25)</f>
        <v>514.25</v>
      </c>
    </row>
    <row r="1383">
      <c r="A1383" s="2" t="str">
        <f>IFERROR(__xludf.DUMMYFUNCTION("""COMPUTED_VALUE"""),"PR022")</f>
        <v>PR022</v>
      </c>
      <c r="B1383" s="2" t="str">
        <f>IFERROR(__xludf.DUMMYFUNCTION("""COMPUTED_VALUE"""),"VD011")</f>
        <v>VD011</v>
      </c>
      <c r="C1383" s="2">
        <f>IFERROR(__xludf.DUMMYFUNCTION("""COMPUTED_VALUE"""),9.0)</f>
        <v>9</v>
      </c>
      <c r="D1383" s="2">
        <f>IFERROR(__xludf.DUMMYFUNCTION("""COMPUTED_VALUE"""),2835.0)</f>
        <v>2835</v>
      </c>
    </row>
    <row r="1384">
      <c r="A1384" s="2" t="str">
        <f>IFERROR(__xludf.DUMMYFUNCTION("""COMPUTED_VALUE"""),"PR030")</f>
        <v>PR030</v>
      </c>
      <c r="B1384" s="2" t="str">
        <f>IFERROR(__xludf.DUMMYFUNCTION("""COMPUTED_VALUE"""),"VD023")</f>
        <v>VD023</v>
      </c>
      <c r="C1384" s="2">
        <f>IFERROR(__xludf.DUMMYFUNCTION("""COMPUTED_VALUE"""),8.0)</f>
        <v>8</v>
      </c>
      <c r="D1384" s="2">
        <f>IFERROR(__xludf.DUMMYFUNCTION("""COMPUTED_VALUE"""),2245.54)</f>
        <v>2245.54</v>
      </c>
    </row>
    <row r="1385">
      <c r="A1385" s="2" t="str">
        <f>IFERROR(__xludf.DUMMYFUNCTION("""COMPUTED_VALUE"""),"PR019")</f>
        <v>PR019</v>
      </c>
      <c r="B1385" s="2" t="str">
        <f>IFERROR(__xludf.DUMMYFUNCTION("""COMPUTED_VALUE"""),"VD039")</f>
        <v>VD039</v>
      </c>
      <c r="C1385" s="2">
        <f>IFERROR(__xludf.DUMMYFUNCTION("""COMPUTED_VALUE"""),16.0)</f>
        <v>16</v>
      </c>
      <c r="D1385" s="2">
        <f>IFERROR(__xludf.DUMMYFUNCTION("""COMPUTED_VALUE"""),822.35)</f>
        <v>822.35</v>
      </c>
    </row>
    <row r="1386">
      <c r="A1386" s="2" t="str">
        <f>IFERROR(__xludf.DUMMYFUNCTION("""COMPUTED_VALUE"""),"PR016")</f>
        <v>PR016</v>
      </c>
      <c r="B1386" s="2" t="str">
        <f>IFERROR(__xludf.DUMMYFUNCTION("""COMPUTED_VALUE"""),"VD018")</f>
        <v>VD018</v>
      </c>
      <c r="C1386" s="2">
        <f>IFERROR(__xludf.DUMMYFUNCTION("""COMPUTED_VALUE"""),9.0)</f>
        <v>9</v>
      </c>
      <c r="D1386" s="2">
        <f>IFERROR(__xludf.DUMMYFUNCTION("""COMPUTED_VALUE"""),244.76)</f>
        <v>244.76</v>
      </c>
    </row>
    <row r="1387">
      <c r="A1387" s="2" t="str">
        <f>IFERROR(__xludf.DUMMYFUNCTION("""COMPUTED_VALUE"""),"PR014")</f>
        <v>PR014</v>
      </c>
      <c r="B1387" s="2" t="str">
        <f>IFERROR(__xludf.DUMMYFUNCTION("""COMPUTED_VALUE"""),"VD027")</f>
        <v>VD027</v>
      </c>
      <c r="C1387" s="2">
        <f>IFERROR(__xludf.DUMMYFUNCTION("""COMPUTED_VALUE"""),10.0)</f>
        <v>10</v>
      </c>
      <c r="D1387" s="2">
        <f>IFERROR(__xludf.DUMMYFUNCTION("""COMPUTED_VALUE"""),410.97)</f>
        <v>410.97</v>
      </c>
    </row>
    <row r="1388">
      <c r="A1388" s="2" t="str">
        <f>IFERROR(__xludf.DUMMYFUNCTION("""COMPUTED_VALUE"""),"PR044")</f>
        <v>PR044</v>
      </c>
      <c r="B1388" s="2" t="str">
        <f>IFERROR(__xludf.DUMMYFUNCTION("""COMPUTED_VALUE"""),"VD025")</f>
        <v>VD025</v>
      </c>
      <c r="C1388" s="2">
        <f>IFERROR(__xludf.DUMMYFUNCTION("""COMPUTED_VALUE"""),14.0)</f>
        <v>14</v>
      </c>
      <c r="D1388" s="2">
        <f>IFERROR(__xludf.DUMMYFUNCTION("""COMPUTED_VALUE"""),1116.5)</f>
        <v>1116.5</v>
      </c>
    </row>
    <row r="1389">
      <c r="A1389" s="2" t="str">
        <f>IFERROR(__xludf.DUMMYFUNCTION("""COMPUTED_VALUE"""),"PR014")</f>
        <v>PR014</v>
      </c>
      <c r="B1389" s="2" t="str">
        <f>IFERROR(__xludf.DUMMYFUNCTION("""COMPUTED_VALUE"""),"VD024")</f>
        <v>VD024</v>
      </c>
      <c r="C1389" s="2">
        <f>IFERROR(__xludf.DUMMYFUNCTION("""COMPUTED_VALUE"""),5.0)</f>
        <v>5</v>
      </c>
      <c r="D1389" s="2">
        <f>IFERROR(__xludf.DUMMYFUNCTION("""COMPUTED_VALUE"""),203.49)</f>
        <v>203.49</v>
      </c>
    </row>
    <row r="1390">
      <c r="A1390" s="2" t="str">
        <f>IFERROR(__xludf.DUMMYFUNCTION("""COMPUTED_VALUE"""),"PR019")</f>
        <v>PR019</v>
      </c>
      <c r="B1390" s="2" t="str">
        <f>IFERROR(__xludf.DUMMYFUNCTION("""COMPUTED_VALUE"""),"VD043")</f>
        <v>VD043</v>
      </c>
      <c r="C1390" s="2">
        <f>IFERROR(__xludf.DUMMYFUNCTION("""COMPUTED_VALUE"""),12.0)</f>
        <v>12</v>
      </c>
      <c r="D1390" s="2">
        <f>IFERROR(__xludf.DUMMYFUNCTION("""COMPUTED_VALUE"""),604.79)</f>
        <v>604.79</v>
      </c>
    </row>
    <row r="1391">
      <c r="A1391" s="2" t="str">
        <f>IFERROR(__xludf.DUMMYFUNCTION("""COMPUTED_VALUE"""),"PR003")</f>
        <v>PR003</v>
      </c>
      <c r="B1391" s="2" t="str">
        <f>IFERROR(__xludf.DUMMYFUNCTION("""COMPUTED_VALUE"""),"VD039")</f>
        <v>VD039</v>
      </c>
      <c r="C1391" s="2">
        <f>IFERROR(__xludf.DUMMYFUNCTION("""COMPUTED_VALUE"""),5.0)</f>
        <v>5</v>
      </c>
      <c r="D1391" s="2">
        <f>IFERROR(__xludf.DUMMYFUNCTION("""COMPUTED_VALUE"""),354.5)</f>
        <v>354.5</v>
      </c>
    </row>
    <row r="1392">
      <c r="A1392" s="2" t="str">
        <f>IFERROR(__xludf.DUMMYFUNCTION("""COMPUTED_VALUE"""),"PR054")</f>
        <v>PR054</v>
      </c>
      <c r="B1392" s="2" t="str">
        <f>IFERROR(__xludf.DUMMYFUNCTION("""COMPUTED_VALUE"""),"VD019")</f>
        <v>VD019</v>
      </c>
      <c r="C1392" s="2">
        <f>IFERROR(__xludf.DUMMYFUNCTION("""COMPUTED_VALUE"""),4.0)</f>
        <v>4</v>
      </c>
      <c r="D1392" s="2">
        <f>IFERROR(__xludf.DUMMYFUNCTION("""COMPUTED_VALUE"""),217.56)</f>
        <v>217.56</v>
      </c>
    </row>
    <row r="1393">
      <c r="A1393" s="2" t="str">
        <f>IFERROR(__xludf.DUMMYFUNCTION("""COMPUTED_VALUE"""),"PR003")</f>
        <v>PR003</v>
      </c>
      <c r="B1393" s="2" t="str">
        <f>IFERROR(__xludf.DUMMYFUNCTION("""COMPUTED_VALUE"""),"VD030")</f>
        <v>VD030</v>
      </c>
      <c r="C1393" s="2">
        <f>IFERROR(__xludf.DUMMYFUNCTION("""COMPUTED_VALUE"""),5.0)</f>
        <v>5</v>
      </c>
      <c r="D1393" s="2">
        <f>IFERROR(__xludf.DUMMYFUNCTION("""COMPUTED_VALUE"""),386.41)</f>
        <v>386.41</v>
      </c>
    </row>
    <row r="1394">
      <c r="A1394" s="2" t="str">
        <f>IFERROR(__xludf.DUMMYFUNCTION("""COMPUTED_VALUE"""),"PR033")</f>
        <v>PR033</v>
      </c>
      <c r="B1394" s="2" t="str">
        <f>IFERROR(__xludf.DUMMYFUNCTION("""COMPUTED_VALUE"""),"VD025")</f>
        <v>VD025</v>
      </c>
      <c r="C1394" s="2">
        <f>IFERROR(__xludf.DUMMYFUNCTION("""COMPUTED_VALUE"""),2.0)</f>
        <v>2</v>
      </c>
      <c r="D1394" s="2">
        <f>IFERROR(__xludf.DUMMYFUNCTION("""COMPUTED_VALUE"""),550.99)</f>
        <v>550.99</v>
      </c>
    </row>
    <row r="1395">
      <c r="A1395" s="2" t="str">
        <f>IFERROR(__xludf.DUMMYFUNCTION("""COMPUTED_VALUE"""),"PR054")</f>
        <v>PR054</v>
      </c>
      <c r="B1395" s="2" t="str">
        <f>IFERROR(__xludf.DUMMYFUNCTION("""COMPUTED_VALUE"""),"VD028")</f>
        <v>VD028</v>
      </c>
      <c r="C1395" s="2">
        <f>IFERROR(__xludf.DUMMYFUNCTION("""COMPUTED_VALUE"""),5.0)</f>
        <v>5</v>
      </c>
      <c r="D1395" s="2">
        <f>IFERROR(__xludf.DUMMYFUNCTION("""COMPUTED_VALUE"""),274.45)</f>
        <v>274.45</v>
      </c>
    </row>
    <row r="1396">
      <c r="A1396" s="2" t="str">
        <f>IFERROR(__xludf.DUMMYFUNCTION("""COMPUTED_VALUE"""),"PR050")</f>
        <v>PR050</v>
      </c>
      <c r="B1396" s="2" t="str">
        <f>IFERROR(__xludf.DUMMYFUNCTION("""COMPUTED_VALUE"""),"VD043")</f>
        <v>VD043</v>
      </c>
      <c r="C1396" s="2">
        <f>IFERROR(__xludf.DUMMYFUNCTION("""COMPUTED_VALUE"""),4.0)</f>
        <v>4</v>
      </c>
      <c r="D1396" s="2">
        <f>IFERROR(__xludf.DUMMYFUNCTION("""COMPUTED_VALUE"""),132.92)</f>
        <v>132.92</v>
      </c>
    </row>
    <row r="1397">
      <c r="A1397" s="2" t="str">
        <f>IFERROR(__xludf.DUMMYFUNCTION("""COMPUTED_VALUE"""),"PR029")</f>
        <v>PR029</v>
      </c>
      <c r="B1397" s="2" t="str">
        <f>IFERROR(__xludf.DUMMYFUNCTION("""COMPUTED_VALUE"""),"VD021")</f>
        <v>VD021</v>
      </c>
      <c r="C1397" s="2">
        <f>IFERROR(__xludf.DUMMYFUNCTION("""COMPUTED_VALUE"""),6.0)</f>
        <v>6</v>
      </c>
      <c r="D1397" s="2">
        <f>IFERROR(__xludf.DUMMYFUNCTION("""COMPUTED_VALUE"""),1683.0)</f>
        <v>1683</v>
      </c>
    </row>
    <row r="1398">
      <c r="A1398" s="2" t="str">
        <f>IFERROR(__xludf.DUMMYFUNCTION("""COMPUTED_VALUE"""),"PR057")</f>
        <v>PR057</v>
      </c>
      <c r="B1398" s="2" t="str">
        <f>IFERROR(__xludf.DUMMYFUNCTION("""COMPUTED_VALUE"""),"VD033")</f>
        <v>VD033</v>
      </c>
      <c r="C1398" s="2">
        <f>IFERROR(__xludf.DUMMYFUNCTION("""COMPUTED_VALUE"""),6.0)</f>
        <v>6</v>
      </c>
      <c r="D1398" s="2">
        <f>IFERROR(__xludf.DUMMYFUNCTION("""COMPUTED_VALUE"""),566.37)</f>
        <v>566.37</v>
      </c>
    </row>
    <row r="1399">
      <c r="A1399" s="2" t="str">
        <f>IFERROR(__xludf.DUMMYFUNCTION("""COMPUTED_VALUE"""),"PR006")</f>
        <v>PR006</v>
      </c>
      <c r="B1399" s="2" t="str">
        <f>IFERROR(__xludf.DUMMYFUNCTION("""COMPUTED_VALUE"""),"VD028")</f>
        <v>VD028</v>
      </c>
      <c r="C1399" s="2">
        <f>IFERROR(__xludf.DUMMYFUNCTION("""COMPUTED_VALUE"""),16.0)</f>
        <v>16</v>
      </c>
      <c r="D1399" s="2">
        <f>IFERROR(__xludf.DUMMYFUNCTION("""COMPUTED_VALUE"""),689.47)</f>
        <v>689.47</v>
      </c>
    </row>
    <row r="1400">
      <c r="A1400" s="2" t="str">
        <f>IFERROR(__xludf.DUMMYFUNCTION("""COMPUTED_VALUE"""),"PR006")</f>
        <v>PR006</v>
      </c>
      <c r="B1400" s="2" t="str">
        <f>IFERROR(__xludf.DUMMYFUNCTION("""COMPUTED_VALUE"""),"VD032")</f>
        <v>VD032</v>
      </c>
      <c r="C1400" s="2">
        <f>IFERROR(__xludf.DUMMYFUNCTION("""COMPUTED_VALUE"""),8.0)</f>
        <v>8</v>
      </c>
      <c r="D1400" s="2">
        <f>IFERROR(__xludf.DUMMYFUNCTION("""COMPUTED_VALUE"""),347.93)</f>
        <v>347.93</v>
      </c>
    </row>
    <row r="1401">
      <c r="A1401" s="2" t="str">
        <f>IFERROR(__xludf.DUMMYFUNCTION("""COMPUTED_VALUE"""),"PR014")</f>
        <v>PR014</v>
      </c>
      <c r="B1401" s="2" t="str">
        <f>IFERROR(__xludf.DUMMYFUNCTION("""COMPUTED_VALUE"""),"VD028")</f>
        <v>VD028</v>
      </c>
      <c r="C1401" s="2">
        <f>IFERROR(__xludf.DUMMYFUNCTION("""COMPUTED_VALUE"""),7.0)</f>
        <v>7</v>
      </c>
      <c r="D1401" s="2">
        <f>IFERROR(__xludf.DUMMYFUNCTION("""COMPUTED_VALUE"""),290.47)</f>
        <v>290.47</v>
      </c>
    </row>
    <row r="1402">
      <c r="A1402" s="2" t="str">
        <f>IFERROR(__xludf.DUMMYFUNCTION("""COMPUTED_VALUE"""),"PR027")</f>
        <v>PR027</v>
      </c>
      <c r="B1402" s="2" t="str">
        <f>IFERROR(__xludf.DUMMYFUNCTION("""COMPUTED_VALUE"""),"VD042")</f>
        <v>VD042</v>
      </c>
      <c r="C1402" s="2">
        <f>IFERROR(__xludf.DUMMYFUNCTION("""COMPUTED_VALUE"""),8.0)</f>
        <v>8</v>
      </c>
      <c r="D1402" s="2">
        <f>IFERROR(__xludf.DUMMYFUNCTION("""COMPUTED_VALUE"""),960.0)</f>
        <v>960</v>
      </c>
    </row>
    <row r="1403">
      <c r="A1403" s="2" t="str">
        <f>IFERROR(__xludf.DUMMYFUNCTION("""COMPUTED_VALUE"""),"PR004")</f>
        <v>PR004</v>
      </c>
      <c r="B1403" s="2" t="str">
        <f>IFERROR(__xludf.DUMMYFUNCTION("""COMPUTED_VALUE"""),"VD012")</f>
        <v>VD012</v>
      </c>
      <c r="C1403" s="2">
        <f>IFERROR(__xludf.DUMMYFUNCTION("""COMPUTED_VALUE"""),4.0)</f>
        <v>4</v>
      </c>
      <c r="D1403" s="2">
        <f>IFERROR(__xludf.DUMMYFUNCTION("""COMPUTED_VALUE"""),620.6)</f>
        <v>620.6</v>
      </c>
    </row>
    <row r="1404">
      <c r="A1404" s="2" t="str">
        <f>IFERROR(__xludf.DUMMYFUNCTION("""COMPUTED_VALUE"""),"PR020")</f>
        <v>PR020</v>
      </c>
      <c r="B1404" s="2" t="str">
        <f>IFERROR(__xludf.DUMMYFUNCTION("""COMPUTED_VALUE"""),"VD018")</f>
        <v>VD018</v>
      </c>
      <c r="C1404" s="2">
        <f>IFERROR(__xludf.DUMMYFUNCTION("""COMPUTED_VALUE"""),10.0)</f>
        <v>10</v>
      </c>
      <c r="D1404" s="2">
        <f>IFERROR(__xludf.DUMMYFUNCTION("""COMPUTED_VALUE"""),3118.96)</f>
        <v>3118.96</v>
      </c>
    </row>
    <row r="1405">
      <c r="A1405" s="2" t="str">
        <f>IFERROR(__xludf.DUMMYFUNCTION("""COMPUTED_VALUE"""),"PR004")</f>
        <v>PR004</v>
      </c>
      <c r="B1405" s="2" t="str">
        <f>IFERROR(__xludf.DUMMYFUNCTION("""COMPUTED_VALUE"""),"VD032")</f>
        <v>VD032</v>
      </c>
      <c r="C1405" s="2">
        <f>IFERROR(__xludf.DUMMYFUNCTION("""COMPUTED_VALUE"""),14.0)</f>
        <v>14</v>
      </c>
      <c r="D1405" s="2">
        <f>IFERROR(__xludf.DUMMYFUNCTION("""COMPUTED_VALUE"""),2172.1)</f>
        <v>2172.1</v>
      </c>
    </row>
    <row r="1406">
      <c r="A1406" s="2" t="str">
        <f>IFERROR(__xludf.DUMMYFUNCTION("""COMPUTED_VALUE"""),"PR014")</f>
        <v>PR014</v>
      </c>
      <c r="B1406" s="2" t="str">
        <f>IFERROR(__xludf.DUMMYFUNCTION("""COMPUTED_VALUE"""),"VD036")</f>
        <v>VD036</v>
      </c>
      <c r="C1406" s="2">
        <f>IFERROR(__xludf.DUMMYFUNCTION("""COMPUTED_VALUE"""),3.0)</f>
        <v>3</v>
      </c>
      <c r="D1406" s="2">
        <f>IFERROR(__xludf.DUMMYFUNCTION("""COMPUTED_VALUE"""),124.49)</f>
        <v>124.49</v>
      </c>
    </row>
    <row r="1407">
      <c r="A1407" s="2" t="str">
        <f>IFERROR(__xludf.DUMMYFUNCTION("""COMPUTED_VALUE"""),"PR033")</f>
        <v>PR033</v>
      </c>
      <c r="B1407" s="2" t="str">
        <f>IFERROR(__xludf.DUMMYFUNCTION("""COMPUTED_VALUE"""),"VD011")</f>
        <v>VD011</v>
      </c>
      <c r="C1407" s="2">
        <f>IFERROR(__xludf.DUMMYFUNCTION("""COMPUTED_VALUE"""),12.0)</f>
        <v>12</v>
      </c>
      <c r="D1407" s="2">
        <f>IFERROR(__xludf.DUMMYFUNCTION("""COMPUTED_VALUE"""),3149.99)</f>
        <v>3149.99</v>
      </c>
    </row>
    <row r="1408">
      <c r="A1408" s="2" t="str">
        <f>IFERROR(__xludf.DUMMYFUNCTION("""COMPUTED_VALUE"""),"PR049")</f>
        <v>PR049</v>
      </c>
      <c r="B1408" s="2" t="str">
        <f>IFERROR(__xludf.DUMMYFUNCTION("""COMPUTED_VALUE"""),"VD021")</f>
        <v>VD021</v>
      </c>
      <c r="C1408" s="2">
        <f>IFERROR(__xludf.DUMMYFUNCTION("""COMPUTED_VALUE"""),5.0)</f>
        <v>5</v>
      </c>
      <c r="D1408" s="2">
        <f>IFERROR(__xludf.DUMMYFUNCTION("""COMPUTED_VALUE"""),164.5)</f>
        <v>164.5</v>
      </c>
    </row>
    <row r="1409">
      <c r="A1409" s="2" t="str">
        <f>IFERROR(__xludf.DUMMYFUNCTION("""COMPUTED_VALUE"""),"PR021")</f>
        <v>PR021</v>
      </c>
      <c r="B1409" s="2" t="str">
        <f>IFERROR(__xludf.DUMMYFUNCTION("""COMPUTED_VALUE"""),"VD045")</f>
        <v>VD045</v>
      </c>
      <c r="C1409" s="2">
        <f>IFERROR(__xludf.DUMMYFUNCTION("""COMPUTED_VALUE"""),16.0)</f>
        <v>16</v>
      </c>
      <c r="D1409" s="2">
        <f>IFERROR(__xludf.DUMMYFUNCTION("""COMPUTED_VALUE"""),5088.72)</f>
        <v>5088.72</v>
      </c>
    </row>
    <row r="1410">
      <c r="A1410" s="2" t="str">
        <f>IFERROR(__xludf.DUMMYFUNCTION("""COMPUTED_VALUE"""),"PR018")</f>
        <v>PR018</v>
      </c>
      <c r="B1410" s="2" t="str">
        <f>IFERROR(__xludf.DUMMYFUNCTION("""COMPUTED_VALUE"""),"VD017")</f>
        <v>VD017</v>
      </c>
      <c r="C1410" s="2">
        <f>IFERROR(__xludf.DUMMYFUNCTION("""COMPUTED_VALUE"""),8.0)</f>
        <v>8</v>
      </c>
      <c r="D1410" s="2">
        <f>IFERROR(__xludf.DUMMYFUNCTION("""COMPUTED_VALUE"""),268.46)</f>
        <v>268.46</v>
      </c>
    </row>
    <row r="1411">
      <c r="A1411" s="2" t="str">
        <f>IFERROR(__xludf.DUMMYFUNCTION("""COMPUTED_VALUE"""),"PR038")</f>
        <v>PR038</v>
      </c>
      <c r="B1411" s="2" t="str">
        <f>IFERROR(__xludf.DUMMYFUNCTION("""COMPUTED_VALUE"""),"VD028")</f>
        <v>VD028</v>
      </c>
      <c r="C1411" s="2">
        <f>IFERROR(__xludf.DUMMYFUNCTION("""COMPUTED_VALUE"""),6.0)</f>
        <v>6</v>
      </c>
      <c r="D1411" s="2">
        <f>IFERROR(__xludf.DUMMYFUNCTION("""COMPUTED_VALUE"""),908.84)</f>
        <v>908.84</v>
      </c>
    </row>
    <row r="1412">
      <c r="A1412" s="2" t="str">
        <f>IFERROR(__xludf.DUMMYFUNCTION("""COMPUTED_VALUE"""),"PR037")</f>
        <v>PR037</v>
      </c>
      <c r="B1412" s="2" t="str">
        <f>IFERROR(__xludf.DUMMYFUNCTION("""COMPUTED_VALUE"""),"VD019")</f>
        <v>VD019</v>
      </c>
      <c r="C1412" s="2">
        <f>IFERROR(__xludf.DUMMYFUNCTION("""COMPUTED_VALUE"""),5.0)</f>
        <v>5</v>
      </c>
      <c r="D1412" s="2">
        <f>IFERROR(__xludf.DUMMYFUNCTION("""COMPUTED_VALUE"""),707.0)</f>
        <v>707</v>
      </c>
    </row>
    <row r="1413">
      <c r="A1413" s="2" t="str">
        <f>IFERROR(__xludf.DUMMYFUNCTION("""COMPUTED_VALUE"""),"PR041")</f>
        <v>PR041</v>
      </c>
      <c r="B1413" s="2" t="str">
        <f>IFERROR(__xludf.DUMMYFUNCTION("""COMPUTED_VALUE"""),"VD024")</f>
        <v>VD024</v>
      </c>
      <c r="C1413" s="2">
        <f>IFERROR(__xludf.DUMMYFUNCTION("""COMPUTED_VALUE"""),10.0)</f>
        <v>10</v>
      </c>
      <c r="D1413" s="2">
        <f>IFERROR(__xludf.DUMMYFUNCTION("""COMPUTED_VALUE"""),576.45)</f>
        <v>576.45</v>
      </c>
    </row>
    <row r="1414">
      <c r="A1414" s="2" t="str">
        <f>IFERROR(__xludf.DUMMYFUNCTION("""COMPUTED_VALUE"""),"PR014")</f>
        <v>PR014</v>
      </c>
      <c r="B1414" s="2" t="str">
        <f>IFERROR(__xludf.DUMMYFUNCTION("""COMPUTED_VALUE"""),"VD034")</f>
        <v>VD034</v>
      </c>
      <c r="C1414" s="2">
        <f>IFERROR(__xludf.DUMMYFUNCTION("""COMPUTED_VALUE"""),6.0)</f>
        <v>6</v>
      </c>
      <c r="D1414" s="2">
        <f>IFERROR(__xludf.DUMMYFUNCTION("""COMPUTED_VALUE"""),260.95)</f>
        <v>260.95</v>
      </c>
    </row>
    <row r="1415">
      <c r="A1415" s="2" t="str">
        <f>IFERROR(__xludf.DUMMYFUNCTION("""COMPUTED_VALUE"""),"PR002")</f>
        <v>PR002</v>
      </c>
      <c r="B1415" s="2" t="str">
        <f>IFERROR(__xludf.DUMMYFUNCTION("""COMPUTED_VALUE"""),"VD041")</f>
        <v>VD041</v>
      </c>
      <c r="C1415" s="2">
        <f>IFERROR(__xludf.DUMMYFUNCTION("""COMPUTED_VALUE"""),8.0)</f>
        <v>8</v>
      </c>
      <c r="D1415" s="2">
        <f>IFERROR(__xludf.DUMMYFUNCTION("""COMPUTED_VALUE"""),609.53)</f>
        <v>609.53</v>
      </c>
    </row>
    <row r="1416">
      <c r="A1416" s="2" t="str">
        <f>IFERROR(__xludf.DUMMYFUNCTION("""COMPUTED_VALUE"""),"PR023")</f>
        <v>PR023</v>
      </c>
      <c r="B1416" s="2" t="str">
        <f>IFERROR(__xludf.DUMMYFUNCTION("""COMPUTED_VALUE"""),"VD035")</f>
        <v>VD035</v>
      </c>
      <c r="C1416" s="2">
        <f>IFERROR(__xludf.DUMMYFUNCTION("""COMPUTED_VALUE"""),6.0)</f>
        <v>6</v>
      </c>
      <c r="D1416" s="2">
        <f>IFERROR(__xludf.DUMMYFUNCTION("""COMPUTED_VALUE"""),1604.36)</f>
        <v>1604.36</v>
      </c>
    </row>
    <row r="1417">
      <c r="A1417" s="2" t="str">
        <f>IFERROR(__xludf.DUMMYFUNCTION("""COMPUTED_VALUE"""),"PR008")</f>
        <v>PR008</v>
      </c>
      <c r="B1417" s="2" t="str">
        <f>IFERROR(__xludf.DUMMYFUNCTION("""COMPUTED_VALUE"""),"VD043")</f>
        <v>VD043</v>
      </c>
      <c r="C1417" s="2">
        <f>IFERROR(__xludf.DUMMYFUNCTION("""COMPUTED_VALUE"""),8.0)</f>
        <v>8</v>
      </c>
      <c r="D1417" s="2">
        <f>IFERROR(__xludf.DUMMYFUNCTION("""COMPUTED_VALUE"""),726.39)</f>
        <v>726.39</v>
      </c>
    </row>
    <row r="1418">
      <c r="A1418" s="2" t="str">
        <f>IFERROR(__xludf.DUMMYFUNCTION("""COMPUTED_VALUE"""),"PR053")</f>
        <v>PR053</v>
      </c>
      <c r="B1418" s="2" t="str">
        <f>IFERROR(__xludf.DUMMYFUNCTION("""COMPUTED_VALUE"""),"VD037")</f>
        <v>VD037</v>
      </c>
      <c r="C1418" s="2">
        <f>IFERROR(__xludf.DUMMYFUNCTION("""COMPUTED_VALUE"""),8.0)</f>
        <v>8</v>
      </c>
      <c r="D1418" s="2">
        <f>IFERROR(__xludf.DUMMYFUNCTION("""COMPUTED_VALUE"""),415.17)</f>
        <v>415.17</v>
      </c>
    </row>
    <row r="1419">
      <c r="A1419" s="2" t="str">
        <f>IFERROR(__xludf.DUMMYFUNCTION("""COMPUTED_VALUE"""),"PR014")</f>
        <v>PR014</v>
      </c>
      <c r="B1419" s="2" t="str">
        <f>IFERROR(__xludf.DUMMYFUNCTION("""COMPUTED_VALUE"""),"VD026")</f>
        <v>VD026</v>
      </c>
      <c r="C1419" s="2">
        <f>IFERROR(__xludf.DUMMYFUNCTION("""COMPUTED_VALUE"""),3.0)</f>
        <v>3</v>
      </c>
      <c r="D1419" s="2">
        <f>IFERROR(__xludf.DUMMYFUNCTION("""COMPUTED_VALUE"""),129.28)</f>
        <v>129.28</v>
      </c>
    </row>
    <row r="1420">
      <c r="A1420" s="2" t="str">
        <f>IFERROR(__xludf.DUMMYFUNCTION("""COMPUTED_VALUE"""),"PR028")</f>
        <v>PR028</v>
      </c>
      <c r="B1420" s="2" t="str">
        <f>IFERROR(__xludf.DUMMYFUNCTION("""COMPUTED_VALUE"""),"VD015")</f>
        <v>VD015</v>
      </c>
      <c r="C1420" s="2">
        <f>IFERROR(__xludf.DUMMYFUNCTION("""COMPUTED_VALUE"""),2.0)</f>
        <v>2</v>
      </c>
      <c r="D1420" s="2">
        <f>IFERROR(__xludf.DUMMYFUNCTION("""COMPUTED_VALUE"""),544.78)</f>
        <v>544.78</v>
      </c>
    </row>
    <row r="1421">
      <c r="A1421" s="2" t="str">
        <f>IFERROR(__xludf.DUMMYFUNCTION("""COMPUTED_VALUE"""),"PR059")</f>
        <v>PR059</v>
      </c>
      <c r="B1421" s="2" t="str">
        <f>IFERROR(__xludf.DUMMYFUNCTION("""COMPUTED_VALUE"""),"VD028")</f>
        <v>VD028</v>
      </c>
      <c r="C1421" s="2">
        <f>IFERROR(__xludf.DUMMYFUNCTION("""COMPUTED_VALUE"""),8.0)</f>
        <v>8</v>
      </c>
      <c r="D1421" s="2">
        <f>IFERROR(__xludf.DUMMYFUNCTION("""COMPUTED_VALUE"""),1440.0)</f>
        <v>1440</v>
      </c>
    </row>
    <row r="1422">
      <c r="A1422" s="2" t="str">
        <f>IFERROR(__xludf.DUMMYFUNCTION("""COMPUTED_VALUE"""),"PR053")</f>
        <v>PR053</v>
      </c>
      <c r="B1422" s="2" t="str">
        <f>IFERROR(__xludf.DUMMYFUNCTION("""COMPUTED_VALUE"""),"VD031")</f>
        <v>VD031</v>
      </c>
      <c r="C1422" s="2">
        <f>IFERROR(__xludf.DUMMYFUNCTION("""COMPUTED_VALUE"""),6.0)</f>
        <v>6</v>
      </c>
      <c r="D1422" s="2">
        <f>IFERROR(__xludf.DUMMYFUNCTION("""COMPUTED_VALUE"""),329.34)</f>
        <v>329.34</v>
      </c>
    </row>
    <row r="1423">
      <c r="A1423" s="2" t="str">
        <f>IFERROR(__xludf.DUMMYFUNCTION("""COMPUTED_VALUE"""),"PR005")</f>
        <v>PR005</v>
      </c>
      <c r="B1423" s="2" t="str">
        <f>IFERROR(__xludf.DUMMYFUNCTION("""COMPUTED_VALUE"""),"VD046")</f>
        <v>VD046</v>
      </c>
      <c r="C1423" s="2">
        <f>IFERROR(__xludf.DUMMYFUNCTION("""COMPUTED_VALUE"""),14.0)</f>
        <v>14</v>
      </c>
      <c r="D1423" s="2">
        <f>IFERROR(__xludf.DUMMYFUNCTION("""COMPUTED_VALUE"""),3674.99)</f>
        <v>3674.99</v>
      </c>
    </row>
    <row r="1424">
      <c r="A1424" s="2" t="str">
        <f>IFERROR(__xludf.DUMMYFUNCTION("""COMPUTED_VALUE"""),"PR016")</f>
        <v>PR016</v>
      </c>
      <c r="B1424" s="2" t="str">
        <f>IFERROR(__xludf.DUMMYFUNCTION("""COMPUTED_VALUE"""),"VD047")</f>
        <v>VD047</v>
      </c>
      <c r="C1424" s="2">
        <f>IFERROR(__xludf.DUMMYFUNCTION("""COMPUTED_VALUE"""),6.0)</f>
        <v>6</v>
      </c>
      <c r="D1424" s="2">
        <f>IFERROR(__xludf.DUMMYFUNCTION("""COMPUTED_VALUE"""),158.51)</f>
        <v>158.51</v>
      </c>
    </row>
    <row r="1425">
      <c r="A1425" s="2" t="str">
        <f>IFERROR(__xludf.DUMMYFUNCTION("""COMPUTED_VALUE"""),"PR019")</f>
        <v>PR019</v>
      </c>
      <c r="B1425" s="2" t="str">
        <f>IFERROR(__xludf.DUMMYFUNCTION("""COMPUTED_VALUE"""),"VD023")</f>
        <v>VD023</v>
      </c>
      <c r="C1425" s="2">
        <f>IFERROR(__xludf.DUMMYFUNCTION("""COMPUTED_VALUE"""),8.0)</f>
        <v>8</v>
      </c>
      <c r="D1425" s="2">
        <f>IFERROR(__xludf.DUMMYFUNCTION("""COMPUTED_VALUE"""),407.18)</f>
        <v>407.18</v>
      </c>
    </row>
    <row r="1426">
      <c r="A1426" s="2" t="str">
        <f>IFERROR(__xludf.DUMMYFUNCTION("""COMPUTED_VALUE"""),"PR049")</f>
        <v>PR049</v>
      </c>
      <c r="B1426" s="2" t="str">
        <f>IFERROR(__xludf.DUMMYFUNCTION("""COMPUTED_VALUE"""),"VD028")</f>
        <v>VD028</v>
      </c>
      <c r="C1426" s="2">
        <f>IFERROR(__xludf.DUMMYFUNCTION("""COMPUTED_VALUE"""),2.0)</f>
        <v>2</v>
      </c>
      <c r="D1426" s="2">
        <f>IFERROR(__xludf.DUMMYFUNCTION("""COMPUTED_VALUE"""),69.75)</f>
        <v>69.75</v>
      </c>
    </row>
    <row r="1427">
      <c r="A1427" s="2" t="str">
        <f>IFERROR(__xludf.DUMMYFUNCTION("""COMPUTED_VALUE"""),"PR036")</f>
        <v>PR036</v>
      </c>
      <c r="B1427" s="2" t="str">
        <f>IFERROR(__xludf.DUMMYFUNCTION("""COMPUTED_VALUE"""),"VD043")</f>
        <v>VD043</v>
      </c>
      <c r="C1427" s="2">
        <f>IFERROR(__xludf.DUMMYFUNCTION("""COMPUTED_VALUE"""),4.0)</f>
        <v>4</v>
      </c>
      <c r="D1427" s="2">
        <f>IFERROR(__xludf.DUMMYFUNCTION("""COMPUTED_VALUE"""),381.48)</f>
        <v>381.48</v>
      </c>
    </row>
    <row r="1428">
      <c r="A1428" s="2" t="str">
        <f>IFERROR(__xludf.DUMMYFUNCTION("""COMPUTED_VALUE"""),"PR027")</f>
        <v>PR027</v>
      </c>
      <c r="B1428" s="2" t="str">
        <f>IFERROR(__xludf.DUMMYFUNCTION("""COMPUTED_VALUE"""),"VD019")</f>
        <v>VD019</v>
      </c>
      <c r="C1428" s="2">
        <f>IFERROR(__xludf.DUMMYFUNCTION("""COMPUTED_VALUE"""),1.0)</f>
        <v>1</v>
      </c>
      <c r="D1428" s="2">
        <f>IFERROR(__xludf.DUMMYFUNCTION("""COMPUTED_VALUE"""),122.4)</f>
        <v>122.4</v>
      </c>
    </row>
    <row r="1429">
      <c r="A1429" s="2" t="str">
        <f>IFERROR(__xludf.DUMMYFUNCTION("""COMPUTED_VALUE"""),"PR028")</f>
        <v>PR028</v>
      </c>
      <c r="B1429" s="2" t="str">
        <f>IFERROR(__xludf.DUMMYFUNCTION("""COMPUTED_VALUE"""),"VD020")</f>
        <v>VD020</v>
      </c>
      <c r="C1429" s="2">
        <f>IFERROR(__xludf.DUMMYFUNCTION("""COMPUTED_VALUE"""),14.0)</f>
        <v>14</v>
      </c>
      <c r="D1429" s="2">
        <f>IFERROR(__xludf.DUMMYFUNCTION("""COMPUTED_VALUE"""),3533.59)</f>
        <v>3533.59</v>
      </c>
    </row>
    <row r="1430">
      <c r="A1430" s="2" t="str">
        <f>IFERROR(__xludf.DUMMYFUNCTION("""COMPUTED_VALUE"""),"PR022")</f>
        <v>PR022</v>
      </c>
      <c r="B1430" s="2" t="str">
        <f>IFERROR(__xludf.DUMMYFUNCTION("""COMPUTED_VALUE"""),"VD010")</f>
        <v>VD010</v>
      </c>
      <c r="C1430" s="2">
        <f>IFERROR(__xludf.DUMMYFUNCTION("""COMPUTED_VALUE"""),20.0)</f>
        <v>20</v>
      </c>
      <c r="D1430" s="2">
        <f>IFERROR(__xludf.DUMMYFUNCTION("""COMPUTED_VALUE"""),6060.0)</f>
        <v>6060</v>
      </c>
    </row>
    <row r="1431">
      <c r="A1431" s="2" t="str">
        <f>IFERROR(__xludf.DUMMYFUNCTION("""COMPUTED_VALUE"""),"PR059")</f>
        <v>PR059</v>
      </c>
      <c r="B1431" s="2" t="str">
        <f>IFERROR(__xludf.DUMMYFUNCTION("""COMPUTED_VALUE"""),"VD010")</f>
        <v>VD010</v>
      </c>
      <c r="C1431" s="2">
        <f>IFERROR(__xludf.DUMMYFUNCTION("""COMPUTED_VALUE"""),8.0)</f>
        <v>8</v>
      </c>
      <c r="D1431" s="2">
        <f>IFERROR(__xludf.DUMMYFUNCTION("""COMPUTED_VALUE"""),1584.0)</f>
        <v>1584</v>
      </c>
    </row>
    <row r="1432">
      <c r="A1432" s="2" t="str">
        <f>IFERROR(__xludf.DUMMYFUNCTION("""COMPUTED_VALUE"""),"PR059")</f>
        <v>PR059</v>
      </c>
      <c r="B1432" s="2" t="str">
        <f>IFERROR(__xludf.DUMMYFUNCTION("""COMPUTED_VALUE"""),"VD029")</f>
        <v>VD029</v>
      </c>
      <c r="C1432" s="2">
        <f>IFERROR(__xludf.DUMMYFUNCTION("""COMPUTED_VALUE"""),18.0)</f>
        <v>18</v>
      </c>
      <c r="D1432" s="2">
        <f>IFERROR(__xludf.DUMMYFUNCTION("""COMPUTED_VALUE"""),3564.0)</f>
        <v>3564</v>
      </c>
    </row>
    <row r="1433">
      <c r="A1433" s="2" t="str">
        <f>IFERROR(__xludf.DUMMYFUNCTION("""COMPUTED_VALUE"""),"PR056")</f>
        <v>PR056</v>
      </c>
      <c r="B1433" s="2" t="str">
        <f>IFERROR(__xludf.DUMMYFUNCTION("""COMPUTED_VALUE"""),"VD011")</f>
        <v>VD011</v>
      </c>
      <c r="C1433" s="2">
        <f>IFERROR(__xludf.DUMMYFUNCTION("""COMPUTED_VALUE"""),12.0)</f>
        <v>12</v>
      </c>
      <c r="D1433" s="2">
        <f>IFERROR(__xludf.DUMMYFUNCTION("""COMPUTED_VALUE"""),1121.95)</f>
        <v>1121.95</v>
      </c>
    </row>
    <row r="1434">
      <c r="A1434" s="2" t="str">
        <f>IFERROR(__xludf.DUMMYFUNCTION("""COMPUTED_VALUE"""),"PR033")</f>
        <v>PR033</v>
      </c>
      <c r="B1434" s="2" t="str">
        <f>IFERROR(__xludf.DUMMYFUNCTION("""COMPUTED_VALUE"""),"VD027")</f>
        <v>VD027</v>
      </c>
      <c r="C1434" s="2">
        <f>IFERROR(__xludf.DUMMYFUNCTION("""COMPUTED_VALUE"""),6.0)</f>
        <v>6</v>
      </c>
      <c r="D1434" s="2">
        <f>IFERROR(__xludf.DUMMYFUNCTION("""COMPUTED_VALUE"""),1699.75)</f>
        <v>1699.75</v>
      </c>
    </row>
    <row r="1435">
      <c r="A1435" s="2" t="str">
        <f>IFERROR(__xludf.DUMMYFUNCTION("""COMPUTED_VALUE"""),"PR021")</f>
        <v>PR021</v>
      </c>
      <c r="B1435" s="2" t="str">
        <f>IFERROR(__xludf.DUMMYFUNCTION("""COMPUTED_VALUE"""),"VD038")</f>
        <v>VD038</v>
      </c>
      <c r="C1435" s="2">
        <f>IFERROR(__xludf.DUMMYFUNCTION("""COMPUTED_VALUE"""),2.0)</f>
        <v>2</v>
      </c>
      <c r="D1435" s="2">
        <f>IFERROR(__xludf.DUMMYFUNCTION("""COMPUTED_VALUE"""),605.8)</f>
        <v>605.8</v>
      </c>
    </row>
    <row r="1436">
      <c r="A1436" s="2" t="str">
        <f>IFERROR(__xludf.DUMMYFUNCTION("""COMPUTED_VALUE"""),"PR045")</f>
        <v>PR045</v>
      </c>
      <c r="B1436" s="2" t="str">
        <f>IFERROR(__xludf.DUMMYFUNCTION("""COMPUTED_VALUE"""),"VD018")</f>
        <v>VD018</v>
      </c>
      <c r="C1436" s="2">
        <f>IFERROR(__xludf.DUMMYFUNCTION("""COMPUTED_VALUE"""),6.0)</f>
        <v>6</v>
      </c>
      <c r="D1436" s="2">
        <f>IFERROR(__xludf.DUMMYFUNCTION("""COMPUTED_VALUE"""),443.7)</f>
        <v>443.7</v>
      </c>
    </row>
    <row r="1437">
      <c r="A1437" s="2" t="str">
        <f>IFERROR(__xludf.DUMMYFUNCTION("""COMPUTED_VALUE"""),"PR055")</f>
        <v>PR055</v>
      </c>
      <c r="B1437" s="2" t="str">
        <f>IFERROR(__xludf.DUMMYFUNCTION("""COMPUTED_VALUE"""),"VD019")</f>
        <v>VD019</v>
      </c>
      <c r="C1437" s="2">
        <f>IFERROR(__xludf.DUMMYFUNCTION("""COMPUTED_VALUE"""),6.0)</f>
        <v>6</v>
      </c>
      <c r="D1437" s="2">
        <f>IFERROR(__xludf.DUMMYFUNCTION("""COMPUTED_VALUE"""),560.98)</f>
        <v>560.98</v>
      </c>
    </row>
    <row r="1438">
      <c r="A1438" s="2" t="str">
        <f>IFERROR(__xludf.DUMMYFUNCTION("""COMPUTED_VALUE"""),"PR017")</f>
        <v>PR017</v>
      </c>
      <c r="B1438" s="2" t="str">
        <f>IFERROR(__xludf.DUMMYFUNCTION("""COMPUTED_VALUE"""),"VD013")</f>
        <v>VD013</v>
      </c>
      <c r="C1438" s="2">
        <f>IFERROR(__xludf.DUMMYFUNCTION("""COMPUTED_VALUE"""),9.0)</f>
        <v>9</v>
      </c>
      <c r="D1438" s="2">
        <f>IFERROR(__xludf.DUMMYFUNCTION("""COMPUTED_VALUE"""),282.56)</f>
        <v>282.56</v>
      </c>
    </row>
    <row r="1439">
      <c r="A1439" s="2" t="str">
        <f>IFERROR(__xludf.DUMMYFUNCTION("""COMPUTED_VALUE"""),"PR039")</f>
        <v>PR039</v>
      </c>
      <c r="B1439" s="2" t="str">
        <f>IFERROR(__xludf.DUMMYFUNCTION("""COMPUTED_VALUE"""),"VD040")</f>
        <v>VD040</v>
      </c>
      <c r="C1439" s="2">
        <f>IFERROR(__xludf.DUMMYFUNCTION("""COMPUTED_VALUE"""),4.0)</f>
        <v>4</v>
      </c>
      <c r="D1439" s="2">
        <f>IFERROR(__xludf.DUMMYFUNCTION("""COMPUTED_VALUE"""),601.52)</f>
        <v>601.52</v>
      </c>
    </row>
    <row r="1440">
      <c r="A1440" s="2" t="str">
        <f>IFERROR(__xludf.DUMMYFUNCTION("""COMPUTED_VALUE"""),"PR060")</f>
        <v>PR060</v>
      </c>
      <c r="B1440" s="2" t="str">
        <f>IFERROR(__xludf.DUMMYFUNCTION("""COMPUTED_VALUE"""),"VD037")</f>
        <v>VD037</v>
      </c>
      <c r="C1440" s="2">
        <f>IFERROR(__xludf.DUMMYFUNCTION("""COMPUTED_VALUE"""),10.0)</f>
        <v>10</v>
      </c>
      <c r="D1440" s="2">
        <f>IFERROR(__xludf.DUMMYFUNCTION("""COMPUTED_VALUE"""),1818.0)</f>
        <v>1818</v>
      </c>
    </row>
    <row r="1441">
      <c r="A1441" s="2" t="str">
        <f>IFERROR(__xludf.DUMMYFUNCTION("""COMPUTED_VALUE"""),"PR029")</f>
        <v>PR029</v>
      </c>
      <c r="B1441" s="2" t="str">
        <f>IFERROR(__xludf.DUMMYFUNCTION("""COMPUTED_VALUE"""),"VD013")</f>
        <v>VD013</v>
      </c>
      <c r="C1441" s="2">
        <f>IFERROR(__xludf.DUMMYFUNCTION("""COMPUTED_VALUE"""),7.0)</f>
        <v>7</v>
      </c>
      <c r="D1441" s="2">
        <f>IFERROR(__xludf.DUMMYFUNCTION("""COMPUTED_VALUE"""),1963.5)</f>
        <v>1963.5</v>
      </c>
    </row>
    <row r="1442">
      <c r="A1442" s="2" t="str">
        <f>IFERROR(__xludf.DUMMYFUNCTION("""COMPUTED_VALUE"""),"PR009")</f>
        <v>PR009</v>
      </c>
      <c r="B1442" s="2" t="str">
        <f>IFERROR(__xludf.DUMMYFUNCTION("""COMPUTED_VALUE"""),"VD011")</f>
        <v>VD011</v>
      </c>
      <c r="C1442" s="2">
        <f>IFERROR(__xludf.DUMMYFUNCTION("""COMPUTED_VALUE"""),14.0)</f>
        <v>14</v>
      </c>
      <c r="D1442" s="2">
        <f>IFERROR(__xludf.DUMMYFUNCTION("""COMPUTED_VALUE"""),1365.63)</f>
        <v>1365.63</v>
      </c>
    </row>
    <row r="1443">
      <c r="A1443" s="2" t="str">
        <f>IFERROR(__xludf.DUMMYFUNCTION("""COMPUTED_VALUE"""),"PR050")</f>
        <v>PR050</v>
      </c>
      <c r="B1443" s="2" t="str">
        <f>IFERROR(__xludf.DUMMYFUNCTION("""COMPUTED_VALUE"""),"VD033")</f>
        <v>VD033</v>
      </c>
      <c r="C1443" s="2">
        <f>IFERROR(__xludf.DUMMYFUNCTION("""COMPUTED_VALUE"""),6.0)</f>
        <v>6</v>
      </c>
      <c r="D1443" s="2">
        <f>IFERROR(__xludf.DUMMYFUNCTION("""COMPUTED_VALUE"""),205.3)</f>
        <v>205.3</v>
      </c>
    </row>
    <row r="1444">
      <c r="A1444" s="2" t="str">
        <f>IFERROR(__xludf.DUMMYFUNCTION("""COMPUTED_VALUE"""),"PR004")</f>
        <v>PR004</v>
      </c>
      <c r="B1444" s="2" t="str">
        <f>IFERROR(__xludf.DUMMYFUNCTION("""COMPUTED_VALUE"""),"VD021")</f>
        <v>VD021</v>
      </c>
      <c r="C1444" s="2">
        <f>IFERROR(__xludf.DUMMYFUNCTION("""COMPUTED_VALUE"""),8.0)</f>
        <v>8</v>
      </c>
      <c r="D1444" s="2">
        <f>IFERROR(__xludf.DUMMYFUNCTION("""COMPUTED_VALUE"""),1264.4)</f>
        <v>1264.4</v>
      </c>
    </row>
    <row r="1445">
      <c r="A1445" s="2" t="str">
        <f>IFERROR(__xludf.DUMMYFUNCTION("""COMPUTED_VALUE"""),"PR017")</f>
        <v>PR017</v>
      </c>
      <c r="B1445" s="2" t="str">
        <f>IFERROR(__xludf.DUMMYFUNCTION("""COMPUTED_VALUE"""),"VD045")</f>
        <v>VD045</v>
      </c>
      <c r="C1445" s="2">
        <f>IFERROR(__xludf.DUMMYFUNCTION("""COMPUTED_VALUE"""),9.0)</f>
        <v>9</v>
      </c>
      <c r="D1445" s="2">
        <f>IFERROR(__xludf.DUMMYFUNCTION("""COMPUTED_VALUE"""),269.1)</f>
        <v>269.1</v>
      </c>
    </row>
    <row r="1446">
      <c r="A1446" s="2" t="str">
        <f>IFERROR(__xludf.DUMMYFUNCTION("""COMPUTED_VALUE"""),"PR054")</f>
        <v>PR054</v>
      </c>
      <c r="B1446" s="2" t="str">
        <f>IFERROR(__xludf.DUMMYFUNCTION("""COMPUTED_VALUE"""),"VD049")</f>
        <v>VD049</v>
      </c>
      <c r="C1446" s="2">
        <f>IFERROR(__xludf.DUMMYFUNCTION("""COMPUTED_VALUE"""),8.0)</f>
        <v>8</v>
      </c>
      <c r="D1446" s="2">
        <f>IFERROR(__xludf.DUMMYFUNCTION("""COMPUTED_VALUE"""),403.19)</f>
        <v>403.19</v>
      </c>
    </row>
    <row r="1447">
      <c r="A1447" s="2" t="str">
        <f>IFERROR(__xludf.DUMMYFUNCTION("""COMPUTED_VALUE"""),"PR028")</f>
        <v>PR028</v>
      </c>
      <c r="B1447" s="2" t="str">
        <f>IFERROR(__xludf.DUMMYFUNCTION("""COMPUTED_VALUE"""),"VD033")</f>
        <v>VD033</v>
      </c>
      <c r="C1447" s="2">
        <f>IFERROR(__xludf.DUMMYFUNCTION("""COMPUTED_VALUE"""),8.0)</f>
        <v>8</v>
      </c>
      <c r="D1447" s="2">
        <f>IFERROR(__xludf.DUMMYFUNCTION("""COMPUTED_VALUE"""),2119.15)</f>
        <v>2119.15</v>
      </c>
    </row>
    <row r="1448">
      <c r="A1448" s="2" t="str">
        <f>IFERROR(__xludf.DUMMYFUNCTION("""COMPUTED_VALUE"""),"PR037")</f>
        <v>PR037</v>
      </c>
      <c r="B1448" s="2" t="str">
        <f>IFERROR(__xludf.DUMMYFUNCTION("""COMPUTED_VALUE"""),"VD024")</f>
        <v>VD024</v>
      </c>
      <c r="C1448" s="2">
        <f>IFERROR(__xludf.DUMMYFUNCTION("""COMPUTED_VALUE"""),6.0)</f>
        <v>6</v>
      </c>
      <c r="D1448" s="2">
        <f>IFERROR(__xludf.DUMMYFUNCTION("""COMPUTED_VALUE"""),924.0)</f>
        <v>924</v>
      </c>
    </row>
    <row r="1449">
      <c r="A1449" s="2" t="str">
        <f>IFERROR(__xludf.DUMMYFUNCTION("""COMPUTED_VALUE"""),"PR011")</f>
        <v>PR011</v>
      </c>
      <c r="B1449" s="2" t="str">
        <f>IFERROR(__xludf.DUMMYFUNCTION("""COMPUTED_VALUE"""),"VD012")</f>
        <v>VD012</v>
      </c>
      <c r="C1449" s="2">
        <f>IFERROR(__xludf.DUMMYFUNCTION("""COMPUTED_VALUE"""),3.0)</f>
        <v>3</v>
      </c>
      <c r="D1449" s="2">
        <f>IFERROR(__xludf.DUMMYFUNCTION("""COMPUTED_VALUE"""),143.51)</f>
        <v>143.51</v>
      </c>
    </row>
    <row r="1450">
      <c r="A1450" s="2" t="str">
        <f>IFERROR(__xludf.DUMMYFUNCTION("""COMPUTED_VALUE"""),"PR047")</f>
        <v>PR047</v>
      </c>
      <c r="B1450" s="2" t="str">
        <f>IFERROR(__xludf.DUMMYFUNCTION("""COMPUTED_VALUE"""),"VD037")</f>
        <v>VD037</v>
      </c>
      <c r="C1450" s="2">
        <f>IFERROR(__xludf.DUMMYFUNCTION("""COMPUTED_VALUE"""),6.0)</f>
        <v>6</v>
      </c>
      <c r="D1450" s="2">
        <f>IFERROR(__xludf.DUMMYFUNCTION("""COMPUTED_VALUE"""),1808.98)</f>
        <v>1808.98</v>
      </c>
    </row>
    <row r="1451">
      <c r="A1451" s="2" t="str">
        <f>IFERROR(__xludf.DUMMYFUNCTION("""COMPUTED_VALUE"""),"PR036")</f>
        <v>PR036</v>
      </c>
      <c r="B1451" s="2" t="str">
        <f>IFERROR(__xludf.DUMMYFUNCTION("""COMPUTED_VALUE"""),"VD027")</f>
        <v>VD027</v>
      </c>
      <c r="C1451" s="2">
        <f>IFERROR(__xludf.DUMMYFUNCTION("""COMPUTED_VALUE"""),7.0)</f>
        <v>7</v>
      </c>
      <c r="D1451" s="2">
        <f>IFERROR(__xludf.DUMMYFUNCTION("""COMPUTED_VALUE"""),693.77)</f>
        <v>693.77</v>
      </c>
    </row>
    <row r="1452">
      <c r="A1452" s="2" t="str">
        <f>IFERROR(__xludf.DUMMYFUNCTION("""COMPUTED_VALUE"""),"PR027")</f>
        <v>PR027</v>
      </c>
      <c r="B1452" s="2" t="str">
        <f>IFERROR(__xludf.DUMMYFUNCTION("""COMPUTED_VALUE"""),"VD034")</f>
        <v>VD034</v>
      </c>
      <c r="C1452" s="2">
        <f>IFERROR(__xludf.DUMMYFUNCTION("""COMPUTED_VALUE"""),6.0)</f>
        <v>6</v>
      </c>
      <c r="D1452" s="2">
        <f>IFERROR(__xludf.DUMMYFUNCTION("""COMPUTED_VALUE"""),720.0)</f>
        <v>720</v>
      </c>
    </row>
    <row r="1453">
      <c r="A1453" s="2" t="str">
        <f>IFERROR(__xludf.DUMMYFUNCTION("""COMPUTED_VALUE"""),"PR018")</f>
        <v>PR018</v>
      </c>
      <c r="B1453" s="2" t="str">
        <f>IFERROR(__xludf.DUMMYFUNCTION("""COMPUTED_VALUE"""),"VD017")</f>
        <v>VD017</v>
      </c>
      <c r="C1453" s="2">
        <f>IFERROR(__xludf.DUMMYFUNCTION("""COMPUTED_VALUE"""),8.0)</f>
        <v>8</v>
      </c>
      <c r="D1453" s="2">
        <f>IFERROR(__xludf.DUMMYFUNCTION("""COMPUTED_VALUE"""),268.46)</f>
        <v>268.46</v>
      </c>
    </row>
    <row r="1454">
      <c r="A1454" s="2" t="str">
        <f>IFERROR(__xludf.DUMMYFUNCTION("""COMPUTED_VALUE"""),"PR043")</f>
        <v>PR043</v>
      </c>
      <c r="B1454" s="2" t="str">
        <f>IFERROR(__xludf.DUMMYFUNCTION("""COMPUTED_VALUE"""),"VD038")</f>
        <v>VD038</v>
      </c>
      <c r="C1454" s="2">
        <f>IFERROR(__xludf.DUMMYFUNCTION("""COMPUTED_VALUE"""),14.0)</f>
        <v>14</v>
      </c>
      <c r="D1454" s="2">
        <f>IFERROR(__xludf.DUMMYFUNCTION("""COMPUTED_VALUE"""),1035.3)</f>
        <v>1035.3</v>
      </c>
    </row>
    <row r="1455">
      <c r="A1455" s="2" t="str">
        <f>IFERROR(__xludf.DUMMYFUNCTION("""COMPUTED_VALUE"""),"PR023")</f>
        <v>PR023</v>
      </c>
      <c r="B1455" s="2" t="str">
        <f>IFERROR(__xludf.DUMMYFUNCTION("""COMPUTED_VALUE"""),"VD046")</f>
        <v>VD046</v>
      </c>
      <c r="C1455" s="2">
        <f>IFERROR(__xludf.DUMMYFUNCTION("""COMPUTED_VALUE"""),12.0)</f>
        <v>12</v>
      </c>
      <c r="D1455" s="2">
        <f>IFERROR(__xludf.DUMMYFUNCTION("""COMPUTED_VALUE"""),3058.78)</f>
        <v>3058.78</v>
      </c>
    </row>
    <row r="1456">
      <c r="A1456" s="2" t="str">
        <f>IFERROR(__xludf.DUMMYFUNCTION("""COMPUTED_VALUE"""),"PR014")</f>
        <v>PR014</v>
      </c>
      <c r="B1456" s="2" t="str">
        <f>IFERROR(__xludf.DUMMYFUNCTION("""COMPUTED_VALUE"""),"VD019")</f>
        <v>VD019</v>
      </c>
      <c r="C1456" s="2">
        <f>IFERROR(__xludf.DUMMYFUNCTION("""COMPUTED_VALUE"""),18.0)</f>
        <v>18</v>
      </c>
      <c r="D1456" s="2">
        <f>IFERROR(__xludf.DUMMYFUNCTION("""COMPUTED_VALUE"""),718.2)</f>
        <v>718.2</v>
      </c>
    </row>
    <row r="1457">
      <c r="A1457" s="2" t="str">
        <f>IFERROR(__xludf.DUMMYFUNCTION("""COMPUTED_VALUE"""),"PR028")</f>
        <v>PR028</v>
      </c>
      <c r="B1457" s="2" t="str">
        <f>IFERROR(__xludf.DUMMYFUNCTION("""COMPUTED_VALUE"""),"VD029")</f>
        <v>VD029</v>
      </c>
      <c r="C1457" s="2">
        <f>IFERROR(__xludf.DUMMYFUNCTION("""COMPUTED_VALUE"""),9.0)</f>
        <v>9</v>
      </c>
      <c r="D1457" s="2">
        <f>IFERROR(__xludf.DUMMYFUNCTION("""COMPUTED_VALUE"""),2406.54)</f>
        <v>2406.54</v>
      </c>
    </row>
    <row r="1458">
      <c r="A1458" s="2" t="str">
        <f>IFERROR(__xludf.DUMMYFUNCTION("""COMPUTED_VALUE"""),"PR054")</f>
        <v>PR054</v>
      </c>
      <c r="B1458" s="2" t="str">
        <f>IFERROR(__xludf.DUMMYFUNCTION("""COMPUTED_VALUE"""),"VD015")</f>
        <v>VD015</v>
      </c>
      <c r="C1458" s="2">
        <f>IFERROR(__xludf.DUMMYFUNCTION("""COMPUTED_VALUE"""),2.0)</f>
        <v>2</v>
      </c>
      <c r="D1458" s="2">
        <f>IFERROR(__xludf.DUMMYFUNCTION("""COMPUTED_VALUE"""),100.8)</f>
        <v>100.8</v>
      </c>
    </row>
    <row r="1459">
      <c r="A1459" s="2" t="str">
        <f>IFERROR(__xludf.DUMMYFUNCTION("""COMPUTED_VALUE"""),"PR010")</f>
        <v>PR010</v>
      </c>
      <c r="B1459" s="2" t="str">
        <f>IFERROR(__xludf.DUMMYFUNCTION("""COMPUTED_VALUE"""),"VD018")</f>
        <v>VD018</v>
      </c>
      <c r="C1459" s="2">
        <f>IFERROR(__xludf.DUMMYFUNCTION("""COMPUTED_VALUE"""),10.0)</f>
        <v>10</v>
      </c>
      <c r="D1459" s="2">
        <f>IFERROR(__xludf.DUMMYFUNCTION("""COMPUTED_VALUE"""),475.94)</f>
        <v>475.94</v>
      </c>
    </row>
    <row r="1460">
      <c r="A1460" s="2" t="str">
        <f>IFERROR(__xludf.DUMMYFUNCTION("""COMPUTED_VALUE"""),"PR042")</f>
        <v>PR042</v>
      </c>
      <c r="B1460" s="2" t="str">
        <f>IFERROR(__xludf.DUMMYFUNCTION("""COMPUTED_VALUE"""),"VD026")</f>
        <v>VD026</v>
      </c>
      <c r="C1460" s="2">
        <f>IFERROR(__xludf.DUMMYFUNCTION("""COMPUTED_VALUE"""),3.0)</f>
        <v>3</v>
      </c>
      <c r="D1460" s="2">
        <f>IFERROR(__xludf.DUMMYFUNCTION("""COMPUTED_VALUE"""),164.7)</f>
        <v>164.7</v>
      </c>
    </row>
    <row r="1461">
      <c r="A1461" s="2" t="str">
        <f>IFERROR(__xludf.DUMMYFUNCTION("""COMPUTED_VALUE"""),"PR039")</f>
        <v>PR039</v>
      </c>
      <c r="B1461" s="2" t="str">
        <f>IFERROR(__xludf.DUMMYFUNCTION("""COMPUTED_VALUE"""),"VD044")</f>
        <v>VD044</v>
      </c>
      <c r="C1461" s="2">
        <f>IFERROR(__xludf.DUMMYFUNCTION("""COMPUTED_VALUE"""),2.0)</f>
        <v>2</v>
      </c>
      <c r="D1461" s="2">
        <f>IFERROR(__xludf.DUMMYFUNCTION("""COMPUTED_VALUE"""),312.44)</f>
        <v>312.44</v>
      </c>
    </row>
    <row r="1462">
      <c r="A1462" s="2" t="str">
        <f>IFERROR(__xludf.DUMMYFUNCTION("""COMPUTED_VALUE"""),"PR010")</f>
        <v>PR010</v>
      </c>
      <c r="B1462" s="2" t="str">
        <f>IFERROR(__xludf.DUMMYFUNCTION("""COMPUTED_VALUE"""),"VD047")</f>
        <v>VD047</v>
      </c>
      <c r="C1462" s="2">
        <f>IFERROR(__xludf.DUMMYFUNCTION("""COMPUTED_VALUE"""),2.0)</f>
        <v>2</v>
      </c>
      <c r="D1462" s="2">
        <f>IFERROR(__xludf.DUMMYFUNCTION("""COMPUTED_VALUE"""),91.6)</f>
        <v>91.6</v>
      </c>
    </row>
    <row r="1463">
      <c r="A1463" s="2" t="str">
        <f>IFERROR(__xludf.DUMMYFUNCTION("""COMPUTED_VALUE"""),"PR046")</f>
        <v>PR046</v>
      </c>
      <c r="B1463" s="2" t="str">
        <f>IFERROR(__xludf.DUMMYFUNCTION("""COMPUTED_VALUE"""),"VD024")</f>
        <v>VD024</v>
      </c>
      <c r="C1463" s="2">
        <f>IFERROR(__xludf.DUMMYFUNCTION("""COMPUTED_VALUE"""),10.0)</f>
        <v>10</v>
      </c>
      <c r="D1463" s="2">
        <f>IFERROR(__xludf.DUMMYFUNCTION("""COMPUTED_VALUE"""),3043.95)</f>
        <v>3043.95</v>
      </c>
    </row>
    <row r="1464">
      <c r="A1464" s="2" t="str">
        <f>IFERROR(__xludf.DUMMYFUNCTION("""COMPUTED_VALUE"""),"PR059")</f>
        <v>PR059</v>
      </c>
      <c r="B1464" s="2" t="str">
        <f>IFERROR(__xludf.DUMMYFUNCTION("""COMPUTED_VALUE"""),"VD019")</f>
        <v>VD019</v>
      </c>
      <c r="C1464" s="2">
        <f>IFERROR(__xludf.DUMMYFUNCTION("""COMPUTED_VALUE"""),7.0)</f>
        <v>7</v>
      </c>
      <c r="D1464" s="2">
        <f>IFERROR(__xludf.DUMMYFUNCTION("""COMPUTED_VALUE"""),1285.2)</f>
        <v>1285.2</v>
      </c>
    </row>
    <row r="1465">
      <c r="A1465" s="2" t="str">
        <f>IFERROR(__xludf.DUMMYFUNCTION("""COMPUTED_VALUE"""),"PR048")</f>
        <v>PR048</v>
      </c>
      <c r="B1465" s="2" t="str">
        <f>IFERROR(__xludf.DUMMYFUNCTION("""COMPUTED_VALUE"""),"VD034")</f>
        <v>VD034</v>
      </c>
      <c r="C1465" s="2">
        <f>IFERROR(__xludf.DUMMYFUNCTION("""COMPUTED_VALUE"""),20.0)</f>
        <v>20</v>
      </c>
      <c r="D1465" s="2">
        <f>IFERROR(__xludf.DUMMYFUNCTION("""COMPUTED_VALUE"""),6145.88)</f>
        <v>6145.88</v>
      </c>
    </row>
    <row r="1466">
      <c r="A1466" s="2" t="str">
        <f>IFERROR(__xludf.DUMMYFUNCTION("""COMPUTED_VALUE"""),"PR047")</f>
        <v>PR047</v>
      </c>
      <c r="B1466" s="2" t="str">
        <f>IFERROR(__xludf.DUMMYFUNCTION("""COMPUTED_VALUE"""),"VD048")</f>
        <v>VD048</v>
      </c>
      <c r="C1466" s="2">
        <f>IFERROR(__xludf.DUMMYFUNCTION("""COMPUTED_VALUE"""),10.0)</f>
        <v>10</v>
      </c>
      <c r="D1466" s="2">
        <f>IFERROR(__xludf.DUMMYFUNCTION("""COMPUTED_VALUE"""),3159.91)</f>
        <v>3159.91</v>
      </c>
    </row>
    <row r="1467">
      <c r="A1467" s="2" t="str">
        <f>IFERROR(__xludf.DUMMYFUNCTION("""COMPUTED_VALUE"""),"PR029")</f>
        <v>PR029</v>
      </c>
      <c r="B1467" s="2" t="str">
        <f>IFERROR(__xludf.DUMMYFUNCTION("""COMPUTED_VALUE"""),"VD014")</f>
        <v>VD014</v>
      </c>
      <c r="C1467" s="2">
        <f>IFERROR(__xludf.DUMMYFUNCTION("""COMPUTED_VALUE"""),9.0)</f>
        <v>9</v>
      </c>
      <c r="D1467" s="2">
        <f>IFERROR(__xludf.DUMMYFUNCTION("""COMPUTED_VALUE"""),2340.9)</f>
        <v>2340.9</v>
      </c>
    </row>
    <row r="1468">
      <c r="A1468" s="2" t="str">
        <f>IFERROR(__xludf.DUMMYFUNCTION("""COMPUTED_VALUE"""),"PR053")</f>
        <v>PR053</v>
      </c>
      <c r="B1468" s="2" t="str">
        <f>IFERROR(__xludf.DUMMYFUNCTION("""COMPUTED_VALUE"""),"VD043")</f>
        <v>VD043</v>
      </c>
      <c r="C1468" s="2">
        <f>IFERROR(__xludf.DUMMYFUNCTION("""COMPUTED_VALUE"""),6.0)</f>
        <v>6</v>
      </c>
      <c r="D1468" s="2">
        <f>IFERROR(__xludf.DUMMYFUNCTION("""COMPUTED_VALUE"""),299.4)</f>
        <v>299.4</v>
      </c>
    </row>
    <row r="1469">
      <c r="A1469" s="2" t="str">
        <f>IFERROR(__xludf.DUMMYFUNCTION("""COMPUTED_VALUE"""),"PR005")</f>
        <v>PR005</v>
      </c>
      <c r="B1469" s="2" t="str">
        <f>IFERROR(__xludf.DUMMYFUNCTION("""COMPUTED_VALUE"""),"VD047")</f>
        <v>VD047</v>
      </c>
      <c r="C1469" s="2">
        <f>IFERROR(__xludf.DUMMYFUNCTION("""COMPUTED_VALUE"""),2.0)</f>
        <v>2</v>
      </c>
      <c r="D1469" s="2">
        <f>IFERROR(__xludf.DUMMYFUNCTION("""COMPUTED_VALUE"""),556.19)</f>
        <v>556.19</v>
      </c>
    </row>
    <row r="1470">
      <c r="A1470" s="2" t="str">
        <f>IFERROR(__xludf.DUMMYFUNCTION("""COMPUTED_VALUE"""),"PR039")</f>
        <v>PR039</v>
      </c>
      <c r="B1470" s="2" t="str">
        <f>IFERROR(__xludf.DUMMYFUNCTION("""COMPUTED_VALUE"""),"VD020")</f>
        <v>VD020</v>
      </c>
      <c r="C1470" s="2">
        <f>IFERROR(__xludf.DUMMYFUNCTION("""COMPUTED_VALUE"""),2.0)</f>
        <v>2</v>
      </c>
      <c r="D1470" s="2">
        <f>IFERROR(__xludf.DUMMYFUNCTION("""COMPUTED_VALUE"""),292.0)</f>
        <v>292</v>
      </c>
    </row>
    <row r="1471">
      <c r="A1471" s="2" t="str">
        <f>IFERROR(__xludf.DUMMYFUNCTION("""COMPUTED_VALUE"""),"PR031")</f>
        <v>PR031</v>
      </c>
      <c r="B1471" s="2" t="str">
        <f>IFERROR(__xludf.DUMMYFUNCTION("""COMPUTED_VALUE"""),"VD031")</f>
        <v>VD031</v>
      </c>
      <c r="C1471" s="2">
        <f>IFERROR(__xludf.DUMMYFUNCTION("""COMPUTED_VALUE"""),8.0)</f>
        <v>8</v>
      </c>
      <c r="D1471" s="2">
        <f>IFERROR(__xludf.DUMMYFUNCTION("""COMPUTED_VALUE"""),2097.2)</f>
        <v>2097.2</v>
      </c>
    </row>
    <row r="1472">
      <c r="A1472" s="2" t="str">
        <f>IFERROR(__xludf.DUMMYFUNCTION("""COMPUTED_VALUE"""),"PR056")</f>
        <v>PR056</v>
      </c>
      <c r="B1472" s="2" t="str">
        <f>IFERROR(__xludf.DUMMYFUNCTION("""COMPUTED_VALUE"""),"VD022")</f>
        <v>VD022</v>
      </c>
      <c r="C1472" s="2">
        <f>IFERROR(__xludf.DUMMYFUNCTION("""COMPUTED_VALUE"""),10.0)</f>
        <v>10</v>
      </c>
      <c r="D1472" s="2">
        <f>IFERROR(__xludf.DUMMYFUNCTION("""COMPUTED_VALUE"""),961.93)</f>
        <v>961.93</v>
      </c>
    </row>
    <row r="1473">
      <c r="A1473" s="2" t="str">
        <f>IFERROR(__xludf.DUMMYFUNCTION("""COMPUTED_VALUE"""),"PR018")</f>
        <v>PR018</v>
      </c>
      <c r="B1473" s="2" t="str">
        <f>IFERROR(__xludf.DUMMYFUNCTION("""COMPUTED_VALUE"""),"VD025")</f>
        <v>VD025</v>
      </c>
      <c r="C1473" s="2">
        <f>IFERROR(__xludf.DUMMYFUNCTION("""COMPUTED_VALUE"""),2.0)</f>
        <v>2</v>
      </c>
      <c r="D1473" s="2">
        <f>IFERROR(__xludf.DUMMYFUNCTION("""COMPUTED_VALUE"""),70.41)</f>
        <v>70.41</v>
      </c>
    </row>
    <row r="1474">
      <c r="A1474" s="2" t="str">
        <f>IFERROR(__xludf.DUMMYFUNCTION("""COMPUTED_VALUE"""),"PR055")</f>
        <v>PR055</v>
      </c>
      <c r="B1474" s="2" t="str">
        <f>IFERROR(__xludf.DUMMYFUNCTION("""COMPUTED_VALUE"""),"VD020")</f>
        <v>VD020</v>
      </c>
      <c r="C1474" s="2">
        <f>IFERROR(__xludf.DUMMYFUNCTION("""COMPUTED_VALUE"""),10.0)</f>
        <v>10</v>
      </c>
      <c r="D1474" s="2">
        <f>IFERROR(__xludf.DUMMYFUNCTION("""COMPUTED_VALUE"""),925.97)</f>
        <v>925.97</v>
      </c>
    </row>
    <row r="1475">
      <c r="A1475" s="2" t="str">
        <f>IFERROR(__xludf.DUMMYFUNCTION("""COMPUTED_VALUE"""),"PR047")</f>
        <v>PR047</v>
      </c>
      <c r="B1475" s="2" t="str">
        <f>IFERROR(__xludf.DUMMYFUNCTION("""COMPUTED_VALUE"""),"VD046")</f>
        <v>VD046</v>
      </c>
      <c r="C1475" s="2">
        <f>IFERROR(__xludf.DUMMYFUNCTION("""COMPUTED_VALUE"""),2.0)</f>
        <v>2</v>
      </c>
      <c r="D1475" s="2">
        <f>IFERROR(__xludf.DUMMYFUNCTION("""COMPUTED_VALUE"""),585.6)</f>
        <v>585.6</v>
      </c>
    </row>
    <row r="1476">
      <c r="A1476" s="2" t="str">
        <f>IFERROR(__xludf.DUMMYFUNCTION("""COMPUTED_VALUE"""),"PR027")</f>
        <v>PR027</v>
      </c>
      <c r="B1476" s="2" t="str">
        <f>IFERROR(__xludf.DUMMYFUNCTION("""COMPUTED_VALUE"""),"VD044")</f>
        <v>VD044</v>
      </c>
      <c r="C1476" s="2">
        <f>IFERROR(__xludf.DUMMYFUNCTION("""COMPUTED_VALUE"""),8.0)</f>
        <v>8</v>
      </c>
      <c r="D1476" s="2">
        <f>IFERROR(__xludf.DUMMYFUNCTION("""COMPUTED_VALUE"""),998.4)</f>
        <v>998.4</v>
      </c>
    </row>
    <row r="1477">
      <c r="A1477" s="2" t="str">
        <f>IFERROR(__xludf.DUMMYFUNCTION("""COMPUTED_VALUE"""),"PR047")</f>
        <v>PR047</v>
      </c>
      <c r="B1477" s="2" t="str">
        <f>IFERROR(__xludf.DUMMYFUNCTION("""COMPUTED_VALUE"""),"VD029")</f>
        <v>VD029</v>
      </c>
      <c r="C1477" s="2">
        <f>IFERROR(__xludf.DUMMYFUNCTION("""COMPUTED_VALUE"""),5.0)</f>
        <v>5</v>
      </c>
      <c r="D1477" s="2">
        <f>IFERROR(__xludf.DUMMYFUNCTION("""COMPUTED_VALUE"""),1492.99)</f>
        <v>1492.99</v>
      </c>
    </row>
    <row r="1478">
      <c r="A1478" s="2" t="str">
        <f>IFERROR(__xludf.DUMMYFUNCTION("""COMPUTED_VALUE"""),"PR022")</f>
        <v>PR022</v>
      </c>
      <c r="B1478" s="2" t="str">
        <f>IFERROR(__xludf.DUMMYFUNCTION("""COMPUTED_VALUE"""),"VD021")</f>
        <v>VD021</v>
      </c>
      <c r="C1478" s="2">
        <f>IFERROR(__xludf.DUMMYFUNCTION("""COMPUTED_VALUE"""),2.0)</f>
        <v>2</v>
      </c>
      <c r="D1478" s="2">
        <f>IFERROR(__xludf.DUMMYFUNCTION("""COMPUTED_VALUE"""),636.0)</f>
        <v>636</v>
      </c>
    </row>
    <row r="1479">
      <c r="A1479" s="2" t="str">
        <f>IFERROR(__xludf.DUMMYFUNCTION("""COMPUTED_VALUE"""),"PR050")</f>
        <v>PR050</v>
      </c>
      <c r="B1479" s="2" t="str">
        <f>IFERROR(__xludf.DUMMYFUNCTION("""COMPUTED_VALUE"""),"VD010")</f>
        <v>VD010</v>
      </c>
      <c r="C1479" s="2">
        <f>IFERROR(__xludf.DUMMYFUNCTION("""COMPUTED_VALUE"""),16.0)</f>
        <v>16</v>
      </c>
      <c r="D1479" s="2">
        <f>IFERROR(__xludf.DUMMYFUNCTION("""COMPUTED_VALUE"""),573.78)</f>
        <v>573.78</v>
      </c>
    </row>
    <row r="1480">
      <c r="A1480" s="2" t="str">
        <f>IFERROR(__xludf.DUMMYFUNCTION("""COMPUTED_VALUE"""),"PR019")</f>
        <v>PR019</v>
      </c>
      <c r="B1480" s="2" t="str">
        <f>IFERROR(__xludf.DUMMYFUNCTION("""COMPUTED_VALUE"""),"VD030")</f>
        <v>VD030</v>
      </c>
      <c r="C1480" s="2">
        <f>IFERROR(__xludf.DUMMYFUNCTION("""COMPUTED_VALUE"""),18.0)</f>
        <v>18</v>
      </c>
      <c r="D1480" s="2">
        <f>IFERROR(__xludf.DUMMYFUNCTION("""COMPUTED_VALUE"""),934.13)</f>
        <v>934.13</v>
      </c>
    </row>
    <row r="1481">
      <c r="A1481" s="2" t="str">
        <f>IFERROR(__xludf.DUMMYFUNCTION("""COMPUTED_VALUE"""),"PR030")</f>
        <v>PR030</v>
      </c>
      <c r="B1481" s="2" t="str">
        <f>IFERROR(__xludf.DUMMYFUNCTION("""COMPUTED_VALUE"""),"VD043")</f>
        <v>VD043</v>
      </c>
      <c r="C1481" s="2">
        <f>IFERROR(__xludf.DUMMYFUNCTION("""COMPUTED_VALUE"""),18.0)</f>
        <v>18</v>
      </c>
      <c r="D1481" s="2">
        <f>IFERROR(__xludf.DUMMYFUNCTION("""COMPUTED_VALUE"""),4912.11)</f>
        <v>4912.11</v>
      </c>
    </row>
    <row r="1482">
      <c r="A1482" s="2" t="str">
        <f>IFERROR(__xludf.DUMMYFUNCTION("""COMPUTED_VALUE"""),"PR030")</f>
        <v>PR030</v>
      </c>
      <c r="B1482" s="2" t="str">
        <f>IFERROR(__xludf.DUMMYFUNCTION("""COMPUTED_VALUE"""),"VD021")</f>
        <v>VD021</v>
      </c>
      <c r="C1482" s="2">
        <f>IFERROR(__xludf.DUMMYFUNCTION("""COMPUTED_VALUE"""),12.0)</f>
        <v>12</v>
      </c>
      <c r="D1482" s="2">
        <f>IFERROR(__xludf.DUMMYFUNCTION("""COMPUTED_VALUE"""),3181.18)</f>
        <v>3181.18</v>
      </c>
    </row>
    <row r="1483">
      <c r="A1483" s="2" t="str">
        <f>IFERROR(__xludf.DUMMYFUNCTION("""COMPUTED_VALUE"""),"PR026")</f>
        <v>PR026</v>
      </c>
      <c r="B1483" s="2" t="str">
        <f>IFERROR(__xludf.DUMMYFUNCTION("""COMPUTED_VALUE"""),"VD043")</f>
        <v>VD043</v>
      </c>
      <c r="C1483" s="2">
        <f>IFERROR(__xludf.DUMMYFUNCTION("""COMPUTED_VALUE"""),10.0)</f>
        <v>10</v>
      </c>
      <c r="D1483" s="2">
        <f>IFERROR(__xludf.DUMMYFUNCTION("""COMPUTED_VALUE"""),3743.93)</f>
        <v>3743.93</v>
      </c>
    </row>
    <row r="1484">
      <c r="A1484" s="2" t="str">
        <f>IFERROR(__xludf.DUMMYFUNCTION("""COMPUTED_VALUE"""),"PR025")</f>
        <v>PR025</v>
      </c>
      <c r="B1484" s="2" t="str">
        <f>IFERROR(__xludf.DUMMYFUNCTION("""COMPUTED_VALUE"""),"VD021")</f>
        <v>VD021</v>
      </c>
      <c r="C1484" s="2">
        <f>IFERROR(__xludf.DUMMYFUNCTION("""COMPUTED_VALUE"""),16.0)</f>
        <v>16</v>
      </c>
      <c r="D1484" s="2">
        <f>IFERROR(__xludf.DUMMYFUNCTION("""COMPUTED_VALUE"""),5182.27)</f>
        <v>5182.27</v>
      </c>
    </row>
    <row r="1485">
      <c r="A1485" s="2" t="str">
        <f>IFERROR(__xludf.DUMMYFUNCTION("""COMPUTED_VALUE"""),"PR039")</f>
        <v>PR039</v>
      </c>
      <c r="B1485" s="2" t="str">
        <f>IFERROR(__xludf.DUMMYFUNCTION("""COMPUTED_VALUE"""),"VD019")</f>
        <v>VD019</v>
      </c>
      <c r="C1485" s="2">
        <f>IFERROR(__xludf.DUMMYFUNCTION("""COMPUTED_VALUE"""),20.0)</f>
        <v>20</v>
      </c>
      <c r="D1485" s="2">
        <f>IFERROR(__xludf.DUMMYFUNCTION("""COMPUTED_VALUE"""),3036.8)</f>
        <v>3036.8</v>
      </c>
    </row>
    <row r="1486">
      <c r="A1486" s="2" t="str">
        <f>IFERROR(__xludf.DUMMYFUNCTION("""COMPUTED_VALUE"""),"PR046")</f>
        <v>PR046</v>
      </c>
      <c r="B1486" s="2" t="str">
        <f>IFERROR(__xludf.DUMMYFUNCTION("""COMPUTED_VALUE"""),"VD022")</f>
        <v>VD022</v>
      </c>
      <c r="C1486" s="2">
        <f>IFERROR(__xludf.DUMMYFUNCTION("""COMPUTED_VALUE"""),4.0)</f>
        <v>4</v>
      </c>
      <c r="D1486" s="2">
        <f>IFERROR(__xludf.DUMMYFUNCTION("""COMPUTED_VALUE"""),1171.2)</f>
        <v>1171.2</v>
      </c>
    </row>
    <row r="1487">
      <c r="A1487" s="2" t="str">
        <f>IFERROR(__xludf.DUMMYFUNCTION("""COMPUTED_VALUE"""),"PR043")</f>
        <v>PR043</v>
      </c>
      <c r="B1487" s="2" t="str">
        <f>IFERROR(__xludf.DUMMYFUNCTION("""COMPUTED_VALUE"""),"VD016")</f>
        <v>VD016</v>
      </c>
      <c r="C1487" s="2">
        <f>IFERROR(__xludf.DUMMYFUNCTION("""COMPUTED_VALUE"""),20.0)</f>
        <v>20</v>
      </c>
      <c r="D1487" s="2">
        <f>IFERROR(__xludf.DUMMYFUNCTION("""COMPUTED_VALUE"""),1595.0)</f>
        <v>1595</v>
      </c>
    </row>
    <row r="1488">
      <c r="A1488" s="2" t="str">
        <f>IFERROR(__xludf.DUMMYFUNCTION("""COMPUTED_VALUE"""),"PR048")</f>
        <v>PR048</v>
      </c>
      <c r="B1488" s="2" t="str">
        <f>IFERROR(__xludf.DUMMYFUNCTION("""COMPUTED_VALUE"""),"VD023")</f>
        <v>VD023</v>
      </c>
      <c r="C1488" s="2">
        <f>IFERROR(__xludf.DUMMYFUNCTION("""COMPUTED_VALUE"""),3.0)</f>
        <v>3</v>
      </c>
      <c r="D1488" s="2">
        <f>IFERROR(__xludf.DUMMYFUNCTION("""COMPUTED_VALUE"""),887.09)</f>
        <v>887.09</v>
      </c>
    </row>
    <row r="1489">
      <c r="A1489" s="2" t="str">
        <f>IFERROR(__xludf.DUMMYFUNCTION("""COMPUTED_VALUE"""),"PR039")</f>
        <v>PR039</v>
      </c>
      <c r="B1489" s="2" t="str">
        <f>IFERROR(__xludf.DUMMYFUNCTION("""COMPUTED_VALUE"""),"VD025")</f>
        <v>VD025</v>
      </c>
      <c r="C1489" s="2">
        <f>IFERROR(__xludf.DUMMYFUNCTION("""COMPUTED_VALUE"""),10.0)</f>
        <v>10</v>
      </c>
      <c r="D1489" s="2">
        <f>IFERROR(__xludf.DUMMYFUNCTION("""COMPUTED_VALUE"""),1533.0)</f>
        <v>1533</v>
      </c>
    </row>
    <row r="1490">
      <c r="A1490" s="2" t="str">
        <f>IFERROR(__xludf.DUMMYFUNCTION("""COMPUTED_VALUE"""),"PR060")</f>
        <v>PR060</v>
      </c>
      <c r="B1490" s="2" t="str">
        <f>IFERROR(__xludf.DUMMYFUNCTION("""COMPUTED_VALUE"""),"VD030")</f>
        <v>VD030</v>
      </c>
      <c r="C1490" s="2">
        <f>IFERROR(__xludf.DUMMYFUNCTION("""COMPUTED_VALUE"""),9.0)</f>
        <v>9</v>
      </c>
      <c r="D1490" s="2">
        <f>IFERROR(__xludf.DUMMYFUNCTION("""COMPUTED_VALUE"""),1717.2)</f>
        <v>1717.2</v>
      </c>
    </row>
    <row r="1491">
      <c r="A1491" s="2" t="str">
        <f>IFERROR(__xludf.DUMMYFUNCTION("""COMPUTED_VALUE"""),"PR053")</f>
        <v>PR053</v>
      </c>
      <c r="B1491" s="2" t="str">
        <f>IFERROR(__xludf.DUMMYFUNCTION("""COMPUTED_VALUE"""),"VD043")</f>
        <v>VD043</v>
      </c>
      <c r="C1491" s="2">
        <f>IFERROR(__xludf.DUMMYFUNCTION("""COMPUTED_VALUE"""),5.0)</f>
        <v>5</v>
      </c>
      <c r="D1491" s="2">
        <f>IFERROR(__xludf.DUMMYFUNCTION("""COMPUTED_VALUE"""),254.49)</f>
        <v>254.49</v>
      </c>
    </row>
    <row r="1492">
      <c r="A1492" s="2" t="str">
        <f>IFERROR(__xludf.DUMMYFUNCTION("""COMPUTED_VALUE"""),"PR057")</f>
        <v>PR057</v>
      </c>
      <c r="B1492" s="2" t="str">
        <f>IFERROR(__xludf.DUMMYFUNCTION("""COMPUTED_VALUE"""),"VD034")</f>
        <v>VD034</v>
      </c>
      <c r="C1492" s="2">
        <f>IFERROR(__xludf.DUMMYFUNCTION("""COMPUTED_VALUE"""),2.0)</f>
        <v>2</v>
      </c>
      <c r="D1492" s="2">
        <f>IFERROR(__xludf.DUMMYFUNCTION("""COMPUTED_VALUE"""),194.18)</f>
        <v>194.18</v>
      </c>
    </row>
    <row r="1493">
      <c r="A1493" s="2" t="str">
        <f>IFERROR(__xludf.DUMMYFUNCTION("""COMPUTED_VALUE"""),"PR031")</f>
        <v>PR031</v>
      </c>
      <c r="B1493" s="2" t="str">
        <f>IFERROR(__xludf.DUMMYFUNCTION("""COMPUTED_VALUE"""),"VD046")</f>
        <v>VD046</v>
      </c>
      <c r="C1493" s="2">
        <f>IFERROR(__xludf.DUMMYFUNCTION("""COMPUTED_VALUE"""),5.0)</f>
        <v>5</v>
      </c>
      <c r="D1493" s="2">
        <f>IFERROR(__xludf.DUMMYFUNCTION("""COMPUTED_VALUE"""),1323.0)</f>
        <v>1323</v>
      </c>
    </row>
    <row r="1494">
      <c r="A1494" s="2" t="str">
        <f>IFERROR(__xludf.DUMMYFUNCTION("""COMPUTED_VALUE"""),"PR025")</f>
        <v>PR025</v>
      </c>
      <c r="B1494" s="2" t="str">
        <f>IFERROR(__xludf.DUMMYFUNCTION("""COMPUTED_VALUE"""),"VD033")</f>
        <v>VD033</v>
      </c>
      <c r="C1494" s="2">
        <f>IFERROR(__xludf.DUMMYFUNCTION("""COMPUTED_VALUE"""),10.0)</f>
        <v>10</v>
      </c>
      <c r="D1494" s="2">
        <f>IFERROR(__xludf.DUMMYFUNCTION("""COMPUTED_VALUE"""),3088.97)</f>
        <v>3088.97</v>
      </c>
    </row>
    <row r="1495">
      <c r="A1495" s="2" t="str">
        <f>IFERROR(__xludf.DUMMYFUNCTION("""COMPUTED_VALUE"""),"PR052")</f>
        <v>PR052</v>
      </c>
      <c r="B1495" s="2" t="str">
        <f>IFERROR(__xludf.DUMMYFUNCTION("""COMPUTED_VALUE"""),"VD011")</f>
        <v>VD011</v>
      </c>
      <c r="C1495" s="2">
        <f>IFERROR(__xludf.DUMMYFUNCTION("""COMPUTED_VALUE"""),4.0)</f>
        <v>4</v>
      </c>
      <c r="D1495" s="2">
        <f>IFERROR(__xludf.DUMMYFUNCTION("""COMPUTED_VALUE"""),213.57)</f>
        <v>213.57</v>
      </c>
    </row>
    <row r="1496">
      <c r="A1496" s="2" t="str">
        <f>IFERROR(__xludf.DUMMYFUNCTION("""COMPUTED_VALUE"""),"PR001")</f>
        <v>PR001</v>
      </c>
      <c r="B1496" s="2" t="str">
        <f>IFERROR(__xludf.DUMMYFUNCTION("""COMPUTED_VALUE"""),"VD037")</f>
        <v>VD037</v>
      </c>
      <c r="C1496" s="2">
        <f>IFERROR(__xludf.DUMMYFUNCTION("""COMPUTED_VALUE"""),6.0)</f>
        <v>6</v>
      </c>
      <c r="D1496" s="2">
        <f>IFERROR(__xludf.DUMMYFUNCTION("""COMPUTED_VALUE"""),399.35)</f>
        <v>399.35</v>
      </c>
    </row>
    <row r="1497">
      <c r="A1497" s="2" t="str">
        <f>IFERROR(__xludf.DUMMYFUNCTION("""COMPUTED_VALUE"""),"PR004")</f>
        <v>PR004</v>
      </c>
      <c r="B1497" s="2" t="str">
        <f>IFERROR(__xludf.DUMMYFUNCTION("""COMPUTED_VALUE"""),"VD041")</f>
        <v>VD041</v>
      </c>
      <c r="C1497" s="2">
        <f>IFERROR(__xludf.DUMMYFUNCTION("""COMPUTED_VALUE"""),18.0)</f>
        <v>18</v>
      </c>
      <c r="D1497" s="2">
        <f>IFERROR(__xludf.DUMMYFUNCTION("""COMPUTED_VALUE"""),2871.0)</f>
        <v>2871</v>
      </c>
    </row>
    <row r="1498">
      <c r="A1498" s="2" t="str">
        <f>IFERROR(__xludf.DUMMYFUNCTION("""COMPUTED_VALUE"""),"PR038")</f>
        <v>PR038</v>
      </c>
      <c r="B1498" s="2" t="str">
        <f>IFERROR(__xludf.DUMMYFUNCTION("""COMPUTED_VALUE"""),"VD010")</f>
        <v>VD010</v>
      </c>
      <c r="C1498" s="2">
        <f>IFERROR(__xludf.DUMMYFUNCTION("""COMPUTED_VALUE"""),5.0)</f>
        <v>5</v>
      </c>
      <c r="D1498" s="2">
        <f>IFERROR(__xludf.DUMMYFUNCTION("""COMPUTED_VALUE"""),714.5)</f>
        <v>714.5</v>
      </c>
    </row>
    <row r="1499">
      <c r="A1499" s="2" t="str">
        <f>IFERROR(__xludf.DUMMYFUNCTION("""COMPUTED_VALUE"""),"PR007")</f>
        <v>PR007</v>
      </c>
      <c r="B1499" s="2" t="str">
        <f>IFERROR(__xludf.DUMMYFUNCTION("""COMPUTED_VALUE"""),"VD011")</f>
        <v>VD011</v>
      </c>
      <c r="C1499" s="2">
        <f>IFERROR(__xludf.DUMMYFUNCTION("""COMPUTED_VALUE"""),2.0)</f>
        <v>2</v>
      </c>
      <c r="D1499" s="2">
        <f>IFERROR(__xludf.DUMMYFUNCTION("""COMPUTED_VALUE"""),180.39)</f>
        <v>180.39</v>
      </c>
    </row>
    <row r="1500">
      <c r="A1500" s="2" t="str">
        <f>IFERROR(__xludf.DUMMYFUNCTION("""COMPUTED_VALUE"""),"PR018")</f>
        <v>PR018</v>
      </c>
      <c r="B1500" s="2" t="str">
        <f>IFERROR(__xludf.DUMMYFUNCTION("""COMPUTED_VALUE"""),"VD036")</f>
        <v>VD036</v>
      </c>
      <c r="C1500" s="2">
        <f>IFERROR(__xludf.DUMMYFUNCTION("""COMPUTED_VALUE"""),10.0)</f>
        <v>10</v>
      </c>
      <c r="D1500" s="2">
        <f>IFERROR(__xludf.DUMMYFUNCTION("""COMPUTED_VALUE"""),355.32)</f>
        <v>355.32</v>
      </c>
    </row>
    <row r="1501">
      <c r="A1501" s="2" t="str">
        <f>IFERROR(__xludf.DUMMYFUNCTION("""COMPUTED_VALUE"""),"PR039")</f>
        <v>PR039</v>
      </c>
      <c r="B1501" s="2" t="str">
        <f>IFERROR(__xludf.DUMMYFUNCTION("""COMPUTED_VALUE"""),"VD026")</f>
        <v>VD026</v>
      </c>
      <c r="C1501" s="2">
        <f>IFERROR(__xludf.DUMMYFUNCTION("""COMPUTED_VALUE"""),10.0)</f>
        <v>10</v>
      </c>
      <c r="D1501" s="2">
        <f>IFERROR(__xludf.DUMMYFUNCTION("""COMPUTED_VALUE"""),1518.4)</f>
        <v>1518.4</v>
      </c>
    </row>
    <row r="1502">
      <c r="A1502" s="2" t="str">
        <f>IFERROR(__xludf.DUMMYFUNCTION("""COMPUTED_VALUE"""),"PR022")</f>
        <v>PR022</v>
      </c>
      <c r="B1502" s="2" t="str">
        <f>IFERROR(__xludf.DUMMYFUNCTION("""COMPUTED_VALUE"""),"VD041")</f>
        <v>VD041</v>
      </c>
      <c r="C1502" s="2">
        <f>IFERROR(__xludf.DUMMYFUNCTION("""COMPUTED_VALUE"""),9.0)</f>
        <v>9</v>
      </c>
      <c r="D1502" s="2">
        <f>IFERROR(__xludf.DUMMYFUNCTION("""COMPUTED_VALUE"""),2808.0)</f>
        <v>2808</v>
      </c>
    </row>
    <row r="1503">
      <c r="A1503" s="2" t="str">
        <f>IFERROR(__xludf.DUMMYFUNCTION("""COMPUTED_VALUE"""),"PR007")</f>
        <v>PR007</v>
      </c>
      <c r="B1503" s="2" t="str">
        <f>IFERROR(__xludf.DUMMYFUNCTION("""COMPUTED_VALUE"""),"VD020")</f>
        <v>VD020</v>
      </c>
      <c r="C1503" s="2">
        <f>IFERROR(__xludf.DUMMYFUNCTION("""COMPUTED_VALUE"""),18.0)</f>
        <v>18</v>
      </c>
      <c r="D1503" s="2">
        <f>IFERROR(__xludf.DUMMYFUNCTION("""COMPUTED_VALUE"""),1623.51)</f>
        <v>1623.51</v>
      </c>
    </row>
    <row r="1504">
      <c r="A1504" s="2" t="str">
        <f>IFERROR(__xludf.DUMMYFUNCTION("""COMPUTED_VALUE"""),"PR059")</f>
        <v>PR059</v>
      </c>
      <c r="B1504" s="2" t="str">
        <f>IFERROR(__xludf.DUMMYFUNCTION("""COMPUTED_VALUE"""),"VD036")</f>
        <v>VD036</v>
      </c>
      <c r="C1504" s="2">
        <f>IFERROR(__xludf.DUMMYFUNCTION("""COMPUTED_VALUE"""),8.0)</f>
        <v>8</v>
      </c>
      <c r="D1504" s="2">
        <f>IFERROR(__xludf.DUMMYFUNCTION("""COMPUTED_VALUE"""),1512.0)</f>
        <v>1512</v>
      </c>
    </row>
    <row r="1505">
      <c r="A1505" s="2" t="str">
        <f>IFERROR(__xludf.DUMMYFUNCTION("""COMPUTED_VALUE"""),"PR006")</f>
        <v>PR006</v>
      </c>
      <c r="B1505" s="2" t="str">
        <f>IFERROR(__xludf.DUMMYFUNCTION("""COMPUTED_VALUE"""),"VD038")</f>
        <v>VD038</v>
      </c>
      <c r="C1505" s="2">
        <f>IFERROR(__xludf.DUMMYFUNCTION("""COMPUTED_VALUE"""),12.0)</f>
        <v>12</v>
      </c>
      <c r="D1505" s="2">
        <f>IFERROR(__xludf.DUMMYFUNCTION("""COMPUTED_VALUE"""),526.68)</f>
        <v>526.68</v>
      </c>
    </row>
    <row r="1506">
      <c r="A1506" s="2" t="str">
        <f>IFERROR(__xludf.DUMMYFUNCTION("""COMPUTED_VALUE"""),"PR017")</f>
        <v>PR017</v>
      </c>
      <c r="B1506" s="2" t="str">
        <f>IFERROR(__xludf.DUMMYFUNCTION("""COMPUTED_VALUE"""),"VD013")</f>
        <v>VD013</v>
      </c>
      <c r="C1506" s="2">
        <f>IFERROR(__xludf.DUMMYFUNCTION("""COMPUTED_VALUE"""),9.0)</f>
        <v>9</v>
      </c>
      <c r="D1506" s="2">
        <f>IFERROR(__xludf.DUMMYFUNCTION("""COMPUTED_VALUE"""),285.25)</f>
        <v>285.25</v>
      </c>
    </row>
    <row r="1507">
      <c r="A1507" s="2" t="str">
        <f>IFERROR(__xludf.DUMMYFUNCTION("""COMPUTED_VALUE"""),"PR015")</f>
        <v>PR015</v>
      </c>
      <c r="B1507" s="2" t="str">
        <f>IFERROR(__xludf.DUMMYFUNCTION("""COMPUTED_VALUE"""),"VD032")</f>
        <v>VD032</v>
      </c>
      <c r="C1507" s="2">
        <f>IFERROR(__xludf.DUMMYFUNCTION("""COMPUTED_VALUE"""),3.0)</f>
        <v>3</v>
      </c>
      <c r="D1507" s="2">
        <f>IFERROR(__xludf.DUMMYFUNCTION("""COMPUTED_VALUE"""),140.25)</f>
        <v>140.25</v>
      </c>
    </row>
    <row r="1508">
      <c r="A1508" s="2" t="str">
        <f>IFERROR(__xludf.DUMMYFUNCTION("""COMPUTED_VALUE"""),"PR051")</f>
        <v>PR051</v>
      </c>
      <c r="B1508" s="2" t="str">
        <f>IFERROR(__xludf.DUMMYFUNCTION("""COMPUTED_VALUE"""),"VD041")</f>
        <v>VD041</v>
      </c>
      <c r="C1508" s="2">
        <f>IFERROR(__xludf.DUMMYFUNCTION("""COMPUTED_VALUE"""),12.0)</f>
        <v>12</v>
      </c>
      <c r="D1508" s="2">
        <f>IFERROR(__xludf.DUMMYFUNCTION("""COMPUTED_VALUE"""),418.49)</f>
        <v>418.49</v>
      </c>
    </row>
    <row r="1509">
      <c r="A1509" s="2" t="str">
        <f>IFERROR(__xludf.DUMMYFUNCTION("""COMPUTED_VALUE"""),"PR028")</f>
        <v>PR028</v>
      </c>
      <c r="B1509" s="2" t="str">
        <f>IFERROR(__xludf.DUMMYFUNCTION("""COMPUTED_VALUE"""),"VD011")</f>
        <v>VD011</v>
      </c>
      <c r="C1509" s="2">
        <f>IFERROR(__xludf.DUMMYFUNCTION("""COMPUTED_VALUE"""),16.0)</f>
        <v>16</v>
      </c>
      <c r="D1509" s="2">
        <f>IFERROR(__xludf.DUMMYFUNCTION("""COMPUTED_VALUE"""),4238.3)</f>
        <v>4238.3</v>
      </c>
    </row>
    <row r="1510">
      <c r="A1510" s="2" t="str">
        <f>IFERROR(__xludf.DUMMYFUNCTION("""COMPUTED_VALUE"""),"PR052")</f>
        <v>PR052</v>
      </c>
      <c r="B1510" s="2" t="str">
        <f>IFERROR(__xludf.DUMMYFUNCTION("""COMPUTED_VALUE"""),"VD043")</f>
        <v>VD043</v>
      </c>
      <c r="C1510" s="2">
        <f>IFERROR(__xludf.DUMMYFUNCTION("""COMPUTED_VALUE"""),6.0)</f>
        <v>6</v>
      </c>
      <c r="D1510" s="2">
        <f>IFERROR(__xludf.DUMMYFUNCTION("""COMPUTED_VALUE"""),329.34)</f>
        <v>329.34</v>
      </c>
    </row>
    <row r="1511">
      <c r="A1511" s="2" t="str">
        <f>IFERROR(__xludf.DUMMYFUNCTION("""COMPUTED_VALUE"""),"PR026")</f>
        <v>PR026</v>
      </c>
      <c r="B1511" s="2" t="str">
        <f>IFERROR(__xludf.DUMMYFUNCTION("""COMPUTED_VALUE"""),"VD045")</f>
        <v>VD045</v>
      </c>
      <c r="C1511" s="2">
        <f>IFERROR(__xludf.DUMMYFUNCTION("""COMPUTED_VALUE"""),4.0)</f>
        <v>4</v>
      </c>
      <c r="D1511" s="2">
        <f>IFERROR(__xludf.DUMMYFUNCTION("""COMPUTED_VALUE"""),1511.57)</f>
        <v>1511.57</v>
      </c>
    </row>
    <row r="1512">
      <c r="A1512" s="2" t="str">
        <f>IFERROR(__xludf.DUMMYFUNCTION("""COMPUTED_VALUE"""),"PR007")</f>
        <v>PR007</v>
      </c>
      <c r="B1512" s="2" t="str">
        <f>IFERROR(__xludf.DUMMYFUNCTION("""COMPUTED_VALUE"""),"VD043")</f>
        <v>VD043</v>
      </c>
      <c r="C1512" s="2">
        <f>IFERROR(__xludf.DUMMYFUNCTION("""COMPUTED_VALUE"""),20.0)</f>
        <v>20</v>
      </c>
      <c r="D1512" s="2">
        <f>IFERROR(__xludf.DUMMYFUNCTION("""COMPUTED_VALUE"""),1735.18)</f>
        <v>1735.18</v>
      </c>
    </row>
    <row r="1513">
      <c r="A1513" s="2" t="str">
        <f>IFERROR(__xludf.DUMMYFUNCTION("""COMPUTED_VALUE"""),"PR031")</f>
        <v>PR031</v>
      </c>
      <c r="B1513" s="2" t="str">
        <f>IFERROR(__xludf.DUMMYFUNCTION("""COMPUTED_VALUE"""),"VD026")</f>
        <v>VD026</v>
      </c>
      <c r="C1513" s="2">
        <f>IFERROR(__xludf.DUMMYFUNCTION("""COMPUTED_VALUE"""),16.0)</f>
        <v>16</v>
      </c>
      <c r="D1513" s="2">
        <f>IFERROR(__xludf.DUMMYFUNCTION("""COMPUTED_VALUE"""),4194.4)</f>
        <v>4194.4</v>
      </c>
    </row>
    <row r="1514">
      <c r="A1514" s="2" t="str">
        <f>IFERROR(__xludf.DUMMYFUNCTION("""COMPUTED_VALUE"""),"PR002")</f>
        <v>PR002</v>
      </c>
      <c r="B1514" s="2" t="str">
        <f>IFERROR(__xludf.DUMMYFUNCTION("""COMPUTED_VALUE"""),"VD030")</f>
        <v>VD030</v>
      </c>
      <c r="C1514" s="2">
        <f>IFERROR(__xludf.DUMMYFUNCTION("""COMPUTED_VALUE"""),16.0)</f>
        <v>16</v>
      </c>
      <c r="D1514" s="2">
        <f>IFERROR(__xludf.DUMMYFUNCTION("""COMPUTED_VALUE"""),1118.4)</f>
        <v>1118.4</v>
      </c>
    </row>
    <row r="1515">
      <c r="A1515" s="2" t="str">
        <f>IFERROR(__xludf.DUMMYFUNCTION("""COMPUTED_VALUE"""),"PR028")</f>
        <v>PR028</v>
      </c>
      <c r="B1515" s="2" t="str">
        <f>IFERROR(__xludf.DUMMYFUNCTION("""COMPUTED_VALUE"""),"VD023")</f>
        <v>VD023</v>
      </c>
      <c r="C1515" s="2">
        <f>IFERROR(__xludf.DUMMYFUNCTION("""COMPUTED_VALUE"""),7.0)</f>
        <v>7</v>
      </c>
      <c r="D1515" s="2">
        <f>IFERROR(__xludf.DUMMYFUNCTION("""COMPUTED_VALUE"""),1819.27)</f>
        <v>1819.27</v>
      </c>
    </row>
    <row r="1516">
      <c r="A1516" s="2" t="str">
        <f>IFERROR(__xludf.DUMMYFUNCTION("""COMPUTED_VALUE"""),"PR042")</f>
        <v>PR042</v>
      </c>
      <c r="B1516" s="2" t="str">
        <f>IFERROR(__xludf.DUMMYFUNCTION("""COMPUTED_VALUE"""),"VD042")</f>
        <v>VD042</v>
      </c>
      <c r="C1516" s="2">
        <f>IFERROR(__xludf.DUMMYFUNCTION("""COMPUTED_VALUE"""),3.0)</f>
        <v>3</v>
      </c>
      <c r="D1516" s="2">
        <f>IFERROR(__xludf.DUMMYFUNCTION("""COMPUTED_VALUE"""),179.52)</f>
        <v>179.52</v>
      </c>
    </row>
    <row r="1517">
      <c r="A1517" s="2" t="str">
        <f>IFERROR(__xludf.DUMMYFUNCTION("""COMPUTED_VALUE"""),"PR016")</f>
        <v>PR016</v>
      </c>
      <c r="B1517" s="2" t="str">
        <f>IFERROR(__xludf.DUMMYFUNCTION("""COMPUTED_VALUE"""),"VD028")</f>
        <v>VD028</v>
      </c>
      <c r="C1517" s="2">
        <f>IFERROR(__xludf.DUMMYFUNCTION("""COMPUTED_VALUE"""),20.0)</f>
        <v>20</v>
      </c>
      <c r="D1517" s="2">
        <f>IFERROR(__xludf.DUMMYFUNCTION("""COMPUTED_VALUE"""),554.26)</f>
        <v>554.26</v>
      </c>
    </row>
    <row r="1518">
      <c r="A1518" s="2" t="str">
        <f>IFERROR(__xludf.DUMMYFUNCTION("""COMPUTED_VALUE"""),"PR029")</f>
        <v>PR029</v>
      </c>
      <c r="B1518" s="2" t="str">
        <f>IFERROR(__xludf.DUMMYFUNCTION("""COMPUTED_VALUE"""),"VD032")</f>
        <v>VD032</v>
      </c>
      <c r="C1518" s="2">
        <f>IFERROR(__xludf.DUMMYFUNCTION("""COMPUTED_VALUE"""),14.0)</f>
        <v>14</v>
      </c>
      <c r="D1518" s="2">
        <f>IFERROR(__xludf.DUMMYFUNCTION("""COMPUTED_VALUE"""),3677.1)</f>
        <v>3677.1</v>
      </c>
    </row>
    <row r="1519">
      <c r="A1519" s="2" t="str">
        <f>IFERROR(__xludf.DUMMYFUNCTION("""COMPUTED_VALUE"""),"PR005")</f>
        <v>PR005</v>
      </c>
      <c r="B1519" s="2" t="str">
        <f>IFERROR(__xludf.DUMMYFUNCTION("""COMPUTED_VALUE"""),"VD043")</f>
        <v>VD043</v>
      </c>
      <c r="C1519" s="2">
        <f>IFERROR(__xludf.DUMMYFUNCTION("""COMPUTED_VALUE"""),6.0)</f>
        <v>6</v>
      </c>
      <c r="D1519" s="2">
        <f>IFERROR(__xludf.DUMMYFUNCTION("""COMPUTED_VALUE"""),1590.59)</f>
        <v>1590.59</v>
      </c>
    </row>
    <row r="1520">
      <c r="A1520" s="2" t="str">
        <f>IFERROR(__xludf.DUMMYFUNCTION("""COMPUTED_VALUE"""),"PR036")</f>
        <v>PR036</v>
      </c>
      <c r="B1520" s="2" t="str">
        <f>IFERROR(__xludf.DUMMYFUNCTION("""COMPUTED_VALUE"""),"VD016")</f>
        <v>VD016</v>
      </c>
      <c r="C1520" s="2">
        <f>IFERROR(__xludf.DUMMYFUNCTION("""COMPUTED_VALUE"""),9.0)</f>
        <v>9</v>
      </c>
      <c r="D1520" s="2">
        <f>IFERROR(__xludf.DUMMYFUNCTION("""COMPUTED_VALUE"""),866.75)</f>
        <v>866.75</v>
      </c>
    </row>
    <row r="1521">
      <c r="A1521" s="2" t="str">
        <f>IFERROR(__xludf.DUMMYFUNCTION("""COMPUTED_VALUE"""),"PR011")</f>
        <v>PR011</v>
      </c>
      <c r="B1521" s="2" t="str">
        <f>IFERROR(__xludf.DUMMYFUNCTION("""COMPUTED_VALUE"""),"VD024")</f>
        <v>VD024</v>
      </c>
      <c r="C1521" s="2">
        <f>IFERROR(__xludf.DUMMYFUNCTION("""COMPUTED_VALUE"""),8.0)</f>
        <v>8</v>
      </c>
      <c r="D1521" s="2">
        <f>IFERROR(__xludf.DUMMYFUNCTION("""COMPUTED_VALUE"""),390.21)</f>
        <v>390.21</v>
      </c>
    </row>
    <row r="1522">
      <c r="A1522" s="2" t="str">
        <f>IFERROR(__xludf.DUMMYFUNCTION("""COMPUTED_VALUE"""),"PR042")</f>
        <v>PR042</v>
      </c>
      <c r="B1522" s="2" t="str">
        <f>IFERROR(__xludf.DUMMYFUNCTION("""COMPUTED_VALUE"""),"VD029")</f>
        <v>VD029</v>
      </c>
      <c r="C1522" s="2">
        <f>IFERROR(__xludf.DUMMYFUNCTION("""COMPUTED_VALUE"""),7.0)</f>
        <v>7</v>
      </c>
      <c r="D1522" s="2">
        <f>IFERROR(__xludf.DUMMYFUNCTION("""COMPUTED_VALUE"""),391.99)</f>
        <v>391.99</v>
      </c>
    </row>
    <row r="1523">
      <c r="A1523" s="2" t="str">
        <f>IFERROR(__xludf.DUMMYFUNCTION("""COMPUTED_VALUE"""),"PR024")</f>
        <v>PR024</v>
      </c>
      <c r="B1523" s="2" t="str">
        <f>IFERROR(__xludf.DUMMYFUNCTION("""COMPUTED_VALUE"""),"VD036")</f>
        <v>VD036</v>
      </c>
      <c r="C1523" s="2">
        <f>IFERROR(__xludf.DUMMYFUNCTION("""COMPUTED_VALUE"""),5.0)</f>
        <v>5</v>
      </c>
      <c r="D1523" s="2">
        <f>IFERROR(__xludf.DUMMYFUNCTION("""COMPUTED_VALUE"""),1377.47)</f>
        <v>1377.47</v>
      </c>
    </row>
    <row r="1524">
      <c r="A1524" s="2" t="str">
        <f>IFERROR(__xludf.DUMMYFUNCTION("""COMPUTED_VALUE"""),"PR055")</f>
        <v>PR055</v>
      </c>
      <c r="B1524" s="2" t="str">
        <f>IFERROR(__xludf.DUMMYFUNCTION("""COMPUTED_VALUE"""),"VD042")</f>
        <v>VD042</v>
      </c>
      <c r="C1524" s="2">
        <f>IFERROR(__xludf.DUMMYFUNCTION("""COMPUTED_VALUE"""),10.0)</f>
        <v>10</v>
      </c>
      <c r="D1524" s="2">
        <f>IFERROR(__xludf.DUMMYFUNCTION("""COMPUTED_VALUE"""),899.0)</f>
        <v>899</v>
      </c>
    </row>
    <row r="1525">
      <c r="A1525" s="2" t="str">
        <f>IFERROR(__xludf.DUMMYFUNCTION("""COMPUTED_VALUE"""),"PR031")</f>
        <v>PR031</v>
      </c>
      <c r="B1525" s="2" t="str">
        <f>IFERROR(__xludf.DUMMYFUNCTION("""COMPUTED_VALUE"""),"VD039")</f>
        <v>VD039</v>
      </c>
      <c r="C1525" s="2">
        <f>IFERROR(__xludf.DUMMYFUNCTION("""COMPUTED_VALUE"""),7.0)</f>
        <v>7</v>
      </c>
      <c r="D1525" s="2">
        <f>IFERROR(__xludf.DUMMYFUNCTION("""COMPUTED_VALUE"""),1835.05)</f>
        <v>1835.05</v>
      </c>
    </row>
    <row r="1526">
      <c r="A1526" s="2" t="str">
        <f>IFERROR(__xludf.DUMMYFUNCTION("""COMPUTED_VALUE"""),"PR051")</f>
        <v>PR051</v>
      </c>
      <c r="B1526" s="2" t="str">
        <f>IFERROR(__xludf.DUMMYFUNCTION("""COMPUTED_VALUE"""),"VD011")</f>
        <v>VD011</v>
      </c>
      <c r="C1526" s="2">
        <f>IFERROR(__xludf.DUMMYFUNCTION("""COMPUTED_VALUE"""),4.0)</f>
        <v>4</v>
      </c>
      <c r="D1526" s="2">
        <f>IFERROR(__xludf.DUMMYFUNCTION("""COMPUTED_VALUE"""),131.6)</f>
        <v>131.6</v>
      </c>
    </row>
    <row r="1527">
      <c r="A1527" s="2" t="str">
        <f>IFERROR(__xludf.DUMMYFUNCTION("""COMPUTED_VALUE"""),"PR007")</f>
        <v>PR007</v>
      </c>
      <c r="B1527" s="2" t="str">
        <f>IFERROR(__xludf.DUMMYFUNCTION("""COMPUTED_VALUE"""),"VD021")</f>
        <v>VD021</v>
      </c>
      <c r="C1527" s="2">
        <f>IFERROR(__xludf.DUMMYFUNCTION("""COMPUTED_VALUE"""),2.0)</f>
        <v>2</v>
      </c>
      <c r="D1527" s="2">
        <f>IFERROR(__xludf.DUMMYFUNCTION("""COMPUTED_VALUE"""),171.8)</f>
        <v>171.8</v>
      </c>
    </row>
    <row r="1528">
      <c r="A1528" s="2" t="str">
        <f>IFERROR(__xludf.DUMMYFUNCTION("""COMPUTED_VALUE"""),"PR018")</f>
        <v>PR018</v>
      </c>
      <c r="B1528" s="2" t="str">
        <f>IFERROR(__xludf.DUMMYFUNCTION("""COMPUTED_VALUE"""),"VD016")</f>
        <v>VD016</v>
      </c>
      <c r="C1528" s="2">
        <f>IFERROR(__xludf.DUMMYFUNCTION("""COMPUTED_VALUE"""),8.0)</f>
        <v>8</v>
      </c>
      <c r="D1528" s="2">
        <f>IFERROR(__xludf.DUMMYFUNCTION("""COMPUTED_VALUE"""),286.89)</f>
        <v>286.89</v>
      </c>
    </row>
    <row r="1529">
      <c r="A1529" s="2" t="str">
        <f>IFERROR(__xludf.DUMMYFUNCTION("""COMPUTED_VALUE"""),"PR014")</f>
        <v>PR014</v>
      </c>
      <c r="B1529" s="2" t="str">
        <f>IFERROR(__xludf.DUMMYFUNCTION("""COMPUTED_VALUE"""),"VD045")</f>
        <v>VD045</v>
      </c>
      <c r="C1529" s="2">
        <f>IFERROR(__xludf.DUMMYFUNCTION("""COMPUTED_VALUE"""),3.0)</f>
        <v>3</v>
      </c>
      <c r="D1529" s="2">
        <f>IFERROR(__xludf.DUMMYFUNCTION("""COMPUTED_VALUE"""),129.28)</f>
        <v>129.28</v>
      </c>
    </row>
    <row r="1530">
      <c r="A1530" s="2" t="str">
        <f>IFERROR(__xludf.DUMMYFUNCTION("""COMPUTED_VALUE"""),"PR024")</f>
        <v>PR024</v>
      </c>
      <c r="B1530" s="2" t="str">
        <f>IFERROR(__xludf.DUMMYFUNCTION("""COMPUTED_VALUE"""),"VD041")</f>
        <v>VD041</v>
      </c>
      <c r="C1530" s="2">
        <f>IFERROR(__xludf.DUMMYFUNCTION("""COMPUTED_VALUE"""),10.0)</f>
        <v>10</v>
      </c>
      <c r="D1530" s="2">
        <f>IFERROR(__xludf.DUMMYFUNCTION("""COMPUTED_VALUE"""),2754.94)</f>
        <v>2754.94</v>
      </c>
    </row>
    <row r="1531">
      <c r="A1531" s="2" t="str">
        <f>IFERROR(__xludf.DUMMYFUNCTION("""COMPUTED_VALUE"""),"PR031")</f>
        <v>PR031</v>
      </c>
      <c r="B1531" s="2" t="str">
        <f>IFERROR(__xludf.DUMMYFUNCTION("""COMPUTED_VALUE"""),"VD049")</f>
        <v>VD049</v>
      </c>
      <c r="C1531" s="2">
        <f>IFERROR(__xludf.DUMMYFUNCTION("""COMPUTED_VALUE"""),10.0)</f>
        <v>10</v>
      </c>
      <c r="D1531" s="2">
        <f>IFERROR(__xludf.DUMMYFUNCTION("""COMPUTED_VALUE"""),2646.0)</f>
        <v>2646</v>
      </c>
    </row>
    <row r="1532">
      <c r="A1532" s="2" t="str">
        <f>IFERROR(__xludf.DUMMYFUNCTION("""COMPUTED_VALUE"""),"PR021")</f>
        <v>PR021</v>
      </c>
      <c r="B1532" s="2" t="str">
        <f>IFERROR(__xludf.DUMMYFUNCTION("""COMPUTED_VALUE"""),"VD021")</f>
        <v>VD021</v>
      </c>
      <c r="C1532" s="2">
        <f>IFERROR(__xludf.DUMMYFUNCTION("""COMPUTED_VALUE"""),2.0)</f>
        <v>2</v>
      </c>
      <c r="D1532" s="2">
        <f>IFERROR(__xludf.DUMMYFUNCTION("""COMPUTED_VALUE"""),623.97)</f>
        <v>623.97</v>
      </c>
    </row>
    <row r="1533">
      <c r="A1533" s="2" t="str">
        <f>IFERROR(__xludf.DUMMYFUNCTION("""COMPUTED_VALUE"""),"PR012")</f>
        <v>PR012</v>
      </c>
      <c r="B1533" s="2" t="str">
        <f>IFERROR(__xludf.DUMMYFUNCTION("""COMPUTED_VALUE"""),"VD046")</f>
        <v>VD046</v>
      </c>
      <c r="C1533" s="2">
        <f>IFERROR(__xludf.DUMMYFUNCTION("""COMPUTED_VALUE"""),4.0)</f>
        <v>4</v>
      </c>
      <c r="D1533" s="2">
        <f>IFERROR(__xludf.DUMMYFUNCTION("""COMPUTED_VALUE"""),215.16)</f>
        <v>215.16</v>
      </c>
    </row>
    <row r="1534">
      <c r="A1534" s="2" t="str">
        <f>IFERROR(__xludf.DUMMYFUNCTION("""COMPUTED_VALUE"""),"PR037")</f>
        <v>PR037</v>
      </c>
      <c r="B1534" s="2" t="str">
        <f>IFERROR(__xludf.DUMMYFUNCTION("""COMPUTED_VALUE"""),"VD027")</f>
        <v>VD027</v>
      </c>
      <c r="C1534" s="2">
        <f>IFERROR(__xludf.DUMMYFUNCTION("""COMPUTED_VALUE"""),10.0)</f>
        <v>10</v>
      </c>
      <c r="D1534" s="2">
        <f>IFERROR(__xludf.DUMMYFUNCTION("""COMPUTED_VALUE"""),1442.0)</f>
        <v>1442</v>
      </c>
    </row>
    <row r="1535">
      <c r="A1535" s="2" t="str">
        <f>IFERROR(__xludf.DUMMYFUNCTION("""COMPUTED_VALUE"""),"PR051")</f>
        <v>PR051</v>
      </c>
      <c r="B1535" s="2" t="str">
        <f>IFERROR(__xludf.DUMMYFUNCTION("""COMPUTED_VALUE"""),"VD017")</f>
        <v>VD017</v>
      </c>
      <c r="C1535" s="2">
        <f>IFERROR(__xludf.DUMMYFUNCTION("""COMPUTED_VALUE"""),8.0)</f>
        <v>8</v>
      </c>
      <c r="D1535" s="2">
        <f>IFERROR(__xludf.DUMMYFUNCTION("""COMPUTED_VALUE"""),276.36)</f>
        <v>276.36</v>
      </c>
    </row>
    <row r="1536">
      <c r="A1536" s="2" t="str">
        <f>IFERROR(__xludf.DUMMYFUNCTION("""COMPUTED_VALUE"""),"PR016")</f>
        <v>PR016</v>
      </c>
      <c r="B1536" s="2" t="str">
        <f>IFERROR(__xludf.DUMMYFUNCTION("""COMPUTED_VALUE"""),"VD033")</f>
        <v>VD033</v>
      </c>
      <c r="C1536" s="2">
        <f>IFERROR(__xludf.DUMMYFUNCTION("""COMPUTED_VALUE"""),14.0)</f>
        <v>14</v>
      </c>
      <c r="D1536" s="2">
        <f>IFERROR(__xludf.DUMMYFUNCTION("""COMPUTED_VALUE"""),362.6)</f>
        <v>362.6</v>
      </c>
    </row>
    <row r="1537">
      <c r="A1537" s="2" t="str">
        <f>IFERROR(__xludf.DUMMYFUNCTION("""COMPUTED_VALUE"""),"PR019")</f>
        <v>PR019</v>
      </c>
      <c r="B1537" s="2" t="str">
        <f>IFERROR(__xludf.DUMMYFUNCTION("""COMPUTED_VALUE"""),"VD031")</f>
        <v>VD031</v>
      </c>
      <c r="C1537" s="2">
        <f>IFERROR(__xludf.DUMMYFUNCTION("""COMPUTED_VALUE"""),20.0)</f>
        <v>20</v>
      </c>
      <c r="D1537" s="2">
        <f>IFERROR(__xludf.DUMMYFUNCTION("""COMPUTED_VALUE"""),1097.8)</f>
        <v>1097.8</v>
      </c>
    </row>
    <row r="1538">
      <c r="A1538" s="2" t="str">
        <f>IFERROR(__xludf.DUMMYFUNCTION("""COMPUTED_VALUE"""),"PR018")</f>
        <v>PR018</v>
      </c>
      <c r="B1538" s="2" t="str">
        <f>IFERROR(__xludf.DUMMYFUNCTION("""COMPUTED_VALUE"""),"VD029")</f>
        <v>VD029</v>
      </c>
      <c r="C1538" s="2">
        <f>IFERROR(__xludf.DUMMYFUNCTION("""COMPUTED_VALUE"""),6.0)</f>
        <v>6</v>
      </c>
      <c r="D1538" s="2">
        <f>IFERROR(__xludf.DUMMYFUNCTION("""COMPUTED_VALUE"""),217.14)</f>
        <v>217.14</v>
      </c>
    </row>
    <row r="1539">
      <c r="A1539" s="2" t="str">
        <f>IFERROR(__xludf.DUMMYFUNCTION("""COMPUTED_VALUE"""),"PR045")</f>
        <v>PR045</v>
      </c>
      <c r="B1539" s="2" t="str">
        <f>IFERROR(__xludf.DUMMYFUNCTION("""COMPUTED_VALUE"""),"VD021")</f>
        <v>VD021</v>
      </c>
      <c r="C1539" s="2">
        <f>IFERROR(__xludf.DUMMYFUNCTION("""COMPUTED_VALUE"""),20.0)</f>
        <v>20</v>
      </c>
      <c r="D1539" s="2">
        <f>IFERROR(__xludf.DUMMYFUNCTION("""COMPUTED_VALUE"""),1479.0)</f>
        <v>1479</v>
      </c>
    </row>
    <row r="1540">
      <c r="A1540" s="2" t="str">
        <f>IFERROR(__xludf.DUMMYFUNCTION("""COMPUTED_VALUE"""),"PR020")</f>
        <v>PR020</v>
      </c>
      <c r="B1540" s="2" t="str">
        <f>IFERROR(__xludf.DUMMYFUNCTION("""COMPUTED_VALUE"""),"VD013")</f>
        <v>VD013</v>
      </c>
      <c r="C1540" s="2">
        <f>IFERROR(__xludf.DUMMYFUNCTION("""COMPUTED_VALUE"""),12.0)</f>
        <v>12</v>
      </c>
      <c r="D1540" s="2">
        <f>IFERROR(__xludf.DUMMYFUNCTION("""COMPUTED_VALUE"""),3598.8)</f>
        <v>3598.8</v>
      </c>
    </row>
    <row r="1541">
      <c r="A1541" s="2" t="str">
        <f>IFERROR(__xludf.DUMMYFUNCTION("""COMPUTED_VALUE"""),"PR049")</f>
        <v>PR049</v>
      </c>
      <c r="B1541" s="2" t="str">
        <f>IFERROR(__xludf.DUMMYFUNCTION("""COMPUTED_VALUE"""),"VD022")</f>
        <v>VD022</v>
      </c>
      <c r="C1541" s="2">
        <f>IFERROR(__xludf.DUMMYFUNCTION("""COMPUTED_VALUE"""),14.0)</f>
        <v>14</v>
      </c>
      <c r="D1541" s="2">
        <f>IFERROR(__xludf.DUMMYFUNCTION("""COMPUTED_VALUE"""),483.63)</f>
        <v>483.63</v>
      </c>
    </row>
    <row r="1542">
      <c r="A1542" s="2" t="str">
        <f>IFERROR(__xludf.DUMMYFUNCTION("""COMPUTED_VALUE"""),"PR048")</f>
        <v>PR048</v>
      </c>
      <c r="B1542" s="2" t="str">
        <f>IFERROR(__xludf.DUMMYFUNCTION("""COMPUTED_VALUE"""),"VD026")</f>
        <v>VD026</v>
      </c>
      <c r="C1542" s="2">
        <f>IFERROR(__xludf.DUMMYFUNCTION("""COMPUTED_VALUE"""),1.0)</f>
        <v>1</v>
      </c>
      <c r="D1542" s="2">
        <f>IFERROR(__xludf.DUMMYFUNCTION("""COMPUTED_VALUE"""),304.4)</f>
        <v>304.4</v>
      </c>
    </row>
    <row r="1543">
      <c r="A1543" s="2" t="str">
        <f>IFERROR(__xludf.DUMMYFUNCTION("""COMPUTED_VALUE"""),"PR060")</f>
        <v>PR060</v>
      </c>
      <c r="B1543" s="2" t="str">
        <f>IFERROR(__xludf.DUMMYFUNCTION("""COMPUTED_VALUE"""),"VD033")</f>
        <v>VD033</v>
      </c>
      <c r="C1543" s="2">
        <f>IFERROR(__xludf.DUMMYFUNCTION("""COMPUTED_VALUE"""),8.0)</f>
        <v>8</v>
      </c>
      <c r="D1543" s="2">
        <f>IFERROR(__xludf.DUMMYFUNCTION("""COMPUTED_VALUE"""),1526.4)</f>
        <v>1526.4</v>
      </c>
    </row>
    <row r="1544">
      <c r="A1544" s="2" t="str">
        <f>IFERROR(__xludf.DUMMYFUNCTION("""COMPUTED_VALUE"""),"PR021")</f>
        <v>PR021</v>
      </c>
      <c r="B1544" s="2" t="str">
        <f>IFERROR(__xludf.DUMMYFUNCTION("""COMPUTED_VALUE"""),"VD016")</f>
        <v>VD016</v>
      </c>
      <c r="C1544" s="2">
        <f>IFERROR(__xludf.DUMMYFUNCTION("""COMPUTED_VALUE"""),18.0)</f>
        <v>18</v>
      </c>
      <c r="D1544" s="2">
        <f>IFERROR(__xludf.DUMMYFUNCTION("""COMPUTED_VALUE"""),5561.24)</f>
        <v>5561.24</v>
      </c>
    </row>
    <row r="1545">
      <c r="A1545" s="2" t="str">
        <f>IFERROR(__xludf.DUMMYFUNCTION("""COMPUTED_VALUE"""),"PR035")</f>
        <v>PR035</v>
      </c>
      <c r="B1545" s="2" t="str">
        <f>IFERROR(__xludf.DUMMYFUNCTION("""COMPUTED_VALUE"""),"VD049")</f>
        <v>VD049</v>
      </c>
      <c r="C1545" s="2">
        <f>IFERROR(__xludf.DUMMYFUNCTION("""COMPUTED_VALUE"""),16.0)</f>
        <v>16</v>
      </c>
      <c r="D1545" s="2">
        <f>IFERROR(__xludf.DUMMYFUNCTION("""COMPUTED_VALUE"""),1564.77)</f>
        <v>1564.77</v>
      </c>
    </row>
    <row r="1546">
      <c r="A1546" s="2" t="str">
        <f>IFERROR(__xludf.DUMMYFUNCTION("""COMPUTED_VALUE"""),"PR012")</f>
        <v>PR012</v>
      </c>
      <c r="B1546" s="2" t="str">
        <f>IFERROR(__xludf.DUMMYFUNCTION("""COMPUTED_VALUE"""),"VD036")</f>
        <v>VD036</v>
      </c>
      <c r="C1546" s="2">
        <f>IFERROR(__xludf.DUMMYFUNCTION("""COMPUTED_VALUE"""),2.0)</f>
        <v>2</v>
      </c>
      <c r="D1546" s="2">
        <f>IFERROR(__xludf.DUMMYFUNCTION("""COMPUTED_VALUE"""),98.78)</f>
        <v>98.78</v>
      </c>
    </row>
    <row r="1547">
      <c r="A1547" s="2" t="str">
        <f>IFERROR(__xludf.DUMMYFUNCTION("""COMPUTED_VALUE"""),"PR018")</f>
        <v>PR018</v>
      </c>
      <c r="B1547" s="2" t="str">
        <f>IFERROR(__xludf.DUMMYFUNCTION("""COMPUTED_VALUE"""),"VD046")</f>
        <v>VD046</v>
      </c>
      <c r="C1547" s="2">
        <f>IFERROR(__xludf.DUMMYFUNCTION("""COMPUTED_VALUE"""),2.0)</f>
        <v>2</v>
      </c>
      <c r="D1547" s="2">
        <f>IFERROR(__xludf.DUMMYFUNCTION("""COMPUTED_VALUE"""),66.46)</f>
        <v>66.46</v>
      </c>
    </row>
    <row r="1548">
      <c r="A1548" s="2" t="str">
        <f>IFERROR(__xludf.DUMMYFUNCTION("""COMPUTED_VALUE"""),"PR057")</f>
        <v>PR057</v>
      </c>
      <c r="B1548" s="2" t="str">
        <f>IFERROR(__xludf.DUMMYFUNCTION("""COMPUTED_VALUE"""),"VD042")</f>
        <v>VD042</v>
      </c>
      <c r="C1548" s="2">
        <f>IFERROR(__xludf.DUMMYFUNCTION("""COMPUTED_VALUE"""),6.0)</f>
        <v>6</v>
      </c>
      <c r="D1548" s="2">
        <f>IFERROR(__xludf.DUMMYFUNCTION("""COMPUTED_VALUE"""),577.16)</f>
        <v>577.16</v>
      </c>
    </row>
    <row r="1549">
      <c r="A1549" s="2" t="str">
        <f>IFERROR(__xludf.DUMMYFUNCTION("""COMPUTED_VALUE"""),"PR018")</f>
        <v>PR018</v>
      </c>
      <c r="B1549" s="2" t="str">
        <f>IFERROR(__xludf.DUMMYFUNCTION("""COMPUTED_VALUE"""),"VD046")</f>
        <v>VD046</v>
      </c>
      <c r="C1549" s="2">
        <f>IFERROR(__xludf.DUMMYFUNCTION("""COMPUTED_VALUE"""),2.0)</f>
        <v>2</v>
      </c>
      <c r="D1549" s="2">
        <f>IFERROR(__xludf.DUMMYFUNCTION("""COMPUTED_VALUE"""),71.06)</f>
        <v>71.06</v>
      </c>
    </row>
    <row r="1550">
      <c r="A1550" s="2" t="str">
        <f>IFERROR(__xludf.DUMMYFUNCTION("""COMPUTED_VALUE"""),"PR053")</f>
        <v>PR053</v>
      </c>
      <c r="B1550" s="2" t="str">
        <f>IFERROR(__xludf.DUMMYFUNCTION("""COMPUTED_VALUE"""),"VD039")</f>
        <v>VD039</v>
      </c>
      <c r="C1550" s="2">
        <f>IFERROR(__xludf.DUMMYFUNCTION("""COMPUTED_VALUE"""),14.0)</f>
        <v>14</v>
      </c>
      <c r="D1550" s="2">
        <f>IFERROR(__xludf.DUMMYFUNCTION("""COMPUTED_VALUE"""),761.47)</f>
        <v>761.47</v>
      </c>
    </row>
    <row r="1551">
      <c r="A1551" s="2" t="str">
        <f>IFERROR(__xludf.DUMMYFUNCTION("""COMPUTED_VALUE"""),"PR053")</f>
        <v>PR053</v>
      </c>
      <c r="B1551" s="2" t="str">
        <f>IFERROR(__xludf.DUMMYFUNCTION("""COMPUTED_VALUE"""),"VD029")</f>
        <v>VD029</v>
      </c>
      <c r="C1551" s="2">
        <f>IFERROR(__xludf.DUMMYFUNCTION("""COMPUTED_VALUE"""),9.0)</f>
        <v>9</v>
      </c>
      <c r="D1551" s="2">
        <f>IFERROR(__xludf.DUMMYFUNCTION("""COMPUTED_VALUE"""),480.54)</f>
        <v>480.54</v>
      </c>
    </row>
    <row r="1552">
      <c r="A1552" s="2" t="str">
        <f>IFERROR(__xludf.DUMMYFUNCTION("""COMPUTED_VALUE"""),"PR004")</f>
        <v>PR004</v>
      </c>
      <c r="B1552" s="2" t="str">
        <f>IFERROR(__xludf.DUMMYFUNCTION("""COMPUTED_VALUE"""),"VD049")</f>
        <v>VD049</v>
      </c>
      <c r="C1552" s="2">
        <f>IFERROR(__xludf.DUMMYFUNCTION("""COMPUTED_VALUE"""),2.0)</f>
        <v>2</v>
      </c>
      <c r="D1552" s="2">
        <f>IFERROR(__xludf.DUMMYFUNCTION("""COMPUTED_VALUE"""),307.4)</f>
        <v>307.4</v>
      </c>
    </row>
    <row r="1553">
      <c r="A1553" s="2" t="str">
        <f>IFERROR(__xludf.DUMMYFUNCTION("""COMPUTED_VALUE"""),"PR005")</f>
        <v>PR005</v>
      </c>
      <c r="B1553" s="2" t="str">
        <f>IFERROR(__xludf.DUMMYFUNCTION("""COMPUTED_VALUE"""),"VD036")</f>
        <v>VD036</v>
      </c>
      <c r="C1553" s="2">
        <f>IFERROR(__xludf.DUMMYFUNCTION("""COMPUTED_VALUE"""),4.0)</f>
        <v>4</v>
      </c>
      <c r="D1553" s="2">
        <f>IFERROR(__xludf.DUMMYFUNCTION("""COMPUTED_VALUE"""),1050.0)</f>
        <v>1050</v>
      </c>
    </row>
    <row r="1554">
      <c r="A1554" s="2" t="str">
        <f>IFERROR(__xludf.DUMMYFUNCTION("""COMPUTED_VALUE"""),"PR030")</f>
        <v>PR030</v>
      </c>
      <c r="B1554" s="2" t="str">
        <f>IFERROR(__xludf.DUMMYFUNCTION("""COMPUTED_VALUE"""),"VD018")</f>
        <v>VD018</v>
      </c>
      <c r="C1554" s="2">
        <f>IFERROR(__xludf.DUMMYFUNCTION("""COMPUTED_VALUE"""),5.0)</f>
        <v>5</v>
      </c>
      <c r="D1554" s="2">
        <f>IFERROR(__xludf.DUMMYFUNCTION("""COMPUTED_VALUE"""),1403.46)</f>
        <v>1403.46</v>
      </c>
    </row>
    <row r="1555">
      <c r="A1555" s="2" t="str">
        <f>IFERROR(__xludf.DUMMYFUNCTION("""COMPUTED_VALUE"""),"PR013")</f>
        <v>PR013</v>
      </c>
      <c r="B1555" s="2" t="str">
        <f>IFERROR(__xludf.DUMMYFUNCTION("""COMPUTED_VALUE"""),"VD015")</f>
        <v>VD015</v>
      </c>
      <c r="C1555" s="2">
        <f>IFERROR(__xludf.DUMMYFUNCTION("""COMPUTED_VALUE"""),6.0)</f>
        <v>6</v>
      </c>
      <c r="D1555" s="2">
        <f>IFERROR(__xludf.DUMMYFUNCTION("""COMPUTED_VALUE"""),258.55)</f>
        <v>258.55</v>
      </c>
    </row>
    <row r="1556">
      <c r="A1556" s="2" t="str">
        <f>IFERROR(__xludf.DUMMYFUNCTION("""COMPUTED_VALUE"""),"PR007")</f>
        <v>PR007</v>
      </c>
      <c r="B1556" s="2" t="str">
        <f>IFERROR(__xludf.DUMMYFUNCTION("""COMPUTED_VALUE"""),"VD029")</f>
        <v>VD029</v>
      </c>
      <c r="C1556" s="2">
        <f>IFERROR(__xludf.DUMMYFUNCTION("""COMPUTED_VALUE"""),9.0)</f>
        <v>9</v>
      </c>
      <c r="D1556" s="2">
        <f>IFERROR(__xludf.DUMMYFUNCTION("""COMPUTED_VALUE"""),811.76)</f>
        <v>811.76</v>
      </c>
    </row>
    <row r="1557">
      <c r="A1557" s="2" t="str">
        <f>IFERROR(__xludf.DUMMYFUNCTION("""COMPUTED_VALUE"""),"PR035")</f>
        <v>PR035</v>
      </c>
      <c r="B1557" s="2" t="str">
        <f>IFERROR(__xludf.DUMMYFUNCTION("""COMPUTED_VALUE"""),"VD040")</f>
        <v>VD040</v>
      </c>
      <c r="C1557" s="2">
        <f>IFERROR(__xludf.DUMMYFUNCTION("""COMPUTED_VALUE"""),3.0)</f>
        <v>3</v>
      </c>
      <c r="D1557" s="2">
        <f>IFERROR(__xludf.DUMMYFUNCTION("""COMPUTED_VALUE"""),279.68)</f>
        <v>279.68</v>
      </c>
    </row>
    <row r="1558">
      <c r="A1558" s="2" t="str">
        <f>IFERROR(__xludf.DUMMYFUNCTION("""COMPUTED_VALUE"""),"PR030")</f>
        <v>PR030</v>
      </c>
      <c r="B1558" s="2" t="str">
        <f>IFERROR(__xludf.DUMMYFUNCTION("""COMPUTED_VALUE"""),"VD010")</f>
        <v>VD010</v>
      </c>
      <c r="C1558" s="2">
        <f>IFERROR(__xludf.DUMMYFUNCTION("""COMPUTED_VALUE"""),20.0)</f>
        <v>20</v>
      </c>
      <c r="D1558" s="2">
        <f>IFERROR(__xludf.DUMMYFUNCTION("""COMPUTED_VALUE"""),5301.96)</f>
        <v>5301.96</v>
      </c>
    </row>
    <row r="1559">
      <c r="A1559" s="2" t="str">
        <f>IFERROR(__xludf.DUMMYFUNCTION("""COMPUTED_VALUE"""),"PR018")</f>
        <v>PR018</v>
      </c>
      <c r="B1559" s="2" t="str">
        <f>IFERROR(__xludf.DUMMYFUNCTION("""COMPUTED_VALUE"""),"VD046")</f>
        <v>VD046</v>
      </c>
      <c r="C1559" s="2">
        <f>IFERROR(__xludf.DUMMYFUNCTION("""COMPUTED_VALUE"""),14.0)</f>
        <v>14</v>
      </c>
      <c r="D1559" s="2">
        <f>IFERROR(__xludf.DUMMYFUNCTION("""COMPUTED_VALUE"""),474.42)</f>
        <v>474.42</v>
      </c>
    </row>
    <row r="1560">
      <c r="A1560" s="2" t="str">
        <f>IFERROR(__xludf.DUMMYFUNCTION("""COMPUTED_VALUE"""),"PR016")</f>
        <v>PR016</v>
      </c>
      <c r="B1560" s="2" t="str">
        <f>IFERROR(__xludf.DUMMYFUNCTION("""COMPUTED_VALUE"""),"VD044")</f>
        <v>VD044</v>
      </c>
      <c r="C1560" s="2">
        <f>IFERROR(__xludf.DUMMYFUNCTION("""COMPUTED_VALUE"""),16.0)</f>
        <v>16</v>
      </c>
      <c r="D1560" s="2">
        <f>IFERROR(__xludf.DUMMYFUNCTION("""COMPUTED_VALUE"""),430.98)</f>
        <v>430.98</v>
      </c>
    </row>
    <row r="1561">
      <c r="A1561" s="2" t="str">
        <f>IFERROR(__xludf.DUMMYFUNCTION("""COMPUTED_VALUE"""),"PR030")</f>
        <v>PR030</v>
      </c>
      <c r="B1561" s="2" t="str">
        <f>IFERROR(__xludf.DUMMYFUNCTION("""COMPUTED_VALUE"""),"VD032")</f>
        <v>VD032</v>
      </c>
      <c r="C1561" s="2">
        <f>IFERROR(__xludf.DUMMYFUNCTION("""COMPUTED_VALUE"""),16.0)</f>
        <v>16</v>
      </c>
      <c r="D1561" s="2">
        <f>IFERROR(__xludf.DUMMYFUNCTION("""COMPUTED_VALUE"""),4574.24)</f>
        <v>4574.24</v>
      </c>
    </row>
    <row r="1562">
      <c r="A1562" s="2" t="str">
        <f>IFERROR(__xludf.DUMMYFUNCTION("""COMPUTED_VALUE"""),"PR056")</f>
        <v>PR056</v>
      </c>
      <c r="B1562" s="2" t="str">
        <f>IFERROR(__xludf.DUMMYFUNCTION("""COMPUTED_VALUE"""),"VD018")</f>
        <v>VD018</v>
      </c>
      <c r="C1562" s="2">
        <f>IFERROR(__xludf.DUMMYFUNCTION("""COMPUTED_VALUE"""),20.0)</f>
        <v>20</v>
      </c>
      <c r="D1562" s="2">
        <f>IFERROR(__xludf.DUMMYFUNCTION("""COMPUTED_VALUE"""),1833.96)</f>
        <v>1833.96</v>
      </c>
    </row>
    <row r="1563">
      <c r="A1563" s="2" t="str">
        <f>IFERROR(__xludf.DUMMYFUNCTION("""COMPUTED_VALUE"""),"PR037")</f>
        <v>PR037</v>
      </c>
      <c r="B1563" s="2" t="str">
        <f>IFERROR(__xludf.DUMMYFUNCTION("""COMPUTED_VALUE"""),"VD048")</f>
        <v>VD048</v>
      </c>
      <c r="C1563" s="2">
        <f>IFERROR(__xludf.DUMMYFUNCTION("""COMPUTED_VALUE"""),12.0)</f>
        <v>12</v>
      </c>
      <c r="D1563" s="2">
        <f>IFERROR(__xludf.DUMMYFUNCTION("""COMPUTED_VALUE"""),1764.0)</f>
        <v>1764</v>
      </c>
    </row>
    <row r="1564">
      <c r="A1564" s="2" t="str">
        <f>IFERROR(__xludf.DUMMYFUNCTION("""COMPUTED_VALUE"""),"PR031")</f>
        <v>PR031</v>
      </c>
      <c r="B1564" s="2" t="str">
        <f>IFERROR(__xludf.DUMMYFUNCTION("""COMPUTED_VALUE"""),"VD032")</f>
        <v>VD032</v>
      </c>
      <c r="C1564" s="2">
        <f>IFERROR(__xludf.DUMMYFUNCTION("""COMPUTED_VALUE"""),14.0)</f>
        <v>14</v>
      </c>
      <c r="D1564" s="2">
        <f>IFERROR(__xludf.DUMMYFUNCTION("""COMPUTED_VALUE"""),3430.0)</f>
        <v>3430</v>
      </c>
    </row>
    <row r="1565">
      <c r="A1565" s="2" t="str">
        <f>IFERROR(__xludf.DUMMYFUNCTION("""COMPUTED_VALUE"""),"PR016")</f>
        <v>PR016</v>
      </c>
      <c r="B1565" s="2" t="str">
        <f>IFERROR(__xludf.DUMMYFUNCTION("""COMPUTED_VALUE"""),"VD027")</f>
        <v>VD027</v>
      </c>
      <c r="C1565" s="2">
        <f>IFERROR(__xludf.DUMMYFUNCTION("""COMPUTED_VALUE"""),6.0)</f>
        <v>6</v>
      </c>
      <c r="D1565" s="2">
        <f>IFERROR(__xludf.DUMMYFUNCTION("""COMPUTED_VALUE"""),170.94)</f>
        <v>170.94</v>
      </c>
    </row>
    <row r="1566">
      <c r="A1566" s="2" t="str">
        <f>IFERROR(__xludf.DUMMYFUNCTION("""COMPUTED_VALUE"""),"PR054")</f>
        <v>PR054</v>
      </c>
      <c r="B1566" s="2" t="str">
        <f>IFERROR(__xludf.DUMMYFUNCTION("""COMPUTED_VALUE"""),"VD032")</f>
        <v>VD032</v>
      </c>
      <c r="C1566" s="2">
        <f>IFERROR(__xludf.DUMMYFUNCTION("""COMPUTED_VALUE"""),6.0)</f>
        <v>6</v>
      </c>
      <c r="D1566" s="2">
        <f>IFERROR(__xludf.DUMMYFUNCTION("""COMPUTED_VALUE"""),329.34)</f>
        <v>329.34</v>
      </c>
    </row>
    <row r="1567">
      <c r="A1567" s="2" t="str">
        <f>IFERROR(__xludf.DUMMYFUNCTION("""COMPUTED_VALUE"""),"PR035")</f>
        <v>PR035</v>
      </c>
      <c r="B1567" s="2" t="str">
        <f>IFERROR(__xludf.DUMMYFUNCTION("""COMPUTED_VALUE"""),"VD038")</f>
        <v>VD038</v>
      </c>
      <c r="C1567" s="2">
        <f>IFERROR(__xludf.DUMMYFUNCTION("""COMPUTED_VALUE"""),2.0)</f>
        <v>2</v>
      </c>
      <c r="D1567" s="2">
        <f>IFERROR(__xludf.DUMMYFUNCTION("""COMPUTED_VALUE"""),190.11)</f>
        <v>190.11</v>
      </c>
    </row>
    <row r="1568">
      <c r="A1568" s="2" t="str">
        <f>IFERROR(__xludf.DUMMYFUNCTION("""COMPUTED_VALUE"""),"PR014")</f>
        <v>PR014</v>
      </c>
      <c r="B1568" s="2" t="str">
        <f>IFERROR(__xludf.DUMMYFUNCTION("""COMPUTED_VALUE"""),"VD016")</f>
        <v>VD016</v>
      </c>
      <c r="C1568" s="2">
        <f>IFERROR(__xludf.DUMMYFUNCTION("""COMPUTED_VALUE"""),1.0)</f>
        <v>1</v>
      </c>
      <c r="D1568" s="2">
        <f>IFERROR(__xludf.DUMMYFUNCTION("""COMPUTED_VALUE"""),42.29)</f>
        <v>42.29</v>
      </c>
    </row>
    <row r="1569">
      <c r="A1569" s="2" t="str">
        <f>IFERROR(__xludf.DUMMYFUNCTION("""COMPUTED_VALUE"""),"PR009")</f>
        <v>PR009</v>
      </c>
      <c r="B1569" s="2" t="str">
        <f>IFERROR(__xludf.DUMMYFUNCTION("""COMPUTED_VALUE"""),"VD031")</f>
        <v>VD031</v>
      </c>
      <c r="C1569" s="2">
        <f>IFERROR(__xludf.DUMMYFUNCTION("""COMPUTED_VALUE"""),16.0)</f>
        <v>16</v>
      </c>
      <c r="D1569" s="2">
        <f>IFERROR(__xludf.DUMMYFUNCTION("""COMPUTED_VALUE"""),1516.13)</f>
        <v>1516.13</v>
      </c>
    </row>
    <row r="1570">
      <c r="A1570" s="2" t="str">
        <f>IFERROR(__xludf.DUMMYFUNCTION("""COMPUTED_VALUE"""),"PR053")</f>
        <v>PR053</v>
      </c>
      <c r="B1570" s="2" t="str">
        <f>IFERROR(__xludf.DUMMYFUNCTION("""COMPUTED_VALUE"""),"VD036")</f>
        <v>VD036</v>
      </c>
      <c r="C1570" s="2">
        <f>IFERROR(__xludf.DUMMYFUNCTION("""COMPUTED_VALUE"""),18.0)</f>
        <v>18</v>
      </c>
      <c r="D1570" s="2">
        <f>IFERROR(__xludf.DUMMYFUNCTION("""COMPUTED_VALUE"""),961.07)</f>
        <v>961.07</v>
      </c>
    </row>
    <row r="1571">
      <c r="A1571" s="2" t="str">
        <f>IFERROR(__xludf.DUMMYFUNCTION("""COMPUTED_VALUE"""),"PR051")</f>
        <v>PR051</v>
      </c>
      <c r="B1571" s="2" t="str">
        <f>IFERROR(__xludf.DUMMYFUNCTION("""COMPUTED_VALUE"""),"VD038")</f>
        <v>VD038</v>
      </c>
      <c r="C1571" s="2">
        <f>IFERROR(__xludf.DUMMYFUNCTION("""COMPUTED_VALUE"""),8.0)</f>
        <v>8</v>
      </c>
      <c r="D1571" s="2">
        <f>IFERROR(__xludf.DUMMYFUNCTION("""COMPUTED_VALUE"""),271.1)</f>
        <v>271.1</v>
      </c>
    </row>
    <row r="1572">
      <c r="A1572" s="2" t="str">
        <f>IFERROR(__xludf.DUMMYFUNCTION("""COMPUTED_VALUE"""),"PR006")</f>
        <v>PR006</v>
      </c>
      <c r="B1572" s="2" t="str">
        <f>IFERROR(__xludf.DUMMYFUNCTION("""COMPUTED_VALUE"""),"VD035")</f>
        <v>VD035</v>
      </c>
      <c r="C1572" s="2">
        <f>IFERROR(__xludf.DUMMYFUNCTION("""COMPUTED_VALUE"""),5.0)</f>
        <v>5</v>
      </c>
      <c r="D1572" s="2">
        <f>IFERROR(__xludf.DUMMYFUNCTION("""COMPUTED_VALUE"""),215.46)</f>
        <v>215.46</v>
      </c>
    </row>
    <row r="1573">
      <c r="A1573" s="2" t="str">
        <f>IFERROR(__xludf.DUMMYFUNCTION("""COMPUTED_VALUE"""),"PR046")</f>
        <v>PR046</v>
      </c>
      <c r="B1573" s="2" t="str">
        <f>IFERROR(__xludf.DUMMYFUNCTION("""COMPUTED_VALUE"""),"VD040")</f>
        <v>VD040</v>
      </c>
      <c r="C1573" s="2">
        <f>IFERROR(__xludf.DUMMYFUNCTION("""COMPUTED_VALUE"""),2.0)</f>
        <v>2</v>
      </c>
      <c r="D1573" s="2">
        <f>IFERROR(__xludf.DUMMYFUNCTION("""COMPUTED_VALUE"""),614.59)</f>
        <v>614.59</v>
      </c>
    </row>
    <row r="1574">
      <c r="A1574" s="2" t="str">
        <f>IFERROR(__xludf.DUMMYFUNCTION("""COMPUTED_VALUE"""),"PR001")</f>
        <v>PR001</v>
      </c>
      <c r="B1574" s="2" t="str">
        <f>IFERROR(__xludf.DUMMYFUNCTION("""COMPUTED_VALUE"""),"VD020")</f>
        <v>VD020</v>
      </c>
      <c r="C1574" s="2">
        <f>IFERROR(__xludf.DUMMYFUNCTION("""COMPUTED_VALUE"""),12.0)</f>
        <v>12</v>
      </c>
      <c r="D1574" s="2">
        <f>IFERROR(__xludf.DUMMYFUNCTION("""COMPUTED_VALUE"""),806.62)</f>
        <v>806.62</v>
      </c>
    </row>
    <row r="1575">
      <c r="A1575" s="2" t="str">
        <f>IFERROR(__xludf.DUMMYFUNCTION("""COMPUTED_VALUE"""),"PR022")</f>
        <v>PR022</v>
      </c>
      <c r="B1575" s="2" t="str">
        <f>IFERROR(__xludf.DUMMYFUNCTION("""COMPUTED_VALUE"""),"VD036")</f>
        <v>VD036</v>
      </c>
      <c r="C1575" s="2">
        <f>IFERROR(__xludf.DUMMYFUNCTION("""COMPUTED_VALUE"""),4.0)</f>
        <v>4</v>
      </c>
      <c r="D1575" s="2">
        <f>IFERROR(__xludf.DUMMYFUNCTION("""COMPUTED_VALUE"""),1212.0)</f>
        <v>1212</v>
      </c>
    </row>
    <row r="1576">
      <c r="A1576" s="2" t="str">
        <f>IFERROR(__xludf.DUMMYFUNCTION("""COMPUTED_VALUE"""),"PR012")</f>
        <v>PR012</v>
      </c>
      <c r="B1576" s="2" t="str">
        <f>IFERROR(__xludf.DUMMYFUNCTION("""COMPUTED_VALUE"""),"VD036")</f>
        <v>VD036</v>
      </c>
      <c r="C1576" s="2">
        <f>IFERROR(__xludf.DUMMYFUNCTION("""COMPUTED_VALUE"""),20.0)</f>
        <v>20</v>
      </c>
      <c r="D1576" s="2">
        <f>IFERROR(__xludf.DUMMYFUNCTION("""COMPUTED_VALUE"""),987.78)</f>
        <v>987.78</v>
      </c>
    </row>
    <row r="1577">
      <c r="A1577" s="2" t="str">
        <f>IFERROR(__xludf.DUMMYFUNCTION("""COMPUTED_VALUE"""),"PR031")</f>
        <v>PR031</v>
      </c>
      <c r="B1577" s="2" t="str">
        <f>IFERROR(__xludf.DUMMYFUNCTION("""COMPUTED_VALUE"""),"VD044")</f>
        <v>VD044</v>
      </c>
      <c r="C1577" s="2">
        <f>IFERROR(__xludf.DUMMYFUNCTION("""COMPUTED_VALUE"""),4.0)</f>
        <v>4</v>
      </c>
      <c r="D1577" s="2">
        <f>IFERROR(__xludf.DUMMYFUNCTION("""COMPUTED_VALUE"""),1038.8)</f>
        <v>1038.8</v>
      </c>
    </row>
    <row r="1578">
      <c r="A1578" s="2" t="str">
        <f>IFERROR(__xludf.DUMMYFUNCTION("""COMPUTED_VALUE"""),"PR052")</f>
        <v>PR052</v>
      </c>
      <c r="B1578" s="2" t="str">
        <f>IFERROR(__xludf.DUMMYFUNCTION("""COMPUTED_VALUE"""),"VD044")</f>
        <v>VD044</v>
      </c>
      <c r="C1578" s="2">
        <f>IFERROR(__xludf.DUMMYFUNCTION("""COMPUTED_VALUE"""),16.0)</f>
        <v>16</v>
      </c>
      <c r="D1578" s="2">
        <f>IFERROR(__xludf.DUMMYFUNCTION("""COMPUTED_VALUE"""),814.37)</f>
        <v>814.37</v>
      </c>
    </row>
    <row r="1579">
      <c r="A1579" s="2" t="str">
        <f>IFERROR(__xludf.DUMMYFUNCTION("""COMPUTED_VALUE"""),"PR005")</f>
        <v>PR005</v>
      </c>
      <c r="B1579" s="2" t="str">
        <f>IFERROR(__xludf.DUMMYFUNCTION("""COMPUTED_VALUE"""),"VD027")</f>
        <v>VD027</v>
      </c>
      <c r="C1579" s="2">
        <f>IFERROR(__xludf.DUMMYFUNCTION("""COMPUTED_VALUE"""),3.0)</f>
        <v>3</v>
      </c>
      <c r="D1579" s="2">
        <f>IFERROR(__xludf.DUMMYFUNCTION("""COMPUTED_VALUE"""),810.89)</f>
        <v>810.89</v>
      </c>
    </row>
    <row r="1580">
      <c r="A1580" s="2" t="str">
        <f>IFERROR(__xludf.DUMMYFUNCTION("""COMPUTED_VALUE"""),"PR037")</f>
        <v>PR037</v>
      </c>
      <c r="B1580" s="2" t="str">
        <f>IFERROR(__xludf.DUMMYFUNCTION("""COMPUTED_VALUE"""),"VD045")</f>
        <v>VD045</v>
      </c>
      <c r="C1580" s="2">
        <f>IFERROR(__xludf.DUMMYFUNCTION("""COMPUTED_VALUE"""),9.0)</f>
        <v>9</v>
      </c>
      <c r="D1580" s="2">
        <f>IFERROR(__xludf.DUMMYFUNCTION("""COMPUTED_VALUE"""),1386.0)</f>
        <v>1386</v>
      </c>
    </row>
    <row r="1581">
      <c r="A1581" s="2" t="str">
        <f>IFERROR(__xludf.DUMMYFUNCTION("""COMPUTED_VALUE"""),"PR014")</f>
        <v>PR014</v>
      </c>
      <c r="B1581" s="2" t="str">
        <f>IFERROR(__xludf.DUMMYFUNCTION("""COMPUTED_VALUE"""),"VD036")</f>
        <v>VD036</v>
      </c>
      <c r="C1581" s="2">
        <f>IFERROR(__xludf.DUMMYFUNCTION("""COMPUTED_VALUE"""),10.0)</f>
        <v>10</v>
      </c>
      <c r="D1581" s="2">
        <f>IFERROR(__xludf.DUMMYFUNCTION("""COMPUTED_VALUE"""),414.96)</f>
        <v>414.96</v>
      </c>
    </row>
    <row r="1582">
      <c r="A1582" s="2" t="str">
        <f>IFERROR(__xludf.DUMMYFUNCTION("""COMPUTED_VALUE"""),"PR013")</f>
        <v>PR013</v>
      </c>
      <c r="B1582" s="2" t="str">
        <f>IFERROR(__xludf.DUMMYFUNCTION("""COMPUTED_VALUE"""),"VD036")</f>
        <v>VD036</v>
      </c>
      <c r="C1582" s="2">
        <f>IFERROR(__xludf.DUMMYFUNCTION("""COMPUTED_VALUE"""),16.0)</f>
        <v>16</v>
      </c>
      <c r="D1582" s="2">
        <f>IFERROR(__xludf.DUMMYFUNCTION("""COMPUTED_VALUE"""),670.32)</f>
        <v>670.32</v>
      </c>
    </row>
    <row r="1583">
      <c r="A1583" s="2" t="str">
        <f>IFERROR(__xludf.DUMMYFUNCTION("""COMPUTED_VALUE"""),"PR001")</f>
        <v>PR001</v>
      </c>
      <c r="B1583" s="2" t="str">
        <f>IFERROR(__xludf.DUMMYFUNCTION("""COMPUTED_VALUE"""),"VD030")</f>
        <v>VD030</v>
      </c>
      <c r="C1583" s="2">
        <f>IFERROR(__xludf.DUMMYFUNCTION("""COMPUTED_VALUE"""),20.0)</f>
        <v>20</v>
      </c>
      <c r="D1583" s="2">
        <f>IFERROR(__xludf.DUMMYFUNCTION("""COMPUTED_VALUE"""),1423.44)</f>
        <v>1423.44</v>
      </c>
    </row>
    <row r="1584">
      <c r="A1584" s="2" t="str">
        <f>IFERROR(__xludf.DUMMYFUNCTION("""COMPUTED_VALUE"""),"PR029")</f>
        <v>PR029</v>
      </c>
      <c r="B1584" s="2" t="str">
        <f>IFERROR(__xludf.DUMMYFUNCTION("""COMPUTED_VALUE"""),"VD024")</f>
        <v>VD024</v>
      </c>
      <c r="C1584" s="2">
        <f>IFERROR(__xludf.DUMMYFUNCTION("""COMPUTED_VALUE"""),4.0)</f>
        <v>4</v>
      </c>
      <c r="D1584" s="2">
        <f>IFERROR(__xludf.DUMMYFUNCTION("""COMPUTED_VALUE"""),1060.8)</f>
        <v>1060.8</v>
      </c>
    </row>
    <row r="1585">
      <c r="A1585" s="2" t="str">
        <f>IFERROR(__xludf.DUMMYFUNCTION("""COMPUTED_VALUE"""),"PR008")</f>
        <v>PR008</v>
      </c>
      <c r="B1585" s="2" t="str">
        <f>IFERROR(__xludf.DUMMYFUNCTION("""COMPUTED_VALUE"""),"VD014")</f>
        <v>VD014</v>
      </c>
      <c r="C1585" s="2">
        <f>IFERROR(__xludf.DUMMYFUNCTION("""COMPUTED_VALUE"""),10.0)</f>
        <v>10</v>
      </c>
      <c r="D1585" s="2">
        <f>IFERROR(__xludf.DUMMYFUNCTION("""COMPUTED_VALUE"""),899.0)</f>
        <v>899</v>
      </c>
    </row>
    <row r="1586">
      <c r="A1586" s="2" t="str">
        <f>IFERROR(__xludf.DUMMYFUNCTION("""COMPUTED_VALUE"""),"PR004")</f>
        <v>PR004</v>
      </c>
      <c r="B1586" s="2" t="str">
        <f>IFERROR(__xludf.DUMMYFUNCTION("""COMPUTED_VALUE"""),"VD042")</f>
        <v>VD042</v>
      </c>
      <c r="C1586" s="2">
        <f>IFERROR(__xludf.DUMMYFUNCTION("""COMPUTED_VALUE"""),2.0)</f>
        <v>2</v>
      </c>
      <c r="D1586" s="2">
        <f>IFERROR(__xludf.DUMMYFUNCTION("""COMPUTED_VALUE"""),301.6)</f>
        <v>301.6</v>
      </c>
    </row>
    <row r="1587">
      <c r="A1587" s="2" t="str">
        <f>IFERROR(__xludf.DUMMYFUNCTION("""COMPUTED_VALUE"""),"PR007")</f>
        <v>PR007</v>
      </c>
      <c r="B1587" s="2" t="str">
        <f>IFERROR(__xludf.DUMMYFUNCTION("""COMPUTED_VALUE"""),"VD045")</f>
        <v>VD045</v>
      </c>
      <c r="C1587" s="2">
        <f>IFERROR(__xludf.DUMMYFUNCTION("""COMPUTED_VALUE"""),14.0)</f>
        <v>14</v>
      </c>
      <c r="D1587" s="2">
        <f>IFERROR(__xludf.DUMMYFUNCTION("""COMPUTED_VALUE"""),1226.65)</f>
        <v>1226.65</v>
      </c>
    </row>
    <row r="1588">
      <c r="A1588" s="2" t="str">
        <f>IFERROR(__xludf.DUMMYFUNCTION("""COMPUTED_VALUE"""),"PR060")</f>
        <v>PR060</v>
      </c>
      <c r="B1588" s="2" t="str">
        <f>IFERROR(__xludf.DUMMYFUNCTION("""COMPUTED_VALUE"""),"VD011")</f>
        <v>VD011</v>
      </c>
      <c r="C1588" s="2">
        <f>IFERROR(__xludf.DUMMYFUNCTION("""COMPUTED_VALUE"""),10.0)</f>
        <v>10</v>
      </c>
      <c r="D1588" s="2">
        <f>IFERROR(__xludf.DUMMYFUNCTION("""COMPUTED_VALUE"""),1926.0)</f>
        <v>1926</v>
      </c>
    </row>
    <row r="1589">
      <c r="A1589" s="2" t="str">
        <f>IFERROR(__xludf.DUMMYFUNCTION("""COMPUTED_VALUE"""),"PR057")</f>
        <v>PR057</v>
      </c>
      <c r="B1589" s="2" t="str">
        <f>IFERROR(__xludf.DUMMYFUNCTION("""COMPUTED_VALUE"""),"VD036")</f>
        <v>VD036</v>
      </c>
      <c r="C1589" s="2">
        <f>IFERROR(__xludf.DUMMYFUNCTION("""COMPUTED_VALUE"""),10.0)</f>
        <v>10</v>
      </c>
      <c r="D1589" s="2">
        <f>IFERROR(__xludf.DUMMYFUNCTION("""COMPUTED_VALUE"""),979.91)</f>
        <v>979.91</v>
      </c>
    </row>
    <row r="1590">
      <c r="A1590" s="2" t="str">
        <f>IFERROR(__xludf.DUMMYFUNCTION("""COMPUTED_VALUE"""),"PR036")</f>
        <v>PR036</v>
      </c>
      <c r="B1590" s="2" t="str">
        <f>IFERROR(__xludf.DUMMYFUNCTION("""COMPUTED_VALUE"""),"VD017")</f>
        <v>VD017</v>
      </c>
      <c r="C1590" s="2">
        <f>IFERROR(__xludf.DUMMYFUNCTION("""COMPUTED_VALUE"""),10.0)</f>
        <v>10</v>
      </c>
      <c r="D1590" s="2">
        <f>IFERROR(__xludf.DUMMYFUNCTION("""COMPUTED_VALUE"""),981.75)</f>
        <v>981.75</v>
      </c>
    </row>
    <row r="1591">
      <c r="A1591" s="2" t="str">
        <f>IFERROR(__xludf.DUMMYFUNCTION("""COMPUTED_VALUE"""),"PR045")</f>
        <v>PR045</v>
      </c>
      <c r="B1591" s="2" t="str">
        <f>IFERROR(__xludf.DUMMYFUNCTION("""COMPUTED_VALUE"""),"VD019")</f>
        <v>VD019</v>
      </c>
      <c r="C1591" s="2">
        <f>IFERROR(__xludf.DUMMYFUNCTION("""COMPUTED_VALUE"""),4.0)</f>
        <v>4</v>
      </c>
      <c r="D1591" s="2">
        <f>IFERROR(__xludf.DUMMYFUNCTION("""COMPUTED_VALUE"""),292.9)</f>
        <v>292.9</v>
      </c>
    </row>
    <row r="1592">
      <c r="A1592" s="2" t="str">
        <f>IFERROR(__xludf.DUMMYFUNCTION("""COMPUTED_VALUE"""),"PR058")</f>
        <v>PR058</v>
      </c>
      <c r="B1592" s="2" t="str">
        <f>IFERROR(__xludf.DUMMYFUNCTION("""COMPUTED_VALUE"""),"VD029")</f>
        <v>VD029</v>
      </c>
      <c r="C1592" s="2">
        <f>IFERROR(__xludf.DUMMYFUNCTION("""COMPUTED_VALUE"""),18.0)</f>
        <v>18</v>
      </c>
      <c r="D1592" s="2">
        <f>IFERROR(__xludf.DUMMYFUNCTION("""COMPUTED_VALUE"""),3434.4)</f>
        <v>3434.4</v>
      </c>
    </row>
    <row r="1593">
      <c r="A1593" s="2" t="str">
        <f>IFERROR(__xludf.DUMMYFUNCTION("""COMPUTED_VALUE"""),"PR010")</f>
        <v>PR010</v>
      </c>
      <c r="B1593" s="2" t="str">
        <f>IFERROR(__xludf.DUMMYFUNCTION("""COMPUTED_VALUE"""),"VD046")</f>
        <v>VD046</v>
      </c>
      <c r="C1593" s="2">
        <f>IFERROR(__xludf.DUMMYFUNCTION("""COMPUTED_VALUE"""),14.0)</f>
        <v>14</v>
      </c>
      <c r="D1593" s="2">
        <f>IFERROR(__xludf.DUMMYFUNCTION("""COMPUTED_VALUE"""),666.32)</f>
        <v>666.32</v>
      </c>
    </row>
    <row r="1594">
      <c r="A1594" s="2" t="str">
        <f>IFERROR(__xludf.DUMMYFUNCTION("""COMPUTED_VALUE"""),"PR036")</f>
        <v>PR036</v>
      </c>
      <c r="B1594" s="2" t="str">
        <f>IFERROR(__xludf.DUMMYFUNCTION("""COMPUTED_VALUE"""),"VD017")</f>
        <v>VD017</v>
      </c>
      <c r="C1594" s="2">
        <f>IFERROR(__xludf.DUMMYFUNCTION("""COMPUTED_VALUE"""),5.0)</f>
        <v>5</v>
      </c>
      <c r="D1594" s="2">
        <f>IFERROR(__xludf.DUMMYFUNCTION("""COMPUTED_VALUE"""),486.2)</f>
        <v>486.2</v>
      </c>
    </row>
    <row r="1595">
      <c r="A1595" s="2" t="str">
        <f>IFERROR(__xludf.DUMMYFUNCTION("""COMPUTED_VALUE"""),"PR014")</f>
        <v>PR014</v>
      </c>
      <c r="B1595" s="2" t="str">
        <f>IFERROR(__xludf.DUMMYFUNCTION("""COMPUTED_VALUE"""),"VD048")</f>
        <v>VD048</v>
      </c>
      <c r="C1595" s="2">
        <f>IFERROR(__xludf.DUMMYFUNCTION("""COMPUTED_VALUE"""),4.0)</f>
        <v>4</v>
      </c>
      <c r="D1595" s="2">
        <f>IFERROR(__xludf.DUMMYFUNCTION("""COMPUTED_VALUE"""),172.37)</f>
        <v>172.37</v>
      </c>
    </row>
    <row r="1596">
      <c r="A1596" s="2" t="str">
        <f>IFERROR(__xludf.DUMMYFUNCTION("""COMPUTED_VALUE"""),"PR041")</f>
        <v>PR041</v>
      </c>
      <c r="B1596" s="2" t="str">
        <f>IFERROR(__xludf.DUMMYFUNCTION("""COMPUTED_VALUE"""),"VD042")</f>
        <v>VD042</v>
      </c>
      <c r="C1596" s="2">
        <f>IFERROR(__xludf.DUMMYFUNCTION("""COMPUTED_VALUE"""),2.0)</f>
        <v>2</v>
      </c>
      <c r="D1596" s="2">
        <f>IFERROR(__xludf.DUMMYFUNCTION("""COMPUTED_VALUE"""),120.78)</f>
        <v>120.78</v>
      </c>
    </row>
    <row r="1597">
      <c r="A1597" s="2" t="str">
        <f>IFERROR(__xludf.DUMMYFUNCTION("""COMPUTED_VALUE"""),"PR019")</f>
        <v>PR019</v>
      </c>
      <c r="B1597" s="2" t="str">
        <f>IFERROR(__xludf.DUMMYFUNCTION("""COMPUTED_VALUE"""),"VD034")</f>
        <v>VD034</v>
      </c>
      <c r="C1597" s="2">
        <f>IFERROR(__xludf.DUMMYFUNCTION("""COMPUTED_VALUE"""),7.0)</f>
        <v>7</v>
      </c>
      <c r="D1597" s="2">
        <f>IFERROR(__xludf.DUMMYFUNCTION("""COMPUTED_VALUE"""),373.75)</f>
        <v>373.75</v>
      </c>
    </row>
    <row r="1598">
      <c r="A1598" s="2" t="str">
        <f>IFERROR(__xludf.DUMMYFUNCTION("""COMPUTED_VALUE"""),"PR024")</f>
        <v>PR024</v>
      </c>
      <c r="B1598" s="2" t="str">
        <f>IFERROR(__xludf.DUMMYFUNCTION("""COMPUTED_VALUE"""),"VD048")</f>
        <v>VD048</v>
      </c>
      <c r="C1598" s="2">
        <f>IFERROR(__xludf.DUMMYFUNCTION("""COMPUTED_VALUE"""),3.0)</f>
        <v>3</v>
      </c>
      <c r="D1598" s="2">
        <f>IFERROR(__xludf.DUMMYFUNCTION("""COMPUTED_VALUE"""),795.29)</f>
        <v>795.29</v>
      </c>
    </row>
    <row r="1599">
      <c r="A1599" s="2" t="str">
        <f>IFERROR(__xludf.DUMMYFUNCTION("""COMPUTED_VALUE"""),"PR044")</f>
        <v>PR044</v>
      </c>
      <c r="B1599" s="2" t="str">
        <f>IFERROR(__xludf.DUMMYFUNCTION("""COMPUTED_VALUE"""),"VD046")</f>
        <v>VD046</v>
      </c>
      <c r="C1599" s="2">
        <f>IFERROR(__xludf.DUMMYFUNCTION("""COMPUTED_VALUE"""),14.0)</f>
        <v>14</v>
      </c>
      <c r="D1599" s="2">
        <f>IFERROR(__xludf.DUMMYFUNCTION("""COMPUTED_VALUE"""),1055.6)</f>
        <v>1055.6</v>
      </c>
    </row>
    <row r="1600">
      <c r="A1600" s="2" t="str">
        <f>IFERROR(__xludf.DUMMYFUNCTION("""COMPUTED_VALUE"""),"PR042")</f>
        <v>PR042</v>
      </c>
      <c r="B1600" s="2" t="str">
        <f>IFERROR(__xludf.DUMMYFUNCTION("""COMPUTED_VALUE"""),"VD048")</f>
        <v>VD048</v>
      </c>
      <c r="C1600" s="2">
        <f>IFERROR(__xludf.DUMMYFUNCTION("""COMPUTED_VALUE"""),7.0)</f>
        <v>7</v>
      </c>
      <c r="D1600" s="2">
        <f>IFERROR(__xludf.DUMMYFUNCTION("""COMPUTED_VALUE"""),399.67)</f>
        <v>399.67</v>
      </c>
    </row>
    <row r="1601">
      <c r="A1601" s="2" t="str">
        <f>IFERROR(__xludf.DUMMYFUNCTION("""COMPUTED_VALUE"""),"PR014")</f>
        <v>PR014</v>
      </c>
      <c r="B1601" s="2" t="str">
        <f>IFERROR(__xludf.DUMMYFUNCTION("""COMPUTED_VALUE"""),"VD017")</f>
        <v>VD017</v>
      </c>
      <c r="C1601" s="2">
        <f>IFERROR(__xludf.DUMMYFUNCTION("""COMPUTED_VALUE"""),10.0)</f>
        <v>10</v>
      </c>
      <c r="D1601" s="2">
        <f>IFERROR(__xludf.DUMMYFUNCTION("""COMPUTED_VALUE"""),438.9)</f>
        <v>438.9</v>
      </c>
    </row>
    <row r="1602">
      <c r="A1602" s="2" t="str">
        <f>IFERROR(__xludf.DUMMYFUNCTION("""COMPUTED_VALUE"""),"PR015")</f>
        <v>PR015</v>
      </c>
      <c r="B1602" s="2" t="str">
        <f>IFERROR(__xludf.DUMMYFUNCTION("""COMPUTED_VALUE"""),"VD022")</f>
        <v>VD022</v>
      </c>
      <c r="C1602" s="2">
        <f>IFERROR(__xludf.DUMMYFUNCTION("""COMPUTED_VALUE"""),6.0)</f>
        <v>6</v>
      </c>
      <c r="D1602" s="2">
        <f>IFERROR(__xludf.DUMMYFUNCTION("""COMPUTED_VALUE"""),262.65)</f>
        <v>262.65</v>
      </c>
    </row>
    <row r="1603">
      <c r="A1603" s="2" t="str">
        <f>IFERROR(__xludf.DUMMYFUNCTION("""COMPUTED_VALUE"""),"PR025")</f>
        <v>PR025</v>
      </c>
      <c r="B1603" s="2" t="str">
        <f>IFERROR(__xludf.DUMMYFUNCTION("""COMPUTED_VALUE"""),"VD034")</f>
        <v>VD034</v>
      </c>
      <c r="C1603" s="2">
        <f>IFERROR(__xludf.DUMMYFUNCTION("""COMPUTED_VALUE"""),4.0)</f>
        <v>4</v>
      </c>
      <c r="D1603" s="2">
        <f>IFERROR(__xludf.DUMMYFUNCTION("""COMPUTED_VALUE"""),1295.57)</f>
        <v>1295.57</v>
      </c>
    </row>
    <row r="1604">
      <c r="A1604" s="2" t="str">
        <f>IFERROR(__xludf.DUMMYFUNCTION("""COMPUTED_VALUE"""),"PR001")</f>
        <v>PR001</v>
      </c>
      <c r="B1604" s="2" t="str">
        <f>IFERROR(__xludf.DUMMYFUNCTION("""COMPUTED_VALUE"""),"VD022")</f>
        <v>VD022</v>
      </c>
      <c r="C1604" s="2">
        <f>IFERROR(__xludf.DUMMYFUNCTION("""COMPUTED_VALUE"""),9.0)</f>
        <v>9</v>
      </c>
      <c r="D1604" s="2">
        <f>IFERROR(__xludf.DUMMYFUNCTION("""COMPUTED_VALUE"""),640.55)</f>
        <v>640.55</v>
      </c>
    </row>
    <row r="1605">
      <c r="A1605" s="2" t="str">
        <f>IFERROR(__xludf.DUMMYFUNCTION("""COMPUTED_VALUE"""),"PR013")</f>
        <v>PR013</v>
      </c>
      <c r="B1605" s="2" t="str">
        <f>IFERROR(__xludf.DUMMYFUNCTION("""COMPUTED_VALUE"""),"VD019")</f>
        <v>VD019</v>
      </c>
      <c r="C1605" s="2">
        <f>IFERROR(__xludf.DUMMYFUNCTION("""COMPUTED_VALUE"""),20.0)</f>
        <v>20</v>
      </c>
      <c r="D1605" s="2">
        <f>IFERROR(__xludf.DUMMYFUNCTION("""COMPUTED_VALUE"""),869.82)</f>
        <v>869.82</v>
      </c>
    </row>
    <row r="1606">
      <c r="A1606" s="2" t="str">
        <f>IFERROR(__xludf.DUMMYFUNCTION("""COMPUTED_VALUE"""),"PR058")</f>
        <v>PR058</v>
      </c>
      <c r="B1606" s="2" t="str">
        <f>IFERROR(__xludf.DUMMYFUNCTION("""COMPUTED_VALUE"""),"VD042")</f>
        <v>VD042</v>
      </c>
      <c r="C1606" s="2">
        <f>IFERROR(__xludf.DUMMYFUNCTION("""COMPUTED_VALUE"""),3.0)</f>
        <v>3</v>
      </c>
      <c r="D1606" s="2">
        <f>IFERROR(__xludf.DUMMYFUNCTION("""COMPUTED_VALUE"""),577.8)</f>
        <v>577.8</v>
      </c>
    </row>
    <row r="1607">
      <c r="A1607" s="2" t="str">
        <f>IFERROR(__xludf.DUMMYFUNCTION("""COMPUTED_VALUE"""),"PR053")</f>
        <v>PR053</v>
      </c>
      <c r="B1607" s="2" t="str">
        <f>IFERROR(__xludf.DUMMYFUNCTION("""COMPUTED_VALUE"""),"VD022")</f>
        <v>VD022</v>
      </c>
      <c r="C1607" s="2">
        <f>IFERROR(__xludf.DUMMYFUNCTION("""COMPUTED_VALUE"""),4.0)</f>
        <v>4</v>
      </c>
      <c r="D1607" s="2">
        <f>IFERROR(__xludf.DUMMYFUNCTION("""COMPUTED_VALUE"""),217.56)</f>
        <v>217.56</v>
      </c>
    </row>
    <row r="1608">
      <c r="A1608" s="2" t="str">
        <f>IFERROR(__xludf.DUMMYFUNCTION("""COMPUTED_VALUE"""),"PR047")</f>
        <v>PR047</v>
      </c>
      <c r="B1608" s="2" t="str">
        <f>IFERROR(__xludf.DUMMYFUNCTION("""COMPUTED_VALUE"""),"VD025")</f>
        <v>VD025</v>
      </c>
      <c r="C1608" s="2">
        <f>IFERROR(__xludf.DUMMYFUNCTION("""COMPUTED_VALUE"""),2.0)</f>
        <v>2</v>
      </c>
      <c r="D1608" s="2">
        <f>IFERROR(__xludf.DUMMYFUNCTION("""COMPUTED_VALUE"""),631.98)</f>
        <v>631.98</v>
      </c>
    </row>
    <row r="1609">
      <c r="A1609" s="2" t="str">
        <f>IFERROR(__xludf.DUMMYFUNCTION("""COMPUTED_VALUE"""),"PR044")</f>
        <v>PR044</v>
      </c>
      <c r="B1609" s="2" t="str">
        <f>IFERROR(__xludf.DUMMYFUNCTION("""COMPUTED_VALUE"""),"VD026")</f>
        <v>VD026</v>
      </c>
      <c r="C1609" s="2">
        <f>IFERROR(__xludf.DUMMYFUNCTION("""COMPUTED_VALUE"""),7.0)</f>
        <v>7</v>
      </c>
      <c r="D1609" s="2">
        <f>IFERROR(__xludf.DUMMYFUNCTION("""COMPUTED_VALUE"""),522.73)</f>
        <v>522.73</v>
      </c>
    </row>
    <row r="1610">
      <c r="A1610" s="2" t="str">
        <f>IFERROR(__xludf.DUMMYFUNCTION("""COMPUTED_VALUE"""),"PR050")</f>
        <v>PR050</v>
      </c>
      <c r="B1610" s="2" t="str">
        <f>IFERROR(__xludf.DUMMYFUNCTION("""COMPUTED_VALUE"""),"VD039")</f>
        <v>VD039</v>
      </c>
      <c r="C1610" s="2">
        <f>IFERROR(__xludf.DUMMYFUNCTION("""COMPUTED_VALUE"""),12.0)</f>
        <v>12</v>
      </c>
      <c r="D1610" s="2">
        <f>IFERROR(__xludf.DUMMYFUNCTION("""COMPUTED_VALUE"""),410.59)</f>
        <v>410.59</v>
      </c>
    </row>
    <row r="1611">
      <c r="A1611" s="2" t="str">
        <f>IFERROR(__xludf.DUMMYFUNCTION("""COMPUTED_VALUE"""),"PR042")</f>
        <v>PR042</v>
      </c>
      <c r="B1611" s="2" t="str">
        <f>IFERROR(__xludf.DUMMYFUNCTION("""COMPUTED_VALUE"""),"VD040")</f>
        <v>VD040</v>
      </c>
      <c r="C1611" s="2">
        <f>IFERROR(__xludf.DUMMYFUNCTION("""COMPUTED_VALUE"""),8.0)</f>
        <v>8</v>
      </c>
      <c r="D1611" s="2">
        <f>IFERROR(__xludf.DUMMYFUNCTION("""COMPUTED_VALUE"""),447.98)</f>
        <v>447.98</v>
      </c>
    </row>
    <row r="1612">
      <c r="A1612" s="2" t="str">
        <f>IFERROR(__xludf.DUMMYFUNCTION("""COMPUTED_VALUE"""),"PR003")</f>
        <v>PR003</v>
      </c>
      <c r="B1612" s="2" t="str">
        <f>IFERROR(__xludf.DUMMYFUNCTION("""COMPUTED_VALUE"""),"VD038")</f>
        <v>VD038</v>
      </c>
      <c r="C1612" s="2">
        <f>IFERROR(__xludf.DUMMYFUNCTION("""COMPUTED_VALUE"""),2.0)</f>
        <v>2</v>
      </c>
      <c r="D1612" s="2">
        <f>IFERROR(__xludf.DUMMYFUNCTION("""COMPUTED_VALUE"""),143.22)</f>
        <v>143.22</v>
      </c>
    </row>
    <row r="1613">
      <c r="A1613" s="2" t="str">
        <f>IFERROR(__xludf.DUMMYFUNCTION("""COMPUTED_VALUE"""),"PR010")</f>
        <v>PR010</v>
      </c>
      <c r="B1613" s="2" t="str">
        <f>IFERROR(__xludf.DUMMYFUNCTION("""COMPUTED_VALUE"""),"VD025")</f>
        <v>VD025</v>
      </c>
      <c r="C1613" s="2">
        <f>IFERROR(__xludf.DUMMYFUNCTION("""COMPUTED_VALUE"""),6.0)</f>
        <v>6</v>
      </c>
      <c r="D1613" s="2">
        <f>IFERROR(__xludf.DUMMYFUNCTION("""COMPUTED_VALUE"""),274.79)</f>
        <v>274.79</v>
      </c>
    </row>
    <row r="1614">
      <c r="A1614" s="2" t="str">
        <f>IFERROR(__xludf.DUMMYFUNCTION("""COMPUTED_VALUE"""),"PR043")</f>
        <v>PR043</v>
      </c>
      <c r="B1614" s="2" t="str">
        <f>IFERROR(__xludf.DUMMYFUNCTION("""COMPUTED_VALUE"""),"VD013")</f>
        <v>VD013</v>
      </c>
      <c r="C1614" s="2">
        <f>IFERROR(__xludf.DUMMYFUNCTION("""COMPUTED_VALUE"""),6.0)</f>
        <v>6</v>
      </c>
      <c r="D1614" s="2">
        <f>IFERROR(__xludf.DUMMYFUNCTION("""COMPUTED_VALUE"""),439.35)</f>
        <v>439.35</v>
      </c>
    </row>
    <row r="1615">
      <c r="A1615" s="2" t="str">
        <f>IFERROR(__xludf.DUMMYFUNCTION("""COMPUTED_VALUE"""),"PR012")</f>
        <v>PR012</v>
      </c>
      <c r="B1615" s="2" t="str">
        <f>IFERROR(__xludf.DUMMYFUNCTION("""COMPUTED_VALUE"""),"VD035")</f>
        <v>VD035</v>
      </c>
      <c r="C1615" s="2">
        <f>IFERROR(__xludf.DUMMYFUNCTION("""COMPUTED_VALUE"""),6.0)</f>
        <v>6</v>
      </c>
      <c r="D1615" s="2">
        <f>IFERROR(__xludf.DUMMYFUNCTION("""COMPUTED_VALUE"""),293.4)</f>
        <v>293.4</v>
      </c>
    </row>
    <row r="1616">
      <c r="A1616" s="2" t="str">
        <f>IFERROR(__xludf.DUMMYFUNCTION("""COMPUTED_VALUE"""),"PR007")</f>
        <v>PR007</v>
      </c>
      <c r="B1616" s="2" t="str">
        <f>IFERROR(__xludf.DUMMYFUNCTION("""COMPUTED_VALUE"""),"VD017")</f>
        <v>VD017</v>
      </c>
      <c r="C1616" s="2">
        <f>IFERROR(__xludf.DUMMYFUNCTION("""COMPUTED_VALUE"""),12.0)</f>
        <v>12</v>
      </c>
      <c r="D1616" s="2">
        <f>IFERROR(__xludf.DUMMYFUNCTION("""COMPUTED_VALUE"""),1123.57)</f>
        <v>1123.57</v>
      </c>
    </row>
    <row r="1617">
      <c r="A1617" s="2" t="str">
        <f>IFERROR(__xludf.DUMMYFUNCTION("""COMPUTED_VALUE"""),"PR042")</f>
        <v>PR042</v>
      </c>
      <c r="B1617" s="2" t="str">
        <f>IFERROR(__xludf.DUMMYFUNCTION("""COMPUTED_VALUE"""),"VD021")</f>
        <v>VD021</v>
      </c>
      <c r="C1617" s="2">
        <f>IFERROR(__xludf.DUMMYFUNCTION("""COMPUTED_VALUE"""),14.0)</f>
        <v>14</v>
      </c>
      <c r="D1617" s="2">
        <f>IFERROR(__xludf.DUMMYFUNCTION("""COMPUTED_VALUE"""),791.66)</f>
        <v>791.66</v>
      </c>
    </row>
    <row r="1618">
      <c r="A1618" s="2" t="str">
        <f>IFERROR(__xludf.DUMMYFUNCTION("""COMPUTED_VALUE"""),"PR035")</f>
        <v>PR035</v>
      </c>
      <c r="B1618" s="2" t="str">
        <f>IFERROR(__xludf.DUMMYFUNCTION("""COMPUTED_VALUE"""),"VD033")</f>
        <v>VD033</v>
      </c>
      <c r="C1618" s="2">
        <f>IFERROR(__xludf.DUMMYFUNCTION("""COMPUTED_VALUE"""),4.0)</f>
        <v>4</v>
      </c>
      <c r="D1618" s="2">
        <f>IFERROR(__xludf.DUMMYFUNCTION("""COMPUTED_VALUE"""),391.19)</f>
        <v>391.19</v>
      </c>
    </row>
    <row r="1619">
      <c r="A1619" s="2" t="str">
        <f>IFERROR(__xludf.DUMMYFUNCTION("""COMPUTED_VALUE"""),"PR040")</f>
        <v>PR040</v>
      </c>
      <c r="B1619" s="2" t="str">
        <f>IFERROR(__xludf.DUMMYFUNCTION("""COMPUTED_VALUE"""),"VD027")</f>
        <v>VD027</v>
      </c>
      <c r="C1619" s="2">
        <f>IFERROR(__xludf.DUMMYFUNCTION("""COMPUTED_VALUE"""),16.0)</f>
        <v>16</v>
      </c>
      <c r="D1619" s="2">
        <f>IFERROR(__xludf.DUMMYFUNCTION("""COMPUTED_VALUE"""),1176.0)</f>
        <v>1176</v>
      </c>
    </row>
    <row r="1620">
      <c r="A1620" s="2" t="str">
        <f>IFERROR(__xludf.DUMMYFUNCTION("""COMPUTED_VALUE"""),"PR027")</f>
        <v>PR027</v>
      </c>
      <c r="B1620" s="2" t="str">
        <f>IFERROR(__xludf.DUMMYFUNCTION("""COMPUTED_VALUE"""),"VD022")</f>
        <v>VD022</v>
      </c>
      <c r="C1620" s="2">
        <f>IFERROR(__xludf.DUMMYFUNCTION("""COMPUTED_VALUE"""),6.0)</f>
        <v>6</v>
      </c>
      <c r="D1620" s="2">
        <f>IFERROR(__xludf.DUMMYFUNCTION("""COMPUTED_VALUE"""),763.2)</f>
        <v>763.2</v>
      </c>
    </row>
    <row r="1621">
      <c r="A1621" s="2" t="str">
        <f>IFERROR(__xludf.DUMMYFUNCTION("""COMPUTED_VALUE"""),"PR006")</f>
        <v>PR006</v>
      </c>
      <c r="B1621" s="2" t="str">
        <f>IFERROR(__xludf.DUMMYFUNCTION("""COMPUTED_VALUE"""),"VD020")</f>
        <v>VD020</v>
      </c>
      <c r="C1621" s="2">
        <f>IFERROR(__xludf.DUMMYFUNCTION("""COMPUTED_VALUE"""),7.0)</f>
        <v>7</v>
      </c>
      <c r="D1621" s="2">
        <f>IFERROR(__xludf.DUMMYFUNCTION("""COMPUTED_VALUE"""),279.3)</f>
        <v>279.3</v>
      </c>
    </row>
    <row r="1622">
      <c r="A1622" s="2" t="str">
        <f>IFERROR(__xludf.DUMMYFUNCTION("""COMPUTED_VALUE"""),"PR005")</f>
        <v>PR005</v>
      </c>
      <c r="B1622" s="2" t="str">
        <f>IFERROR(__xludf.DUMMYFUNCTION("""COMPUTED_VALUE"""),"VD018")</f>
        <v>VD018</v>
      </c>
      <c r="C1622" s="2">
        <f>IFERROR(__xludf.DUMMYFUNCTION("""COMPUTED_VALUE"""),18.0)</f>
        <v>18</v>
      </c>
      <c r="D1622" s="2">
        <f>IFERROR(__xludf.DUMMYFUNCTION("""COMPUTED_VALUE"""),4958.89)</f>
        <v>4958.89</v>
      </c>
    </row>
    <row r="1623">
      <c r="A1623" s="2" t="str">
        <f>IFERROR(__xludf.DUMMYFUNCTION("""COMPUTED_VALUE"""),"PR046")</f>
        <v>PR046</v>
      </c>
      <c r="B1623" s="2" t="str">
        <f>IFERROR(__xludf.DUMMYFUNCTION("""COMPUTED_VALUE"""),"VD034")</f>
        <v>VD034</v>
      </c>
      <c r="C1623" s="2">
        <f>IFERROR(__xludf.DUMMYFUNCTION("""COMPUTED_VALUE"""),20.0)</f>
        <v>20</v>
      </c>
      <c r="D1623" s="2">
        <f>IFERROR(__xludf.DUMMYFUNCTION("""COMPUTED_VALUE"""),6261.84)</f>
        <v>6261.84</v>
      </c>
    </row>
    <row r="1624">
      <c r="A1624" s="2" t="str">
        <f>IFERROR(__xludf.DUMMYFUNCTION("""COMPUTED_VALUE"""),"PR001")</f>
        <v>PR001</v>
      </c>
      <c r="B1624" s="2" t="str">
        <f>IFERROR(__xludf.DUMMYFUNCTION("""COMPUTED_VALUE"""),"VD041")</f>
        <v>VD041</v>
      </c>
      <c r="C1624" s="2">
        <f>IFERROR(__xludf.DUMMYFUNCTION("""COMPUTED_VALUE"""),10.0)</f>
        <v>10</v>
      </c>
      <c r="D1624" s="2">
        <f>IFERROR(__xludf.DUMMYFUNCTION("""COMPUTED_VALUE"""),705.13)</f>
        <v>705.13</v>
      </c>
    </row>
    <row r="1625">
      <c r="A1625" s="2" t="str">
        <f>IFERROR(__xludf.DUMMYFUNCTION("""COMPUTED_VALUE"""),"PR037")</f>
        <v>PR037</v>
      </c>
      <c r="B1625" s="2" t="str">
        <f>IFERROR(__xludf.DUMMYFUNCTION("""COMPUTED_VALUE"""),"VD028")</f>
        <v>VD028</v>
      </c>
      <c r="C1625" s="2">
        <f>IFERROR(__xludf.DUMMYFUNCTION("""COMPUTED_VALUE"""),12.0)</f>
        <v>12</v>
      </c>
      <c r="D1625" s="2">
        <f>IFERROR(__xludf.DUMMYFUNCTION("""COMPUTED_VALUE"""),1680.0)</f>
        <v>1680</v>
      </c>
    </row>
    <row r="1626">
      <c r="A1626" s="2" t="str">
        <f>IFERROR(__xludf.DUMMYFUNCTION("""COMPUTED_VALUE"""),"PR036")</f>
        <v>PR036</v>
      </c>
      <c r="B1626" s="2" t="str">
        <f>IFERROR(__xludf.DUMMYFUNCTION("""COMPUTED_VALUE"""),"VD038")</f>
        <v>VD038</v>
      </c>
      <c r="C1626" s="2">
        <f>IFERROR(__xludf.DUMMYFUNCTION("""COMPUTED_VALUE"""),4.0)</f>
        <v>4</v>
      </c>
      <c r="D1626" s="2">
        <f>IFERROR(__xludf.DUMMYFUNCTION("""COMPUTED_VALUE"""),388.96)</f>
        <v>388.96</v>
      </c>
    </row>
    <row r="1627">
      <c r="A1627" s="2" t="str">
        <f>IFERROR(__xludf.DUMMYFUNCTION("""COMPUTED_VALUE"""),"PR035")</f>
        <v>PR035</v>
      </c>
      <c r="B1627" s="2" t="str">
        <f>IFERROR(__xludf.DUMMYFUNCTION("""COMPUTED_VALUE"""),"VD018")</f>
        <v>VD018</v>
      </c>
      <c r="C1627" s="2">
        <f>IFERROR(__xludf.DUMMYFUNCTION("""COMPUTED_VALUE"""),6.0)</f>
        <v>6</v>
      </c>
      <c r="D1627" s="2">
        <f>IFERROR(__xludf.DUMMYFUNCTION("""COMPUTED_VALUE"""),548.4)</f>
        <v>548.4</v>
      </c>
    </row>
    <row r="1628">
      <c r="A1628" s="2" t="str">
        <f>IFERROR(__xludf.DUMMYFUNCTION("""COMPUTED_VALUE"""),"PR057")</f>
        <v>PR057</v>
      </c>
      <c r="B1628" s="2" t="str">
        <f>IFERROR(__xludf.DUMMYFUNCTION("""COMPUTED_VALUE"""),"VD014")</f>
        <v>VD014</v>
      </c>
      <c r="C1628" s="2">
        <f>IFERROR(__xludf.DUMMYFUNCTION("""COMPUTED_VALUE"""),3.0)</f>
        <v>3</v>
      </c>
      <c r="D1628" s="2">
        <f>IFERROR(__xludf.DUMMYFUNCTION("""COMPUTED_VALUE"""),285.88)</f>
        <v>285.88</v>
      </c>
    </row>
    <row r="1629">
      <c r="A1629" s="2" t="str">
        <f>IFERROR(__xludf.DUMMYFUNCTION("""COMPUTED_VALUE"""),"PR033")</f>
        <v>PR033</v>
      </c>
      <c r="B1629" s="2" t="str">
        <f>IFERROR(__xludf.DUMMYFUNCTION("""COMPUTED_VALUE"""),"VD043")</f>
        <v>VD043</v>
      </c>
      <c r="C1629" s="2">
        <f>IFERROR(__xludf.DUMMYFUNCTION("""COMPUTED_VALUE"""),20.0)</f>
        <v>20</v>
      </c>
      <c r="D1629" s="2">
        <f>IFERROR(__xludf.DUMMYFUNCTION("""COMPUTED_VALUE"""),5717.8)</f>
        <v>5717.8</v>
      </c>
    </row>
    <row r="1630">
      <c r="A1630" s="2" t="str">
        <f>IFERROR(__xludf.DUMMYFUNCTION("""COMPUTED_VALUE"""),"PR041")</f>
        <v>PR041</v>
      </c>
      <c r="B1630" s="2" t="str">
        <f>IFERROR(__xludf.DUMMYFUNCTION("""COMPUTED_VALUE"""),"VD022")</f>
        <v>VD022</v>
      </c>
      <c r="C1630" s="2">
        <f>IFERROR(__xludf.DUMMYFUNCTION("""COMPUTED_VALUE"""),6.0)</f>
        <v>6</v>
      </c>
      <c r="D1630" s="2">
        <f>IFERROR(__xludf.DUMMYFUNCTION("""COMPUTED_VALUE"""),345.87)</f>
        <v>345.87</v>
      </c>
    </row>
    <row r="1631">
      <c r="A1631" s="2" t="str">
        <f>IFERROR(__xludf.DUMMYFUNCTION("""COMPUTED_VALUE"""),"PR010")</f>
        <v>PR010</v>
      </c>
      <c r="B1631" s="2" t="str">
        <f>IFERROR(__xludf.DUMMYFUNCTION("""COMPUTED_VALUE"""),"VD030")</f>
        <v>VD030</v>
      </c>
      <c r="C1631" s="2">
        <f>IFERROR(__xludf.DUMMYFUNCTION("""COMPUTED_VALUE"""),4.0)</f>
        <v>4</v>
      </c>
      <c r="D1631" s="2">
        <f>IFERROR(__xludf.DUMMYFUNCTION("""COMPUTED_VALUE"""),183.19)</f>
        <v>183.19</v>
      </c>
    </row>
    <row r="1632">
      <c r="A1632" s="2" t="str">
        <f>IFERROR(__xludf.DUMMYFUNCTION("""COMPUTED_VALUE"""),"PR026")</f>
        <v>PR026</v>
      </c>
      <c r="B1632" s="2" t="str">
        <f>IFERROR(__xludf.DUMMYFUNCTION("""COMPUTED_VALUE"""),"VD010")</f>
        <v>VD010</v>
      </c>
      <c r="C1632" s="2">
        <f>IFERROR(__xludf.DUMMYFUNCTION("""COMPUTED_VALUE"""),16.0)</f>
        <v>16</v>
      </c>
      <c r="D1632" s="2">
        <f>IFERROR(__xludf.DUMMYFUNCTION("""COMPUTED_VALUE"""),6102.26)</f>
        <v>6102.26</v>
      </c>
    </row>
    <row r="1633">
      <c r="A1633" s="2" t="str">
        <f>IFERROR(__xludf.DUMMYFUNCTION("""COMPUTED_VALUE"""),"PR052")</f>
        <v>PR052</v>
      </c>
      <c r="B1633" s="2" t="str">
        <f>IFERROR(__xludf.DUMMYFUNCTION("""COMPUTED_VALUE"""),"VD043")</f>
        <v>VD043</v>
      </c>
      <c r="C1633" s="2">
        <f>IFERROR(__xludf.DUMMYFUNCTION("""COMPUTED_VALUE"""),1.0)</f>
        <v>1</v>
      </c>
      <c r="D1633" s="2">
        <f>IFERROR(__xludf.DUMMYFUNCTION("""COMPUTED_VALUE"""),54.89)</f>
        <v>54.89</v>
      </c>
    </row>
    <row r="1634">
      <c r="A1634" s="2" t="str">
        <f>IFERROR(__xludf.DUMMYFUNCTION("""COMPUTED_VALUE"""),"PR015")</f>
        <v>PR015</v>
      </c>
      <c r="B1634" s="2" t="str">
        <f>IFERROR(__xludf.DUMMYFUNCTION("""COMPUTED_VALUE"""),"VD041")</f>
        <v>VD041</v>
      </c>
      <c r="C1634" s="2">
        <f>IFERROR(__xludf.DUMMYFUNCTION("""COMPUTED_VALUE"""),4.0)</f>
        <v>4</v>
      </c>
      <c r="D1634" s="2">
        <f>IFERROR(__xludf.DUMMYFUNCTION("""COMPUTED_VALUE"""),187.0)</f>
        <v>187</v>
      </c>
    </row>
    <row r="1635">
      <c r="A1635" s="2" t="str">
        <f>IFERROR(__xludf.DUMMYFUNCTION("""COMPUTED_VALUE"""),"PR034")</f>
        <v>PR034</v>
      </c>
      <c r="B1635" s="2" t="str">
        <f>IFERROR(__xludf.DUMMYFUNCTION("""COMPUTED_VALUE"""),"VD020")</f>
        <v>VD020</v>
      </c>
      <c r="C1635" s="2">
        <f>IFERROR(__xludf.DUMMYFUNCTION("""COMPUTED_VALUE"""),3.0)</f>
        <v>3</v>
      </c>
      <c r="D1635" s="2">
        <f>IFERROR(__xludf.DUMMYFUNCTION("""COMPUTED_VALUE"""),272.4)</f>
        <v>272.4</v>
      </c>
    </row>
    <row r="1636">
      <c r="A1636" s="2" t="str">
        <f>IFERROR(__xludf.DUMMYFUNCTION("""COMPUTED_VALUE"""),"PR013")</f>
        <v>PR013</v>
      </c>
      <c r="B1636" s="2" t="str">
        <f>IFERROR(__xludf.DUMMYFUNCTION("""COMPUTED_VALUE"""),"VD044")</f>
        <v>VD044</v>
      </c>
      <c r="C1636" s="2">
        <f>IFERROR(__xludf.DUMMYFUNCTION("""COMPUTED_VALUE"""),2.0)</f>
        <v>2</v>
      </c>
      <c r="D1636" s="2">
        <f>IFERROR(__xludf.DUMMYFUNCTION("""COMPUTED_VALUE"""),84.59)</f>
        <v>84.59</v>
      </c>
    </row>
    <row r="1637">
      <c r="A1637" s="2" t="str">
        <f>IFERROR(__xludf.DUMMYFUNCTION("""COMPUTED_VALUE"""),"PR054")</f>
        <v>PR054</v>
      </c>
      <c r="B1637" s="2" t="str">
        <f>IFERROR(__xludf.DUMMYFUNCTION("""COMPUTED_VALUE"""),"VD031")</f>
        <v>VD031</v>
      </c>
      <c r="C1637" s="2">
        <f>IFERROR(__xludf.DUMMYFUNCTION("""COMPUTED_VALUE"""),6.0)</f>
        <v>6</v>
      </c>
      <c r="D1637" s="2">
        <f>IFERROR(__xludf.DUMMYFUNCTION("""COMPUTED_VALUE"""),305.39)</f>
        <v>305.39</v>
      </c>
    </row>
    <row r="1638">
      <c r="A1638" s="2" t="str">
        <f>IFERROR(__xludf.DUMMYFUNCTION("""COMPUTED_VALUE"""),"PR005")</f>
        <v>PR005</v>
      </c>
      <c r="B1638" s="2" t="str">
        <f>IFERROR(__xludf.DUMMYFUNCTION("""COMPUTED_VALUE"""),"VD039")</f>
        <v>VD039</v>
      </c>
      <c r="C1638" s="2">
        <f>IFERROR(__xludf.DUMMYFUNCTION("""COMPUTED_VALUE"""),10.0)</f>
        <v>10</v>
      </c>
      <c r="D1638" s="2">
        <f>IFERROR(__xludf.DUMMYFUNCTION("""COMPUTED_VALUE"""),2806.92)</f>
        <v>2806.92</v>
      </c>
    </row>
    <row r="1639">
      <c r="A1639" s="2" t="str">
        <f>IFERROR(__xludf.DUMMYFUNCTION("""COMPUTED_VALUE"""),"PR046")</f>
        <v>PR046</v>
      </c>
      <c r="B1639" s="2" t="str">
        <f>IFERROR(__xludf.DUMMYFUNCTION("""COMPUTED_VALUE"""),"VD027")</f>
        <v>VD027</v>
      </c>
      <c r="C1639" s="2">
        <f>IFERROR(__xludf.DUMMYFUNCTION("""COMPUTED_VALUE"""),14.0)</f>
        <v>14</v>
      </c>
      <c r="D1639" s="2">
        <f>IFERROR(__xludf.DUMMYFUNCTION("""COMPUTED_VALUE"""),4383.29)</f>
        <v>4383.29</v>
      </c>
    </row>
    <row r="1640">
      <c r="A1640" s="2" t="str">
        <f>IFERROR(__xludf.DUMMYFUNCTION("""COMPUTED_VALUE"""),"PR019")</f>
        <v>PR019</v>
      </c>
      <c r="B1640" s="2" t="str">
        <f>IFERROR(__xludf.DUMMYFUNCTION("""COMPUTED_VALUE"""),"VD015")</f>
        <v>VD015</v>
      </c>
      <c r="C1640" s="2">
        <f>IFERROR(__xludf.DUMMYFUNCTION("""COMPUTED_VALUE"""),9.0)</f>
        <v>9</v>
      </c>
      <c r="D1640" s="2">
        <f>IFERROR(__xludf.DUMMYFUNCTION("""COMPUTED_VALUE"""),485.03)</f>
        <v>485.03</v>
      </c>
    </row>
    <row r="1641">
      <c r="A1641" s="2" t="str">
        <f>IFERROR(__xludf.DUMMYFUNCTION("""COMPUTED_VALUE"""),"PR047")</f>
        <v>PR047</v>
      </c>
      <c r="B1641" s="2" t="str">
        <f>IFERROR(__xludf.DUMMYFUNCTION("""COMPUTED_VALUE"""),"VD026")</f>
        <v>VD026</v>
      </c>
      <c r="C1641" s="2">
        <f>IFERROR(__xludf.DUMMYFUNCTION("""COMPUTED_VALUE"""),2.0)</f>
        <v>2</v>
      </c>
      <c r="D1641" s="2">
        <f>IFERROR(__xludf.DUMMYFUNCTION("""COMPUTED_VALUE"""),608.79)</f>
        <v>608.79</v>
      </c>
    </row>
    <row r="1642">
      <c r="A1642" s="2" t="str">
        <f>IFERROR(__xludf.DUMMYFUNCTION("""COMPUTED_VALUE"""),"PR058")</f>
        <v>PR058</v>
      </c>
      <c r="B1642" s="2" t="str">
        <f>IFERROR(__xludf.DUMMYFUNCTION("""COMPUTED_VALUE"""),"VD037")</f>
        <v>VD037</v>
      </c>
      <c r="C1642" s="2">
        <f>IFERROR(__xludf.DUMMYFUNCTION("""COMPUTED_VALUE"""),16.0)</f>
        <v>16</v>
      </c>
      <c r="D1642" s="2">
        <f>IFERROR(__xludf.DUMMYFUNCTION("""COMPUTED_VALUE"""),3139.2)</f>
        <v>3139.2</v>
      </c>
    </row>
    <row r="1643">
      <c r="A1643" s="2" t="str">
        <f>IFERROR(__xludf.DUMMYFUNCTION("""COMPUTED_VALUE"""),"PR030")</f>
        <v>PR030</v>
      </c>
      <c r="B1643" s="2" t="str">
        <f>IFERROR(__xludf.DUMMYFUNCTION("""COMPUTED_VALUE"""),"VD035")</f>
        <v>VD035</v>
      </c>
      <c r="C1643" s="2">
        <f>IFERROR(__xludf.DUMMYFUNCTION("""COMPUTED_VALUE"""),8.0)</f>
        <v>8</v>
      </c>
      <c r="D1643" s="2">
        <f>IFERROR(__xludf.DUMMYFUNCTION("""COMPUTED_VALUE"""),2287.12)</f>
        <v>2287.12</v>
      </c>
    </row>
    <row r="1644">
      <c r="A1644" s="2" t="str">
        <f>IFERROR(__xludf.DUMMYFUNCTION("""COMPUTED_VALUE"""),"PR031")</f>
        <v>PR031</v>
      </c>
      <c r="B1644" s="2" t="str">
        <f>IFERROR(__xludf.DUMMYFUNCTION("""COMPUTED_VALUE"""),"VD043")</f>
        <v>VD043</v>
      </c>
      <c r="C1644" s="2">
        <f>IFERROR(__xludf.DUMMYFUNCTION("""COMPUTED_VALUE"""),20.0)</f>
        <v>20</v>
      </c>
      <c r="D1644" s="2">
        <f>IFERROR(__xludf.DUMMYFUNCTION("""COMPUTED_VALUE"""),5047.0)</f>
        <v>5047</v>
      </c>
    </row>
    <row r="1645">
      <c r="A1645" s="2" t="str">
        <f>IFERROR(__xludf.DUMMYFUNCTION("""COMPUTED_VALUE"""),"PR013")</f>
        <v>PR013</v>
      </c>
      <c r="B1645" s="2" t="str">
        <f>IFERROR(__xludf.DUMMYFUNCTION("""COMPUTED_VALUE"""),"VD034")</f>
        <v>VD034</v>
      </c>
      <c r="C1645" s="2">
        <f>IFERROR(__xludf.DUMMYFUNCTION("""COMPUTED_VALUE"""),4.0)</f>
        <v>4</v>
      </c>
      <c r="D1645" s="2">
        <f>IFERROR(__xludf.DUMMYFUNCTION("""COMPUTED_VALUE"""),167.58)</f>
        <v>167.58</v>
      </c>
    </row>
    <row r="1646">
      <c r="A1646" s="2" t="str">
        <f>IFERROR(__xludf.DUMMYFUNCTION("""COMPUTED_VALUE"""),"PR036")</f>
        <v>PR036</v>
      </c>
      <c r="B1646" s="2" t="str">
        <f>IFERROR(__xludf.DUMMYFUNCTION("""COMPUTED_VALUE"""),"VD039")</f>
        <v>VD039</v>
      </c>
      <c r="C1646" s="2">
        <f>IFERROR(__xludf.DUMMYFUNCTION("""COMPUTED_VALUE"""),7.0)</f>
        <v>7</v>
      </c>
      <c r="D1646" s="2">
        <f>IFERROR(__xludf.DUMMYFUNCTION("""COMPUTED_VALUE"""),706.86)</f>
        <v>706.86</v>
      </c>
    </row>
    <row r="1647">
      <c r="A1647" s="2" t="str">
        <f>IFERROR(__xludf.DUMMYFUNCTION("""COMPUTED_VALUE"""),"PR050")</f>
        <v>PR050</v>
      </c>
      <c r="B1647" s="2" t="str">
        <f>IFERROR(__xludf.DUMMYFUNCTION("""COMPUTED_VALUE"""),"VD025")</f>
        <v>VD025</v>
      </c>
      <c r="C1647" s="2">
        <f>IFERROR(__xludf.DUMMYFUNCTION("""COMPUTED_VALUE"""),9.0)</f>
        <v>9</v>
      </c>
      <c r="D1647" s="2">
        <f>IFERROR(__xludf.DUMMYFUNCTION("""COMPUTED_VALUE"""),304.98)</f>
        <v>304.98</v>
      </c>
    </row>
    <row r="1648">
      <c r="A1648" s="2" t="str">
        <f>IFERROR(__xludf.DUMMYFUNCTION("""COMPUTED_VALUE"""),"PR055")</f>
        <v>PR055</v>
      </c>
      <c r="B1648" s="2" t="str">
        <f>IFERROR(__xludf.DUMMYFUNCTION("""COMPUTED_VALUE"""),"VD040")</f>
        <v>VD040</v>
      </c>
      <c r="C1648" s="2">
        <f>IFERROR(__xludf.DUMMYFUNCTION("""COMPUTED_VALUE"""),20.0)</f>
        <v>20</v>
      </c>
      <c r="D1648" s="2">
        <f>IFERROR(__xludf.DUMMYFUNCTION("""COMPUTED_VALUE"""),1923.86)</f>
        <v>1923.86</v>
      </c>
    </row>
    <row r="1649">
      <c r="A1649" s="2" t="str">
        <f>IFERROR(__xludf.DUMMYFUNCTION("""COMPUTED_VALUE"""),"PR007")</f>
        <v>PR007</v>
      </c>
      <c r="B1649" s="2" t="str">
        <f>IFERROR(__xludf.DUMMYFUNCTION("""COMPUTED_VALUE"""),"VD012")</f>
        <v>VD012</v>
      </c>
      <c r="C1649" s="2">
        <f>IFERROR(__xludf.DUMMYFUNCTION("""COMPUTED_VALUE"""),16.0)</f>
        <v>16</v>
      </c>
      <c r="D1649" s="2">
        <f>IFERROR(__xludf.DUMMYFUNCTION("""COMPUTED_VALUE"""),1470.61)</f>
        <v>1470.61</v>
      </c>
    </row>
    <row r="1650">
      <c r="A1650" s="2" t="str">
        <f>IFERROR(__xludf.DUMMYFUNCTION("""COMPUTED_VALUE"""),"PR002")</f>
        <v>PR002</v>
      </c>
      <c r="B1650" s="2" t="str">
        <f>IFERROR(__xludf.DUMMYFUNCTION("""COMPUTED_VALUE"""),"VD042")</f>
        <v>VD042</v>
      </c>
      <c r="C1650" s="2">
        <f>IFERROR(__xludf.DUMMYFUNCTION("""COMPUTED_VALUE"""),10.0)</f>
        <v>10</v>
      </c>
      <c r="D1650" s="2">
        <f>IFERROR(__xludf.DUMMYFUNCTION("""COMPUTED_VALUE"""),712.98)</f>
        <v>712.98</v>
      </c>
    </row>
    <row r="1651">
      <c r="A1651" s="2" t="str">
        <f>IFERROR(__xludf.DUMMYFUNCTION("""COMPUTED_VALUE"""),"PR030")</f>
        <v>PR030</v>
      </c>
      <c r="B1651" s="2" t="str">
        <f>IFERROR(__xludf.DUMMYFUNCTION("""COMPUTED_VALUE"""),"VD013")</f>
        <v>VD013</v>
      </c>
      <c r="C1651" s="2">
        <f>IFERROR(__xludf.DUMMYFUNCTION("""COMPUTED_VALUE"""),12.0)</f>
        <v>12</v>
      </c>
      <c r="D1651" s="2">
        <f>IFERROR(__xludf.DUMMYFUNCTION("""COMPUTED_VALUE"""),3118.8)</f>
        <v>3118.8</v>
      </c>
    </row>
    <row r="1652">
      <c r="A1652" s="2" t="str">
        <f>IFERROR(__xludf.DUMMYFUNCTION("""COMPUTED_VALUE"""),"PR060")</f>
        <v>PR060</v>
      </c>
      <c r="B1652" s="2" t="str">
        <f>IFERROR(__xludf.DUMMYFUNCTION("""COMPUTED_VALUE"""),"VD027")</f>
        <v>VD027</v>
      </c>
      <c r="C1652" s="2">
        <f>IFERROR(__xludf.DUMMYFUNCTION("""COMPUTED_VALUE"""),14.0)</f>
        <v>14</v>
      </c>
      <c r="D1652" s="2">
        <f>IFERROR(__xludf.DUMMYFUNCTION("""COMPUTED_VALUE"""),2520.0)</f>
        <v>2520</v>
      </c>
    </row>
    <row r="1653">
      <c r="A1653" s="2" t="str">
        <f>IFERROR(__xludf.DUMMYFUNCTION("""COMPUTED_VALUE"""),"PR040")</f>
        <v>PR040</v>
      </c>
      <c r="B1653" s="2" t="str">
        <f>IFERROR(__xludf.DUMMYFUNCTION("""COMPUTED_VALUE"""),"VD039")</f>
        <v>VD039</v>
      </c>
      <c r="C1653" s="2">
        <f>IFERROR(__xludf.DUMMYFUNCTION("""COMPUTED_VALUE"""),7.0)</f>
        <v>7</v>
      </c>
      <c r="D1653" s="2">
        <f>IFERROR(__xludf.DUMMYFUNCTION("""COMPUTED_VALUE"""),504.7)</f>
        <v>504.7</v>
      </c>
    </row>
    <row r="1654">
      <c r="A1654" s="2" t="str">
        <f>IFERROR(__xludf.DUMMYFUNCTION("""COMPUTED_VALUE"""),"PR052")</f>
        <v>PR052</v>
      </c>
      <c r="B1654" s="2" t="str">
        <f>IFERROR(__xludf.DUMMYFUNCTION("""COMPUTED_VALUE"""),"VD016")</f>
        <v>VD016</v>
      </c>
      <c r="C1654" s="2">
        <f>IFERROR(__xludf.DUMMYFUNCTION("""COMPUTED_VALUE"""),7.0)</f>
        <v>7</v>
      </c>
      <c r="D1654" s="2">
        <f>IFERROR(__xludf.DUMMYFUNCTION("""COMPUTED_VALUE"""),363.27)</f>
        <v>363.27</v>
      </c>
    </row>
    <row r="1655">
      <c r="A1655" s="2" t="str">
        <f>IFERROR(__xludf.DUMMYFUNCTION("""COMPUTED_VALUE"""),"PR057")</f>
        <v>PR057</v>
      </c>
      <c r="B1655" s="2" t="str">
        <f>IFERROR(__xludf.DUMMYFUNCTION("""COMPUTED_VALUE"""),"VD035")</f>
        <v>VD035</v>
      </c>
      <c r="C1655" s="2">
        <f>IFERROR(__xludf.DUMMYFUNCTION("""COMPUTED_VALUE"""),2.0)</f>
        <v>2</v>
      </c>
      <c r="D1655" s="2">
        <f>IFERROR(__xludf.DUMMYFUNCTION("""COMPUTED_VALUE"""),188.79)</f>
        <v>188.79</v>
      </c>
    </row>
    <row r="1656">
      <c r="A1656" s="2" t="str">
        <f>IFERROR(__xludf.DUMMYFUNCTION("""COMPUTED_VALUE"""),"PR019")</f>
        <v>PR019</v>
      </c>
      <c r="B1656" s="2" t="str">
        <f>IFERROR(__xludf.DUMMYFUNCTION("""COMPUTED_VALUE"""),"VD031")</f>
        <v>VD031</v>
      </c>
      <c r="C1656" s="2">
        <f>IFERROR(__xludf.DUMMYFUNCTION("""COMPUTED_VALUE"""),9.0)</f>
        <v>9</v>
      </c>
      <c r="D1656" s="2">
        <f>IFERROR(__xludf.DUMMYFUNCTION("""COMPUTED_VALUE"""),480.54)</f>
        <v>480.54</v>
      </c>
    </row>
    <row r="1657">
      <c r="A1657" s="2" t="str">
        <f>IFERROR(__xludf.DUMMYFUNCTION("""COMPUTED_VALUE"""),"PR049")</f>
        <v>PR049</v>
      </c>
      <c r="B1657" s="2" t="str">
        <f>IFERROR(__xludf.DUMMYFUNCTION("""COMPUTED_VALUE"""),"VD044")</f>
        <v>VD044</v>
      </c>
      <c r="C1657" s="2">
        <f>IFERROR(__xludf.DUMMYFUNCTION("""COMPUTED_VALUE"""),2.0)</f>
        <v>2</v>
      </c>
      <c r="D1657" s="2">
        <f>IFERROR(__xludf.DUMMYFUNCTION("""COMPUTED_VALUE"""),70.41)</f>
        <v>70.41</v>
      </c>
    </row>
    <row r="1658">
      <c r="A1658" s="2" t="str">
        <f>IFERROR(__xludf.DUMMYFUNCTION("""COMPUTED_VALUE"""),"PR017")</f>
        <v>PR017</v>
      </c>
      <c r="B1658" s="2" t="str">
        <f>IFERROR(__xludf.DUMMYFUNCTION("""COMPUTED_VALUE"""),"VD033")</f>
        <v>VD033</v>
      </c>
      <c r="C1658" s="2">
        <f>IFERROR(__xludf.DUMMYFUNCTION("""COMPUTED_VALUE"""),4.0)</f>
        <v>4</v>
      </c>
      <c r="D1658" s="2">
        <f>IFERROR(__xludf.DUMMYFUNCTION("""COMPUTED_VALUE"""),131.56)</f>
        <v>131.56</v>
      </c>
    </row>
    <row r="1659">
      <c r="A1659" s="2" t="str">
        <f>IFERROR(__xludf.DUMMYFUNCTION("""COMPUTED_VALUE"""),"PR034")</f>
        <v>PR034</v>
      </c>
      <c r="B1659" s="2" t="str">
        <f>IFERROR(__xludf.DUMMYFUNCTION("""COMPUTED_VALUE"""),"VD015")</f>
        <v>VD015</v>
      </c>
      <c r="C1659" s="2">
        <f>IFERROR(__xludf.DUMMYFUNCTION("""COMPUTED_VALUE"""),6.0)</f>
        <v>6</v>
      </c>
      <c r="D1659" s="2">
        <f>IFERROR(__xludf.DUMMYFUNCTION("""COMPUTED_VALUE"""),544.79)</f>
        <v>544.79</v>
      </c>
    </row>
    <row r="1660">
      <c r="A1660" s="2" t="str">
        <f>IFERROR(__xludf.DUMMYFUNCTION("""COMPUTED_VALUE"""),"PR048")</f>
        <v>PR048</v>
      </c>
      <c r="B1660" s="2" t="str">
        <f>IFERROR(__xludf.DUMMYFUNCTION("""COMPUTED_VALUE"""),"VD043")</f>
        <v>VD043</v>
      </c>
      <c r="C1660" s="2">
        <f>IFERROR(__xludf.DUMMYFUNCTION("""COMPUTED_VALUE"""),9.0)</f>
        <v>9</v>
      </c>
      <c r="D1660" s="2">
        <f>IFERROR(__xludf.DUMMYFUNCTION("""COMPUTED_VALUE"""),2713.46)</f>
        <v>2713.46</v>
      </c>
    </row>
    <row r="1661">
      <c r="A1661" s="2" t="str">
        <f>IFERROR(__xludf.DUMMYFUNCTION("""COMPUTED_VALUE"""),"PR004")</f>
        <v>PR004</v>
      </c>
      <c r="B1661" s="2" t="str">
        <f>IFERROR(__xludf.DUMMYFUNCTION("""COMPUTED_VALUE"""),"VD037")</f>
        <v>VD037</v>
      </c>
      <c r="C1661" s="2">
        <f>IFERROR(__xludf.DUMMYFUNCTION("""COMPUTED_VALUE"""),5.0)</f>
        <v>5</v>
      </c>
      <c r="D1661" s="2">
        <f>IFERROR(__xludf.DUMMYFUNCTION("""COMPUTED_VALUE"""),725.0)</f>
        <v>725</v>
      </c>
    </row>
    <row r="1662">
      <c r="A1662" s="2" t="str">
        <f>IFERROR(__xludf.DUMMYFUNCTION("""COMPUTED_VALUE"""),"PR059")</f>
        <v>PR059</v>
      </c>
      <c r="B1662" s="2" t="str">
        <f>IFERROR(__xludf.DUMMYFUNCTION("""COMPUTED_VALUE"""),"VD049")</f>
        <v>VD049</v>
      </c>
      <c r="C1662" s="2">
        <f>IFERROR(__xludf.DUMMYFUNCTION("""COMPUTED_VALUE"""),5.0)</f>
        <v>5</v>
      </c>
      <c r="D1662" s="2">
        <f>IFERROR(__xludf.DUMMYFUNCTION("""COMPUTED_VALUE"""),945.0)</f>
        <v>945</v>
      </c>
    </row>
    <row r="1663">
      <c r="A1663" s="2" t="str">
        <f>IFERROR(__xludf.DUMMYFUNCTION("""COMPUTED_VALUE"""),"PR005")</f>
        <v>PR005</v>
      </c>
      <c r="B1663" s="2" t="str">
        <f>IFERROR(__xludf.DUMMYFUNCTION("""COMPUTED_VALUE"""),"VD018")</f>
        <v>VD018</v>
      </c>
      <c r="C1663" s="2">
        <f>IFERROR(__xludf.DUMMYFUNCTION("""COMPUTED_VALUE"""),20.0)</f>
        <v>20</v>
      </c>
      <c r="D1663" s="2">
        <f>IFERROR(__xludf.DUMMYFUNCTION("""COMPUTED_VALUE"""),5717.8)</f>
        <v>5717.8</v>
      </c>
    </row>
    <row r="1664">
      <c r="A1664" s="2" t="str">
        <f>IFERROR(__xludf.DUMMYFUNCTION("""COMPUTED_VALUE"""),"PR050")</f>
        <v>PR050</v>
      </c>
      <c r="B1664" s="2" t="str">
        <f>IFERROR(__xludf.DUMMYFUNCTION("""COMPUTED_VALUE"""),"VD010")</f>
        <v>VD010</v>
      </c>
      <c r="C1664" s="2">
        <f>IFERROR(__xludf.DUMMYFUNCTION("""COMPUTED_VALUE"""),10.0)</f>
        <v>10</v>
      </c>
      <c r="D1664" s="2">
        <f>IFERROR(__xludf.DUMMYFUNCTION("""COMPUTED_VALUE"""),342.16)</f>
        <v>342.16</v>
      </c>
    </row>
    <row r="1665">
      <c r="A1665" s="2" t="str">
        <f>IFERROR(__xludf.DUMMYFUNCTION("""COMPUTED_VALUE"""),"PR033")</f>
        <v>PR033</v>
      </c>
      <c r="B1665" s="2" t="str">
        <f>IFERROR(__xludf.DUMMYFUNCTION("""COMPUTED_VALUE"""),"VD042")</f>
        <v>VD042</v>
      </c>
      <c r="C1665" s="2">
        <f>IFERROR(__xludf.DUMMYFUNCTION("""COMPUTED_VALUE"""),8.0)</f>
        <v>8</v>
      </c>
      <c r="D1665" s="2">
        <f>IFERROR(__xludf.DUMMYFUNCTION("""COMPUTED_VALUE"""),2079.2)</f>
        <v>2079.2</v>
      </c>
    </row>
    <row r="1666">
      <c r="A1666" s="2" t="str">
        <f>IFERROR(__xludf.DUMMYFUNCTION("""COMPUTED_VALUE"""),"PR038")</f>
        <v>PR038</v>
      </c>
      <c r="B1666" s="2" t="str">
        <f>IFERROR(__xludf.DUMMYFUNCTION("""COMPUTED_VALUE"""),"VD027")</f>
        <v>VD027</v>
      </c>
      <c r="C1666" s="2">
        <f>IFERROR(__xludf.DUMMYFUNCTION("""COMPUTED_VALUE"""),14.0)</f>
        <v>14</v>
      </c>
      <c r="D1666" s="2">
        <f>IFERROR(__xludf.DUMMYFUNCTION("""COMPUTED_VALUE"""),2080.62)</f>
        <v>2080.62</v>
      </c>
    </row>
    <row r="1667">
      <c r="A1667" s="2" t="str">
        <f>IFERROR(__xludf.DUMMYFUNCTION("""COMPUTED_VALUE"""),"PR032")</f>
        <v>PR032</v>
      </c>
      <c r="B1667" s="2" t="str">
        <f>IFERROR(__xludf.DUMMYFUNCTION("""COMPUTED_VALUE"""),"VD034")</f>
        <v>VD034</v>
      </c>
      <c r="C1667" s="2">
        <f>IFERROR(__xludf.DUMMYFUNCTION("""COMPUTED_VALUE"""),7.0)</f>
        <v>7</v>
      </c>
      <c r="D1667" s="2">
        <f>IFERROR(__xludf.DUMMYFUNCTION("""COMPUTED_VALUE"""),1907.5)</f>
        <v>1907.5</v>
      </c>
    </row>
    <row r="1668">
      <c r="A1668" s="2" t="str">
        <f>IFERROR(__xludf.DUMMYFUNCTION("""COMPUTED_VALUE"""),"PR042")</f>
        <v>PR042</v>
      </c>
      <c r="B1668" s="2" t="str">
        <f>IFERROR(__xludf.DUMMYFUNCTION("""COMPUTED_VALUE"""),"VD012")</f>
        <v>VD012</v>
      </c>
      <c r="C1668" s="2">
        <f>IFERROR(__xludf.DUMMYFUNCTION("""COMPUTED_VALUE"""),2.0)</f>
        <v>2</v>
      </c>
      <c r="D1668" s="2">
        <f>IFERROR(__xludf.DUMMYFUNCTION("""COMPUTED_VALUE"""),109.8)</f>
        <v>109.8</v>
      </c>
    </row>
    <row r="1669">
      <c r="A1669" s="2" t="str">
        <f>IFERROR(__xludf.DUMMYFUNCTION("""COMPUTED_VALUE"""),"PR017")</f>
        <v>PR017</v>
      </c>
      <c r="B1669" s="2" t="str">
        <f>IFERROR(__xludf.DUMMYFUNCTION("""COMPUTED_VALUE"""),"VD018")</f>
        <v>VD018</v>
      </c>
      <c r="C1669" s="2">
        <f>IFERROR(__xludf.DUMMYFUNCTION("""COMPUTED_VALUE"""),20.0)</f>
        <v>20</v>
      </c>
      <c r="D1669" s="2">
        <f>IFERROR(__xludf.DUMMYFUNCTION("""COMPUTED_VALUE"""),657.8)</f>
        <v>657.8</v>
      </c>
    </row>
    <row r="1670">
      <c r="A1670" s="2" t="str">
        <f>IFERROR(__xludf.DUMMYFUNCTION("""COMPUTED_VALUE"""),"PR037")</f>
        <v>PR037</v>
      </c>
      <c r="B1670" s="2" t="str">
        <f>IFERROR(__xludf.DUMMYFUNCTION("""COMPUTED_VALUE"""),"VD013")</f>
        <v>VD013</v>
      </c>
      <c r="C1670" s="2">
        <f>IFERROR(__xludf.DUMMYFUNCTION("""COMPUTED_VALUE"""),10.0)</f>
        <v>10</v>
      </c>
      <c r="D1670" s="2">
        <f>IFERROR(__xludf.DUMMYFUNCTION("""COMPUTED_VALUE"""),1414.0)</f>
        <v>1414</v>
      </c>
    </row>
    <row r="1671">
      <c r="A1671" s="2" t="str">
        <f>IFERROR(__xludf.DUMMYFUNCTION("""COMPUTED_VALUE"""),"PR041")</f>
        <v>PR041</v>
      </c>
      <c r="B1671" s="2" t="str">
        <f>IFERROR(__xludf.DUMMYFUNCTION("""COMPUTED_VALUE"""),"VD021")</f>
        <v>VD021</v>
      </c>
      <c r="C1671" s="2">
        <f>IFERROR(__xludf.DUMMYFUNCTION("""COMPUTED_VALUE"""),8.0)</f>
        <v>8</v>
      </c>
      <c r="D1671" s="2">
        <f>IFERROR(__xludf.DUMMYFUNCTION("""COMPUTED_VALUE"""),443.59)</f>
        <v>443.59</v>
      </c>
    </row>
    <row r="1672">
      <c r="A1672" s="2" t="str">
        <f>IFERROR(__xludf.DUMMYFUNCTION("""COMPUTED_VALUE"""),"PR039")</f>
        <v>PR039</v>
      </c>
      <c r="B1672" s="2" t="str">
        <f>IFERROR(__xludf.DUMMYFUNCTION("""COMPUTED_VALUE"""),"VD032")</f>
        <v>VD032</v>
      </c>
      <c r="C1672" s="2">
        <f>IFERROR(__xludf.DUMMYFUNCTION("""COMPUTED_VALUE"""),8.0)</f>
        <v>8</v>
      </c>
      <c r="D1672" s="2">
        <f>IFERROR(__xludf.DUMMYFUNCTION("""COMPUTED_VALUE"""),1214.72)</f>
        <v>1214.72</v>
      </c>
    </row>
    <row r="1673">
      <c r="A1673" s="2" t="str">
        <f>IFERROR(__xludf.DUMMYFUNCTION("""COMPUTED_VALUE"""),"PR043")</f>
        <v>PR043</v>
      </c>
      <c r="B1673" s="2" t="str">
        <f>IFERROR(__xludf.DUMMYFUNCTION("""COMPUTED_VALUE"""),"VD026")</f>
        <v>VD026</v>
      </c>
      <c r="C1673" s="2">
        <f>IFERROR(__xludf.DUMMYFUNCTION("""COMPUTED_VALUE"""),2.0)</f>
        <v>2</v>
      </c>
      <c r="D1673" s="2">
        <f>IFERROR(__xludf.DUMMYFUNCTION("""COMPUTED_VALUE"""),152.25)</f>
        <v>152.25</v>
      </c>
    </row>
    <row r="1674">
      <c r="A1674" s="2" t="str">
        <f>IFERROR(__xludf.DUMMYFUNCTION("""COMPUTED_VALUE"""),"PR046")</f>
        <v>PR046</v>
      </c>
      <c r="B1674" s="2" t="str">
        <f>IFERROR(__xludf.DUMMYFUNCTION("""COMPUTED_VALUE"""),"VD038")</f>
        <v>VD038</v>
      </c>
      <c r="C1674" s="2">
        <f>IFERROR(__xludf.DUMMYFUNCTION("""COMPUTED_VALUE"""),8.0)</f>
        <v>8</v>
      </c>
      <c r="D1674" s="2">
        <f>IFERROR(__xludf.DUMMYFUNCTION("""COMPUTED_VALUE"""),2527.93)</f>
        <v>2527.93</v>
      </c>
    </row>
    <row r="1675">
      <c r="A1675" s="2" t="str">
        <f>IFERROR(__xludf.DUMMYFUNCTION("""COMPUTED_VALUE"""),"PR006")</f>
        <v>PR006</v>
      </c>
      <c r="B1675" s="2" t="str">
        <f>IFERROR(__xludf.DUMMYFUNCTION("""COMPUTED_VALUE"""),"VD030")</f>
        <v>VD030</v>
      </c>
      <c r="C1675" s="2">
        <f>IFERROR(__xludf.DUMMYFUNCTION("""COMPUTED_VALUE"""),8.0)</f>
        <v>8</v>
      </c>
      <c r="D1675" s="2">
        <f>IFERROR(__xludf.DUMMYFUNCTION("""COMPUTED_VALUE"""),335.16)</f>
        <v>335.16</v>
      </c>
    </row>
    <row r="1676">
      <c r="A1676" s="2" t="str">
        <f>IFERROR(__xludf.DUMMYFUNCTION("""COMPUTED_VALUE"""),"PR052")</f>
        <v>PR052</v>
      </c>
      <c r="B1676" s="2" t="str">
        <f>IFERROR(__xludf.DUMMYFUNCTION("""COMPUTED_VALUE"""),"VD032")</f>
        <v>VD032</v>
      </c>
      <c r="C1676" s="2">
        <f>IFERROR(__xludf.DUMMYFUNCTION("""COMPUTED_VALUE"""),1.0)</f>
        <v>1</v>
      </c>
      <c r="D1676" s="2">
        <f>IFERROR(__xludf.DUMMYFUNCTION("""COMPUTED_VALUE"""),50.4)</f>
        <v>50.4</v>
      </c>
    </row>
    <row r="1677">
      <c r="A1677" s="2" t="str">
        <f>IFERROR(__xludf.DUMMYFUNCTION("""COMPUTED_VALUE"""),"PR057")</f>
        <v>PR057</v>
      </c>
      <c r="B1677" s="2" t="str">
        <f>IFERROR(__xludf.DUMMYFUNCTION("""COMPUTED_VALUE"""),"VD038")</f>
        <v>VD038</v>
      </c>
      <c r="C1677" s="2">
        <f>IFERROR(__xludf.DUMMYFUNCTION("""COMPUTED_VALUE"""),2.0)</f>
        <v>2</v>
      </c>
      <c r="D1677" s="2">
        <f>IFERROR(__xludf.DUMMYFUNCTION("""COMPUTED_VALUE"""),197.78)</f>
        <v>197.78</v>
      </c>
    </row>
    <row r="1678">
      <c r="A1678" s="2" t="str">
        <f>IFERROR(__xludf.DUMMYFUNCTION("""COMPUTED_VALUE"""),"PR056")</f>
        <v>PR056</v>
      </c>
      <c r="B1678" s="2" t="str">
        <f>IFERROR(__xludf.DUMMYFUNCTION("""COMPUTED_VALUE"""),"VD020")</f>
        <v>VD020</v>
      </c>
      <c r="C1678" s="2">
        <f>IFERROR(__xludf.DUMMYFUNCTION("""COMPUTED_VALUE"""),6.0)</f>
        <v>6</v>
      </c>
      <c r="D1678" s="2">
        <f>IFERROR(__xludf.DUMMYFUNCTION("""COMPUTED_VALUE"""),587.95)</f>
        <v>587.95</v>
      </c>
    </row>
    <row r="1679">
      <c r="A1679" s="2" t="str">
        <f>IFERROR(__xludf.DUMMYFUNCTION("""COMPUTED_VALUE"""),"PR024")</f>
        <v>PR024</v>
      </c>
      <c r="B1679" s="2" t="str">
        <f>IFERROR(__xludf.DUMMYFUNCTION("""COMPUTED_VALUE"""),"VD049")</f>
        <v>VD049</v>
      </c>
      <c r="C1679" s="2">
        <f>IFERROR(__xludf.DUMMYFUNCTION("""COMPUTED_VALUE"""),3.0)</f>
        <v>3</v>
      </c>
      <c r="D1679" s="2">
        <f>IFERROR(__xludf.DUMMYFUNCTION("""COMPUTED_VALUE"""),810.89)</f>
        <v>810.89</v>
      </c>
    </row>
    <row r="1680">
      <c r="A1680" s="2" t="str">
        <f>IFERROR(__xludf.DUMMYFUNCTION("""COMPUTED_VALUE"""),"PR036")</f>
        <v>PR036</v>
      </c>
      <c r="B1680" s="2" t="str">
        <f>IFERROR(__xludf.DUMMYFUNCTION("""COMPUTED_VALUE"""),"VD021")</f>
        <v>VD021</v>
      </c>
      <c r="C1680" s="2">
        <f>IFERROR(__xludf.DUMMYFUNCTION("""COMPUTED_VALUE"""),2.0)</f>
        <v>2</v>
      </c>
      <c r="D1680" s="2">
        <f>IFERROR(__xludf.DUMMYFUNCTION("""COMPUTED_VALUE"""),198.22)</f>
        <v>198.22</v>
      </c>
    </row>
    <row r="1681">
      <c r="A1681" s="2" t="str">
        <f>IFERROR(__xludf.DUMMYFUNCTION("""COMPUTED_VALUE"""),"PR024")</f>
        <v>PR024</v>
      </c>
      <c r="B1681" s="2" t="str">
        <f>IFERROR(__xludf.DUMMYFUNCTION("""COMPUTED_VALUE"""),"VD031")</f>
        <v>VD031</v>
      </c>
      <c r="C1681" s="2">
        <f>IFERROR(__xludf.DUMMYFUNCTION("""COMPUTED_VALUE"""),4.0)</f>
        <v>4</v>
      </c>
      <c r="D1681" s="2">
        <f>IFERROR(__xludf.DUMMYFUNCTION("""COMPUTED_VALUE"""),1101.98)</f>
        <v>1101.98</v>
      </c>
    </row>
    <row r="1682">
      <c r="A1682" s="2" t="str">
        <f>IFERROR(__xludf.DUMMYFUNCTION("""COMPUTED_VALUE"""),"PR011")</f>
        <v>PR011</v>
      </c>
      <c r="B1682" s="2" t="str">
        <f>IFERROR(__xludf.DUMMYFUNCTION("""COMPUTED_VALUE"""),"VD019")</f>
        <v>VD019</v>
      </c>
      <c r="C1682" s="2">
        <f>IFERROR(__xludf.DUMMYFUNCTION("""COMPUTED_VALUE"""),20.0)</f>
        <v>20</v>
      </c>
      <c r="D1682" s="2">
        <f>IFERROR(__xludf.DUMMYFUNCTION("""COMPUTED_VALUE"""),938.0)</f>
        <v>938</v>
      </c>
    </row>
    <row r="1683">
      <c r="A1683" s="2" t="str">
        <f>IFERROR(__xludf.DUMMYFUNCTION("""COMPUTED_VALUE"""),"PR019")</f>
        <v>PR019</v>
      </c>
      <c r="B1683" s="2" t="str">
        <f>IFERROR(__xludf.DUMMYFUNCTION("""COMPUTED_VALUE"""),"VD012")</f>
        <v>VD012</v>
      </c>
      <c r="C1683" s="2">
        <f>IFERROR(__xludf.DUMMYFUNCTION("""COMPUTED_VALUE"""),10.0)</f>
        <v>10</v>
      </c>
      <c r="D1683" s="2">
        <f>IFERROR(__xludf.DUMMYFUNCTION("""COMPUTED_VALUE"""),533.93)</f>
        <v>533.93</v>
      </c>
    </row>
    <row r="1684">
      <c r="A1684" s="2" t="str">
        <f>IFERROR(__xludf.DUMMYFUNCTION("""COMPUTED_VALUE"""),"PR058")</f>
        <v>PR058</v>
      </c>
      <c r="B1684" s="2" t="str">
        <f>IFERROR(__xludf.DUMMYFUNCTION("""COMPUTED_VALUE"""),"VD019")</f>
        <v>VD019</v>
      </c>
      <c r="C1684" s="2">
        <f>IFERROR(__xludf.DUMMYFUNCTION("""COMPUTED_VALUE"""),7.0)</f>
        <v>7</v>
      </c>
      <c r="D1684" s="2">
        <f>IFERROR(__xludf.DUMMYFUNCTION("""COMPUTED_VALUE"""),1386.0)</f>
        <v>1386</v>
      </c>
    </row>
    <row r="1685">
      <c r="A1685" s="2" t="str">
        <f>IFERROR(__xludf.DUMMYFUNCTION("""COMPUTED_VALUE"""),"PR034")</f>
        <v>PR034</v>
      </c>
      <c r="B1685" s="2" t="str">
        <f>IFERROR(__xludf.DUMMYFUNCTION("""COMPUTED_VALUE"""),"VD039")</f>
        <v>VD039</v>
      </c>
      <c r="C1685" s="2">
        <f>IFERROR(__xludf.DUMMYFUNCTION("""COMPUTED_VALUE"""),16.0)</f>
        <v>16</v>
      </c>
      <c r="D1685" s="2">
        <f>IFERROR(__xludf.DUMMYFUNCTION("""COMPUTED_VALUE"""),1524.7)</f>
        <v>1524.7</v>
      </c>
    </row>
    <row r="1686">
      <c r="A1686" s="2" t="str">
        <f>IFERROR(__xludf.DUMMYFUNCTION("""COMPUTED_VALUE"""),"PR043")</f>
        <v>PR043</v>
      </c>
      <c r="B1686" s="2" t="str">
        <f>IFERROR(__xludf.DUMMYFUNCTION("""COMPUTED_VALUE"""),"VD046")</f>
        <v>VD046</v>
      </c>
      <c r="C1686" s="2">
        <f>IFERROR(__xludf.DUMMYFUNCTION("""COMPUTED_VALUE"""),3.0)</f>
        <v>3</v>
      </c>
      <c r="D1686" s="2">
        <f>IFERROR(__xludf.DUMMYFUNCTION("""COMPUTED_VALUE"""),230.55)</f>
        <v>230.55</v>
      </c>
    </row>
    <row r="1687">
      <c r="A1687" s="2" t="str">
        <f>IFERROR(__xludf.DUMMYFUNCTION("""COMPUTED_VALUE"""),"PR052")</f>
        <v>PR052</v>
      </c>
      <c r="B1687" s="2" t="str">
        <f>IFERROR(__xludf.DUMMYFUNCTION("""COMPUTED_VALUE"""),"VD045")</f>
        <v>VD045</v>
      </c>
      <c r="C1687" s="2">
        <f>IFERROR(__xludf.DUMMYFUNCTION("""COMPUTED_VALUE"""),3.0)</f>
        <v>3</v>
      </c>
      <c r="D1687" s="2">
        <f>IFERROR(__xludf.DUMMYFUNCTION("""COMPUTED_VALUE"""),163.17)</f>
        <v>163.17</v>
      </c>
    </row>
    <row r="1688">
      <c r="A1688" s="2" t="str">
        <f>IFERROR(__xludf.DUMMYFUNCTION("""COMPUTED_VALUE"""),"PR054")</f>
        <v>PR054</v>
      </c>
      <c r="B1688" s="2" t="str">
        <f>IFERROR(__xludf.DUMMYFUNCTION("""COMPUTED_VALUE"""),"VD041")</f>
        <v>VD041</v>
      </c>
      <c r="C1688" s="2">
        <f>IFERROR(__xludf.DUMMYFUNCTION("""COMPUTED_VALUE"""),12.0)</f>
        <v>12</v>
      </c>
      <c r="D1688" s="2">
        <f>IFERROR(__xludf.DUMMYFUNCTION("""COMPUTED_VALUE"""),622.75)</f>
        <v>622.75</v>
      </c>
    </row>
    <row r="1689">
      <c r="A1689" s="2" t="str">
        <f>IFERROR(__xludf.DUMMYFUNCTION("""COMPUTED_VALUE"""),"PR059")</f>
        <v>PR059</v>
      </c>
      <c r="B1689" s="2" t="str">
        <f>IFERROR(__xludf.DUMMYFUNCTION("""COMPUTED_VALUE"""),"VD014")</f>
        <v>VD014</v>
      </c>
      <c r="C1689" s="2">
        <f>IFERROR(__xludf.DUMMYFUNCTION("""COMPUTED_VALUE"""),7.0)</f>
        <v>7</v>
      </c>
      <c r="D1689" s="2">
        <f>IFERROR(__xludf.DUMMYFUNCTION("""COMPUTED_VALUE"""),1310.4)</f>
        <v>1310.4</v>
      </c>
    </row>
    <row r="1690">
      <c r="A1690" s="2" t="str">
        <f>IFERROR(__xludf.DUMMYFUNCTION("""COMPUTED_VALUE"""),"PR020")</f>
        <v>PR020</v>
      </c>
      <c r="B1690" s="2" t="str">
        <f>IFERROR(__xludf.DUMMYFUNCTION("""COMPUTED_VALUE"""),"VD036")</f>
        <v>VD036</v>
      </c>
      <c r="C1690" s="2">
        <f>IFERROR(__xludf.DUMMYFUNCTION("""COMPUTED_VALUE"""),20.0)</f>
        <v>20</v>
      </c>
      <c r="D1690" s="2">
        <f>IFERROR(__xludf.DUMMYFUNCTION("""COMPUTED_VALUE"""),6357.88)</f>
        <v>6357.88</v>
      </c>
    </row>
    <row r="1691">
      <c r="A1691" s="2" t="str">
        <f>IFERROR(__xludf.DUMMYFUNCTION("""COMPUTED_VALUE"""),"PR017")</f>
        <v>PR017</v>
      </c>
      <c r="B1691" s="2" t="str">
        <f>IFERROR(__xludf.DUMMYFUNCTION("""COMPUTED_VALUE"""),"VD027")</f>
        <v>VD027</v>
      </c>
      <c r="C1691" s="2">
        <f>IFERROR(__xludf.DUMMYFUNCTION("""COMPUTED_VALUE"""),12.0)</f>
        <v>12</v>
      </c>
      <c r="D1691" s="2">
        <f>IFERROR(__xludf.DUMMYFUNCTION("""COMPUTED_VALUE"""),391.09)</f>
        <v>391.09</v>
      </c>
    </row>
    <row r="1692">
      <c r="A1692" s="2" t="str">
        <f>IFERROR(__xludf.DUMMYFUNCTION("""COMPUTED_VALUE"""),"PR049")</f>
        <v>PR049</v>
      </c>
      <c r="B1692" s="2" t="str">
        <f>IFERROR(__xludf.DUMMYFUNCTION("""COMPUTED_VALUE"""),"VD039")</f>
        <v>VD039</v>
      </c>
      <c r="C1692" s="2">
        <f>IFERROR(__xludf.DUMMYFUNCTION("""COMPUTED_VALUE"""),4.0)</f>
        <v>4</v>
      </c>
      <c r="D1692" s="2">
        <f>IFERROR(__xludf.DUMMYFUNCTION("""COMPUTED_VALUE"""),139.5)</f>
        <v>139.5</v>
      </c>
    </row>
    <row r="1693">
      <c r="A1693" s="2" t="str">
        <f>IFERROR(__xludf.DUMMYFUNCTION("""COMPUTED_VALUE"""),"PR034")</f>
        <v>PR034</v>
      </c>
      <c r="B1693" s="2" t="str">
        <f>IFERROR(__xludf.DUMMYFUNCTION("""COMPUTED_VALUE"""),"VD017")</f>
        <v>VD017</v>
      </c>
      <c r="C1693" s="2">
        <f>IFERROR(__xludf.DUMMYFUNCTION("""COMPUTED_VALUE"""),8.0)</f>
        <v>8</v>
      </c>
      <c r="D1693" s="2">
        <f>IFERROR(__xludf.DUMMYFUNCTION("""COMPUTED_VALUE"""),733.58)</f>
        <v>733.58</v>
      </c>
    </row>
    <row r="1694">
      <c r="A1694" s="2" t="str">
        <f>IFERROR(__xludf.DUMMYFUNCTION("""COMPUTED_VALUE"""),"PR045")</f>
        <v>PR045</v>
      </c>
      <c r="B1694" s="2" t="str">
        <f>IFERROR(__xludf.DUMMYFUNCTION("""COMPUTED_VALUE"""),"VD045")</f>
        <v>VD045</v>
      </c>
      <c r="C1694" s="2">
        <f>IFERROR(__xludf.DUMMYFUNCTION("""COMPUTED_VALUE"""),14.0)</f>
        <v>14</v>
      </c>
      <c r="D1694" s="2">
        <f>IFERROR(__xludf.DUMMYFUNCTION("""COMPUTED_VALUE"""),1025.15)</f>
        <v>1025.15</v>
      </c>
    </row>
    <row r="1695">
      <c r="A1695" s="2" t="str">
        <f>IFERROR(__xludf.DUMMYFUNCTION("""COMPUTED_VALUE"""),"PR018")</f>
        <v>PR018</v>
      </c>
      <c r="B1695" s="2" t="str">
        <f>IFERROR(__xludf.DUMMYFUNCTION("""COMPUTED_VALUE"""),"VD018")</f>
        <v>VD018</v>
      </c>
      <c r="C1695" s="2">
        <f>IFERROR(__xludf.DUMMYFUNCTION("""COMPUTED_VALUE"""),4.0)</f>
        <v>4</v>
      </c>
      <c r="D1695" s="2">
        <f>IFERROR(__xludf.DUMMYFUNCTION("""COMPUTED_VALUE"""),139.5)</f>
        <v>139.5</v>
      </c>
    </row>
    <row r="1696">
      <c r="A1696" s="2" t="str">
        <f>IFERROR(__xludf.DUMMYFUNCTION("""COMPUTED_VALUE"""),"PR008")</f>
        <v>PR008</v>
      </c>
      <c r="B1696" s="2" t="str">
        <f>IFERROR(__xludf.DUMMYFUNCTION("""COMPUTED_VALUE"""),"VD016")</f>
        <v>VD016</v>
      </c>
      <c r="C1696" s="2">
        <f>IFERROR(__xludf.DUMMYFUNCTION("""COMPUTED_VALUE"""),6.0)</f>
        <v>6</v>
      </c>
      <c r="D1696" s="2">
        <f>IFERROR(__xludf.DUMMYFUNCTION("""COMPUTED_VALUE"""),539.4)</f>
        <v>539.4</v>
      </c>
    </row>
    <row r="1697">
      <c r="A1697" s="2" t="str">
        <f>IFERROR(__xludf.DUMMYFUNCTION("""COMPUTED_VALUE"""),"PR013")</f>
        <v>PR013</v>
      </c>
      <c r="B1697" s="2" t="str">
        <f>IFERROR(__xludf.DUMMYFUNCTION("""COMPUTED_VALUE"""),"VD036")</f>
        <v>VD036</v>
      </c>
      <c r="C1697" s="2">
        <f>IFERROR(__xludf.DUMMYFUNCTION("""COMPUTED_VALUE"""),3.0)</f>
        <v>3</v>
      </c>
      <c r="D1697" s="2">
        <f>IFERROR(__xludf.DUMMYFUNCTION("""COMPUTED_VALUE"""),124.49)</f>
        <v>124.49</v>
      </c>
    </row>
    <row r="1698">
      <c r="A1698" s="2" t="str">
        <f>IFERROR(__xludf.DUMMYFUNCTION("""COMPUTED_VALUE"""),"PR055")</f>
        <v>PR055</v>
      </c>
      <c r="B1698" s="2" t="str">
        <f>IFERROR(__xludf.DUMMYFUNCTION("""COMPUTED_VALUE"""),"VD016")</f>
        <v>VD016</v>
      </c>
      <c r="C1698" s="2">
        <f>IFERROR(__xludf.DUMMYFUNCTION("""COMPUTED_VALUE"""),9.0)</f>
        <v>9</v>
      </c>
      <c r="D1698" s="2">
        <f>IFERROR(__xludf.DUMMYFUNCTION("""COMPUTED_VALUE"""),881.92)</f>
        <v>881.92</v>
      </c>
    </row>
    <row r="1699">
      <c r="A1699" s="2" t="str">
        <f>IFERROR(__xludf.DUMMYFUNCTION("""COMPUTED_VALUE"""),"PR037")</f>
        <v>PR037</v>
      </c>
      <c r="B1699" s="2" t="str">
        <f>IFERROR(__xludf.DUMMYFUNCTION("""COMPUTED_VALUE"""),"VD048")</f>
        <v>VD048</v>
      </c>
      <c r="C1699" s="2">
        <f>IFERROR(__xludf.DUMMYFUNCTION("""COMPUTED_VALUE"""),1.0)</f>
        <v>1</v>
      </c>
      <c r="D1699" s="2">
        <f>IFERROR(__xludf.DUMMYFUNCTION("""COMPUTED_VALUE"""),154.0)</f>
        <v>154</v>
      </c>
    </row>
    <row r="1700">
      <c r="A1700" s="2" t="str">
        <f>IFERROR(__xludf.DUMMYFUNCTION("""COMPUTED_VALUE"""),"PR036")</f>
        <v>PR036</v>
      </c>
      <c r="B1700" s="2" t="str">
        <f>IFERROR(__xludf.DUMMYFUNCTION("""COMPUTED_VALUE"""),"VD029")</f>
        <v>VD029</v>
      </c>
      <c r="C1700" s="2">
        <f>IFERROR(__xludf.DUMMYFUNCTION("""COMPUTED_VALUE"""),8.0)</f>
        <v>8</v>
      </c>
      <c r="D1700" s="2">
        <f>IFERROR(__xludf.DUMMYFUNCTION("""COMPUTED_VALUE"""),748.0)</f>
        <v>748</v>
      </c>
    </row>
    <row r="1701">
      <c r="A1701" s="2" t="str">
        <f>IFERROR(__xludf.DUMMYFUNCTION("""COMPUTED_VALUE"""),"PR008")</f>
        <v>PR008</v>
      </c>
      <c r="B1701" s="2" t="str">
        <f>IFERROR(__xludf.DUMMYFUNCTION("""COMPUTED_VALUE"""),"VD013")</f>
        <v>VD013</v>
      </c>
      <c r="C1701" s="2">
        <f>IFERROR(__xludf.DUMMYFUNCTION("""COMPUTED_VALUE"""),20.0)</f>
        <v>20</v>
      </c>
      <c r="D1701" s="2">
        <f>IFERROR(__xludf.DUMMYFUNCTION("""COMPUTED_VALUE"""),1815.98)</f>
        <v>1815.98</v>
      </c>
    </row>
    <row r="1702">
      <c r="A1702" s="2" t="str">
        <f>IFERROR(__xludf.DUMMYFUNCTION("""COMPUTED_VALUE"""),"PR056")</f>
        <v>PR056</v>
      </c>
      <c r="B1702" s="2" t="str">
        <f>IFERROR(__xludf.DUMMYFUNCTION("""COMPUTED_VALUE"""),"VD032")</f>
        <v>VD032</v>
      </c>
      <c r="C1702" s="2">
        <f>IFERROR(__xludf.DUMMYFUNCTION("""COMPUTED_VALUE"""),10.0)</f>
        <v>10</v>
      </c>
      <c r="D1702" s="2">
        <f>IFERROR(__xludf.DUMMYFUNCTION("""COMPUTED_VALUE"""),961.93)</f>
        <v>961.93</v>
      </c>
    </row>
    <row r="1703">
      <c r="A1703" s="2" t="str">
        <f>IFERROR(__xludf.DUMMYFUNCTION("""COMPUTED_VALUE"""),"PR033")</f>
        <v>PR033</v>
      </c>
      <c r="B1703" s="2" t="str">
        <f>IFERROR(__xludf.DUMMYFUNCTION("""COMPUTED_VALUE"""),"VD012")</f>
        <v>VD012</v>
      </c>
      <c r="C1703" s="2">
        <f>IFERROR(__xludf.DUMMYFUNCTION("""COMPUTED_VALUE"""),8.0)</f>
        <v>8</v>
      </c>
      <c r="D1703" s="2">
        <f>IFERROR(__xludf.DUMMYFUNCTION("""COMPUTED_VALUE"""),2141.58)</f>
        <v>2141.58</v>
      </c>
    </row>
    <row r="1704">
      <c r="A1704" s="2" t="str">
        <f>IFERROR(__xludf.DUMMYFUNCTION("""COMPUTED_VALUE"""),"PR001")</f>
        <v>PR001</v>
      </c>
      <c r="B1704" s="2" t="str">
        <f>IFERROR(__xludf.DUMMYFUNCTION("""COMPUTED_VALUE"""),"VD036")</f>
        <v>VD036</v>
      </c>
      <c r="C1704" s="2">
        <f>IFERROR(__xludf.DUMMYFUNCTION("""COMPUTED_VALUE"""),2.0)</f>
        <v>2</v>
      </c>
      <c r="D1704" s="2">
        <f>IFERROR(__xludf.DUMMYFUNCTION("""COMPUTED_VALUE"""),139.71)</f>
        <v>139.71</v>
      </c>
    </row>
    <row r="1705">
      <c r="A1705" s="2" t="str">
        <f>IFERROR(__xludf.DUMMYFUNCTION("""COMPUTED_VALUE"""),"PR007")</f>
        <v>PR007</v>
      </c>
      <c r="B1705" s="2" t="str">
        <f>IFERROR(__xludf.DUMMYFUNCTION("""COMPUTED_VALUE"""),"VD022")</f>
        <v>VD022</v>
      </c>
      <c r="C1705" s="2">
        <f>IFERROR(__xludf.DUMMYFUNCTION("""COMPUTED_VALUE"""),4.0)</f>
        <v>4</v>
      </c>
      <c r="D1705" s="2">
        <f>IFERROR(__xludf.DUMMYFUNCTION("""COMPUTED_VALUE"""),350.47)</f>
        <v>350.47</v>
      </c>
    </row>
    <row r="1706">
      <c r="A1706" s="2" t="str">
        <f>IFERROR(__xludf.DUMMYFUNCTION("""COMPUTED_VALUE"""),"PR056")</f>
        <v>PR056</v>
      </c>
      <c r="B1706" s="2" t="str">
        <f>IFERROR(__xludf.DUMMYFUNCTION("""COMPUTED_VALUE"""),"VD010")</f>
        <v>VD010</v>
      </c>
      <c r="C1706" s="2">
        <f>IFERROR(__xludf.DUMMYFUNCTION("""COMPUTED_VALUE"""),20.0)</f>
        <v>20</v>
      </c>
      <c r="D1706" s="2">
        <f>IFERROR(__xludf.DUMMYFUNCTION("""COMPUTED_VALUE"""),1905.88)</f>
        <v>1905.88</v>
      </c>
    </row>
    <row r="1707">
      <c r="A1707" s="2" t="str">
        <f>IFERROR(__xludf.DUMMYFUNCTION("""COMPUTED_VALUE"""),"PR055")</f>
        <v>PR055</v>
      </c>
      <c r="B1707" s="2" t="str">
        <f>IFERROR(__xludf.DUMMYFUNCTION("""COMPUTED_VALUE"""),"VD025")</f>
        <v>VD025</v>
      </c>
      <c r="C1707" s="2">
        <f>IFERROR(__xludf.DUMMYFUNCTION("""COMPUTED_VALUE"""),10.0)</f>
        <v>10</v>
      </c>
      <c r="D1707" s="2">
        <f>IFERROR(__xludf.DUMMYFUNCTION("""COMPUTED_VALUE"""),952.94)</f>
        <v>952.94</v>
      </c>
    </row>
    <row r="1708">
      <c r="A1708" s="2" t="str">
        <f>IFERROR(__xludf.DUMMYFUNCTION("""COMPUTED_VALUE"""),"PR055")</f>
        <v>PR055</v>
      </c>
      <c r="B1708" s="2" t="str">
        <f>IFERROR(__xludf.DUMMYFUNCTION("""COMPUTED_VALUE"""),"VD030")</f>
        <v>VD030</v>
      </c>
      <c r="C1708" s="2">
        <f>IFERROR(__xludf.DUMMYFUNCTION("""COMPUTED_VALUE"""),2.0)</f>
        <v>2</v>
      </c>
      <c r="D1708" s="2">
        <f>IFERROR(__xludf.DUMMYFUNCTION("""COMPUTED_VALUE"""),190.59)</f>
        <v>190.59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63"/>
    <col customWidth="1" min="7" max="7" width="20.5"/>
    <col customWidth="1" min="8" max="8" width="22.25"/>
    <col customWidth="1" min="9" max="9" width="17.75"/>
    <col customWidth="1" min="10" max="10" width="22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tr">
        <f>Productos!B1</f>
        <v/>
      </c>
      <c r="K1" s="4" t="str">
        <f>Productos!C1</f>
        <v/>
      </c>
      <c r="L1" s="4" t="str">
        <f>Productos!D1</f>
        <v/>
      </c>
      <c r="M1" s="4" t="str">
        <f>Productos!E1</f>
        <v/>
      </c>
      <c r="N1" s="4" t="str">
        <f>Productos!F1</f>
        <v/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tr">
        <f>IFERROR(__xludf.DUMMYFUNCTION("query('Datos Ventas'!A2:K2000,""SELECT Col7, Col8, Col9, Col10"")"),"PR001")</f>
        <v>PR001</v>
      </c>
      <c r="B2" s="2" t="str">
        <f>IFERROR(__xludf.DUMMYFUNCTION("""COMPUTED_VALUE"""),"VD026")</f>
        <v>VD026</v>
      </c>
      <c r="C2" s="2">
        <f>IFERROR(__xludf.DUMMYFUNCTION("""COMPUTED_VALUE"""),27.0)</f>
        <v>27</v>
      </c>
      <c r="D2" s="6">
        <f>IFERROR(__xludf.DUMMYFUNCTION("""COMPUTED_VALUE"""),1957.23)</f>
        <v>1957.23</v>
      </c>
      <c r="E2" s="6">
        <f>IFERROR(__xludf.DUMMYFUNCTION("GOOGLEFINANCE(""Currency:BRLMXN"")*D2"),6648.7103099999995)</f>
        <v>6648.71031</v>
      </c>
      <c r="F2" s="6">
        <f>IFERROR(__xludf.DUMMYFUNCTION("GOOGLEFINANCE(""Currency:BRLPEN"")*D2"),1283.1599879999999)</f>
        <v>1283.159988</v>
      </c>
      <c r="G2" s="2" t="str">
        <f t="array" ref="G2">_xlfn.XLOOKUP(B2,Vendedores!$A$2:$A$41,Vendedores!$B$2:$B$41,"No hay datos")</f>
        <v>No hay datos</v>
      </c>
      <c r="H2" s="2" t="str">
        <f t="array" ref="H2">_xlfn.XLOOKUP(B2,Vendedores!$A$2:$A$41,Vendedores!$C$2:$C$41,"No hay datos")</f>
        <v>No hay datos</v>
      </c>
      <c r="I2" s="2" t="str">
        <f t="array" ref="I2">_xlfn.XLOOKUP(B2,Vendedores!$A$2:$A$41,Vendedores!$D$2:$D$41,"No hay datos")</f>
        <v>No hay datos</v>
      </c>
      <c r="J2" s="2" t="str">
        <f t="array" ref="J2">_xlfn.XLOOKUP(A2,Productos!$A$2:$A$61,Productos!$B$2:$F$61)</f>
        <v>#N/A</v>
      </c>
    </row>
    <row r="3">
      <c r="A3" s="2" t="str">
        <f>IFERROR(__xludf.DUMMYFUNCTION("""COMPUTED_VALUE"""),"PR058")</f>
        <v>PR058</v>
      </c>
      <c r="B3" s="2" t="str">
        <f>IFERROR(__xludf.DUMMYFUNCTION("""COMPUTED_VALUE"""),"VD037")</f>
        <v>VD037</v>
      </c>
      <c r="C3" s="2">
        <f>IFERROR(__xludf.DUMMYFUNCTION("""COMPUTED_VALUE"""),14.0)</f>
        <v>14</v>
      </c>
      <c r="D3" s="6">
        <f>IFERROR(__xludf.DUMMYFUNCTION("""COMPUTED_VALUE"""),2872.8)</f>
        <v>2872.8</v>
      </c>
      <c r="E3" s="6">
        <f>IFERROR(__xludf.DUMMYFUNCTION("GOOGLEFINANCE(""Currency:BRLMXN"")*D3"),9758.9016)</f>
        <v>9758.9016</v>
      </c>
      <c r="F3" s="6">
        <f>IFERROR(__xludf.DUMMYFUNCTION("GOOGLEFINANCE(""Currency:BRLPEN"")*D3"),1883.40768)</f>
        <v>1883.40768</v>
      </c>
      <c r="G3" s="2" t="str">
        <f t="array" ref="G3">_xlfn.XLOOKUP(B3,Vendedores!$A$2:$A$41,Vendedores!$B$2:$B$41,"No hay datos")</f>
        <v>No hay datos</v>
      </c>
      <c r="H3" s="2" t="str">
        <f t="array" ref="H3">_xlfn.XLOOKUP(B3,Vendedores!$A$2:$A$41,Vendedores!$C$2:$C$41,"No hay datos")</f>
        <v>No hay datos</v>
      </c>
      <c r="I3" s="2" t="str">
        <f t="array" ref="I3">_xlfn.XLOOKUP(B3,Vendedores!$A$2:$A$41,Vendedores!$D$2:$D$41,"No hay datos")</f>
        <v>No hay datos</v>
      </c>
      <c r="J3" s="2" t="str">
        <f t="array" ref="J3">_xlfn.XLOOKUP(A3,Productos!$A$2:$A$61,Productos!$B$2:$F$61)</f>
        <v>#N/A</v>
      </c>
    </row>
    <row r="4">
      <c r="A4" s="2" t="str">
        <f>IFERROR(__xludf.DUMMYFUNCTION("""COMPUTED_VALUE"""),"PR020")</f>
        <v>PR020</v>
      </c>
      <c r="B4" s="2" t="str">
        <f>IFERROR(__xludf.DUMMYFUNCTION("""COMPUTED_VALUE"""),"VD034")</f>
        <v>VD034</v>
      </c>
      <c r="C4" s="2">
        <f>IFERROR(__xludf.DUMMYFUNCTION("""COMPUTED_VALUE"""),20.0)</f>
        <v>20</v>
      </c>
      <c r="D4" s="6">
        <f>IFERROR(__xludf.DUMMYFUNCTION("""COMPUTED_VALUE"""),7137.62)</f>
        <v>7137.62</v>
      </c>
      <c r="E4" s="6">
        <f>IFERROR(__xludf.DUMMYFUNCTION("GOOGLEFINANCE(""Currency:BRLMXN"")*D4"),24246.49514)</f>
        <v>24246.49514</v>
      </c>
      <c r="F4" s="6">
        <f>IFERROR(__xludf.DUMMYFUNCTION("GOOGLEFINANCE(""Currency:BRLPEN"")*D4"),4679.423672)</f>
        <v>4679.423672</v>
      </c>
      <c r="G4" s="2" t="str">
        <f t="array" ref="G4">_xlfn.XLOOKUP(B4,Vendedores!$A$2:$A$41,Vendedores!$B$2:$B$41,"No hay datos")</f>
        <v>No hay datos</v>
      </c>
      <c r="H4" s="2" t="str">
        <f t="array" ref="H4">_xlfn.XLOOKUP(B4,Vendedores!$A$2:$A$41,Vendedores!$C$2:$C$41,"No hay datos")</f>
        <v>No hay datos</v>
      </c>
      <c r="I4" s="2" t="str">
        <f t="array" ref="I4">_xlfn.XLOOKUP(B4,Vendedores!$A$2:$A$41,Vendedores!$D$2:$D$41,"No hay datos")</f>
        <v>No hay datos</v>
      </c>
      <c r="J4" s="2" t="str">
        <f t="array" ref="J4">_xlfn.XLOOKUP(A4,Productos!$A$2:$A$61,Productos!$B$2:$F$61)</f>
        <v>#N/A</v>
      </c>
    </row>
    <row r="5">
      <c r="A5" s="2" t="str">
        <f>IFERROR(__xludf.DUMMYFUNCTION("""COMPUTED_VALUE"""),"PR035")</f>
        <v>PR035</v>
      </c>
      <c r="B5" s="2" t="str">
        <f>IFERROR(__xludf.DUMMYFUNCTION("""COMPUTED_VALUE"""),"VD021")</f>
        <v>VD021</v>
      </c>
      <c r="C5" s="2">
        <f>IFERROR(__xludf.DUMMYFUNCTION("""COMPUTED_VALUE"""),24.0)</f>
        <v>24</v>
      </c>
      <c r="D5" s="7">
        <f>IFERROR(__xludf.DUMMYFUNCTION("""COMPUTED_VALUE"""),2478.77)</f>
        <v>2478.77</v>
      </c>
      <c r="E5" s="6">
        <f>IFERROR(__xludf.DUMMYFUNCTION("GOOGLEFINANCE(""Currency:BRLMXN"")*D5"),8420.38169)</f>
        <v>8420.38169</v>
      </c>
      <c r="F5" s="6">
        <f>IFERROR(__xludf.DUMMYFUNCTION("GOOGLEFINANCE(""Currency:BRLPEN"")*D5"),1625.081612)</f>
        <v>1625.081612</v>
      </c>
      <c r="G5" s="2" t="str">
        <f t="array" ref="G5">_xlfn.XLOOKUP(B5,Vendedores!$A$2:$A$41,Vendedores!$B$2:$B$41,"No hay datos")</f>
        <v>No hay datos</v>
      </c>
      <c r="H5" s="2" t="str">
        <f t="array" ref="H5">_xlfn.XLOOKUP(B5,Vendedores!$A$2:$A$41,Vendedores!$C$2:$C$41,"No hay datos")</f>
        <v>No hay datos</v>
      </c>
      <c r="I5" s="2" t="str">
        <f t="array" ref="I5">_xlfn.XLOOKUP(B5,Vendedores!$A$2:$A$41,Vendedores!$D$2:$D$41,"No hay datos")</f>
        <v>No hay datos</v>
      </c>
      <c r="J5" s="2" t="str">
        <f t="array" ref="J5">_xlfn.XLOOKUP(A5,Productos!$A$2:$A$61,Productos!$B$2:$F$61)</f>
        <v>#N/A</v>
      </c>
    </row>
    <row r="6">
      <c r="A6" s="2" t="str">
        <f>IFERROR(__xludf.DUMMYFUNCTION("""COMPUTED_VALUE"""),"PR016")</f>
        <v>PR016</v>
      </c>
      <c r="B6" s="2" t="str">
        <f>IFERROR(__xludf.DUMMYFUNCTION("""COMPUTED_VALUE"""),"VD027")</f>
        <v>VD027</v>
      </c>
      <c r="C6" s="2">
        <f>IFERROR(__xludf.DUMMYFUNCTION("""COMPUTED_VALUE"""),10.0)</f>
        <v>10</v>
      </c>
      <c r="D6" s="6">
        <f>IFERROR(__xludf.DUMMYFUNCTION("""COMPUTED_VALUE"""),303.03)</f>
        <v>303.03</v>
      </c>
      <c r="E6" s="6">
        <f>IFERROR(__xludf.DUMMYFUNCTION("GOOGLEFINANCE(""Currency:BRLMXN"")*D6"),1029.3929099999998)</f>
        <v>1029.39291</v>
      </c>
      <c r="F6" s="6">
        <f>IFERROR(__xludf.DUMMYFUNCTION("GOOGLEFINANCE(""Currency:BRLPEN"")*D6"),198.66646799999998)</f>
        <v>198.666468</v>
      </c>
      <c r="G6" s="2" t="str">
        <f t="array" ref="G6">_xlfn.XLOOKUP(B6,Vendedores!$A$2:$A$41,Vendedores!$B$2:$B$41,"No hay datos")</f>
        <v>No hay datos</v>
      </c>
      <c r="H6" s="2" t="str">
        <f t="array" ref="H6">_xlfn.XLOOKUP(B6,Vendedores!$A$2:$A$41,Vendedores!$C$2:$C$41,"No hay datos")</f>
        <v>No hay datos</v>
      </c>
      <c r="I6" s="2" t="str">
        <f t="array" ref="I6">_xlfn.XLOOKUP(B6,Vendedores!$A$2:$A$41,Vendedores!$D$2:$D$41,"No hay datos")</f>
        <v>No hay datos</v>
      </c>
      <c r="J6" s="2" t="str">
        <f t="array" ref="J6">_xlfn.XLOOKUP(A6,Productos!$A$2:$A$61,Productos!$B$2:$F$61)</f>
        <v>#N/A</v>
      </c>
    </row>
    <row r="7">
      <c r="A7" s="2" t="str">
        <f>IFERROR(__xludf.DUMMYFUNCTION("""COMPUTED_VALUE"""),"PR051")</f>
        <v>PR051</v>
      </c>
      <c r="B7" s="2" t="str">
        <f>IFERROR(__xludf.DUMMYFUNCTION("""COMPUTED_VALUE"""),"VD048")</f>
        <v>VD048</v>
      </c>
      <c r="C7" s="2">
        <f>IFERROR(__xludf.DUMMYFUNCTION("""COMPUTED_VALUE"""),18.0)</f>
        <v>18</v>
      </c>
      <c r="D7" s="7">
        <f>IFERROR(__xludf.DUMMYFUNCTION("""COMPUTED_VALUE"""),704.72)</f>
        <v>704.72</v>
      </c>
      <c r="E7" s="6">
        <f>IFERROR(__xludf.DUMMYFUNCTION("GOOGLEFINANCE(""Currency:BRLMXN"")*D7"),2393.93384)</f>
        <v>2393.93384</v>
      </c>
      <c r="F7" s="6">
        <f>IFERROR(__xludf.DUMMYFUNCTION("GOOGLEFINANCE(""Currency:BRLPEN"")*D7"),462.014432)</f>
        <v>462.014432</v>
      </c>
      <c r="G7" s="2" t="str">
        <f t="array" ref="G7">_xlfn.XLOOKUP(B7,Vendedores!$A$2:$A$41,Vendedores!$B$2:$B$41,"No hay datos")</f>
        <v>No hay datos</v>
      </c>
      <c r="H7" s="2" t="str">
        <f t="array" ref="H7">_xlfn.XLOOKUP(B7,Vendedores!$A$2:$A$41,Vendedores!$C$2:$C$41,"No hay datos")</f>
        <v>No hay datos</v>
      </c>
      <c r="I7" s="2" t="str">
        <f t="array" ref="I7">_xlfn.XLOOKUP(B7,Vendedores!$A$2:$A$41,Vendedores!$D$2:$D$41,"No hay datos")</f>
        <v>No hay datos</v>
      </c>
      <c r="J7" s="2" t="str">
        <f t="array" ref="J7">_xlfn.XLOOKUP(A7,Productos!$A$2:$A$61,Productos!$B$2:$F$61)</f>
        <v>#N/A</v>
      </c>
    </row>
    <row r="8">
      <c r="A8" s="2" t="str">
        <f>IFERROR(__xludf.DUMMYFUNCTION("""COMPUTED_VALUE"""),"PR042")</f>
        <v>PR042</v>
      </c>
      <c r="B8" s="2" t="str">
        <f>IFERROR(__xludf.DUMMYFUNCTION("""COMPUTED_VALUE"""),"VD025")</f>
        <v>VD025</v>
      </c>
      <c r="C8" s="2">
        <f>IFERROR(__xludf.DUMMYFUNCTION("""COMPUTED_VALUE"""),27.0)</f>
        <v>27</v>
      </c>
      <c r="D8" s="6">
        <f>IFERROR(__xludf.DUMMYFUNCTION("""COMPUTED_VALUE"""),1778.76)</f>
        <v>1778.76</v>
      </c>
      <c r="E8" s="6">
        <f>IFERROR(__xludf.DUMMYFUNCTION("GOOGLEFINANCE(""Currency:BRLMXN"")*D8"),6042.447719999999)</f>
        <v>6042.44772</v>
      </c>
      <c r="F8" s="6">
        <f>IFERROR(__xludf.DUMMYFUNCTION("GOOGLEFINANCE(""Currency:BRLPEN"")*D8"),1166.1550559999998)</f>
        <v>1166.155056</v>
      </c>
      <c r="G8" s="2" t="str">
        <f t="array" ref="G8">_xlfn.XLOOKUP(B8,Vendedores!$A$2:$A$41,Vendedores!$B$2:$B$41,"No hay datos")</f>
        <v>No hay datos</v>
      </c>
      <c r="H8" s="2" t="str">
        <f t="array" ref="H8">_xlfn.XLOOKUP(B8,Vendedores!$A$2:$A$41,Vendedores!$C$2:$C$41,"No hay datos")</f>
        <v>No hay datos</v>
      </c>
      <c r="I8" s="2" t="str">
        <f t="array" ref="I8">_xlfn.XLOOKUP(B8,Vendedores!$A$2:$A$41,Vendedores!$D$2:$D$41,"No hay datos")</f>
        <v>No hay datos</v>
      </c>
      <c r="J8" s="2" t="str">
        <f t="array" ref="J8">_xlfn.XLOOKUP(A8,Productos!$A$2:$A$61,Productos!$B$2:$F$61)</f>
        <v>#N/A</v>
      </c>
    </row>
    <row r="9">
      <c r="A9" s="2" t="str">
        <f>IFERROR(__xludf.DUMMYFUNCTION("""COMPUTED_VALUE"""),"PR050")</f>
        <v>PR050</v>
      </c>
      <c r="B9" s="2" t="str">
        <f>IFERROR(__xludf.DUMMYFUNCTION("""COMPUTED_VALUE"""),"VD037")</f>
        <v>VD037</v>
      </c>
      <c r="C9" s="2">
        <f>IFERROR(__xludf.DUMMYFUNCTION("""COMPUTED_VALUE"""),14.0)</f>
        <v>14</v>
      </c>
      <c r="D9" s="6">
        <f>IFERROR(__xludf.DUMMYFUNCTION("""COMPUTED_VALUE"""),511.27)</f>
        <v>511.27</v>
      </c>
      <c r="E9" s="6">
        <f>IFERROR(__xludf.DUMMYFUNCTION("GOOGLEFINANCE(""Currency:BRLMXN"")*D9"),1736.7841899999999)</f>
        <v>1736.78419</v>
      </c>
      <c r="F9" s="6">
        <f>IFERROR(__xludf.DUMMYFUNCTION("GOOGLEFINANCE(""Currency:BRLPEN"")*D9"),335.188612)</f>
        <v>335.188612</v>
      </c>
      <c r="G9" s="2" t="str">
        <f t="array" ref="G9">_xlfn.XLOOKUP(B9,Vendedores!$A$2:$A$41,Vendedores!$B$2:$B$41,"No hay datos")</f>
        <v>No hay datos</v>
      </c>
      <c r="H9" s="2" t="str">
        <f t="array" ref="H9">_xlfn.XLOOKUP(B9,Vendedores!$A$2:$A$41,Vendedores!$C$2:$C$41,"No hay datos")</f>
        <v>No hay datos</v>
      </c>
      <c r="I9" s="2" t="str">
        <f t="array" ref="I9">_xlfn.XLOOKUP(B9,Vendedores!$A$2:$A$41,Vendedores!$D$2:$D$41,"No hay datos")</f>
        <v>No hay datos</v>
      </c>
      <c r="J9" s="2" t="str">
        <f t="array" ref="J9">_xlfn.XLOOKUP(A9,Productos!$A$2:$A$61,Productos!$B$2:$F$61)</f>
        <v>#N/A</v>
      </c>
    </row>
    <row r="10">
      <c r="A10" s="2" t="str">
        <f>IFERROR(__xludf.DUMMYFUNCTION("""COMPUTED_VALUE"""),"PR001")</f>
        <v>PR001</v>
      </c>
      <c r="B10" s="2" t="str">
        <f>IFERROR(__xludf.DUMMYFUNCTION("""COMPUTED_VALUE"""),"VD036")</f>
        <v>VD036</v>
      </c>
      <c r="C10" s="2">
        <f>IFERROR(__xludf.DUMMYFUNCTION("""COMPUTED_VALUE"""),12.0)</f>
        <v>12</v>
      </c>
      <c r="D10" s="6">
        <f>IFERROR(__xludf.DUMMYFUNCTION("""COMPUTED_VALUE"""),901.51)</f>
        <v>901.51</v>
      </c>
      <c r="E10" s="6">
        <f>IFERROR(__xludf.DUMMYFUNCTION("GOOGLEFINANCE(""Currency:BRLMXN"")*D10"),3062.4294699999996)</f>
        <v>3062.42947</v>
      </c>
      <c r="F10" s="6">
        <f>IFERROR(__xludf.DUMMYFUNCTION("GOOGLEFINANCE(""Currency:BRLPEN"")*D10"),591.029956)</f>
        <v>591.029956</v>
      </c>
      <c r="G10" s="2" t="str">
        <f t="array" ref="G10">_xlfn.XLOOKUP(B10,Vendedores!$A$2:$A$41,Vendedores!$B$2:$B$41,"No hay datos")</f>
        <v>No hay datos</v>
      </c>
      <c r="H10" s="2" t="str">
        <f t="array" ref="H10">_xlfn.XLOOKUP(B10,Vendedores!$A$2:$A$41,Vendedores!$C$2:$C$41,"No hay datos")</f>
        <v>No hay datos</v>
      </c>
      <c r="I10" s="2" t="str">
        <f t="array" ref="I10">_xlfn.XLOOKUP(B10,Vendedores!$A$2:$A$41,Vendedores!$D$2:$D$41,"No hay datos")</f>
        <v>No hay datos</v>
      </c>
      <c r="J10" s="2" t="str">
        <f t="array" ref="J10">_xlfn.XLOOKUP(A10,Productos!$A$2:$A$61,Productos!$B$2:$F$61)</f>
        <v>#N/A</v>
      </c>
    </row>
    <row r="11">
      <c r="A11" s="2" t="str">
        <f>IFERROR(__xludf.DUMMYFUNCTION("""COMPUTED_VALUE"""),"PR059")</f>
        <v>PR059</v>
      </c>
      <c r="B11" s="2" t="str">
        <f>IFERROR(__xludf.DUMMYFUNCTION("""COMPUTED_VALUE"""),"VD049")</f>
        <v>VD049</v>
      </c>
      <c r="C11" s="2">
        <f>IFERROR(__xludf.DUMMYFUNCTION("""COMPUTED_VALUE"""),27.0)</f>
        <v>27</v>
      </c>
      <c r="D11" s="6">
        <f>IFERROR(__xludf.DUMMYFUNCTION("""COMPUTED_VALUE"""),5783.4)</f>
        <v>5783.4</v>
      </c>
      <c r="E11" s="6">
        <f>IFERROR(__xludf.DUMMYFUNCTION("GOOGLEFINANCE(""Currency:BRLMXN"")*D11"),19646.209799999997)</f>
        <v>19646.2098</v>
      </c>
      <c r="F11" s="6">
        <f>IFERROR(__xludf.DUMMYFUNCTION("GOOGLEFINANCE(""Currency:BRLPEN"")*D11"),3791.5970399999997)</f>
        <v>3791.59704</v>
      </c>
      <c r="G11" s="2" t="str">
        <f t="array" ref="G11">_xlfn.XLOOKUP(B11,Vendedores!$A$2:$A$41,Vendedores!$B$2:$B$41,"No hay datos")</f>
        <v>No hay datos</v>
      </c>
      <c r="H11" s="2" t="str">
        <f t="array" ref="H11">_xlfn.XLOOKUP(B11,Vendedores!$A$2:$A$41,Vendedores!$C$2:$C$41,"No hay datos")</f>
        <v>No hay datos</v>
      </c>
      <c r="I11" s="2" t="str">
        <f t="array" ref="I11">_xlfn.XLOOKUP(B11,Vendedores!$A$2:$A$41,Vendedores!$D$2:$D$41,"No hay datos")</f>
        <v>No hay datos</v>
      </c>
      <c r="J11" s="2" t="str">
        <f t="array" ref="J11">_xlfn.XLOOKUP(A11,Productos!$A$2:$A$61,Productos!$B$2:$F$61)</f>
        <v>#N/A</v>
      </c>
    </row>
    <row r="12">
      <c r="A12" s="2" t="str">
        <f>IFERROR(__xludf.DUMMYFUNCTION("""COMPUTED_VALUE"""),"PR019")</f>
        <v>PR019</v>
      </c>
      <c r="B12" s="2" t="str">
        <f>IFERROR(__xludf.DUMMYFUNCTION("""COMPUTED_VALUE"""),"VD021")</f>
        <v>VD021</v>
      </c>
      <c r="C12" s="2">
        <f>IFERROR(__xludf.DUMMYFUNCTION("""COMPUTED_VALUE"""),15.0)</f>
        <v>15</v>
      </c>
      <c r="D12" s="6">
        <f>IFERROR(__xludf.DUMMYFUNCTION("""COMPUTED_VALUE"""),845.81)</f>
        <v>845.81</v>
      </c>
      <c r="E12" s="6">
        <f>IFERROR(__xludf.DUMMYFUNCTION("GOOGLEFINANCE(""Currency:BRLMXN"")*D12"),2873.2165699999996)</f>
        <v>2873.21657</v>
      </c>
      <c r="F12" s="6">
        <f>IFERROR(__xludf.DUMMYFUNCTION("GOOGLEFINANCE(""Currency:BRLPEN"")*D12"),554.5130359999999)</f>
        <v>554.513036</v>
      </c>
      <c r="G12" s="2" t="str">
        <f t="array" ref="G12">_xlfn.XLOOKUP(B12,Vendedores!$A$2:$A$41,Vendedores!$B$2:$B$41,"No hay datos")</f>
        <v>No hay datos</v>
      </c>
      <c r="H12" s="2" t="str">
        <f t="array" ref="H12">_xlfn.XLOOKUP(B12,Vendedores!$A$2:$A$41,Vendedores!$C$2:$C$41,"No hay datos")</f>
        <v>No hay datos</v>
      </c>
      <c r="I12" s="2" t="str">
        <f t="array" ref="I12">_xlfn.XLOOKUP(B12,Vendedores!$A$2:$A$41,Vendedores!$D$2:$D$41,"No hay datos")</f>
        <v>No hay datos</v>
      </c>
      <c r="J12" s="2" t="str">
        <f t="array" ref="J12">_xlfn.XLOOKUP(A12,Productos!$A$2:$A$61,Productos!$B$2:$F$61)</f>
        <v>#N/A</v>
      </c>
    </row>
    <row r="13">
      <c r="A13" s="2" t="str">
        <f>IFERROR(__xludf.DUMMYFUNCTION("""COMPUTED_VALUE"""),"PR055")</f>
        <v>PR055</v>
      </c>
      <c r="B13" s="2" t="str">
        <f>IFERROR(__xludf.DUMMYFUNCTION("""COMPUTED_VALUE"""),"VD015")</f>
        <v>VD015</v>
      </c>
      <c r="C13" s="2">
        <f>IFERROR(__xludf.DUMMYFUNCTION("""COMPUTED_VALUE"""),18.0)</f>
        <v>18</v>
      </c>
      <c r="D13" s="6">
        <f>IFERROR(__xludf.DUMMYFUNCTION("""COMPUTED_VALUE"""),1844.75)</f>
        <v>1844.75</v>
      </c>
      <c r="E13" s="6">
        <f>IFERROR(__xludf.DUMMYFUNCTION("GOOGLEFINANCE(""Currency:BRLMXN"")*D13"),6266.61575)</f>
        <v>6266.61575</v>
      </c>
      <c r="F13" s="6">
        <f>IFERROR(__xludf.DUMMYFUNCTION("GOOGLEFINANCE(""Currency:BRLPEN"")*D13"),1209.4180999999999)</f>
        <v>1209.4181</v>
      </c>
      <c r="G13" s="2" t="str">
        <f t="array" ref="G13">_xlfn.XLOOKUP(B13,Vendedores!$A$2:$A$41,Vendedores!$B$2:$B$41,"No hay datos")</f>
        <v>No hay datos</v>
      </c>
      <c r="H13" s="2" t="str">
        <f t="array" ref="H13">_xlfn.XLOOKUP(B13,Vendedores!$A$2:$A$41,Vendedores!$C$2:$C$41,"No hay datos")</f>
        <v>No hay datos</v>
      </c>
      <c r="I13" s="2" t="str">
        <f t="array" ref="I13">_xlfn.XLOOKUP(B13,Vendedores!$A$2:$A$41,Vendedores!$D$2:$D$41,"No hay datos")</f>
        <v>No hay datos</v>
      </c>
      <c r="J13" s="2" t="str">
        <f t="array" ref="J13">_xlfn.XLOOKUP(A13,Productos!$A$2:$A$61,Productos!$B$2:$F$61)</f>
        <v>#N/A</v>
      </c>
    </row>
    <row r="14">
      <c r="A14" s="2" t="str">
        <f>IFERROR(__xludf.DUMMYFUNCTION("""COMPUTED_VALUE"""),"PR052")</f>
        <v>PR052</v>
      </c>
      <c r="B14" s="2" t="str">
        <f>IFERROR(__xludf.DUMMYFUNCTION("""COMPUTED_VALUE"""),"VD012")</f>
        <v>VD012</v>
      </c>
      <c r="C14" s="2">
        <f>IFERROR(__xludf.DUMMYFUNCTION("""COMPUTED_VALUE"""),16.0)</f>
        <v>16</v>
      </c>
      <c r="D14" s="6">
        <f>IFERROR(__xludf.DUMMYFUNCTION("""COMPUTED_VALUE"""),950.1)</f>
        <v>950.1</v>
      </c>
      <c r="E14" s="6">
        <f>IFERROR(__xludf.DUMMYFUNCTION("GOOGLEFINANCE(""Currency:BRLMXN"")*D14"),3227.4897)</f>
        <v>3227.4897</v>
      </c>
      <c r="F14" s="6">
        <f>IFERROR(__xludf.DUMMYFUNCTION("GOOGLEFINANCE(""Currency:BRLPEN"")*D14"),622.8855599999999)</f>
        <v>622.88556</v>
      </c>
      <c r="G14" s="2" t="str">
        <f t="array" ref="G14">_xlfn.XLOOKUP(B14,Vendedores!$A$2:$A$41,Vendedores!$B$2:$B$41,"No hay datos")</f>
        <v>No hay datos</v>
      </c>
      <c r="H14" s="2" t="str">
        <f t="array" ref="H14">_xlfn.XLOOKUP(B14,Vendedores!$A$2:$A$41,Vendedores!$C$2:$C$41,"No hay datos")</f>
        <v>No hay datos</v>
      </c>
      <c r="I14" s="2" t="str">
        <f t="array" ref="I14">_xlfn.XLOOKUP(B14,Vendedores!$A$2:$A$41,Vendedores!$D$2:$D$41,"No hay datos")</f>
        <v>No hay datos</v>
      </c>
      <c r="J14" s="2" t="str">
        <f t="array" ref="J14">_xlfn.XLOOKUP(A14,Productos!$A$2:$A$61,Productos!$B$2:$F$61)</f>
        <v>#N/A</v>
      </c>
    </row>
    <row r="15">
      <c r="A15" s="2" t="str">
        <f>IFERROR(__xludf.DUMMYFUNCTION("""COMPUTED_VALUE"""),"PR052")</f>
        <v>PR052</v>
      </c>
      <c r="B15" s="2" t="str">
        <f>IFERROR(__xludf.DUMMYFUNCTION("""COMPUTED_VALUE"""),"VD043")</f>
        <v>VD043</v>
      </c>
      <c r="C15" s="2">
        <f>IFERROR(__xludf.DUMMYFUNCTION("""COMPUTED_VALUE"""),9.0)</f>
        <v>9</v>
      </c>
      <c r="D15" s="6">
        <f>IFERROR(__xludf.DUMMYFUNCTION("""COMPUTED_VALUE"""),511.97)</f>
        <v>511.97</v>
      </c>
      <c r="E15" s="6">
        <f>IFERROR(__xludf.DUMMYFUNCTION("GOOGLEFINANCE(""Currency:BRLMXN"")*D15"),1739.16209)</f>
        <v>1739.16209</v>
      </c>
      <c r="F15" s="6">
        <f>IFERROR(__xludf.DUMMYFUNCTION("GOOGLEFINANCE(""Currency:BRLPEN"")*D15"),335.647532)</f>
        <v>335.647532</v>
      </c>
      <c r="G15" s="2" t="str">
        <f t="array" ref="G15">_xlfn.XLOOKUP(B15,Vendedores!$A$2:$A$41,Vendedores!$B$2:$B$41,"No hay datos")</f>
        <v>No hay datos</v>
      </c>
      <c r="H15" s="2" t="str">
        <f t="array" ref="H15">_xlfn.XLOOKUP(B15,Vendedores!$A$2:$A$41,Vendedores!$C$2:$C$41,"No hay datos")</f>
        <v>No hay datos</v>
      </c>
      <c r="I15" s="2" t="str">
        <f t="array" ref="I15">_xlfn.XLOOKUP(B15,Vendedores!$A$2:$A$41,Vendedores!$D$2:$D$41,"No hay datos")</f>
        <v>No hay datos</v>
      </c>
      <c r="J15" s="2" t="str">
        <f t="array" ref="J15">_xlfn.XLOOKUP(A15,Productos!$A$2:$A$61,Productos!$B$2:$F$61)</f>
        <v>#N/A</v>
      </c>
    </row>
    <row r="16">
      <c r="A16" s="2" t="str">
        <f>IFERROR(__xludf.DUMMYFUNCTION("""COMPUTED_VALUE"""),"PR014")</f>
        <v>PR014</v>
      </c>
      <c r="B16" s="2" t="str">
        <f>IFERROR(__xludf.DUMMYFUNCTION("""COMPUTED_VALUE"""),"VD020")</f>
        <v>VD020</v>
      </c>
      <c r="C16" s="2">
        <f>IFERROR(__xludf.DUMMYFUNCTION("""COMPUTED_VALUE"""),9.0)</f>
        <v>9</v>
      </c>
      <c r="D16" s="6">
        <f>IFERROR(__xludf.DUMMYFUNCTION("""COMPUTED_VALUE"""),420.15)</f>
        <v>420.15</v>
      </c>
      <c r="E16" s="6">
        <f>IFERROR(__xludf.DUMMYFUNCTION("GOOGLEFINANCE(""Currency:BRLMXN"")*D16"),1427.2495499999998)</f>
        <v>1427.24955</v>
      </c>
      <c r="F16" s="6">
        <f>IFERROR(__xludf.DUMMYFUNCTION("GOOGLEFINANCE(""Currency:BRLPEN"")*D16"),275.45034)</f>
        <v>275.45034</v>
      </c>
      <c r="G16" s="2" t="str">
        <f t="array" ref="G16">_xlfn.XLOOKUP(B16,Vendedores!$A$2:$A$41,Vendedores!$B$2:$B$41,"No hay datos")</f>
        <v>No hay datos</v>
      </c>
      <c r="H16" s="2" t="str">
        <f t="array" ref="H16">_xlfn.XLOOKUP(B16,Vendedores!$A$2:$A$41,Vendedores!$C$2:$C$41,"No hay datos")</f>
        <v>No hay datos</v>
      </c>
      <c r="I16" s="2" t="str">
        <f t="array" ref="I16">_xlfn.XLOOKUP(B16,Vendedores!$A$2:$A$41,Vendedores!$D$2:$D$41,"No hay datos")</f>
        <v>No hay datos</v>
      </c>
      <c r="J16" s="2" t="str">
        <f t="array" ref="J16">_xlfn.XLOOKUP(A16,Productos!$A$2:$A$61,Productos!$B$2:$F$61)</f>
        <v>#N/A</v>
      </c>
    </row>
    <row r="17">
      <c r="A17" s="2" t="str">
        <f>IFERROR(__xludf.DUMMYFUNCTION("""COMPUTED_VALUE"""),"PR055")</f>
        <v>PR055</v>
      </c>
      <c r="B17" s="2" t="str">
        <f>IFERROR(__xludf.DUMMYFUNCTION("""COMPUTED_VALUE"""),"VD019")</f>
        <v>VD019</v>
      </c>
      <c r="C17" s="2">
        <f>IFERROR(__xludf.DUMMYFUNCTION("""COMPUTED_VALUE"""),9.0)</f>
        <v>9</v>
      </c>
      <c r="D17" s="6">
        <f>IFERROR(__xludf.DUMMYFUNCTION("""COMPUTED_VALUE"""),890.01)</f>
        <v>890.01</v>
      </c>
      <c r="E17" s="6">
        <f>IFERROR(__xludf.DUMMYFUNCTION("GOOGLEFINANCE(""Currency:BRLMXN"")*D17"),3023.36397)</f>
        <v>3023.36397</v>
      </c>
      <c r="F17" s="6">
        <f>IFERROR(__xludf.DUMMYFUNCTION("GOOGLEFINANCE(""Currency:BRLPEN"")*D17"),583.490556)</f>
        <v>583.490556</v>
      </c>
      <c r="G17" s="2" t="str">
        <f t="array" ref="G17">_xlfn.XLOOKUP(B17,Vendedores!$A$2:$A$41,Vendedores!$B$2:$B$41,"No hay datos")</f>
        <v>No hay datos</v>
      </c>
      <c r="H17" s="2" t="str">
        <f t="array" ref="H17">_xlfn.XLOOKUP(B17,Vendedores!$A$2:$A$41,Vendedores!$C$2:$C$41,"No hay datos")</f>
        <v>No hay datos</v>
      </c>
      <c r="I17" s="2" t="str">
        <f t="array" ref="I17">_xlfn.XLOOKUP(B17,Vendedores!$A$2:$A$41,Vendedores!$D$2:$D$41,"No hay datos")</f>
        <v>No hay datos</v>
      </c>
      <c r="J17" s="2" t="str">
        <f t="array" ref="J17">_xlfn.XLOOKUP(A17,Productos!$A$2:$A$61,Productos!$B$2:$F$61)</f>
        <v>#N/A</v>
      </c>
    </row>
    <row r="18">
      <c r="A18" s="2" t="str">
        <f>IFERROR(__xludf.DUMMYFUNCTION("""COMPUTED_VALUE"""),"PR045")</f>
        <v>PR045</v>
      </c>
      <c r="B18" s="2" t="str">
        <f>IFERROR(__xludf.DUMMYFUNCTION("""COMPUTED_VALUE"""),"VD041")</f>
        <v>VD041</v>
      </c>
      <c r="C18" s="2">
        <f>IFERROR(__xludf.DUMMYFUNCTION("""COMPUTED_VALUE"""),14.0)</f>
        <v>14</v>
      </c>
      <c r="D18" s="6">
        <f>IFERROR(__xludf.DUMMYFUNCTION("""COMPUTED_VALUE"""),1157.1)</f>
        <v>1157.1</v>
      </c>
      <c r="E18" s="6">
        <f>IFERROR(__xludf.DUMMYFUNCTION("GOOGLEFINANCE(""Currency:BRLMXN"")*D18"),3930.6686999999993)</f>
        <v>3930.6687</v>
      </c>
      <c r="F18" s="6">
        <f>IFERROR(__xludf.DUMMYFUNCTION("GOOGLEFINANCE(""Currency:BRLPEN"")*D18"),758.59476)</f>
        <v>758.59476</v>
      </c>
      <c r="G18" s="2" t="str">
        <f t="array" ref="G18">_xlfn.XLOOKUP(B18,Vendedores!$A$2:$A$41,Vendedores!$B$2:$B$41,"No hay datos")</f>
        <v>No hay datos</v>
      </c>
      <c r="H18" s="2" t="str">
        <f t="array" ref="H18">_xlfn.XLOOKUP(B18,Vendedores!$A$2:$A$41,Vendedores!$C$2:$C$41,"No hay datos")</f>
        <v>No hay datos</v>
      </c>
      <c r="I18" s="2" t="str">
        <f t="array" ref="I18">_xlfn.XLOOKUP(B18,Vendedores!$A$2:$A$41,Vendedores!$D$2:$D$41,"No hay datos")</f>
        <v>No hay datos</v>
      </c>
      <c r="J18" s="2" t="str">
        <f t="array" ref="J18">_xlfn.XLOOKUP(A18,Productos!$A$2:$A$61,Productos!$B$2:$F$61)</f>
        <v>#N/A</v>
      </c>
    </row>
    <row r="19">
      <c r="A19" s="2" t="str">
        <f>IFERROR(__xludf.DUMMYFUNCTION("""COMPUTED_VALUE"""),"PR053")</f>
        <v>PR053</v>
      </c>
      <c r="B19" s="2" t="str">
        <f>IFERROR(__xludf.DUMMYFUNCTION("""COMPUTED_VALUE"""),"VD013")</f>
        <v>VD013</v>
      </c>
      <c r="C19" s="2">
        <f>IFERROR(__xludf.DUMMYFUNCTION("""COMPUTED_VALUE"""),9.0)</f>
        <v>9</v>
      </c>
      <c r="D19" s="6">
        <f>IFERROR(__xludf.DUMMYFUNCTION("""COMPUTED_VALUE"""),511.97)</f>
        <v>511.97</v>
      </c>
      <c r="E19" s="6">
        <f>IFERROR(__xludf.DUMMYFUNCTION("GOOGLEFINANCE(""Currency:BRLMXN"")*D19"),1739.16209)</f>
        <v>1739.16209</v>
      </c>
      <c r="F19" s="6">
        <f>IFERROR(__xludf.DUMMYFUNCTION("GOOGLEFINANCE(""Currency:BRLPEN"")*D19"),335.647532)</f>
        <v>335.647532</v>
      </c>
      <c r="G19" s="2" t="str">
        <f t="array" ref="G19">_xlfn.XLOOKUP(B19,Vendedores!$A$2:$A$41,Vendedores!$B$2:$B$41,"No hay datos")</f>
        <v>No hay datos</v>
      </c>
      <c r="H19" s="2" t="str">
        <f t="array" ref="H19">_xlfn.XLOOKUP(B19,Vendedores!$A$2:$A$41,Vendedores!$C$2:$C$41,"No hay datos")</f>
        <v>No hay datos</v>
      </c>
      <c r="I19" s="2" t="str">
        <f t="array" ref="I19">_xlfn.XLOOKUP(B19,Vendedores!$A$2:$A$41,Vendedores!$D$2:$D$41,"No hay datos")</f>
        <v>No hay datos</v>
      </c>
      <c r="J19" s="2" t="str">
        <f t="array" ref="J19">_xlfn.XLOOKUP(A19,Productos!$A$2:$A$61,Productos!$B$2:$F$61)</f>
        <v>#N/A</v>
      </c>
    </row>
    <row r="20">
      <c r="A20" s="2" t="str">
        <f>IFERROR(__xludf.DUMMYFUNCTION("""COMPUTED_VALUE"""),"PR054")</f>
        <v>PR054</v>
      </c>
      <c r="B20" s="2" t="str">
        <f>IFERROR(__xludf.DUMMYFUNCTION("""COMPUTED_VALUE"""),"VD028")</f>
        <v>VD028</v>
      </c>
      <c r="C20" s="2">
        <f>IFERROR(__xludf.DUMMYFUNCTION("""COMPUTED_VALUE"""),9.0)</f>
        <v>9</v>
      </c>
      <c r="D20" s="6">
        <f>IFERROR(__xludf.DUMMYFUNCTION("""COMPUTED_VALUE"""),538.92)</f>
        <v>538.92</v>
      </c>
      <c r="E20" s="6">
        <f>IFERROR(__xludf.DUMMYFUNCTION("GOOGLEFINANCE(""Currency:BRLMXN"")*D20"),1830.7112399999999)</f>
        <v>1830.71124</v>
      </c>
      <c r="F20" s="6">
        <f>IFERROR(__xludf.DUMMYFUNCTION("GOOGLEFINANCE(""Currency:BRLPEN"")*D20"),353.3159519999999)</f>
        <v>353.315952</v>
      </c>
      <c r="G20" s="2" t="str">
        <f t="array" ref="G20">_xlfn.XLOOKUP(B20,Vendedores!$A$2:$A$41,Vendedores!$B$2:$B$41,"No hay datos")</f>
        <v>No hay datos</v>
      </c>
      <c r="H20" s="2" t="str">
        <f t="array" ref="H20">_xlfn.XLOOKUP(B20,Vendedores!$A$2:$A$41,Vendedores!$C$2:$C$41,"No hay datos")</f>
        <v>No hay datos</v>
      </c>
      <c r="I20" s="2" t="str">
        <f t="array" ref="I20">_xlfn.XLOOKUP(B20,Vendedores!$A$2:$A$41,Vendedores!$D$2:$D$41,"No hay datos")</f>
        <v>No hay datos</v>
      </c>
      <c r="J20" s="2" t="str">
        <f t="array" ref="J20">_xlfn.XLOOKUP(A20,Productos!$A$2:$A$61,Productos!$B$2:$F$61)</f>
        <v>#N/A</v>
      </c>
    </row>
    <row r="21">
      <c r="A21" s="2" t="str">
        <f>IFERROR(__xludf.DUMMYFUNCTION("""COMPUTED_VALUE"""),"PR020")</f>
        <v>PR020</v>
      </c>
      <c r="B21" s="2" t="str">
        <f>IFERROR(__xludf.DUMMYFUNCTION("""COMPUTED_VALUE"""),"VD047")</f>
        <v>VD047</v>
      </c>
      <c r="C21" s="2">
        <f>IFERROR(__xludf.DUMMYFUNCTION("""COMPUTED_VALUE"""),27.0)</f>
        <v>27</v>
      </c>
      <c r="D21" s="6">
        <f>IFERROR(__xludf.DUMMYFUNCTION("""COMPUTED_VALUE"""),8907.03)</f>
        <v>8907.03</v>
      </c>
      <c r="E21" s="6">
        <f>IFERROR(__xludf.DUMMYFUNCTION("GOOGLEFINANCE(""Currency:BRLMXN"")*D21"),30257.18091)</f>
        <v>30257.18091</v>
      </c>
      <c r="F21" s="6">
        <f>IFERROR(__xludf.DUMMYFUNCTION("GOOGLEFINANCE(""Currency:BRLPEN"")*D21"),5839.448868)</f>
        <v>5839.448868</v>
      </c>
      <c r="G21" s="2" t="str">
        <f t="array" ref="G21">_xlfn.XLOOKUP(B21,Vendedores!$A$2:$A$41,Vendedores!$B$2:$B$41,"No hay datos")</f>
        <v>No hay datos</v>
      </c>
      <c r="H21" s="2" t="str">
        <f t="array" ref="H21">_xlfn.XLOOKUP(B21,Vendedores!$A$2:$A$41,Vendedores!$C$2:$C$41,"No hay datos")</f>
        <v>No hay datos</v>
      </c>
      <c r="I21" s="2" t="str">
        <f t="array" ref="I21">_xlfn.XLOOKUP(B21,Vendedores!$A$2:$A$41,Vendedores!$D$2:$D$41,"No hay datos")</f>
        <v>No hay datos</v>
      </c>
      <c r="J21" s="2" t="str">
        <f t="array" ref="J21">_xlfn.XLOOKUP(A21,Productos!$A$2:$A$61,Productos!$B$2:$F$61)</f>
        <v>#N/A</v>
      </c>
    </row>
    <row r="22">
      <c r="A22" s="2" t="str">
        <f>IFERROR(__xludf.DUMMYFUNCTION("""COMPUTED_VALUE"""),"PR047")</f>
        <v>PR047</v>
      </c>
      <c r="B22" s="2" t="str">
        <f>IFERROR(__xludf.DUMMYFUNCTION("""COMPUTED_VALUE"""),"VD017")</f>
        <v>VD017</v>
      </c>
      <c r="C22" s="2">
        <f>IFERROR(__xludf.DUMMYFUNCTION("""COMPUTED_VALUE"""),12.0)</f>
        <v>12</v>
      </c>
      <c r="D22" s="6">
        <f>IFERROR(__xludf.DUMMYFUNCTION("""COMPUTED_VALUE"""),4174.56)</f>
        <v>4174.56</v>
      </c>
      <c r="E22" s="6">
        <f>IFERROR(__xludf.DUMMYFUNCTION("GOOGLEFINANCE(""Currency:BRLMXN"")*D22"),14180.98032)</f>
        <v>14180.98032</v>
      </c>
      <c r="F22" s="6">
        <f>IFERROR(__xludf.DUMMYFUNCTION("GOOGLEFINANCE(""Currency:BRLPEN"")*D22"),2736.841536)</f>
        <v>2736.841536</v>
      </c>
      <c r="G22" s="2" t="str">
        <f t="array" ref="G22">_xlfn.XLOOKUP(B22,Vendedores!$A$2:$A$41,Vendedores!$B$2:$B$41,"No hay datos")</f>
        <v>No hay datos</v>
      </c>
      <c r="H22" s="2" t="str">
        <f t="array" ref="H22">_xlfn.XLOOKUP(B22,Vendedores!$A$2:$A$41,Vendedores!$C$2:$C$41,"No hay datos")</f>
        <v>No hay datos</v>
      </c>
      <c r="I22" s="2" t="str">
        <f t="array" ref="I22">_xlfn.XLOOKUP(B22,Vendedores!$A$2:$A$41,Vendedores!$D$2:$D$41,"No hay datos")</f>
        <v>No hay datos</v>
      </c>
      <c r="J22" s="2" t="str">
        <f t="array" ref="J22">_xlfn.XLOOKUP(A22,Productos!$A$2:$A$61,Productos!$B$2:$F$61)</f>
        <v>#N/A</v>
      </c>
    </row>
    <row r="23">
      <c r="A23" s="2" t="str">
        <f>IFERROR(__xludf.DUMMYFUNCTION("""COMPUTED_VALUE"""),"PR047")</f>
        <v>PR047</v>
      </c>
      <c r="B23" s="2" t="str">
        <f>IFERROR(__xludf.DUMMYFUNCTION("""COMPUTED_VALUE"""),"VD040")</f>
        <v>VD040</v>
      </c>
      <c r="C23" s="2">
        <f>IFERROR(__xludf.DUMMYFUNCTION("""COMPUTED_VALUE"""),15.0)</f>
        <v>15</v>
      </c>
      <c r="D23" s="6">
        <f>IFERROR(__xludf.DUMMYFUNCTION("""COMPUTED_VALUE"""),4826.84)</f>
        <v>4826.84</v>
      </c>
      <c r="E23" s="6">
        <f>IFERROR(__xludf.DUMMYFUNCTION("GOOGLEFINANCE(""Currency:BRLMXN"")*D23"),16396.77548)</f>
        <v>16396.77548</v>
      </c>
      <c r="F23" s="6">
        <f>IFERROR(__xludf.DUMMYFUNCTION("GOOGLEFINANCE(""Currency:BRLPEN"")*D23"),3164.476304)</f>
        <v>3164.476304</v>
      </c>
      <c r="G23" s="2" t="str">
        <f t="array" ref="G23">_xlfn.XLOOKUP(B23,Vendedores!$A$2:$A$41,Vendedores!$B$2:$B$41,"No hay datos")</f>
        <v>No hay datos</v>
      </c>
      <c r="H23" s="2" t="str">
        <f t="array" ref="H23">_xlfn.XLOOKUP(B23,Vendedores!$A$2:$A$41,Vendedores!$C$2:$C$41,"No hay datos")</f>
        <v>No hay datos</v>
      </c>
      <c r="I23" s="2" t="str">
        <f t="array" ref="I23">_xlfn.XLOOKUP(B23,Vendedores!$A$2:$A$41,Vendedores!$D$2:$D$41,"No hay datos")</f>
        <v>No hay datos</v>
      </c>
      <c r="J23" s="2" t="str">
        <f t="array" ref="J23">_xlfn.XLOOKUP(A23,Productos!$A$2:$A$61,Productos!$B$2:$F$61)</f>
        <v>#N/A</v>
      </c>
    </row>
    <row r="24">
      <c r="A24" s="2" t="str">
        <f>IFERROR(__xludf.DUMMYFUNCTION("""COMPUTED_VALUE"""),"PR003")</f>
        <v>PR003</v>
      </c>
      <c r="B24" s="2" t="str">
        <f>IFERROR(__xludf.DUMMYFUNCTION("""COMPUTED_VALUE"""),"VD033")</f>
        <v>VD033</v>
      </c>
      <c r="C24" s="2">
        <f>IFERROR(__xludf.DUMMYFUNCTION("""COMPUTED_VALUE"""),8.0)</f>
        <v>8</v>
      </c>
      <c r="D24" s="6">
        <f>IFERROR(__xludf.DUMMYFUNCTION("""COMPUTED_VALUE"""),629.59)</f>
        <v>629.59</v>
      </c>
      <c r="E24" s="6">
        <f>IFERROR(__xludf.DUMMYFUNCTION("GOOGLEFINANCE(""Currency:BRLMXN"")*D24"),2138.71723)</f>
        <v>2138.71723</v>
      </c>
      <c r="F24" s="6">
        <f>IFERROR(__xludf.DUMMYFUNCTION("GOOGLEFINANCE(""Currency:BRLPEN"")*D24"),412.759204)</f>
        <v>412.759204</v>
      </c>
      <c r="G24" s="2" t="str">
        <f t="array" ref="G24">_xlfn.XLOOKUP(B24,Vendedores!$A$2:$A$41,Vendedores!$B$2:$B$41,"No hay datos")</f>
        <v>No hay datos</v>
      </c>
      <c r="H24" s="2" t="str">
        <f t="array" ref="H24">_xlfn.XLOOKUP(B24,Vendedores!$A$2:$A$41,Vendedores!$C$2:$C$41,"No hay datos")</f>
        <v>No hay datos</v>
      </c>
      <c r="I24" s="2" t="str">
        <f t="array" ref="I24">_xlfn.XLOOKUP(B24,Vendedores!$A$2:$A$41,Vendedores!$D$2:$D$41,"No hay datos")</f>
        <v>No hay datos</v>
      </c>
      <c r="J24" s="2" t="str">
        <f t="array" ref="J24">_xlfn.XLOOKUP(A24,Productos!$A$2:$A$61,Productos!$B$2:$F$61)</f>
        <v>#N/A</v>
      </c>
    </row>
    <row r="25">
      <c r="A25" s="2" t="str">
        <f>IFERROR(__xludf.DUMMYFUNCTION("""COMPUTED_VALUE"""),"PR058")</f>
        <v>PR058</v>
      </c>
      <c r="B25" s="2" t="str">
        <f>IFERROR(__xludf.DUMMYFUNCTION("""COMPUTED_VALUE"""),"VD014")</f>
        <v>VD014</v>
      </c>
      <c r="C25" s="2">
        <f>IFERROR(__xludf.DUMMYFUNCTION("""COMPUTED_VALUE"""),21.0)</f>
        <v>21</v>
      </c>
      <c r="D25" s="6">
        <f>IFERROR(__xludf.DUMMYFUNCTION("""COMPUTED_VALUE"""),4536.0)</f>
        <v>4536</v>
      </c>
      <c r="E25" s="6">
        <f>IFERROR(__xludf.DUMMYFUNCTION("GOOGLEFINANCE(""Currency:BRLMXN"")*D25"),15408.792)</f>
        <v>15408.792</v>
      </c>
      <c r="F25" s="6">
        <f>IFERROR(__xludf.DUMMYFUNCTION("GOOGLEFINANCE(""Currency:BRLPEN"")*D25"),2973.8016)</f>
        <v>2973.8016</v>
      </c>
      <c r="G25" s="2" t="str">
        <f t="array" ref="G25">_xlfn.XLOOKUP(B25,Vendedores!$A$2:$A$41,Vendedores!$B$2:$B$41,"No hay datos")</f>
        <v>No hay datos</v>
      </c>
      <c r="H25" s="2" t="str">
        <f t="array" ref="H25">_xlfn.XLOOKUP(B25,Vendedores!$A$2:$A$41,Vendedores!$C$2:$C$41,"No hay datos")</f>
        <v>No hay datos</v>
      </c>
      <c r="I25" s="2" t="str">
        <f t="array" ref="I25">_xlfn.XLOOKUP(B25,Vendedores!$A$2:$A$41,Vendedores!$D$2:$D$41,"No hay datos")</f>
        <v>No hay datos</v>
      </c>
      <c r="J25" s="2" t="str">
        <f t="array" ref="J25">_xlfn.XLOOKUP(A25,Productos!$A$2:$A$61,Productos!$B$2:$F$61)</f>
        <v>#N/A</v>
      </c>
    </row>
    <row r="26">
      <c r="A26" s="2" t="str">
        <f>IFERROR(__xludf.DUMMYFUNCTION("""COMPUTED_VALUE"""),"PR049")</f>
        <v>PR049</v>
      </c>
      <c r="B26" s="2" t="str">
        <f>IFERROR(__xludf.DUMMYFUNCTION("""COMPUTED_VALUE"""),"VD029")</f>
        <v>VD029</v>
      </c>
      <c r="C26" s="2">
        <f>IFERROR(__xludf.DUMMYFUNCTION("""COMPUTED_VALUE"""),12.0)</f>
        <v>12</v>
      </c>
      <c r="D26" s="6">
        <f>IFERROR(__xludf.DUMMYFUNCTION("""COMPUTED_VALUE"""),473.76)</f>
        <v>473.76</v>
      </c>
      <c r="E26" s="6">
        <f>IFERROR(__xludf.DUMMYFUNCTION("GOOGLEFINANCE(""Currency:BRLMXN"")*D26"),1609.3627199999999)</f>
        <v>1609.36272</v>
      </c>
      <c r="F26" s="6">
        <f>IFERROR(__xludf.DUMMYFUNCTION("GOOGLEFINANCE(""Currency:BRLPEN"")*D26"),310.59705599999995)</f>
        <v>310.597056</v>
      </c>
      <c r="G26" s="2" t="str">
        <f t="array" ref="G26">_xlfn.XLOOKUP(B26,Vendedores!$A$2:$A$41,Vendedores!$B$2:$B$41,"No hay datos")</f>
        <v>No hay datos</v>
      </c>
      <c r="H26" s="2" t="str">
        <f t="array" ref="H26">_xlfn.XLOOKUP(B26,Vendedores!$A$2:$A$41,Vendedores!$C$2:$C$41,"No hay datos")</f>
        <v>No hay datos</v>
      </c>
      <c r="I26" s="2" t="str">
        <f t="array" ref="I26">_xlfn.XLOOKUP(B26,Vendedores!$A$2:$A$41,Vendedores!$D$2:$D$41,"No hay datos")</f>
        <v>No hay datos</v>
      </c>
      <c r="J26" s="2" t="str">
        <f t="array" ref="J26">_xlfn.XLOOKUP(A26,Productos!$A$2:$A$61,Productos!$B$2:$F$61)</f>
        <v>#N/A</v>
      </c>
    </row>
    <row r="27">
      <c r="A27" s="2" t="str">
        <f>IFERROR(__xludf.DUMMYFUNCTION("""COMPUTED_VALUE"""),"PR035")</f>
        <v>PR035</v>
      </c>
      <c r="B27" s="2" t="str">
        <f>IFERROR(__xludf.DUMMYFUNCTION("""COMPUTED_VALUE"""),"VD010")</f>
        <v>VD010</v>
      </c>
      <c r="C27" s="2">
        <f>IFERROR(__xludf.DUMMYFUNCTION("""COMPUTED_VALUE"""),27.0)</f>
        <v>27</v>
      </c>
      <c r="D27" s="6">
        <f>IFERROR(__xludf.DUMMYFUNCTION("""COMPUTED_VALUE"""),2763.94)</f>
        <v>2763.94</v>
      </c>
      <c r="E27" s="6">
        <f>IFERROR(__xludf.DUMMYFUNCTION("GOOGLEFINANCE(""Currency:BRLMXN"")*D27"),9389.10418)</f>
        <v>9389.10418</v>
      </c>
      <c r="F27" s="6">
        <f>IFERROR(__xludf.DUMMYFUNCTION("GOOGLEFINANCE(""Currency:BRLPEN"")*D27"),1812.0390639999998)</f>
        <v>1812.039064</v>
      </c>
      <c r="G27" s="2" t="str">
        <f t="array" ref="G27">_xlfn.XLOOKUP(B27,Vendedores!$A$2:$A$41,Vendedores!$B$2:$B$41,"No hay datos")</f>
        <v>No hay datos</v>
      </c>
      <c r="H27" s="2" t="str">
        <f t="array" ref="H27">_xlfn.XLOOKUP(B27,Vendedores!$A$2:$A$41,Vendedores!$C$2:$C$41,"No hay datos")</f>
        <v>No hay datos</v>
      </c>
      <c r="I27" s="2" t="str">
        <f t="array" ref="I27">_xlfn.XLOOKUP(B27,Vendedores!$A$2:$A$41,Vendedores!$D$2:$D$41,"No hay datos")</f>
        <v>No hay datos</v>
      </c>
      <c r="J27" s="2" t="str">
        <f t="array" ref="J27">_xlfn.XLOOKUP(A27,Productos!$A$2:$A$61,Productos!$B$2:$F$61)</f>
        <v>#N/A</v>
      </c>
    </row>
    <row r="28">
      <c r="A28" s="2" t="str">
        <f>IFERROR(__xludf.DUMMYFUNCTION("""COMPUTED_VALUE"""),"PR003")</f>
        <v>PR003</v>
      </c>
      <c r="B28" s="2" t="str">
        <f>IFERROR(__xludf.DUMMYFUNCTION("""COMPUTED_VALUE"""),"VD024")</f>
        <v>VD024</v>
      </c>
      <c r="C28" s="2">
        <f>IFERROR(__xludf.DUMMYFUNCTION("""COMPUTED_VALUE"""),18.0)</f>
        <v>18</v>
      </c>
      <c r="D28" s="6">
        <f>IFERROR(__xludf.DUMMYFUNCTION("""COMPUTED_VALUE"""),1480.39)</f>
        <v>1480.39</v>
      </c>
      <c r="E28" s="6">
        <f>IFERROR(__xludf.DUMMYFUNCTION("GOOGLEFINANCE(""Currency:BRLMXN"")*D28"),5028.88483)</f>
        <v>5028.88483</v>
      </c>
      <c r="F28" s="6">
        <f>IFERROR(__xludf.DUMMYFUNCTION("GOOGLEFINANCE(""Currency:BRLPEN"")*D28"),970.543684)</f>
        <v>970.543684</v>
      </c>
      <c r="G28" s="2" t="str">
        <f t="array" ref="G28">_xlfn.XLOOKUP(B28,Vendedores!$A$2:$A$41,Vendedores!$B$2:$B$41,"No hay datos")</f>
        <v>No hay datos</v>
      </c>
      <c r="H28" s="2" t="str">
        <f t="array" ref="H28">_xlfn.XLOOKUP(B28,Vendedores!$A$2:$A$41,Vendedores!$C$2:$C$41,"No hay datos")</f>
        <v>No hay datos</v>
      </c>
      <c r="I28" s="2" t="str">
        <f t="array" ref="I28">_xlfn.XLOOKUP(B28,Vendedores!$A$2:$A$41,Vendedores!$D$2:$D$41,"No hay datos")</f>
        <v>No hay datos</v>
      </c>
      <c r="J28" s="2" t="str">
        <f t="array" ref="J28">_xlfn.XLOOKUP(A28,Productos!$A$2:$A$61,Productos!$B$2:$F$61)</f>
        <v>#N/A</v>
      </c>
    </row>
    <row r="29">
      <c r="A29" s="2" t="str">
        <f>IFERROR(__xludf.DUMMYFUNCTION("""COMPUTED_VALUE"""),"PR006")</f>
        <v>PR006</v>
      </c>
      <c r="B29" s="2" t="str">
        <f>IFERROR(__xludf.DUMMYFUNCTION("""COMPUTED_VALUE"""),"VD021")</f>
        <v>VD021</v>
      </c>
      <c r="C29" s="2">
        <f>IFERROR(__xludf.DUMMYFUNCTION("""COMPUTED_VALUE"""),27.0)</f>
        <v>27</v>
      </c>
      <c r="D29" s="6">
        <f>IFERROR(__xludf.DUMMYFUNCTION("""COMPUTED_VALUE"""),1249.67)</f>
        <v>1249.67</v>
      </c>
      <c r="E29" s="6">
        <f>IFERROR(__xludf.DUMMYFUNCTION("GOOGLEFINANCE(""Currency:BRLMXN"")*D29"),4245.12899)</f>
        <v>4245.12899</v>
      </c>
      <c r="F29" s="6">
        <f>IFERROR(__xludf.DUMMYFUNCTION("GOOGLEFINANCE(""Currency:BRLPEN"")*D29"),819.283652)</f>
        <v>819.283652</v>
      </c>
      <c r="G29" s="2" t="str">
        <f t="array" ref="G29">_xlfn.XLOOKUP(B29,Vendedores!$A$2:$A$41,Vendedores!$B$2:$B$41,"No hay datos")</f>
        <v>No hay datos</v>
      </c>
      <c r="H29" s="2" t="str">
        <f t="array" ref="H29">_xlfn.XLOOKUP(B29,Vendedores!$A$2:$A$41,Vendedores!$C$2:$C$41,"No hay datos")</f>
        <v>No hay datos</v>
      </c>
      <c r="I29" s="2" t="str">
        <f t="array" ref="I29">_xlfn.XLOOKUP(B29,Vendedores!$A$2:$A$41,Vendedores!$D$2:$D$41,"No hay datos")</f>
        <v>No hay datos</v>
      </c>
      <c r="J29" s="2" t="str">
        <f t="array" ref="J29">_xlfn.XLOOKUP(A29,Productos!$A$2:$A$61,Productos!$B$2:$F$61)</f>
        <v>#N/A</v>
      </c>
    </row>
    <row r="30">
      <c r="A30" s="2" t="str">
        <f>IFERROR(__xludf.DUMMYFUNCTION("""COMPUTED_VALUE"""),"PR002")</f>
        <v>PR002</v>
      </c>
      <c r="B30" s="2" t="str">
        <f>IFERROR(__xludf.DUMMYFUNCTION("""COMPUTED_VALUE"""),"VD040")</f>
        <v>VD040</v>
      </c>
      <c r="C30" s="2">
        <f>IFERROR(__xludf.DUMMYFUNCTION("""COMPUTED_VALUE"""),24.0)</f>
        <v>24</v>
      </c>
      <c r="D30" s="6">
        <f>IFERROR(__xludf.DUMMYFUNCTION("""COMPUTED_VALUE"""),1996.34)</f>
        <v>1996.34</v>
      </c>
      <c r="E30" s="6">
        <f>IFERROR(__xludf.DUMMYFUNCTION("GOOGLEFINANCE(""Currency:BRLMXN"")*D30"),6781.56698)</f>
        <v>6781.56698</v>
      </c>
      <c r="F30" s="6">
        <f>IFERROR(__xludf.DUMMYFUNCTION("GOOGLEFINANCE(""Currency:BRLPEN"")*D30"),1308.8005039999998)</f>
        <v>1308.800504</v>
      </c>
      <c r="G30" s="2" t="str">
        <f t="array" ref="G30">_xlfn.XLOOKUP(B30,Vendedores!$A$2:$A$41,Vendedores!$B$2:$B$41,"No hay datos")</f>
        <v>No hay datos</v>
      </c>
      <c r="H30" s="2" t="str">
        <f t="array" ref="H30">_xlfn.XLOOKUP(B30,Vendedores!$A$2:$A$41,Vendedores!$C$2:$C$41,"No hay datos")</f>
        <v>No hay datos</v>
      </c>
      <c r="I30" s="2" t="str">
        <f t="array" ref="I30">_xlfn.XLOOKUP(B30,Vendedores!$A$2:$A$41,Vendedores!$D$2:$D$41,"No hay datos")</f>
        <v>No hay datos</v>
      </c>
      <c r="J30" s="2" t="str">
        <f t="array" ref="J30">_xlfn.XLOOKUP(A30,Productos!$A$2:$A$61,Productos!$B$2:$F$61)</f>
        <v>#N/A</v>
      </c>
    </row>
    <row r="31">
      <c r="A31" s="2" t="str">
        <f>IFERROR(__xludf.DUMMYFUNCTION("""COMPUTED_VALUE"""),"PR038")</f>
        <v>PR038</v>
      </c>
      <c r="B31" s="2" t="str">
        <f>IFERROR(__xludf.DUMMYFUNCTION("""COMPUTED_VALUE"""),"VD016")</f>
        <v>VD016</v>
      </c>
      <c r="C31" s="2">
        <f>IFERROR(__xludf.DUMMYFUNCTION("""COMPUTED_VALUE"""),12.0)</f>
        <v>12</v>
      </c>
      <c r="D31" s="6">
        <f>IFERROR(__xludf.DUMMYFUNCTION("""COMPUTED_VALUE"""),1972.02)</f>
        <v>1972.02</v>
      </c>
      <c r="E31" s="6">
        <f>IFERROR(__xludf.DUMMYFUNCTION("GOOGLEFINANCE(""Currency:BRLMXN"")*D31"),6698.95194)</f>
        <v>6698.95194</v>
      </c>
      <c r="F31" s="6">
        <f>IFERROR(__xludf.DUMMYFUNCTION("GOOGLEFINANCE(""Currency:BRLPEN"")*D31"),1292.856312)</f>
        <v>1292.856312</v>
      </c>
      <c r="G31" s="2" t="str">
        <f t="array" ref="G31">_xlfn.XLOOKUP(B31,Vendedores!$A$2:$A$41,Vendedores!$B$2:$B$41,"No hay datos")</f>
        <v>No hay datos</v>
      </c>
      <c r="H31" s="2" t="str">
        <f t="array" ref="H31">_xlfn.XLOOKUP(B31,Vendedores!$A$2:$A$41,Vendedores!$C$2:$C$41,"No hay datos")</f>
        <v>No hay datos</v>
      </c>
      <c r="I31" s="2" t="str">
        <f t="array" ref="I31">_xlfn.XLOOKUP(B31,Vendedores!$A$2:$A$41,Vendedores!$D$2:$D$41,"No hay datos")</f>
        <v>No hay datos</v>
      </c>
      <c r="J31" s="2" t="str">
        <f t="array" ref="J31">_xlfn.XLOOKUP(A31,Productos!$A$2:$A$61,Productos!$B$2:$F$61)</f>
        <v>#N/A</v>
      </c>
    </row>
    <row r="32">
      <c r="A32" s="2" t="str">
        <f>IFERROR(__xludf.DUMMYFUNCTION("""COMPUTED_VALUE"""),"PR027")</f>
        <v>PR027</v>
      </c>
      <c r="B32" s="2" t="str">
        <f>IFERROR(__xludf.DUMMYFUNCTION("""COMPUTED_VALUE"""),"VD035")</f>
        <v>VD035</v>
      </c>
      <c r="C32" s="2">
        <f>IFERROR(__xludf.DUMMYFUNCTION("""COMPUTED_VALUE"""),30.0)</f>
        <v>30</v>
      </c>
      <c r="D32" s="6">
        <f>IFERROR(__xludf.DUMMYFUNCTION("""COMPUTED_VALUE"""),3996.0)</f>
        <v>3996</v>
      </c>
      <c r="E32" s="6">
        <f>IFERROR(__xludf.DUMMYFUNCTION("GOOGLEFINANCE(""Currency:BRLMXN"")*D32"),13574.411999999998)</f>
        <v>13574.412</v>
      </c>
      <c r="F32" s="6">
        <f>IFERROR(__xludf.DUMMYFUNCTION("GOOGLEFINANCE(""Currency:BRLPEN"")*D32"),2619.7776)</f>
        <v>2619.7776</v>
      </c>
      <c r="G32" s="2" t="str">
        <f t="array" ref="G32">_xlfn.XLOOKUP(B32,Vendedores!$A$2:$A$41,Vendedores!$B$2:$B$41,"No hay datos")</f>
        <v>No hay datos</v>
      </c>
      <c r="H32" s="2" t="str">
        <f t="array" ref="H32">_xlfn.XLOOKUP(B32,Vendedores!$A$2:$A$41,Vendedores!$C$2:$C$41,"No hay datos")</f>
        <v>No hay datos</v>
      </c>
      <c r="I32" s="2" t="str">
        <f t="array" ref="I32">_xlfn.XLOOKUP(B32,Vendedores!$A$2:$A$41,Vendedores!$D$2:$D$41,"No hay datos")</f>
        <v>No hay datos</v>
      </c>
      <c r="J32" s="2" t="str">
        <f t="array" ref="J32">_xlfn.XLOOKUP(A32,Productos!$A$2:$A$61,Productos!$B$2:$F$61)</f>
        <v>#N/A</v>
      </c>
    </row>
    <row r="33">
      <c r="A33" s="2" t="str">
        <f>IFERROR(__xludf.DUMMYFUNCTION("""COMPUTED_VALUE"""),"PR059")</f>
        <v>PR059</v>
      </c>
      <c r="B33" s="2" t="str">
        <f>IFERROR(__xludf.DUMMYFUNCTION("""COMPUTED_VALUE"""),"VD049")</f>
        <v>VD049</v>
      </c>
      <c r="C33" s="2">
        <f>IFERROR(__xludf.DUMMYFUNCTION("""COMPUTED_VALUE"""),12.0)</f>
        <v>12</v>
      </c>
      <c r="D33" s="6">
        <f>IFERROR(__xludf.DUMMYFUNCTION("""COMPUTED_VALUE"""),2419.2)</f>
        <v>2419.2</v>
      </c>
      <c r="E33" s="6">
        <f>IFERROR(__xludf.DUMMYFUNCTION("GOOGLEFINANCE(""Currency:BRLMXN"")*D33"),8218.022399999998)</f>
        <v>8218.0224</v>
      </c>
      <c r="F33" s="6">
        <f>IFERROR(__xludf.DUMMYFUNCTION("GOOGLEFINANCE(""Currency:BRLPEN"")*D33"),1586.0275199999999)</f>
        <v>1586.02752</v>
      </c>
      <c r="G33" s="2" t="str">
        <f t="array" ref="G33">_xlfn.XLOOKUP(B33,Vendedores!$A$2:$A$41,Vendedores!$B$2:$B$41,"No hay datos")</f>
        <v>No hay datos</v>
      </c>
      <c r="H33" s="2" t="str">
        <f t="array" ref="H33">_xlfn.XLOOKUP(B33,Vendedores!$A$2:$A$41,Vendedores!$C$2:$C$41,"No hay datos")</f>
        <v>No hay datos</v>
      </c>
      <c r="I33" s="2" t="str">
        <f t="array" ref="I33">_xlfn.XLOOKUP(B33,Vendedores!$A$2:$A$41,Vendedores!$D$2:$D$41,"No hay datos")</f>
        <v>No hay datos</v>
      </c>
      <c r="J33" s="2" t="str">
        <f t="array" ref="J33">_xlfn.XLOOKUP(A33,Productos!$A$2:$A$61,Productos!$B$2:$F$61)</f>
        <v>#N/A</v>
      </c>
    </row>
    <row r="34">
      <c r="A34" s="2" t="str">
        <f>IFERROR(__xludf.DUMMYFUNCTION("""COMPUTED_VALUE"""),"PR035")</f>
        <v>PR035</v>
      </c>
      <c r="B34" s="2" t="str">
        <f>IFERROR(__xludf.DUMMYFUNCTION("""COMPUTED_VALUE"""),"VD019")</f>
        <v>VD019</v>
      </c>
      <c r="C34" s="2">
        <f>IFERROR(__xludf.DUMMYFUNCTION("""COMPUTED_VALUE"""),21.0)</f>
        <v>21</v>
      </c>
      <c r="D34" s="6">
        <f>IFERROR(__xludf.DUMMYFUNCTION("""COMPUTED_VALUE"""),2207.31)</f>
        <v>2207.31</v>
      </c>
      <c r="E34" s="6">
        <f>IFERROR(__xludf.DUMMYFUNCTION("GOOGLEFINANCE(""Currency:BRLMXN"")*D34"),7498.232069999999)</f>
        <v>7498.23207</v>
      </c>
      <c r="F34" s="6">
        <f>IFERROR(__xludf.DUMMYFUNCTION("GOOGLEFINANCE(""Currency:BRLPEN"")*D34"),1447.112436)</f>
        <v>1447.112436</v>
      </c>
      <c r="G34" s="2" t="str">
        <f t="array" ref="G34">_xlfn.XLOOKUP(B34,Vendedores!$A$2:$A$41,Vendedores!$B$2:$B$41,"No hay datos")</f>
        <v>No hay datos</v>
      </c>
      <c r="H34" s="2" t="str">
        <f t="array" ref="H34">_xlfn.XLOOKUP(B34,Vendedores!$A$2:$A$41,Vendedores!$C$2:$C$41,"No hay datos")</f>
        <v>No hay datos</v>
      </c>
      <c r="I34" s="2" t="str">
        <f t="array" ref="I34">_xlfn.XLOOKUP(B34,Vendedores!$A$2:$A$41,Vendedores!$D$2:$D$41,"No hay datos")</f>
        <v>No hay datos</v>
      </c>
      <c r="J34" s="2" t="str">
        <f t="array" ref="J34">_xlfn.XLOOKUP(A34,Productos!$A$2:$A$61,Productos!$B$2:$F$61)</f>
        <v>#N/A</v>
      </c>
    </row>
    <row r="35">
      <c r="A35" s="2" t="str">
        <f>IFERROR(__xludf.DUMMYFUNCTION("""COMPUTED_VALUE"""),"PR028")</f>
        <v>PR028</v>
      </c>
      <c r="B35" s="2" t="str">
        <f>IFERROR(__xludf.DUMMYFUNCTION("""COMPUTED_VALUE"""),"VD011")</f>
        <v>VD011</v>
      </c>
      <c r="C35" s="2">
        <f>IFERROR(__xludf.DUMMYFUNCTION("""COMPUTED_VALUE"""),16.0)</f>
        <v>16</v>
      </c>
      <c r="D35" s="6">
        <f>IFERROR(__xludf.DUMMYFUNCTION("""COMPUTED_VALUE"""),4718.11)</f>
        <v>4718.11</v>
      </c>
      <c r="E35" s="6">
        <f>IFERROR(__xludf.DUMMYFUNCTION("GOOGLEFINANCE(""Currency:BRLMXN"")*D35"),16027.419669999997)</f>
        <v>16027.41967</v>
      </c>
      <c r="F35" s="6">
        <f>IFERROR(__xludf.DUMMYFUNCTION("GOOGLEFINANCE(""Currency:BRLPEN"")*D35"),3093.1929159999995)</f>
        <v>3093.192916</v>
      </c>
      <c r="G35" s="2" t="str">
        <f t="array" ref="G35">_xlfn.XLOOKUP(B35,Vendedores!$A$2:$A$41,Vendedores!$B$2:$B$41,"No hay datos")</f>
        <v>No hay datos</v>
      </c>
      <c r="H35" s="2" t="str">
        <f t="array" ref="H35">_xlfn.XLOOKUP(B35,Vendedores!$A$2:$A$41,Vendedores!$C$2:$C$41,"No hay datos")</f>
        <v>No hay datos</v>
      </c>
      <c r="I35" s="2" t="str">
        <f t="array" ref="I35">_xlfn.XLOOKUP(B35,Vendedores!$A$2:$A$41,Vendedores!$D$2:$D$41,"No hay datos")</f>
        <v>No hay datos</v>
      </c>
      <c r="J35" s="2" t="str">
        <f t="array" ref="J35">_xlfn.XLOOKUP(A35,Productos!$A$2:$A$61,Productos!$B$2:$F$61)</f>
        <v>#N/A</v>
      </c>
    </row>
    <row r="36">
      <c r="A36" s="2" t="str">
        <f>IFERROR(__xludf.DUMMYFUNCTION("""COMPUTED_VALUE"""),"PR018")</f>
        <v>PR018</v>
      </c>
      <c r="B36" s="2" t="str">
        <f>IFERROR(__xludf.DUMMYFUNCTION("""COMPUTED_VALUE"""),"VD016")</f>
        <v>VD016</v>
      </c>
      <c r="C36" s="2">
        <f>IFERROR(__xludf.DUMMYFUNCTION("""COMPUTED_VALUE"""),10.0)</f>
        <v>10</v>
      </c>
      <c r="D36" s="6">
        <f>IFERROR(__xludf.DUMMYFUNCTION("""COMPUTED_VALUE"""),378.35)</f>
        <v>378.35</v>
      </c>
      <c r="E36" s="6">
        <f>IFERROR(__xludf.DUMMYFUNCTION("GOOGLEFINANCE(""Currency:BRLMXN"")*D36"),1285.25495)</f>
        <v>1285.25495</v>
      </c>
      <c r="F36" s="6">
        <f>IFERROR(__xludf.DUMMYFUNCTION("GOOGLEFINANCE(""Currency:BRLPEN"")*D36"),248.04626)</f>
        <v>248.04626</v>
      </c>
      <c r="G36" s="2" t="str">
        <f t="array" ref="G36">_xlfn.XLOOKUP(B36,Vendedores!$A$2:$A$41,Vendedores!$B$2:$B$41,"No hay datos")</f>
        <v>No hay datos</v>
      </c>
      <c r="H36" s="2" t="str">
        <f t="array" ref="H36">_xlfn.XLOOKUP(B36,Vendedores!$A$2:$A$41,Vendedores!$C$2:$C$41,"No hay datos")</f>
        <v>No hay datos</v>
      </c>
      <c r="I36" s="2" t="str">
        <f t="array" ref="I36">_xlfn.XLOOKUP(B36,Vendedores!$A$2:$A$41,Vendedores!$D$2:$D$41,"No hay datos")</f>
        <v>No hay datos</v>
      </c>
      <c r="J36" s="2" t="str">
        <f t="array" ref="J36">_xlfn.XLOOKUP(A36,Productos!$A$2:$A$61,Productos!$B$2:$F$61)</f>
        <v>#N/A</v>
      </c>
    </row>
    <row r="37">
      <c r="A37" s="2" t="str">
        <f>IFERROR(__xludf.DUMMYFUNCTION("""COMPUTED_VALUE"""),"PR035")</f>
        <v>PR035</v>
      </c>
      <c r="B37" s="2" t="str">
        <f>IFERROR(__xludf.DUMMYFUNCTION("""COMPUTED_VALUE"""),"VD018")</f>
        <v>VD018</v>
      </c>
      <c r="C37" s="2">
        <f>IFERROR(__xludf.DUMMYFUNCTION("""COMPUTED_VALUE"""),28.0)</f>
        <v>28</v>
      </c>
      <c r="D37" s="6">
        <f>IFERROR(__xludf.DUMMYFUNCTION("""COMPUTED_VALUE"""),2149.73)</f>
        <v>2149.73</v>
      </c>
      <c r="E37" s="6">
        <f>IFERROR(__xludf.DUMMYFUNCTION("GOOGLEFINANCE(""Currency:BRLMXN"")*D37"),7302.63281)</f>
        <v>7302.63281</v>
      </c>
      <c r="F37" s="6">
        <f>IFERROR(__xludf.DUMMYFUNCTION("GOOGLEFINANCE(""Currency:BRLPEN"")*D37"),1409.3629879999999)</f>
        <v>1409.362988</v>
      </c>
      <c r="G37" s="2" t="str">
        <f t="array" ref="G37">_xlfn.XLOOKUP(B37,Vendedores!$A$2:$A$41,Vendedores!$B$2:$B$41,"No hay datos")</f>
        <v>No hay datos</v>
      </c>
      <c r="H37" s="2" t="str">
        <f t="array" ref="H37">_xlfn.XLOOKUP(B37,Vendedores!$A$2:$A$41,Vendedores!$C$2:$C$41,"No hay datos")</f>
        <v>No hay datos</v>
      </c>
      <c r="I37" s="2" t="str">
        <f t="array" ref="I37">_xlfn.XLOOKUP(B37,Vendedores!$A$2:$A$41,Vendedores!$D$2:$D$41,"No hay datos")</f>
        <v>No hay datos</v>
      </c>
      <c r="J37" s="2" t="str">
        <f t="array" ref="J37">_xlfn.XLOOKUP(A37,Productos!$A$2:$A$61,Productos!$B$2:$F$61)</f>
        <v>#N/A</v>
      </c>
    </row>
    <row r="38">
      <c r="A38" s="2" t="str">
        <f>IFERROR(__xludf.DUMMYFUNCTION("""COMPUTED_VALUE"""),"PR057")</f>
        <v>PR057</v>
      </c>
      <c r="B38" s="2" t="str">
        <f>IFERROR(__xludf.DUMMYFUNCTION("""COMPUTED_VALUE"""),"VD034")</f>
        <v>VD034</v>
      </c>
      <c r="C38" s="2">
        <f>IFERROR(__xludf.DUMMYFUNCTION("""COMPUTED_VALUE"""),9.0)</f>
        <v>9</v>
      </c>
      <c r="D38" s="6">
        <f>IFERROR(__xludf.DUMMYFUNCTION("""COMPUTED_VALUE"""),906.19)</f>
        <v>906.19</v>
      </c>
      <c r="E38" s="6">
        <f>IFERROR(__xludf.DUMMYFUNCTION("GOOGLEFINANCE(""Currency:BRLMXN"")*D38"),3078.32743)</f>
        <v>3078.32743</v>
      </c>
      <c r="F38" s="6">
        <f>IFERROR(__xludf.DUMMYFUNCTION("GOOGLEFINANCE(""Currency:BRLPEN"")*D38"),594.098164)</f>
        <v>594.098164</v>
      </c>
      <c r="G38" s="2" t="str">
        <f t="array" ref="G38">_xlfn.XLOOKUP(B38,Vendedores!$A$2:$A$41,Vendedores!$B$2:$B$41,"No hay datos")</f>
        <v>No hay datos</v>
      </c>
      <c r="H38" s="2" t="str">
        <f t="array" ref="H38">_xlfn.XLOOKUP(B38,Vendedores!$A$2:$A$41,Vendedores!$C$2:$C$41,"No hay datos")</f>
        <v>No hay datos</v>
      </c>
      <c r="I38" s="2" t="str">
        <f t="array" ref="I38">_xlfn.XLOOKUP(B38,Vendedores!$A$2:$A$41,Vendedores!$D$2:$D$41,"No hay datos")</f>
        <v>No hay datos</v>
      </c>
      <c r="J38" s="2" t="str">
        <f t="array" ref="J38">_xlfn.XLOOKUP(A38,Productos!$A$2:$A$61,Productos!$B$2:$F$61)</f>
        <v>#N/A</v>
      </c>
    </row>
    <row r="39">
      <c r="A39" s="2" t="str">
        <f>IFERROR(__xludf.DUMMYFUNCTION("""COMPUTED_VALUE"""),"PR004")</f>
        <v>PR004</v>
      </c>
      <c r="B39" s="2" t="str">
        <f>IFERROR(__xludf.DUMMYFUNCTION("""COMPUTED_VALUE"""),"VD024")</f>
        <v>VD024</v>
      </c>
      <c r="C39" s="2">
        <f>IFERROR(__xludf.DUMMYFUNCTION("""COMPUTED_VALUE"""),15.0)</f>
        <v>15</v>
      </c>
      <c r="D39" s="6">
        <f>IFERROR(__xludf.DUMMYFUNCTION("""COMPUTED_VALUE"""),2610.0)</f>
        <v>2610</v>
      </c>
      <c r="E39" s="6">
        <f>IFERROR(__xludf.DUMMYFUNCTION("GOOGLEFINANCE(""Currency:BRLMXN"")*D39"),8866.17)</f>
        <v>8866.17</v>
      </c>
      <c r="F39" s="6">
        <f>IFERROR(__xludf.DUMMYFUNCTION("GOOGLEFINANCE(""Currency:BRLPEN"")*D39"),1711.116)</f>
        <v>1711.116</v>
      </c>
      <c r="G39" s="2" t="str">
        <f t="array" ref="G39">_xlfn.XLOOKUP(B39,Vendedores!$A$2:$A$41,Vendedores!$B$2:$B$41,"No hay datos")</f>
        <v>No hay datos</v>
      </c>
      <c r="H39" s="2" t="str">
        <f t="array" ref="H39">_xlfn.XLOOKUP(B39,Vendedores!$A$2:$A$41,Vendedores!$C$2:$C$41,"No hay datos")</f>
        <v>No hay datos</v>
      </c>
      <c r="I39" s="2" t="str">
        <f t="array" ref="I39">_xlfn.XLOOKUP(B39,Vendedores!$A$2:$A$41,Vendedores!$D$2:$D$41,"No hay datos")</f>
        <v>No hay datos</v>
      </c>
      <c r="J39" s="2" t="str">
        <f t="array" ref="J39">_xlfn.XLOOKUP(A39,Productos!$A$2:$A$61,Productos!$B$2:$F$61)</f>
        <v>#N/A</v>
      </c>
    </row>
    <row r="40">
      <c r="A40" s="2" t="str">
        <f>IFERROR(__xludf.DUMMYFUNCTION("""COMPUTED_VALUE"""),"PR014")</f>
        <v>PR014</v>
      </c>
      <c r="B40" s="2" t="str">
        <f>IFERROR(__xludf.DUMMYFUNCTION("""COMPUTED_VALUE"""),"VD011")</f>
        <v>VD011</v>
      </c>
      <c r="C40" s="2">
        <f>IFERROR(__xludf.DUMMYFUNCTION("""COMPUTED_VALUE"""),12.0)</f>
        <v>12</v>
      </c>
      <c r="D40" s="6">
        <f>IFERROR(__xludf.DUMMYFUNCTION("""COMPUTED_VALUE"""),560.2)</f>
        <v>560.2</v>
      </c>
      <c r="E40" s="6">
        <f>IFERROR(__xludf.DUMMYFUNCTION("GOOGLEFINANCE(""Currency:BRLMXN"")*D40"),1902.9994000000002)</f>
        <v>1902.9994</v>
      </c>
      <c r="F40" s="6">
        <f>IFERROR(__xludf.DUMMYFUNCTION("GOOGLEFINANCE(""Currency:BRLPEN"")*D40"),367.26712000000003)</f>
        <v>367.26712</v>
      </c>
      <c r="G40" s="2" t="str">
        <f t="array" ref="G40">_xlfn.XLOOKUP(B40,Vendedores!$A$2:$A$41,Vendedores!$B$2:$B$41,"No hay datos")</f>
        <v>No hay datos</v>
      </c>
      <c r="H40" s="2" t="str">
        <f t="array" ref="H40">_xlfn.XLOOKUP(B40,Vendedores!$A$2:$A$41,Vendedores!$C$2:$C$41,"No hay datos")</f>
        <v>No hay datos</v>
      </c>
      <c r="I40" s="2" t="str">
        <f t="array" ref="I40">_xlfn.XLOOKUP(B40,Vendedores!$A$2:$A$41,Vendedores!$D$2:$D$41,"No hay datos")</f>
        <v>No hay datos</v>
      </c>
      <c r="J40" s="2" t="str">
        <f t="array" ref="J40">_xlfn.XLOOKUP(A40,Productos!$A$2:$A$61,Productos!$B$2:$F$61)</f>
        <v>#N/A</v>
      </c>
    </row>
    <row r="41">
      <c r="A41" s="2" t="str">
        <f>IFERROR(__xludf.DUMMYFUNCTION("""COMPUTED_VALUE"""),"PR027")</f>
        <v>PR027</v>
      </c>
      <c r="B41" s="2" t="str">
        <f>IFERROR(__xludf.DUMMYFUNCTION("""COMPUTED_VALUE"""),"VD018")</f>
        <v>VD018</v>
      </c>
      <c r="C41" s="2">
        <f>IFERROR(__xludf.DUMMYFUNCTION("""COMPUTED_VALUE"""),27.0)</f>
        <v>27</v>
      </c>
      <c r="D41" s="6">
        <f>IFERROR(__xludf.DUMMYFUNCTION("""COMPUTED_VALUE"""),3888.0)</f>
        <v>3888</v>
      </c>
      <c r="E41" s="6">
        <f>IFERROR(__xludf.DUMMYFUNCTION("GOOGLEFINANCE(""Currency:BRLMXN"")*D41"),13207.536)</f>
        <v>13207.536</v>
      </c>
      <c r="F41" s="6">
        <f>IFERROR(__xludf.DUMMYFUNCTION("GOOGLEFINANCE(""Currency:BRLPEN"")*D41"),2548.9728)</f>
        <v>2548.9728</v>
      </c>
      <c r="G41" s="2" t="str">
        <f t="array" ref="G41">_xlfn.XLOOKUP(B41,Vendedores!$A$2:$A$41,Vendedores!$B$2:$B$41,"No hay datos")</f>
        <v>No hay datos</v>
      </c>
      <c r="H41" s="2" t="str">
        <f t="array" ref="H41">_xlfn.XLOOKUP(B41,Vendedores!$A$2:$A$41,Vendedores!$C$2:$C$41,"No hay datos")</f>
        <v>No hay datos</v>
      </c>
      <c r="I41" s="2" t="str">
        <f t="array" ref="I41">_xlfn.XLOOKUP(B41,Vendedores!$A$2:$A$41,Vendedores!$D$2:$D$41,"No hay datos")</f>
        <v>No hay datos</v>
      </c>
      <c r="J41" s="2" t="str">
        <f t="array" ref="J41">_xlfn.XLOOKUP(A41,Productos!$A$2:$A$61,Productos!$B$2:$F$61)</f>
        <v>#N/A</v>
      </c>
    </row>
    <row r="42">
      <c r="A42" s="2" t="str">
        <f>IFERROR(__xludf.DUMMYFUNCTION("""COMPUTED_VALUE"""),"PR032")</f>
        <v>PR032</v>
      </c>
      <c r="B42" s="2" t="str">
        <f>IFERROR(__xludf.DUMMYFUNCTION("""COMPUTED_VALUE"""),"VD011")</f>
        <v>VD011</v>
      </c>
      <c r="C42" s="2">
        <f>IFERROR(__xludf.DUMMYFUNCTION("""COMPUTED_VALUE"""),24.0)</f>
        <v>24</v>
      </c>
      <c r="D42" s="6">
        <f>IFERROR(__xludf.DUMMYFUNCTION("""COMPUTED_VALUE"""),6600.0)</f>
        <v>6600</v>
      </c>
      <c r="E42" s="6">
        <f>IFERROR(__xludf.DUMMYFUNCTION("GOOGLEFINANCE(""Currency:BRLMXN"")*D42"),22420.199999999997)</f>
        <v>22420.2</v>
      </c>
      <c r="F42" s="6">
        <f>IFERROR(__xludf.DUMMYFUNCTION("GOOGLEFINANCE(""Currency:BRLPEN"")*D42"),4326.96)</f>
        <v>4326.96</v>
      </c>
      <c r="G42" s="2" t="str">
        <f t="array" ref="G42">_xlfn.XLOOKUP(B42,Vendedores!$A$2:$A$41,Vendedores!$B$2:$B$41,"No hay datos")</f>
        <v>No hay datos</v>
      </c>
      <c r="H42" s="2" t="str">
        <f t="array" ref="H42">_xlfn.XLOOKUP(B42,Vendedores!$A$2:$A$41,Vendedores!$C$2:$C$41,"No hay datos")</f>
        <v>No hay datos</v>
      </c>
      <c r="I42" s="2" t="str">
        <f t="array" ref="I42">_xlfn.XLOOKUP(B42,Vendedores!$A$2:$A$41,Vendedores!$D$2:$D$41,"No hay datos")</f>
        <v>No hay datos</v>
      </c>
      <c r="J42" s="2" t="str">
        <f t="array" ref="J42">_xlfn.XLOOKUP(A42,Productos!$A$2:$A$61,Productos!$B$2:$F$61)</f>
        <v>#N/A</v>
      </c>
    </row>
    <row r="43">
      <c r="A43" s="2" t="str">
        <f>IFERROR(__xludf.DUMMYFUNCTION("""COMPUTED_VALUE"""),"PR006")</f>
        <v>PR006</v>
      </c>
      <c r="B43" s="2" t="str">
        <f>IFERROR(__xludf.DUMMYFUNCTION("""COMPUTED_VALUE"""),"VD015")</f>
        <v>VD015</v>
      </c>
      <c r="C43" s="2">
        <f>IFERROR(__xludf.DUMMYFUNCTION("""COMPUTED_VALUE"""),27.0)</f>
        <v>27</v>
      </c>
      <c r="D43" s="6">
        <f>IFERROR(__xludf.DUMMYFUNCTION("""COMPUTED_VALUE"""),1260.44)</f>
        <v>1260.44</v>
      </c>
      <c r="E43" s="6">
        <f>IFERROR(__xludf.DUMMYFUNCTION("GOOGLEFINANCE(""Currency:BRLMXN"")*D43"),4281.71468)</f>
        <v>4281.71468</v>
      </c>
      <c r="F43" s="6">
        <f>IFERROR(__xludf.DUMMYFUNCTION("GOOGLEFINANCE(""Currency:BRLPEN"")*D43"),826.344464)</f>
        <v>826.344464</v>
      </c>
      <c r="G43" s="2" t="str">
        <f t="array" ref="G43">_xlfn.XLOOKUP(B43,Vendedores!$A$2:$A$41,Vendedores!$B$2:$B$41,"No hay datos")</f>
        <v>No hay datos</v>
      </c>
      <c r="H43" s="2" t="str">
        <f t="array" ref="H43">_xlfn.XLOOKUP(B43,Vendedores!$A$2:$A$41,Vendedores!$C$2:$C$41,"No hay datos")</f>
        <v>No hay datos</v>
      </c>
      <c r="I43" s="2" t="str">
        <f t="array" ref="I43">_xlfn.XLOOKUP(B43,Vendedores!$A$2:$A$41,Vendedores!$D$2:$D$41,"No hay datos")</f>
        <v>No hay datos</v>
      </c>
      <c r="J43" s="2" t="str">
        <f t="array" ref="J43">_xlfn.XLOOKUP(A43,Productos!$A$2:$A$61,Productos!$B$2:$F$61)</f>
        <v>#N/A</v>
      </c>
    </row>
    <row r="44">
      <c r="A44" s="2" t="str">
        <f>IFERROR(__xludf.DUMMYFUNCTION("""COMPUTED_VALUE"""),"PR028")</f>
        <v>PR028</v>
      </c>
      <c r="B44" s="2" t="str">
        <f>IFERROR(__xludf.DUMMYFUNCTION("""COMPUTED_VALUE"""),"VD048")</f>
        <v>VD048</v>
      </c>
      <c r="C44" s="2">
        <f>IFERROR(__xludf.DUMMYFUNCTION("""COMPUTED_VALUE"""),20.0)</f>
        <v>20</v>
      </c>
      <c r="D44" s="6">
        <f>IFERROR(__xludf.DUMMYFUNCTION("""COMPUTED_VALUE"""),5597.76)</f>
        <v>5597.76</v>
      </c>
      <c r="E44" s="6">
        <f>IFERROR(__xludf.DUMMYFUNCTION("GOOGLEFINANCE(""Currency:BRLMXN"")*D44"),19015.59072)</f>
        <v>19015.59072</v>
      </c>
      <c r="F44" s="6">
        <f>IFERROR(__xludf.DUMMYFUNCTION("GOOGLEFINANCE(""Currency:BRLPEN"")*D44"),3669.891456)</f>
        <v>3669.891456</v>
      </c>
      <c r="G44" s="2" t="str">
        <f t="array" ref="G44">_xlfn.XLOOKUP(B44,Vendedores!$A$2:$A$41,Vendedores!$B$2:$B$41,"No hay datos")</f>
        <v>No hay datos</v>
      </c>
      <c r="H44" s="2" t="str">
        <f t="array" ref="H44">_xlfn.XLOOKUP(B44,Vendedores!$A$2:$A$41,Vendedores!$C$2:$C$41,"No hay datos")</f>
        <v>No hay datos</v>
      </c>
      <c r="I44" s="2" t="str">
        <f t="array" ref="I44">_xlfn.XLOOKUP(B44,Vendedores!$A$2:$A$41,Vendedores!$D$2:$D$41,"No hay datos")</f>
        <v>No hay datos</v>
      </c>
      <c r="J44" s="2" t="str">
        <f t="array" ref="J44">_xlfn.XLOOKUP(A44,Productos!$A$2:$A$61,Productos!$B$2:$F$61)</f>
        <v>#N/A</v>
      </c>
    </row>
    <row r="45">
      <c r="A45" s="2" t="str">
        <f>IFERROR(__xludf.DUMMYFUNCTION("""COMPUTED_VALUE"""),"PR033")</f>
        <v>PR033</v>
      </c>
      <c r="B45" s="2" t="str">
        <f>IFERROR(__xludf.DUMMYFUNCTION("""COMPUTED_VALUE"""),"VD024")</f>
        <v>VD024</v>
      </c>
      <c r="C45" s="2">
        <f>IFERROR(__xludf.DUMMYFUNCTION("""COMPUTED_VALUE"""),24.0)</f>
        <v>24</v>
      </c>
      <c r="D45" s="6">
        <f>IFERROR(__xludf.DUMMYFUNCTION("""COMPUTED_VALUE"""),7485.12)</f>
        <v>7485.12</v>
      </c>
      <c r="E45" s="6">
        <f>IFERROR(__xludf.DUMMYFUNCTION("GOOGLEFINANCE(""Currency:BRLMXN"")*D45"),25426.95264)</f>
        <v>25426.95264</v>
      </c>
      <c r="F45" s="6">
        <f>IFERROR(__xludf.DUMMYFUNCTION("GOOGLEFINANCE(""Currency:BRLPEN"")*D45"),4907.244672)</f>
        <v>4907.244672</v>
      </c>
      <c r="G45" s="2" t="str">
        <f t="array" ref="G45">_xlfn.XLOOKUP(B45,Vendedores!$A$2:$A$41,Vendedores!$B$2:$B$41,"No hay datos")</f>
        <v>No hay datos</v>
      </c>
      <c r="H45" s="2" t="str">
        <f t="array" ref="H45">_xlfn.XLOOKUP(B45,Vendedores!$A$2:$A$41,Vendedores!$C$2:$C$41,"No hay datos")</f>
        <v>No hay datos</v>
      </c>
      <c r="I45" s="2" t="str">
        <f t="array" ref="I45">_xlfn.XLOOKUP(B45,Vendedores!$A$2:$A$41,Vendedores!$D$2:$D$41,"No hay datos")</f>
        <v>No hay datos</v>
      </c>
      <c r="J45" s="2" t="str">
        <f t="array" ref="J45">_xlfn.XLOOKUP(A45,Productos!$A$2:$A$61,Productos!$B$2:$F$61)</f>
        <v>#N/A</v>
      </c>
    </row>
    <row r="46">
      <c r="A46" s="2" t="str">
        <f>IFERROR(__xludf.DUMMYFUNCTION("""COMPUTED_VALUE"""),"PR008")</f>
        <v>PR008</v>
      </c>
      <c r="B46" s="2" t="str">
        <f>IFERROR(__xludf.DUMMYFUNCTION("""COMPUTED_VALUE"""),"VD027")</f>
        <v>VD027</v>
      </c>
      <c r="C46" s="2">
        <f>IFERROR(__xludf.DUMMYFUNCTION("""COMPUTED_VALUE"""),20.0)</f>
        <v>20</v>
      </c>
      <c r="D46" s="6">
        <f>IFERROR(__xludf.DUMMYFUNCTION("""COMPUTED_VALUE"""),2049.72)</f>
        <v>2049.72</v>
      </c>
      <c r="E46" s="6">
        <f>IFERROR(__xludf.DUMMYFUNCTION("GOOGLEFINANCE(""Currency:BRLMXN"")*D46"),6962.898839999999)</f>
        <v>6962.89884</v>
      </c>
      <c r="F46" s="6">
        <f>IFERROR(__xludf.DUMMYFUNCTION("GOOGLEFINANCE(""Currency:BRLPEN"")*D46"),1343.7964319999999)</f>
        <v>1343.796432</v>
      </c>
      <c r="G46" s="2" t="str">
        <f t="array" ref="G46">_xlfn.XLOOKUP(B46,Vendedores!$A$2:$A$41,Vendedores!$B$2:$B$41,"No hay datos")</f>
        <v>No hay datos</v>
      </c>
      <c r="H46" s="2" t="str">
        <f t="array" ref="H46">_xlfn.XLOOKUP(B46,Vendedores!$A$2:$A$41,Vendedores!$C$2:$C$41,"No hay datos")</f>
        <v>No hay datos</v>
      </c>
      <c r="I46" s="2" t="str">
        <f t="array" ref="I46">_xlfn.XLOOKUP(B46,Vendedores!$A$2:$A$41,Vendedores!$D$2:$D$41,"No hay datos")</f>
        <v>No hay datos</v>
      </c>
      <c r="J46" s="2" t="str">
        <f t="array" ref="J46">_xlfn.XLOOKUP(A46,Productos!$A$2:$A$61,Productos!$B$2:$F$61)</f>
        <v>#N/A</v>
      </c>
    </row>
    <row r="47">
      <c r="A47" s="2" t="str">
        <f>IFERROR(__xludf.DUMMYFUNCTION("""COMPUTED_VALUE"""),"PR013")</f>
        <v>PR013</v>
      </c>
      <c r="B47" s="2" t="str">
        <f>IFERROR(__xludf.DUMMYFUNCTION("""COMPUTED_VALUE"""),"VD048")</f>
        <v>VD048</v>
      </c>
      <c r="C47" s="2">
        <f>IFERROR(__xludf.DUMMYFUNCTION("""COMPUTED_VALUE"""),27.0)</f>
        <v>27</v>
      </c>
      <c r="D47" s="6">
        <f>IFERROR(__xludf.DUMMYFUNCTION("""COMPUTED_VALUE"""),1238.9)</f>
        <v>1238.9</v>
      </c>
      <c r="E47" s="6">
        <f>IFERROR(__xludf.DUMMYFUNCTION("GOOGLEFINANCE(""Currency:BRLMXN"")*D47"),4208.5433)</f>
        <v>4208.5433</v>
      </c>
      <c r="F47" s="6">
        <f>IFERROR(__xludf.DUMMYFUNCTION("GOOGLEFINANCE(""Currency:BRLPEN"")*D47"),812.22284)</f>
        <v>812.22284</v>
      </c>
      <c r="G47" s="2" t="str">
        <f t="array" ref="G47">_xlfn.XLOOKUP(B47,Vendedores!$A$2:$A$41,Vendedores!$B$2:$B$41,"No hay datos")</f>
        <v>No hay datos</v>
      </c>
      <c r="H47" s="2" t="str">
        <f t="array" ref="H47">_xlfn.XLOOKUP(B47,Vendedores!$A$2:$A$41,Vendedores!$C$2:$C$41,"No hay datos")</f>
        <v>No hay datos</v>
      </c>
      <c r="I47" s="2" t="str">
        <f t="array" ref="I47">_xlfn.XLOOKUP(B47,Vendedores!$A$2:$A$41,Vendedores!$D$2:$D$41,"No hay datos")</f>
        <v>No hay datos</v>
      </c>
      <c r="J47" s="2" t="str">
        <f t="array" ref="J47">_xlfn.XLOOKUP(A47,Productos!$A$2:$A$61,Productos!$B$2:$F$61)</f>
        <v>#N/A</v>
      </c>
    </row>
    <row r="48">
      <c r="A48" s="2" t="str">
        <f>IFERROR(__xludf.DUMMYFUNCTION("""COMPUTED_VALUE"""),"PR011")</f>
        <v>PR011</v>
      </c>
      <c r="B48" s="2" t="str">
        <f>IFERROR(__xludf.DUMMYFUNCTION("""COMPUTED_VALUE"""),"VD026")</f>
        <v>VD026</v>
      </c>
      <c r="C48" s="2">
        <f>IFERROR(__xludf.DUMMYFUNCTION("""COMPUTED_VALUE"""),18.0)</f>
        <v>18</v>
      </c>
      <c r="D48" s="6">
        <f>IFERROR(__xludf.DUMMYFUNCTION("""COMPUTED_VALUE"""),1013.04)</f>
        <v>1013.04</v>
      </c>
      <c r="E48" s="6">
        <f>IFERROR(__xludf.DUMMYFUNCTION("GOOGLEFINANCE(""Currency:BRLMXN"")*D48"),3441.29688)</f>
        <v>3441.29688</v>
      </c>
      <c r="F48" s="6">
        <f>IFERROR(__xludf.DUMMYFUNCTION("GOOGLEFINANCE(""Currency:BRLPEN"")*D48"),664.1490239999999)</f>
        <v>664.149024</v>
      </c>
      <c r="G48" s="2" t="str">
        <f t="array" ref="G48">_xlfn.XLOOKUP(B48,Vendedores!$A$2:$A$41,Vendedores!$B$2:$B$41,"No hay datos")</f>
        <v>No hay datos</v>
      </c>
      <c r="H48" s="2" t="str">
        <f t="array" ref="H48">_xlfn.XLOOKUP(B48,Vendedores!$A$2:$A$41,Vendedores!$C$2:$C$41,"No hay datos")</f>
        <v>No hay datos</v>
      </c>
      <c r="I48" s="2" t="str">
        <f t="array" ref="I48">_xlfn.XLOOKUP(B48,Vendedores!$A$2:$A$41,Vendedores!$D$2:$D$41,"No hay datos")</f>
        <v>No hay datos</v>
      </c>
      <c r="J48" s="2" t="str">
        <f t="array" ref="J48">_xlfn.XLOOKUP(A48,Productos!$A$2:$A$61,Productos!$B$2:$F$61)</f>
        <v>#N/A</v>
      </c>
    </row>
    <row r="49">
      <c r="A49" s="2" t="str">
        <f>IFERROR(__xludf.DUMMYFUNCTION("""COMPUTED_VALUE"""),"PR014")</f>
        <v>PR014</v>
      </c>
      <c r="B49" s="2" t="str">
        <f>IFERROR(__xludf.DUMMYFUNCTION("""COMPUTED_VALUE"""),"VD040")</f>
        <v>VD040</v>
      </c>
      <c r="C49" s="2">
        <f>IFERROR(__xludf.DUMMYFUNCTION("""COMPUTED_VALUE"""),24.0)</f>
        <v>24</v>
      </c>
      <c r="D49" s="6">
        <f>IFERROR(__xludf.DUMMYFUNCTION("""COMPUTED_VALUE"""),1139.54)</f>
        <v>1139.54</v>
      </c>
      <c r="E49" s="6">
        <f>IFERROR(__xludf.DUMMYFUNCTION("GOOGLEFINANCE(""Currency:BRLMXN"")*D49"),3871.01738)</f>
        <v>3871.01738</v>
      </c>
      <c r="F49" s="6">
        <f>IFERROR(__xludf.DUMMYFUNCTION("GOOGLEFINANCE(""Currency:BRLPEN"")*D49"),747.082424)</f>
        <v>747.082424</v>
      </c>
      <c r="G49" s="2" t="str">
        <f t="array" ref="G49">_xlfn.XLOOKUP(B49,Vendedores!$A$2:$A$41,Vendedores!$B$2:$B$41,"No hay datos")</f>
        <v>No hay datos</v>
      </c>
      <c r="H49" s="2" t="str">
        <f t="array" ref="H49">_xlfn.XLOOKUP(B49,Vendedores!$A$2:$A$41,Vendedores!$C$2:$C$41,"No hay datos")</f>
        <v>No hay datos</v>
      </c>
      <c r="I49" s="2" t="str">
        <f t="array" ref="I49">_xlfn.XLOOKUP(B49,Vendedores!$A$2:$A$41,Vendedores!$D$2:$D$41,"No hay datos")</f>
        <v>No hay datos</v>
      </c>
      <c r="J49" s="2" t="str">
        <f t="array" ref="J49">_xlfn.XLOOKUP(A49,Productos!$A$2:$A$61,Productos!$B$2:$F$61)</f>
        <v>#N/A</v>
      </c>
    </row>
    <row r="50">
      <c r="A50" s="2" t="str">
        <f>IFERROR(__xludf.DUMMYFUNCTION("""COMPUTED_VALUE"""),"PR043")</f>
        <v>PR043</v>
      </c>
      <c r="B50" s="2" t="str">
        <f>IFERROR(__xludf.DUMMYFUNCTION("""COMPUTED_VALUE"""),"VD035")</f>
        <v>VD035</v>
      </c>
      <c r="C50" s="2">
        <f>IFERROR(__xludf.DUMMYFUNCTION("""COMPUTED_VALUE"""),18.0)</f>
        <v>18</v>
      </c>
      <c r="D50" s="6">
        <f>IFERROR(__xludf.DUMMYFUNCTION("""COMPUTED_VALUE"""),1435.5)</f>
        <v>1435.5</v>
      </c>
      <c r="E50" s="6">
        <f>IFERROR(__xludf.DUMMYFUNCTION("GOOGLEFINANCE(""Currency:BRLMXN"")*D50"),4876.3935)</f>
        <v>4876.3935</v>
      </c>
      <c r="F50" s="6">
        <f>IFERROR(__xludf.DUMMYFUNCTION("GOOGLEFINANCE(""Currency:BRLPEN"")*D50"),941.1138)</f>
        <v>941.1138</v>
      </c>
      <c r="G50" s="2" t="str">
        <f t="array" ref="G50">_xlfn.XLOOKUP(B50,Vendedores!$A$2:$A$41,Vendedores!$B$2:$B$41,"No hay datos")</f>
        <v>No hay datos</v>
      </c>
      <c r="H50" s="2" t="str">
        <f t="array" ref="H50">_xlfn.XLOOKUP(B50,Vendedores!$A$2:$A$41,Vendedores!$C$2:$C$41,"No hay datos")</f>
        <v>No hay datos</v>
      </c>
      <c r="I50" s="2" t="str">
        <f t="array" ref="I50">_xlfn.XLOOKUP(B50,Vendedores!$A$2:$A$41,Vendedores!$D$2:$D$41,"No hay datos")</f>
        <v>No hay datos</v>
      </c>
      <c r="J50" s="2" t="str">
        <f t="array" ref="J50">_xlfn.XLOOKUP(A50,Productos!$A$2:$A$61,Productos!$B$2:$F$61)</f>
        <v>#N/A</v>
      </c>
    </row>
    <row r="51">
      <c r="A51" s="2" t="str">
        <f>IFERROR(__xludf.DUMMYFUNCTION("""COMPUTED_VALUE"""),"PR037")</f>
        <v>PR037</v>
      </c>
      <c r="B51" s="2" t="str">
        <f>IFERROR(__xludf.DUMMYFUNCTION("""COMPUTED_VALUE"""),"VD036")</f>
        <v>VD036</v>
      </c>
      <c r="C51" s="2">
        <f>IFERROR(__xludf.DUMMYFUNCTION("""COMPUTED_VALUE"""),30.0)</f>
        <v>30</v>
      </c>
      <c r="D51" s="6">
        <f>IFERROR(__xludf.DUMMYFUNCTION("""COMPUTED_VALUE"""),5040.0)</f>
        <v>5040</v>
      </c>
      <c r="E51" s="6">
        <f>IFERROR(__xludf.DUMMYFUNCTION("GOOGLEFINANCE(""Currency:BRLMXN"")*D51"),17120.879999999997)</f>
        <v>17120.88</v>
      </c>
      <c r="F51" s="6">
        <f>IFERROR(__xludf.DUMMYFUNCTION("GOOGLEFINANCE(""Currency:BRLPEN"")*D51"),3304.2239999999997)</f>
        <v>3304.224</v>
      </c>
      <c r="G51" s="2" t="str">
        <f t="array" ref="G51">_xlfn.XLOOKUP(B51,Vendedores!$A$2:$A$41,Vendedores!$B$2:$B$41,"No hay datos")</f>
        <v>No hay datos</v>
      </c>
      <c r="H51" s="2" t="str">
        <f t="array" ref="H51">_xlfn.XLOOKUP(B51,Vendedores!$A$2:$A$41,Vendedores!$C$2:$C$41,"No hay datos")</f>
        <v>No hay datos</v>
      </c>
      <c r="I51" s="2" t="str">
        <f t="array" ref="I51">_xlfn.XLOOKUP(B51,Vendedores!$A$2:$A$41,Vendedores!$D$2:$D$41,"No hay datos")</f>
        <v>No hay datos</v>
      </c>
      <c r="J51" s="2" t="str">
        <f t="array" ref="J51">_xlfn.XLOOKUP(A51,Productos!$A$2:$A$61,Productos!$B$2:$F$61)</f>
        <v>#N/A</v>
      </c>
    </row>
    <row r="52">
      <c r="A52" s="2" t="str">
        <f>IFERROR(__xludf.DUMMYFUNCTION("""COMPUTED_VALUE"""),"PR020")</f>
        <v>PR020</v>
      </c>
      <c r="B52" s="2" t="str">
        <f>IFERROR(__xludf.DUMMYFUNCTION("""COMPUTED_VALUE"""),"VD026")</f>
        <v>VD026</v>
      </c>
      <c r="C52" s="2">
        <f>IFERROR(__xludf.DUMMYFUNCTION("""COMPUTED_VALUE"""),20.0)</f>
        <v>20</v>
      </c>
      <c r="D52" s="6">
        <f>IFERROR(__xludf.DUMMYFUNCTION("""COMPUTED_VALUE"""),6657.78)</f>
        <v>6657.78</v>
      </c>
      <c r="E52" s="6">
        <f>IFERROR(__xludf.DUMMYFUNCTION("GOOGLEFINANCE(""Currency:BRLMXN"")*D52"),22616.478659999997)</f>
        <v>22616.47866</v>
      </c>
      <c r="F52" s="6">
        <f>IFERROR(__xludf.DUMMYFUNCTION("GOOGLEFINANCE(""Currency:BRLPEN"")*D52"),4364.840568)</f>
        <v>4364.840568</v>
      </c>
      <c r="G52" s="2" t="str">
        <f t="array" ref="G52">_xlfn.XLOOKUP(B52,Vendedores!$A$2:$A$41,Vendedores!$B$2:$B$41,"No hay datos")</f>
        <v>No hay datos</v>
      </c>
      <c r="H52" s="2" t="str">
        <f t="array" ref="H52">_xlfn.XLOOKUP(B52,Vendedores!$A$2:$A$41,Vendedores!$C$2:$C$41,"No hay datos")</f>
        <v>No hay datos</v>
      </c>
      <c r="I52" s="2" t="str">
        <f t="array" ref="I52">_xlfn.XLOOKUP(B52,Vendedores!$A$2:$A$41,Vendedores!$D$2:$D$41,"No hay datos")</f>
        <v>No hay datos</v>
      </c>
      <c r="J52" s="2" t="str">
        <f t="array" ref="J52">_xlfn.XLOOKUP(A52,Productos!$A$2:$A$61,Productos!$B$2:$F$61)</f>
        <v>#N/A</v>
      </c>
    </row>
    <row r="53">
      <c r="A53" s="2" t="str">
        <f>IFERROR(__xludf.DUMMYFUNCTION("""COMPUTED_VALUE"""),"PR052")</f>
        <v>PR052</v>
      </c>
      <c r="B53" s="2" t="str">
        <f>IFERROR(__xludf.DUMMYFUNCTION("""COMPUTED_VALUE"""),"VD035")</f>
        <v>VD035</v>
      </c>
      <c r="C53" s="2">
        <f>IFERROR(__xludf.DUMMYFUNCTION("""COMPUTED_VALUE"""),12.0)</f>
        <v>12</v>
      </c>
      <c r="D53" s="6">
        <f>IFERROR(__xludf.DUMMYFUNCTION("""COMPUTED_VALUE"""),658.68)</f>
        <v>658.68</v>
      </c>
      <c r="E53" s="6">
        <f>IFERROR(__xludf.DUMMYFUNCTION("GOOGLEFINANCE(""Currency:BRLMXN"")*D53"),2237.5359599999997)</f>
        <v>2237.53596</v>
      </c>
      <c r="F53" s="6">
        <f>IFERROR(__xludf.DUMMYFUNCTION("GOOGLEFINANCE(""Currency:BRLPEN"")*D53"),431.8306079999999)</f>
        <v>431.830608</v>
      </c>
      <c r="G53" s="2" t="str">
        <f t="array" ref="G53">_xlfn.XLOOKUP(B53,Vendedores!$A$2:$A$41,Vendedores!$B$2:$B$41,"No hay datos")</f>
        <v>No hay datos</v>
      </c>
      <c r="H53" s="2" t="str">
        <f t="array" ref="H53">_xlfn.XLOOKUP(B53,Vendedores!$A$2:$A$41,Vendedores!$C$2:$C$41,"No hay datos")</f>
        <v>No hay datos</v>
      </c>
      <c r="I53" s="2" t="str">
        <f t="array" ref="I53">_xlfn.XLOOKUP(B53,Vendedores!$A$2:$A$41,Vendedores!$D$2:$D$41,"No hay datos")</f>
        <v>No hay datos</v>
      </c>
      <c r="J53" s="2" t="str">
        <f t="array" ref="J53">_xlfn.XLOOKUP(A53,Productos!$A$2:$A$61,Productos!$B$2:$F$61)</f>
        <v>#N/A</v>
      </c>
    </row>
    <row r="54">
      <c r="A54" s="2" t="str">
        <f>IFERROR(__xludf.DUMMYFUNCTION("""COMPUTED_VALUE"""),"PR023")</f>
        <v>PR023</v>
      </c>
      <c r="B54" s="2" t="str">
        <f>IFERROR(__xludf.DUMMYFUNCTION("""COMPUTED_VALUE"""),"VD016")</f>
        <v>VD016</v>
      </c>
      <c r="C54" s="2">
        <f>IFERROR(__xludf.DUMMYFUNCTION("""COMPUTED_VALUE"""),27.0)</f>
        <v>27</v>
      </c>
      <c r="D54" s="6">
        <f>IFERROR(__xludf.DUMMYFUNCTION("""COMPUTED_VALUE"""),7894.34)</f>
        <v>7894.34</v>
      </c>
      <c r="E54" s="6">
        <f>IFERROR(__xludf.DUMMYFUNCTION("GOOGLEFINANCE(""Currency:BRLMXN"")*D54"),26817.072979999997)</f>
        <v>26817.07298</v>
      </c>
      <c r="F54" s="6">
        <f>IFERROR(__xludf.DUMMYFUNCTION("GOOGLEFINANCE(""Currency:BRLPEN"")*D54"),5175.529304)</f>
        <v>5175.529304</v>
      </c>
      <c r="G54" s="2" t="str">
        <f t="array" ref="G54">_xlfn.XLOOKUP(B54,Vendedores!$A$2:$A$41,Vendedores!$B$2:$B$41,"No hay datos")</f>
        <v>No hay datos</v>
      </c>
      <c r="H54" s="2" t="str">
        <f t="array" ref="H54">_xlfn.XLOOKUP(B54,Vendedores!$A$2:$A$41,Vendedores!$C$2:$C$41,"No hay datos")</f>
        <v>No hay datos</v>
      </c>
      <c r="I54" s="2" t="str">
        <f t="array" ref="I54">_xlfn.XLOOKUP(B54,Vendedores!$A$2:$A$41,Vendedores!$D$2:$D$41,"No hay datos")</f>
        <v>No hay datos</v>
      </c>
      <c r="J54" s="2" t="str">
        <f t="array" ref="J54">_xlfn.XLOOKUP(A54,Productos!$A$2:$A$61,Productos!$B$2:$F$61)</f>
        <v>#N/A</v>
      </c>
    </row>
    <row r="55">
      <c r="A55" s="2" t="str">
        <f>IFERROR(__xludf.DUMMYFUNCTION("""COMPUTED_VALUE"""),"PR002")</f>
        <v>PR002</v>
      </c>
      <c r="B55" s="2" t="str">
        <f>IFERROR(__xludf.DUMMYFUNCTION("""COMPUTED_VALUE"""),"VD018")</f>
        <v>VD018</v>
      </c>
      <c r="C55" s="2">
        <f>IFERROR(__xludf.DUMMYFUNCTION("""COMPUTED_VALUE"""),9.0)</f>
        <v>9</v>
      </c>
      <c r="D55" s="6">
        <f>IFERROR(__xludf.DUMMYFUNCTION("""COMPUTED_VALUE"""),717.17)</f>
        <v>717.17</v>
      </c>
      <c r="E55" s="6">
        <f>IFERROR(__xludf.DUMMYFUNCTION("GOOGLEFINANCE(""Currency:BRLMXN"")*D55"),2436.2264899999996)</f>
        <v>2436.22649</v>
      </c>
      <c r="F55" s="6">
        <f>IFERROR(__xludf.DUMMYFUNCTION("GOOGLEFINANCE(""Currency:BRLPEN"")*D55"),470.17665199999993)</f>
        <v>470.176652</v>
      </c>
      <c r="G55" s="2" t="str">
        <f t="array" ref="G55">_xlfn.XLOOKUP(B55,Vendedores!$A$2:$A$41,Vendedores!$B$2:$B$41,"No hay datos")</f>
        <v>No hay datos</v>
      </c>
      <c r="H55" s="2" t="str">
        <f t="array" ref="H55">_xlfn.XLOOKUP(B55,Vendedores!$A$2:$A$41,Vendedores!$C$2:$C$41,"No hay datos")</f>
        <v>No hay datos</v>
      </c>
      <c r="I55" s="2" t="str">
        <f t="array" ref="I55">_xlfn.XLOOKUP(B55,Vendedores!$A$2:$A$41,Vendedores!$D$2:$D$41,"No hay datos")</f>
        <v>No hay datos</v>
      </c>
      <c r="J55" s="2" t="str">
        <f t="array" ref="J55">_xlfn.XLOOKUP(A55,Productos!$A$2:$A$61,Productos!$B$2:$F$61)</f>
        <v>#N/A</v>
      </c>
    </row>
    <row r="56">
      <c r="A56" s="2" t="str">
        <f>IFERROR(__xludf.DUMMYFUNCTION("""COMPUTED_VALUE"""),"PR039")</f>
        <v>PR039</v>
      </c>
      <c r="B56" s="2" t="str">
        <f>IFERROR(__xludf.DUMMYFUNCTION("""COMPUTED_VALUE"""),"VD014")</f>
        <v>VD014</v>
      </c>
      <c r="C56" s="2">
        <f>IFERROR(__xludf.DUMMYFUNCTION("""COMPUTED_VALUE"""),16.0)</f>
        <v>16</v>
      </c>
      <c r="D56" s="6">
        <f>IFERROR(__xludf.DUMMYFUNCTION("""COMPUTED_VALUE"""),2663.04)</f>
        <v>2663.04</v>
      </c>
      <c r="E56" s="6">
        <f>IFERROR(__xludf.DUMMYFUNCTION("GOOGLEFINANCE(""Currency:BRLMXN"")*D56"),9046.34688)</f>
        <v>9046.34688</v>
      </c>
      <c r="F56" s="6">
        <f>IFERROR(__xludf.DUMMYFUNCTION("GOOGLEFINANCE(""Currency:BRLPEN"")*D56"),1745.8890239999998)</f>
        <v>1745.889024</v>
      </c>
      <c r="G56" s="2" t="str">
        <f t="array" ref="G56">_xlfn.XLOOKUP(B56,Vendedores!$A$2:$A$41,Vendedores!$B$2:$B$41,"No hay datos")</f>
        <v>No hay datos</v>
      </c>
      <c r="H56" s="2" t="str">
        <f t="array" ref="H56">_xlfn.XLOOKUP(B56,Vendedores!$A$2:$A$41,Vendedores!$C$2:$C$41,"No hay datos")</f>
        <v>No hay datos</v>
      </c>
      <c r="I56" s="2" t="str">
        <f t="array" ref="I56">_xlfn.XLOOKUP(B56,Vendedores!$A$2:$A$41,Vendedores!$D$2:$D$41,"No hay datos")</f>
        <v>No hay datos</v>
      </c>
      <c r="J56" s="2" t="str">
        <f t="array" ref="J56">_xlfn.XLOOKUP(A56,Productos!$A$2:$A$61,Productos!$B$2:$F$61)</f>
        <v>#N/A</v>
      </c>
    </row>
    <row r="57">
      <c r="A57" s="2" t="str">
        <f>IFERROR(__xludf.DUMMYFUNCTION("""COMPUTED_VALUE"""),"PR060")</f>
        <v>PR060</v>
      </c>
      <c r="B57" s="2" t="str">
        <f>IFERROR(__xludf.DUMMYFUNCTION("""COMPUTED_VALUE"""),"VD044")</f>
        <v>VD044</v>
      </c>
      <c r="C57" s="2">
        <f>IFERROR(__xludf.DUMMYFUNCTION("""COMPUTED_VALUE"""),6.0)</f>
        <v>6</v>
      </c>
      <c r="D57" s="6">
        <f>IFERROR(__xludf.DUMMYFUNCTION("""COMPUTED_VALUE"""),1252.8)</f>
        <v>1252.8</v>
      </c>
      <c r="E57" s="6">
        <f>IFERROR(__xludf.DUMMYFUNCTION("GOOGLEFINANCE(""Currency:BRLMXN"")*D57"),4255.7616)</f>
        <v>4255.7616</v>
      </c>
      <c r="F57" s="6">
        <f>IFERROR(__xludf.DUMMYFUNCTION("GOOGLEFINANCE(""Currency:BRLPEN"")*D57"),821.3356799999999)</f>
        <v>821.33568</v>
      </c>
      <c r="G57" s="2" t="str">
        <f t="array" ref="G57">_xlfn.XLOOKUP(B57,Vendedores!$A$2:$A$41,Vendedores!$B$2:$B$41,"No hay datos")</f>
        <v>No hay datos</v>
      </c>
      <c r="H57" s="2" t="str">
        <f t="array" ref="H57">_xlfn.XLOOKUP(B57,Vendedores!$A$2:$A$41,Vendedores!$C$2:$C$41,"No hay datos")</f>
        <v>No hay datos</v>
      </c>
      <c r="I57" s="2" t="str">
        <f t="array" ref="I57">_xlfn.XLOOKUP(B57,Vendedores!$A$2:$A$41,Vendedores!$D$2:$D$41,"No hay datos")</f>
        <v>No hay datos</v>
      </c>
      <c r="J57" s="2" t="str">
        <f t="array" ref="J57">_xlfn.XLOOKUP(A57,Productos!$A$2:$A$61,Productos!$B$2:$F$61)</f>
        <v>#N/A</v>
      </c>
    </row>
    <row r="58">
      <c r="A58" s="2" t="str">
        <f>IFERROR(__xludf.DUMMYFUNCTION("""COMPUTED_VALUE"""),"PR009")</f>
        <v>PR009</v>
      </c>
      <c r="B58" s="2" t="str">
        <f>IFERROR(__xludf.DUMMYFUNCTION("""COMPUTED_VALUE"""),"VD041")</f>
        <v>VD041</v>
      </c>
      <c r="C58" s="2">
        <f>IFERROR(__xludf.DUMMYFUNCTION("""COMPUTED_VALUE"""),15.0)</f>
        <v>15</v>
      </c>
      <c r="D58" s="6">
        <f>IFERROR(__xludf.DUMMYFUNCTION("""COMPUTED_VALUE"""),1560.72)</f>
        <v>1560.72</v>
      </c>
      <c r="E58" s="6">
        <f>IFERROR(__xludf.DUMMYFUNCTION("GOOGLEFINANCE(""Currency:BRLMXN"")*D58"),5301.76584)</f>
        <v>5301.76584</v>
      </c>
      <c r="F58" s="6">
        <f>IFERROR(__xludf.DUMMYFUNCTION("GOOGLEFINANCE(""Currency:BRLPEN"")*D58"),1023.208032)</f>
        <v>1023.208032</v>
      </c>
      <c r="G58" s="2" t="str">
        <f t="array" ref="G58">_xlfn.XLOOKUP(B58,Vendedores!$A$2:$A$41,Vendedores!$B$2:$B$41,"No hay datos")</f>
        <v>No hay datos</v>
      </c>
      <c r="H58" s="2" t="str">
        <f t="array" ref="H58">_xlfn.XLOOKUP(B58,Vendedores!$A$2:$A$41,Vendedores!$C$2:$C$41,"No hay datos")</f>
        <v>No hay datos</v>
      </c>
      <c r="I58" s="2" t="str">
        <f t="array" ref="I58">_xlfn.XLOOKUP(B58,Vendedores!$A$2:$A$41,Vendedores!$D$2:$D$41,"No hay datos")</f>
        <v>No hay datos</v>
      </c>
      <c r="J58" s="2" t="str">
        <f t="array" ref="J58">_xlfn.XLOOKUP(A58,Productos!$A$2:$A$61,Productos!$B$2:$F$61)</f>
        <v>#N/A</v>
      </c>
    </row>
    <row r="59">
      <c r="A59" s="2" t="str">
        <f>IFERROR(__xludf.DUMMYFUNCTION("""COMPUTED_VALUE"""),"PR057")</f>
        <v>PR057</v>
      </c>
      <c r="B59" s="2" t="str">
        <f>IFERROR(__xludf.DUMMYFUNCTION("""COMPUTED_VALUE"""),"VD046")</f>
        <v>VD046</v>
      </c>
      <c r="C59" s="2">
        <f>IFERROR(__xludf.DUMMYFUNCTION("""COMPUTED_VALUE"""),15.0)</f>
        <v>15</v>
      </c>
      <c r="D59" s="6">
        <f>IFERROR(__xludf.DUMMYFUNCTION("""COMPUTED_VALUE"""),1591.23)</f>
        <v>1591.23</v>
      </c>
      <c r="E59" s="6">
        <f>IFERROR(__xludf.DUMMYFUNCTION("GOOGLEFINANCE(""Currency:BRLMXN"")*D59"),5405.40831)</f>
        <v>5405.40831</v>
      </c>
      <c r="F59" s="6">
        <f>IFERROR(__xludf.DUMMYFUNCTION("GOOGLEFINANCE(""Currency:BRLPEN"")*D59"),1043.210388)</f>
        <v>1043.210388</v>
      </c>
      <c r="G59" s="2" t="str">
        <f t="array" ref="G59">_xlfn.XLOOKUP(B59,Vendedores!$A$2:$A$41,Vendedores!$B$2:$B$41,"No hay datos")</f>
        <v>No hay datos</v>
      </c>
      <c r="H59" s="2" t="str">
        <f t="array" ref="H59">_xlfn.XLOOKUP(B59,Vendedores!$A$2:$A$41,Vendedores!$C$2:$C$41,"No hay datos")</f>
        <v>No hay datos</v>
      </c>
      <c r="I59" s="2" t="str">
        <f t="array" ref="I59">_xlfn.XLOOKUP(B59,Vendedores!$A$2:$A$41,Vendedores!$D$2:$D$41,"No hay datos")</f>
        <v>No hay datos</v>
      </c>
      <c r="J59" s="2" t="str">
        <f t="array" ref="J59">_xlfn.XLOOKUP(A59,Productos!$A$2:$A$61,Productos!$B$2:$F$61)</f>
        <v>#N/A</v>
      </c>
    </row>
    <row r="60">
      <c r="A60" s="2" t="str">
        <f>IFERROR(__xludf.DUMMYFUNCTION("""COMPUTED_VALUE"""),"PR018")</f>
        <v>PR018</v>
      </c>
      <c r="B60" s="2" t="str">
        <f>IFERROR(__xludf.DUMMYFUNCTION("""COMPUTED_VALUE"""),"VD037")</f>
        <v>VD037</v>
      </c>
      <c r="C60" s="2">
        <f>IFERROR(__xludf.DUMMYFUNCTION("""COMPUTED_VALUE"""),10.0)</f>
        <v>10</v>
      </c>
      <c r="D60" s="6">
        <f>IFERROR(__xludf.DUMMYFUNCTION("""COMPUTED_VALUE"""),361.9)</f>
        <v>361.9</v>
      </c>
      <c r="E60" s="6">
        <f>IFERROR(__xludf.DUMMYFUNCTION("GOOGLEFINANCE(""Currency:BRLMXN"")*D60"),1229.3743)</f>
        <v>1229.3743</v>
      </c>
      <c r="F60" s="6">
        <f>IFERROR(__xludf.DUMMYFUNCTION("GOOGLEFINANCE(""Currency:BRLPEN"")*D60"),237.26163999999997)</f>
        <v>237.26164</v>
      </c>
      <c r="G60" s="2" t="str">
        <f t="array" ref="G60">_xlfn.XLOOKUP(B60,Vendedores!$A$2:$A$41,Vendedores!$B$2:$B$41,"No hay datos")</f>
        <v>No hay datos</v>
      </c>
      <c r="H60" s="2" t="str">
        <f t="array" ref="H60">_xlfn.XLOOKUP(B60,Vendedores!$A$2:$A$41,Vendedores!$C$2:$C$41,"No hay datos")</f>
        <v>No hay datos</v>
      </c>
      <c r="I60" s="2" t="str">
        <f t="array" ref="I60">_xlfn.XLOOKUP(B60,Vendedores!$A$2:$A$41,Vendedores!$D$2:$D$41,"No hay datos")</f>
        <v>No hay datos</v>
      </c>
      <c r="J60" s="2" t="str">
        <f t="array" ref="J60">_xlfn.XLOOKUP(A60,Productos!$A$2:$A$61,Productos!$B$2:$F$61)</f>
        <v>#N/A</v>
      </c>
    </row>
    <row r="61">
      <c r="A61" s="2" t="str">
        <f>IFERROR(__xludf.DUMMYFUNCTION("""COMPUTED_VALUE"""),"PR022")</f>
        <v>PR022</v>
      </c>
      <c r="B61" s="2" t="str">
        <f>IFERROR(__xludf.DUMMYFUNCTION("""COMPUTED_VALUE"""),"VD023")</f>
        <v>VD023</v>
      </c>
      <c r="C61" s="2">
        <f>IFERROR(__xludf.DUMMYFUNCTION("""COMPUTED_VALUE"""),16.0)</f>
        <v>16</v>
      </c>
      <c r="D61" s="6">
        <f>IFERROR(__xludf.DUMMYFUNCTION("""COMPUTED_VALUE"""),5424.0)</f>
        <v>5424</v>
      </c>
      <c r="E61" s="6">
        <f>IFERROR(__xludf.DUMMYFUNCTION("GOOGLEFINANCE(""Currency:BRLMXN"")*D61"),18425.327999999998)</f>
        <v>18425.328</v>
      </c>
      <c r="F61" s="6">
        <f>IFERROR(__xludf.DUMMYFUNCTION("GOOGLEFINANCE(""Currency:BRLPEN"")*D61"),3555.9743999999996)</f>
        <v>3555.9744</v>
      </c>
      <c r="G61" s="2" t="str">
        <f t="array" ref="G61">_xlfn.XLOOKUP(B61,Vendedores!$A$2:$A$41,Vendedores!$B$2:$B$41,"No hay datos")</f>
        <v>No hay datos</v>
      </c>
      <c r="H61" s="2" t="str">
        <f t="array" ref="H61">_xlfn.XLOOKUP(B61,Vendedores!$A$2:$A$41,Vendedores!$C$2:$C$41,"No hay datos")</f>
        <v>No hay datos</v>
      </c>
      <c r="I61" s="2" t="str">
        <f t="array" ref="I61">_xlfn.XLOOKUP(B61,Vendedores!$A$2:$A$41,Vendedores!$D$2:$D$41,"No hay datos")</f>
        <v>No hay datos</v>
      </c>
      <c r="J61" s="2" t="str">
        <f t="array" ref="J61">_xlfn.XLOOKUP(A61,Productos!$A$2:$A$61,Productos!$B$2:$F$61)</f>
        <v>#N/A</v>
      </c>
    </row>
    <row r="62">
      <c r="A62" s="2" t="str">
        <f>IFERROR(__xludf.DUMMYFUNCTION("""COMPUTED_VALUE"""),"PR020")</f>
        <v>PR020</v>
      </c>
      <c r="B62" s="2" t="str">
        <f>IFERROR(__xludf.DUMMYFUNCTION("""COMPUTED_VALUE"""),"VD023")</f>
        <v>VD023</v>
      </c>
      <c r="C62" s="2">
        <f>IFERROR(__xludf.DUMMYFUNCTION("""COMPUTED_VALUE"""),21.0)</f>
        <v>21</v>
      </c>
      <c r="D62" s="6">
        <f>IFERROR(__xludf.DUMMYFUNCTION("""COMPUTED_VALUE"""),7242.59)</f>
        <v>7242.59</v>
      </c>
      <c r="E62" s="6">
        <f>IFERROR(__xludf.DUMMYFUNCTION("GOOGLEFINANCE(""Currency:BRLMXN"")*D62"),24603.07823)</f>
        <v>24603.07823</v>
      </c>
      <c r="F62" s="6">
        <f>IFERROR(__xludf.DUMMYFUNCTION("GOOGLEFINANCE(""Currency:BRLPEN"")*D62"),4748.242004)</f>
        <v>4748.242004</v>
      </c>
      <c r="G62" s="2" t="str">
        <f t="array" ref="G62">_xlfn.XLOOKUP(B62,Vendedores!$A$2:$A$41,Vendedores!$B$2:$B$41,"No hay datos")</f>
        <v>No hay datos</v>
      </c>
      <c r="H62" s="2" t="str">
        <f t="array" ref="H62">_xlfn.XLOOKUP(B62,Vendedores!$A$2:$A$41,Vendedores!$C$2:$C$41,"No hay datos")</f>
        <v>No hay datos</v>
      </c>
      <c r="I62" s="2" t="str">
        <f t="array" ref="I62">_xlfn.XLOOKUP(B62,Vendedores!$A$2:$A$41,Vendedores!$D$2:$D$41,"No hay datos")</f>
        <v>No hay datos</v>
      </c>
      <c r="J62" s="2" t="str">
        <f t="array" ref="J62">_xlfn.XLOOKUP(A62,Productos!$A$2:$A$61,Productos!$B$2:$F$61)</f>
        <v>#N/A</v>
      </c>
    </row>
    <row r="63">
      <c r="A63" s="2" t="str">
        <f>IFERROR(__xludf.DUMMYFUNCTION("""COMPUTED_VALUE"""),"PR043")</f>
        <v>PR043</v>
      </c>
      <c r="B63" s="2" t="str">
        <f>IFERROR(__xludf.DUMMYFUNCTION("""COMPUTED_VALUE"""),"VD039")</f>
        <v>VD039</v>
      </c>
      <c r="C63" s="2">
        <f>IFERROR(__xludf.DUMMYFUNCTION("""COMPUTED_VALUE"""),16.0)</f>
        <v>16</v>
      </c>
      <c r="D63" s="6">
        <f>IFERROR(__xludf.DUMMYFUNCTION("""COMPUTED_VALUE"""),1368.8)</f>
        <v>1368.8</v>
      </c>
      <c r="E63" s="6">
        <f>IFERROR(__xludf.DUMMYFUNCTION("GOOGLEFINANCE(""Currency:BRLMXN"")*D63"),4649.8135999999995)</f>
        <v>4649.8136</v>
      </c>
      <c r="F63" s="6">
        <f>IFERROR(__xludf.DUMMYFUNCTION("GOOGLEFINANCE(""Currency:BRLPEN"")*D63"),897.38528)</f>
        <v>897.38528</v>
      </c>
      <c r="G63" s="2" t="str">
        <f t="array" ref="G63">_xlfn.XLOOKUP(B63,Vendedores!$A$2:$A$41,Vendedores!$B$2:$B$41,"No hay datos")</f>
        <v>No hay datos</v>
      </c>
      <c r="H63" s="2" t="str">
        <f t="array" ref="H63">_xlfn.XLOOKUP(B63,Vendedores!$A$2:$A$41,Vendedores!$C$2:$C$41,"No hay datos")</f>
        <v>No hay datos</v>
      </c>
      <c r="I63" s="2" t="str">
        <f t="array" ref="I63">_xlfn.XLOOKUP(B63,Vendedores!$A$2:$A$41,Vendedores!$D$2:$D$41,"No hay datos")</f>
        <v>No hay datos</v>
      </c>
      <c r="J63" s="2" t="str">
        <f t="array" ref="J63">_xlfn.XLOOKUP(A63,Productos!$A$2:$A$61,Productos!$B$2:$F$61)</f>
        <v>#N/A</v>
      </c>
    </row>
    <row r="64">
      <c r="A64" s="2" t="str">
        <f>IFERROR(__xludf.DUMMYFUNCTION("""COMPUTED_VALUE"""),"PR040")</f>
        <v>PR040</v>
      </c>
      <c r="B64" s="2" t="str">
        <f>IFERROR(__xludf.DUMMYFUNCTION("""COMPUTED_VALUE"""),"VD014")</f>
        <v>VD014</v>
      </c>
      <c r="C64" s="2">
        <f>IFERROR(__xludf.DUMMYFUNCTION("""COMPUTED_VALUE"""),20.0)</f>
        <v>20</v>
      </c>
      <c r="D64" s="6">
        <f>IFERROR(__xludf.DUMMYFUNCTION("""COMPUTED_VALUE"""),1624.0)</f>
        <v>1624</v>
      </c>
      <c r="E64" s="6">
        <f>IFERROR(__xludf.DUMMYFUNCTION("GOOGLEFINANCE(""Currency:BRLMXN"")*D64"),5516.728)</f>
        <v>5516.728</v>
      </c>
      <c r="F64" s="6">
        <f>IFERROR(__xludf.DUMMYFUNCTION("GOOGLEFINANCE(""Currency:BRLPEN"")*D64"),1064.6943999999999)</f>
        <v>1064.6944</v>
      </c>
      <c r="G64" s="2" t="str">
        <f t="array" ref="G64">_xlfn.XLOOKUP(B64,Vendedores!$A$2:$A$41,Vendedores!$B$2:$B$41,"No hay datos")</f>
        <v>No hay datos</v>
      </c>
      <c r="H64" s="2" t="str">
        <f t="array" ref="H64">_xlfn.XLOOKUP(B64,Vendedores!$A$2:$A$41,Vendedores!$C$2:$C$41,"No hay datos")</f>
        <v>No hay datos</v>
      </c>
      <c r="I64" s="2" t="str">
        <f t="array" ref="I64">_xlfn.XLOOKUP(B64,Vendedores!$A$2:$A$41,Vendedores!$D$2:$D$41,"No hay datos")</f>
        <v>No hay datos</v>
      </c>
      <c r="J64" s="2" t="str">
        <f t="array" ref="J64">_xlfn.XLOOKUP(A64,Productos!$A$2:$A$61,Productos!$B$2:$F$61)</f>
        <v>#N/A</v>
      </c>
    </row>
    <row r="65">
      <c r="A65" s="2" t="str">
        <f>IFERROR(__xludf.DUMMYFUNCTION("""COMPUTED_VALUE"""),"PR052")</f>
        <v>PR052</v>
      </c>
      <c r="B65" s="2" t="str">
        <f>IFERROR(__xludf.DUMMYFUNCTION("""COMPUTED_VALUE"""),"VD035")</f>
        <v>VD035</v>
      </c>
      <c r="C65" s="2">
        <f>IFERROR(__xludf.DUMMYFUNCTION("""COMPUTED_VALUE"""),30.0)</f>
        <v>30</v>
      </c>
      <c r="D65" s="6">
        <f>IFERROR(__xludf.DUMMYFUNCTION("""COMPUTED_VALUE"""),1721.55)</f>
        <v>1721.55</v>
      </c>
      <c r="E65" s="6">
        <f>IFERROR(__xludf.DUMMYFUNCTION("GOOGLEFINANCE(""Currency:BRLMXN"")*D65"),5848.10535)</f>
        <v>5848.10535</v>
      </c>
      <c r="F65" s="6">
        <f>IFERROR(__xludf.DUMMYFUNCTION("GOOGLEFINANCE(""Currency:BRLPEN"")*D65"),1128.64818)</f>
        <v>1128.64818</v>
      </c>
      <c r="G65" s="2" t="str">
        <f t="array" ref="G65">_xlfn.XLOOKUP(B65,Vendedores!$A$2:$A$41,Vendedores!$B$2:$B$41,"No hay datos")</f>
        <v>No hay datos</v>
      </c>
      <c r="H65" s="2" t="str">
        <f t="array" ref="H65">_xlfn.XLOOKUP(B65,Vendedores!$A$2:$A$41,Vendedores!$C$2:$C$41,"No hay datos")</f>
        <v>No hay datos</v>
      </c>
      <c r="I65" s="2" t="str">
        <f t="array" ref="I65">_xlfn.XLOOKUP(B65,Vendedores!$A$2:$A$41,Vendedores!$D$2:$D$41,"No hay datos")</f>
        <v>No hay datos</v>
      </c>
      <c r="J65" s="2" t="str">
        <f t="array" ref="J65">_xlfn.XLOOKUP(A65,Productos!$A$2:$A$61,Productos!$B$2:$F$61)</f>
        <v>#N/A</v>
      </c>
    </row>
    <row r="66">
      <c r="A66" s="2" t="str">
        <f>IFERROR(__xludf.DUMMYFUNCTION("""COMPUTED_VALUE"""),"PR021")</f>
        <v>PR021</v>
      </c>
      <c r="B66" s="2" t="str">
        <f>IFERROR(__xludf.DUMMYFUNCTION("""COMPUTED_VALUE"""),"VD013")</f>
        <v>VD013</v>
      </c>
      <c r="C66" s="2">
        <f>IFERROR(__xludf.DUMMYFUNCTION("""COMPUTED_VALUE"""),8.0)</f>
        <v>8</v>
      </c>
      <c r="D66" s="6">
        <f>IFERROR(__xludf.DUMMYFUNCTION("""COMPUTED_VALUE"""),2689.75)</f>
        <v>2689.75</v>
      </c>
      <c r="E66" s="6">
        <f>IFERROR(__xludf.DUMMYFUNCTION("GOOGLEFINANCE(""Currency:BRLMXN"")*D66"),9137.08075)</f>
        <v>9137.08075</v>
      </c>
      <c r="F66" s="6">
        <f>IFERROR(__xludf.DUMMYFUNCTION("GOOGLEFINANCE(""Currency:BRLPEN"")*D66"),1763.4000999999998)</f>
        <v>1763.4001</v>
      </c>
      <c r="G66" s="2" t="str">
        <f t="array" ref="G66">_xlfn.XLOOKUP(B66,Vendedores!$A$2:$A$41,Vendedores!$B$2:$B$41,"No hay datos")</f>
        <v>No hay datos</v>
      </c>
      <c r="H66" s="2" t="str">
        <f t="array" ref="H66">_xlfn.XLOOKUP(B66,Vendedores!$A$2:$A$41,Vendedores!$C$2:$C$41,"No hay datos")</f>
        <v>No hay datos</v>
      </c>
      <c r="I66" s="2" t="str">
        <f t="array" ref="I66">_xlfn.XLOOKUP(B66,Vendedores!$A$2:$A$41,Vendedores!$D$2:$D$41,"No hay datos")</f>
        <v>No hay datos</v>
      </c>
      <c r="J66" s="2" t="str">
        <f t="array" ref="J66">_xlfn.XLOOKUP(A66,Productos!$A$2:$A$61,Productos!$B$2:$F$61)</f>
        <v>#N/A</v>
      </c>
    </row>
    <row r="67">
      <c r="A67" s="2" t="str">
        <f>IFERROR(__xludf.DUMMYFUNCTION("""COMPUTED_VALUE"""),"PR050")</f>
        <v>PR050</v>
      </c>
      <c r="B67" s="2" t="str">
        <f>IFERROR(__xludf.DUMMYFUNCTION("""COMPUTED_VALUE"""),"VD015")</f>
        <v>VD015</v>
      </c>
      <c r="C67" s="2">
        <f>IFERROR(__xludf.DUMMYFUNCTION("""COMPUTED_VALUE"""),24.0)</f>
        <v>24</v>
      </c>
      <c r="D67" s="6">
        <f>IFERROR(__xludf.DUMMYFUNCTION("""COMPUTED_VALUE"""),915.94)</f>
        <v>915.94</v>
      </c>
      <c r="E67" s="6">
        <f>IFERROR(__xludf.DUMMYFUNCTION("GOOGLEFINANCE(""Currency:BRLMXN"")*D67"),3111.44818)</f>
        <v>3111.44818</v>
      </c>
      <c r="F67" s="6">
        <f>IFERROR(__xludf.DUMMYFUNCTION("GOOGLEFINANCE(""Currency:BRLPEN"")*D67"),600.490264)</f>
        <v>600.490264</v>
      </c>
      <c r="G67" s="2" t="str">
        <f t="array" ref="G67">_xlfn.XLOOKUP(B67,Vendedores!$A$2:$A$41,Vendedores!$B$2:$B$41,"No hay datos")</f>
        <v>No hay datos</v>
      </c>
      <c r="H67" s="2" t="str">
        <f t="array" ref="H67">_xlfn.XLOOKUP(B67,Vendedores!$A$2:$A$41,Vendedores!$C$2:$C$41,"No hay datos")</f>
        <v>No hay datos</v>
      </c>
      <c r="I67" s="2" t="str">
        <f t="array" ref="I67">_xlfn.XLOOKUP(B67,Vendedores!$A$2:$A$41,Vendedores!$D$2:$D$41,"No hay datos")</f>
        <v>No hay datos</v>
      </c>
      <c r="J67" s="2" t="str">
        <f t="array" ref="J67">_xlfn.XLOOKUP(A67,Productos!$A$2:$A$61,Productos!$B$2:$F$61)</f>
        <v>#N/A</v>
      </c>
    </row>
    <row r="68">
      <c r="A68" s="2" t="str">
        <f>IFERROR(__xludf.DUMMYFUNCTION("""COMPUTED_VALUE"""),"PR036")</f>
        <v>PR036</v>
      </c>
      <c r="B68" s="2" t="str">
        <f>IFERROR(__xludf.DUMMYFUNCTION("""COMPUTED_VALUE"""),"VD040")</f>
        <v>VD040</v>
      </c>
      <c r="C68" s="2">
        <f>IFERROR(__xludf.DUMMYFUNCTION("""COMPUTED_VALUE"""),12.0)</f>
        <v>12</v>
      </c>
      <c r="D68" s="6">
        <f>IFERROR(__xludf.DUMMYFUNCTION("""COMPUTED_VALUE"""),1301.52)</f>
        <v>1301.52</v>
      </c>
      <c r="E68" s="6">
        <f>IFERROR(__xludf.DUMMYFUNCTION("GOOGLEFINANCE(""Currency:BRLMXN"")*D68"),4421.26344)</f>
        <v>4421.26344</v>
      </c>
      <c r="F68" s="6">
        <f>IFERROR(__xludf.DUMMYFUNCTION("GOOGLEFINANCE(""Currency:BRLPEN"")*D68"),853.2765119999999)</f>
        <v>853.276512</v>
      </c>
      <c r="G68" s="2" t="str">
        <f t="array" ref="G68">_xlfn.XLOOKUP(B68,Vendedores!$A$2:$A$41,Vendedores!$B$2:$B$41,"No hay datos")</f>
        <v>No hay datos</v>
      </c>
      <c r="H68" s="2" t="str">
        <f t="array" ref="H68">_xlfn.XLOOKUP(B68,Vendedores!$A$2:$A$41,Vendedores!$C$2:$C$41,"No hay datos")</f>
        <v>No hay datos</v>
      </c>
      <c r="I68" s="2" t="str">
        <f t="array" ref="I68">_xlfn.XLOOKUP(B68,Vendedores!$A$2:$A$41,Vendedores!$D$2:$D$41,"No hay datos")</f>
        <v>No hay datos</v>
      </c>
      <c r="J68" s="2" t="str">
        <f t="array" ref="J68">_xlfn.XLOOKUP(A68,Productos!$A$2:$A$61,Productos!$B$2:$F$61)</f>
        <v>#N/A</v>
      </c>
    </row>
    <row r="69">
      <c r="A69" s="2" t="str">
        <f>IFERROR(__xludf.DUMMYFUNCTION("""COMPUTED_VALUE"""),"PR023")</f>
        <v>PR023</v>
      </c>
      <c r="B69" s="2" t="str">
        <f>IFERROR(__xludf.DUMMYFUNCTION("""COMPUTED_VALUE"""),"VD037")</f>
        <v>VD037</v>
      </c>
      <c r="C69" s="2">
        <f>IFERROR(__xludf.DUMMYFUNCTION("""COMPUTED_VALUE"""),12.0)</f>
        <v>12</v>
      </c>
      <c r="D69" s="6">
        <f>IFERROR(__xludf.DUMMYFUNCTION("""COMPUTED_VALUE"""),3298.68)</f>
        <v>3298.68</v>
      </c>
      <c r="E69" s="6">
        <f>IFERROR(__xludf.DUMMYFUNCTION("GOOGLEFINANCE(""Currency:BRLMXN"")*D69"),11205.61596)</f>
        <v>11205.61596</v>
      </c>
      <c r="F69" s="6">
        <f>IFERROR(__xludf.DUMMYFUNCTION("GOOGLEFINANCE(""Currency:BRLPEN"")*D69"),2162.614608)</f>
        <v>2162.614608</v>
      </c>
      <c r="G69" s="2" t="str">
        <f t="array" ref="G69">_xlfn.XLOOKUP(B69,Vendedores!$A$2:$A$41,Vendedores!$B$2:$B$41,"No hay datos")</f>
        <v>No hay datos</v>
      </c>
      <c r="H69" s="2" t="str">
        <f t="array" ref="H69">_xlfn.XLOOKUP(B69,Vendedores!$A$2:$A$41,Vendedores!$C$2:$C$41,"No hay datos")</f>
        <v>No hay datos</v>
      </c>
      <c r="I69" s="2" t="str">
        <f t="array" ref="I69">_xlfn.XLOOKUP(B69,Vendedores!$A$2:$A$41,Vendedores!$D$2:$D$41,"No hay datos")</f>
        <v>No hay datos</v>
      </c>
      <c r="J69" s="2" t="str">
        <f t="array" ref="J69">_xlfn.XLOOKUP(A69,Productos!$A$2:$A$61,Productos!$B$2:$F$61)</f>
        <v>#N/A</v>
      </c>
    </row>
    <row r="70">
      <c r="A70" s="2" t="str">
        <f>IFERROR(__xludf.DUMMYFUNCTION("""COMPUTED_VALUE"""),"PR052")</f>
        <v>PR052</v>
      </c>
      <c r="B70" s="2" t="str">
        <f>IFERROR(__xludf.DUMMYFUNCTION("""COMPUTED_VALUE"""),"VD014")</f>
        <v>VD014</v>
      </c>
      <c r="C70" s="2">
        <f>IFERROR(__xludf.DUMMYFUNCTION("""COMPUTED_VALUE"""),20.0)</f>
        <v>20</v>
      </c>
      <c r="D70" s="6">
        <f>IFERROR(__xludf.DUMMYFUNCTION("""COMPUTED_VALUE"""),1127.74)</f>
        <v>1127.74</v>
      </c>
      <c r="E70" s="6">
        <f>IFERROR(__xludf.DUMMYFUNCTION("GOOGLEFINANCE(""Currency:BRLMXN"")*D70"),3830.9327799999996)</f>
        <v>3830.93278</v>
      </c>
      <c r="F70" s="6">
        <f>IFERROR(__xludf.DUMMYFUNCTION("GOOGLEFINANCE(""Currency:BRLPEN"")*D70"),739.3463439999999)</f>
        <v>739.346344</v>
      </c>
      <c r="G70" s="2" t="str">
        <f t="array" ref="G70">_xlfn.XLOOKUP(B70,Vendedores!$A$2:$A$41,Vendedores!$B$2:$B$41,"No hay datos")</f>
        <v>No hay datos</v>
      </c>
      <c r="H70" s="2" t="str">
        <f t="array" ref="H70">_xlfn.XLOOKUP(B70,Vendedores!$A$2:$A$41,Vendedores!$C$2:$C$41,"No hay datos")</f>
        <v>No hay datos</v>
      </c>
      <c r="I70" s="2" t="str">
        <f t="array" ref="I70">_xlfn.XLOOKUP(B70,Vendedores!$A$2:$A$41,Vendedores!$D$2:$D$41,"No hay datos")</f>
        <v>No hay datos</v>
      </c>
      <c r="J70" s="2" t="str">
        <f t="array" ref="J70">_xlfn.XLOOKUP(A70,Productos!$A$2:$A$61,Productos!$B$2:$F$61)</f>
        <v>#N/A</v>
      </c>
    </row>
    <row r="71">
      <c r="A71" s="2" t="str">
        <f>IFERROR(__xludf.DUMMYFUNCTION("""COMPUTED_VALUE"""),"PR051")</f>
        <v>PR051</v>
      </c>
      <c r="B71" s="2" t="str">
        <f>IFERROR(__xludf.DUMMYFUNCTION("""COMPUTED_VALUE"""),"VD018")</f>
        <v>VD018</v>
      </c>
      <c r="C71" s="2">
        <f>IFERROR(__xludf.DUMMYFUNCTION("""COMPUTED_VALUE"""),6.0)</f>
        <v>6</v>
      </c>
      <c r="D71" s="6">
        <f>IFERROR(__xludf.DUMMYFUNCTION("""COMPUTED_VALUE"""),221.09)</f>
        <v>221.09</v>
      </c>
      <c r="E71" s="6">
        <f>IFERROR(__xludf.DUMMYFUNCTION("GOOGLEFINANCE(""Currency:BRLMXN"")*D71"),751.04273)</f>
        <v>751.04273</v>
      </c>
      <c r="F71" s="6">
        <f>IFERROR(__xludf.DUMMYFUNCTION("GOOGLEFINANCE(""Currency:BRLPEN"")*D71"),144.94660399999998)</f>
        <v>144.946604</v>
      </c>
      <c r="G71" s="2" t="str">
        <f t="array" ref="G71">_xlfn.XLOOKUP(B71,Vendedores!$A$2:$A$41,Vendedores!$B$2:$B$41,"No hay datos")</f>
        <v>No hay datos</v>
      </c>
      <c r="H71" s="2" t="str">
        <f t="array" ref="H71">_xlfn.XLOOKUP(B71,Vendedores!$A$2:$A$41,Vendedores!$C$2:$C$41,"No hay datos")</f>
        <v>No hay datos</v>
      </c>
      <c r="I71" s="2" t="str">
        <f t="array" ref="I71">_xlfn.XLOOKUP(B71,Vendedores!$A$2:$A$41,Vendedores!$D$2:$D$41,"No hay datos")</f>
        <v>No hay datos</v>
      </c>
      <c r="J71" s="2" t="str">
        <f t="array" ref="J71">_xlfn.XLOOKUP(A71,Productos!$A$2:$A$61,Productos!$B$2:$F$61)</f>
        <v>#N/A</v>
      </c>
    </row>
    <row r="72">
      <c r="A72" s="2" t="str">
        <f>IFERROR(__xludf.DUMMYFUNCTION("""COMPUTED_VALUE"""),"PR019")</f>
        <v>PR019</v>
      </c>
      <c r="B72" s="2" t="str">
        <f>IFERROR(__xludf.DUMMYFUNCTION("""COMPUTED_VALUE"""),"VD010")</f>
        <v>VD010</v>
      </c>
      <c r="C72" s="2">
        <f>IFERROR(__xludf.DUMMYFUNCTION("""COMPUTED_VALUE"""),20.0)</f>
        <v>20</v>
      </c>
      <c r="D72" s="6">
        <f>IFERROR(__xludf.DUMMYFUNCTION("""COMPUTED_VALUE"""),1197.6)</f>
        <v>1197.6</v>
      </c>
      <c r="E72" s="6">
        <f>IFERROR(__xludf.DUMMYFUNCTION("GOOGLEFINANCE(""Currency:BRLMXN"")*D72"),4068.2471999999993)</f>
        <v>4068.2472</v>
      </c>
      <c r="F72" s="6">
        <f>IFERROR(__xludf.DUMMYFUNCTION("GOOGLEFINANCE(""Currency:BRLPEN"")*D72"),785.1465599999999)</f>
        <v>785.14656</v>
      </c>
      <c r="G72" s="2" t="str">
        <f t="array" ref="G72">_xlfn.XLOOKUP(B72,Vendedores!$A$2:$A$41,Vendedores!$B$2:$B$41,"No hay datos")</f>
        <v>No hay datos</v>
      </c>
      <c r="H72" s="2" t="str">
        <f t="array" ref="H72">_xlfn.XLOOKUP(B72,Vendedores!$A$2:$A$41,Vendedores!$C$2:$C$41,"No hay datos")</f>
        <v>No hay datos</v>
      </c>
      <c r="I72" s="2" t="str">
        <f t="array" ref="I72">_xlfn.XLOOKUP(B72,Vendedores!$A$2:$A$41,Vendedores!$D$2:$D$41,"No hay datos")</f>
        <v>No hay datos</v>
      </c>
      <c r="J72" s="2" t="str">
        <f t="array" ref="J72">_xlfn.XLOOKUP(A72,Productos!$A$2:$A$61,Productos!$B$2:$F$61)</f>
        <v>#N/A</v>
      </c>
    </row>
    <row r="73">
      <c r="A73" s="2" t="str">
        <f>IFERROR(__xludf.DUMMYFUNCTION("""COMPUTED_VALUE"""),"PR053")</f>
        <v>PR053</v>
      </c>
      <c r="B73" s="2" t="str">
        <f>IFERROR(__xludf.DUMMYFUNCTION("""COMPUTED_VALUE"""),"VD043")</f>
        <v>VD043</v>
      </c>
      <c r="C73" s="2">
        <f>IFERROR(__xludf.DUMMYFUNCTION("""COMPUTED_VALUE"""),16.0)</f>
        <v>16</v>
      </c>
      <c r="D73" s="6">
        <f>IFERROR(__xludf.DUMMYFUNCTION("""COMPUTED_VALUE"""),950.1)</f>
        <v>950.1</v>
      </c>
      <c r="E73" s="6">
        <f>IFERROR(__xludf.DUMMYFUNCTION("GOOGLEFINANCE(""Currency:BRLMXN"")*D73"),3227.4897)</f>
        <v>3227.4897</v>
      </c>
      <c r="F73" s="6">
        <f>IFERROR(__xludf.DUMMYFUNCTION("GOOGLEFINANCE(""Currency:BRLPEN"")*D73"),622.8855599999999)</f>
        <v>622.88556</v>
      </c>
      <c r="G73" s="2" t="str">
        <f t="array" ref="G73">_xlfn.XLOOKUP(B73,Vendedores!$A$2:$A$41,Vendedores!$B$2:$B$41,"No hay datos")</f>
        <v>No hay datos</v>
      </c>
      <c r="H73" s="2" t="str">
        <f t="array" ref="H73">_xlfn.XLOOKUP(B73,Vendedores!$A$2:$A$41,Vendedores!$C$2:$C$41,"No hay datos")</f>
        <v>No hay datos</v>
      </c>
      <c r="I73" s="2" t="str">
        <f t="array" ref="I73">_xlfn.XLOOKUP(B73,Vendedores!$A$2:$A$41,Vendedores!$D$2:$D$41,"No hay datos")</f>
        <v>No hay datos</v>
      </c>
      <c r="J73" s="2" t="str">
        <f t="array" ref="J73">_xlfn.XLOOKUP(A73,Productos!$A$2:$A$61,Productos!$B$2:$F$61)</f>
        <v>#N/A</v>
      </c>
    </row>
    <row r="74">
      <c r="A74" s="2" t="str">
        <f>IFERROR(__xludf.DUMMYFUNCTION("""COMPUTED_VALUE"""),"PR031")</f>
        <v>PR031</v>
      </c>
      <c r="B74" s="2" t="str">
        <f>IFERROR(__xludf.DUMMYFUNCTION("""COMPUTED_VALUE"""),"VD035")</f>
        <v>VD035</v>
      </c>
      <c r="C74" s="2">
        <f>IFERROR(__xludf.DUMMYFUNCTION("""COMPUTED_VALUE"""),21.0)</f>
        <v>21</v>
      </c>
      <c r="D74" s="6">
        <f>IFERROR(__xludf.DUMMYFUNCTION("""COMPUTED_VALUE"""),6122.55)</f>
        <v>6122.55</v>
      </c>
      <c r="E74" s="6">
        <f>IFERROR(__xludf.DUMMYFUNCTION("GOOGLEFINANCE(""Currency:BRLMXN"")*D74"),20798.302349999998)</f>
        <v>20798.30235</v>
      </c>
      <c r="F74" s="6">
        <f>IFERROR(__xludf.DUMMYFUNCTION("GOOGLEFINANCE(""Currency:BRLPEN"")*D74"),4013.94378)</f>
        <v>4013.94378</v>
      </c>
      <c r="G74" s="2" t="str">
        <f t="array" ref="G74">_xlfn.XLOOKUP(B74,Vendedores!$A$2:$A$41,Vendedores!$B$2:$B$41,"No hay datos")</f>
        <v>No hay datos</v>
      </c>
      <c r="H74" s="2" t="str">
        <f t="array" ref="H74">_xlfn.XLOOKUP(B74,Vendedores!$A$2:$A$41,Vendedores!$C$2:$C$41,"No hay datos")</f>
        <v>No hay datos</v>
      </c>
      <c r="I74" s="2" t="str">
        <f t="array" ref="I74">_xlfn.XLOOKUP(B74,Vendedores!$A$2:$A$41,Vendedores!$D$2:$D$41,"No hay datos")</f>
        <v>No hay datos</v>
      </c>
      <c r="J74" s="2" t="str">
        <f t="array" ref="J74">_xlfn.XLOOKUP(A74,Productos!$A$2:$A$61,Productos!$B$2:$F$61)</f>
        <v>#N/A</v>
      </c>
    </row>
    <row r="75">
      <c r="A75" s="2" t="str">
        <f>IFERROR(__xludf.DUMMYFUNCTION("""COMPUTED_VALUE"""),"PR008")</f>
        <v>PR008</v>
      </c>
      <c r="B75" s="2" t="str">
        <f>IFERROR(__xludf.DUMMYFUNCTION("""COMPUTED_VALUE"""),"VD037")</f>
        <v>VD037</v>
      </c>
      <c r="C75" s="2">
        <f>IFERROR(__xludf.DUMMYFUNCTION("""COMPUTED_VALUE"""),10.0)</f>
        <v>10</v>
      </c>
      <c r="D75" s="6">
        <f>IFERROR(__xludf.DUMMYFUNCTION("""COMPUTED_VALUE"""),1078.8)</f>
        <v>1078.8</v>
      </c>
      <c r="E75" s="6">
        <f>IFERROR(__xludf.DUMMYFUNCTION("GOOGLEFINANCE(""Currency:BRLMXN"")*D75"),3664.6836)</f>
        <v>3664.6836</v>
      </c>
      <c r="F75" s="6">
        <f>IFERROR(__xludf.DUMMYFUNCTION("GOOGLEFINANCE(""Currency:BRLPEN"")*D75"),707.2612799999999)</f>
        <v>707.26128</v>
      </c>
      <c r="G75" s="2" t="str">
        <f t="array" ref="G75">_xlfn.XLOOKUP(B75,Vendedores!$A$2:$A$41,Vendedores!$B$2:$B$41,"No hay datos")</f>
        <v>No hay datos</v>
      </c>
      <c r="H75" s="2" t="str">
        <f t="array" ref="H75">_xlfn.XLOOKUP(B75,Vendedores!$A$2:$A$41,Vendedores!$C$2:$C$41,"No hay datos")</f>
        <v>No hay datos</v>
      </c>
      <c r="I75" s="2" t="str">
        <f t="array" ref="I75">_xlfn.XLOOKUP(B75,Vendedores!$A$2:$A$41,Vendedores!$D$2:$D$41,"No hay datos")</f>
        <v>No hay datos</v>
      </c>
      <c r="J75" s="2" t="str">
        <f t="array" ref="J75">_xlfn.XLOOKUP(A75,Productos!$A$2:$A$61,Productos!$B$2:$F$61)</f>
        <v>#N/A</v>
      </c>
    </row>
    <row r="76">
      <c r="A76" s="2" t="str">
        <f>IFERROR(__xludf.DUMMYFUNCTION("""COMPUTED_VALUE"""),"PR010")</f>
        <v>PR010</v>
      </c>
      <c r="B76" s="2" t="str">
        <f>IFERROR(__xludf.DUMMYFUNCTION("""COMPUTED_VALUE"""),"VD023")</f>
        <v>VD023</v>
      </c>
      <c r="C76" s="2">
        <f>IFERROR(__xludf.DUMMYFUNCTION("""COMPUTED_VALUE"""),14.0)</f>
        <v>14</v>
      </c>
      <c r="D76" s="6">
        <f>IFERROR(__xludf.DUMMYFUNCTION("""COMPUTED_VALUE"""),704.03)</f>
        <v>704.03</v>
      </c>
      <c r="E76" s="6">
        <f>IFERROR(__xludf.DUMMYFUNCTION("GOOGLEFINANCE(""Currency:BRLMXN"")*D76"),2391.5899099999997)</f>
        <v>2391.58991</v>
      </c>
      <c r="F76" s="6">
        <f>IFERROR(__xludf.DUMMYFUNCTION("GOOGLEFINANCE(""Currency:BRLPEN"")*D76"),461.56206799999995)</f>
        <v>461.562068</v>
      </c>
      <c r="G76" s="2" t="str">
        <f t="array" ref="G76">_xlfn.XLOOKUP(B76,Vendedores!$A$2:$A$41,Vendedores!$B$2:$B$41,"No hay datos")</f>
        <v>No hay datos</v>
      </c>
      <c r="H76" s="2" t="str">
        <f t="array" ref="H76">_xlfn.XLOOKUP(B76,Vendedores!$A$2:$A$41,Vendedores!$C$2:$C$41,"No hay datos")</f>
        <v>No hay datos</v>
      </c>
      <c r="I76" s="2" t="str">
        <f t="array" ref="I76">_xlfn.XLOOKUP(B76,Vendedores!$A$2:$A$41,Vendedores!$D$2:$D$41,"No hay datos")</f>
        <v>No hay datos</v>
      </c>
      <c r="J76" s="2" t="str">
        <f t="array" ref="J76">_xlfn.XLOOKUP(A76,Productos!$A$2:$A$61,Productos!$B$2:$F$61)</f>
        <v>#N/A</v>
      </c>
    </row>
    <row r="77">
      <c r="A77" s="2" t="str">
        <f>IFERROR(__xludf.DUMMYFUNCTION("""COMPUTED_VALUE"""),"PR012")</f>
        <v>PR012</v>
      </c>
      <c r="B77" s="2" t="str">
        <f>IFERROR(__xludf.DUMMYFUNCTION("""COMPUTED_VALUE"""),"VD018")</f>
        <v>VD018</v>
      </c>
      <c r="C77" s="2">
        <f>IFERROR(__xludf.DUMMYFUNCTION("""COMPUTED_VALUE"""),10.0)</f>
        <v>10</v>
      </c>
      <c r="D77" s="6">
        <f>IFERROR(__xludf.DUMMYFUNCTION("""COMPUTED_VALUE"""),577.02)</f>
        <v>577.02</v>
      </c>
      <c r="E77" s="6">
        <f>IFERROR(__xludf.DUMMYFUNCTION("GOOGLEFINANCE(""Currency:BRLMXN"")*D77"),1960.1369399999999)</f>
        <v>1960.13694</v>
      </c>
      <c r="F77" s="6">
        <f>IFERROR(__xludf.DUMMYFUNCTION("GOOGLEFINANCE(""Currency:BRLPEN"")*D77"),378.294312)</f>
        <v>378.294312</v>
      </c>
      <c r="G77" s="2" t="str">
        <f t="array" ref="G77">_xlfn.XLOOKUP(B77,Vendedores!$A$2:$A$41,Vendedores!$B$2:$B$41,"No hay datos")</f>
        <v>No hay datos</v>
      </c>
      <c r="H77" s="2" t="str">
        <f t="array" ref="H77">_xlfn.XLOOKUP(B77,Vendedores!$A$2:$A$41,Vendedores!$C$2:$C$41,"No hay datos")</f>
        <v>No hay datos</v>
      </c>
      <c r="I77" s="2" t="str">
        <f t="array" ref="I77">_xlfn.XLOOKUP(B77,Vendedores!$A$2:$A$41,Vendedores!$D$2:$D$41,"No hay datos")</f>
        <v>No hay datos</v>
      </c>
      <c r="J77" s="2" t="str">
        <f t="array" ref="J77">_xlfn.XLOOKUP(A77,Productos!$A$2:$A$61,Productos!$B$2:$F$61)</f>
        <v>#N/A</v>
      </c>
    </row>
    <row r="78">
      <c r="A78" s="2" t="str">
        <f>IFERROR(__xludf.DUMMYFUNCTION("""COMPUTED_VALUE"""),"PR043")</f>
        <v>PR043</v>
      </c>
      <c r="B78" s="2" t="str">
        <f>IFERROR(__xludf.DUMMYFUNCTION("""COMPUTED_VALUE"""),"VD033")</f>
        <v>VD033</v>
      </c>
      <c r="C78" s="2">
        <f>IFERROR(__xludf.DUMMYFUNCTION("""COMPUTED_VALUE"""),12.0)</f>
        <v>12</v>
      </c>
      <c r="D78" s="6">
        <f>IFERROR(__xludf.DUMMYFUNCTION("""COMPUTED_VALUE"""),983.1)</f>
        <v>983.1</v>
      </c>
      <c r="E78" s="6">
        <f>IFERROR(__xludf.DUMMYFUNCTION("GOOGLEFINANCE(""Currency:BRLMXN"")*D78"),3339.5906999999997)</f>
        <v>3339.5907</v>
      </c>
      <c r="F78" s="6">
        <f>IFERROR(__xludf.DUMMYFUNCTION("GOOGLEFINANCE(""Currency:BRLPEN"")*D78"),644.52036)</f>
        <v>644.52036</v>
      </c>
      <c r="G78" s="2" t="str">
        <f t="array" ref="G78">_xlfn.XLOOKUP(B78,Vendedores!$A$2:$A$41,Vendedores!$B$2:$B$41,"No hay datos")</f>
        <v>No hay datos</v>
      </c>
      <c r="H78" s="2" t="str">
        <f t="array" ref="H78">_xlfn.XLOOKUP(B78,Vendedores!$A$2:$A$41,Vendedores!$C$2:$C$41,"No hay datos")</f>
        <v>No hay datos</v>
      </c>
      <c r="I78" s="2" t="str">
        <f t="array" ref="I78">_xlfn.XLOOKUP(B78,Vendedores!$A$2:$A$41,Vendedores!$D$2:$D$41,"No hay datos")</f>
        <v>No hay datos</v>
      </c>
      <c r="J78" s="2" t="str">
        <f t="array" ref="J78">_xlfn.XLOOKUP(A78,Productos!$A$2:$A$61,Productos!$B$2:$F$61)</f>
        <v>#N/A</v>
      </c>
    </row>
    <row r="79">
      <c r="A79" s="2" t="str">
        <f>IFERROR(__xludf.DUMMYFUNCTION("""COMPUTED_VALUE"""),"PR004")</f>
        <v>PR004</v>
      </c>
      <c r="B79" s="2" t="str">
        <f>IFERROR(__xludf.DUMMYFUNCTION("""COMPUTED_VALUE"""),"VD015")</f>
        <v>VD015</v>
      </c>
      <c r="C79" s="2">
        <f>IFERROR(__xludf.DUMMYFUNCTION("""COMPUTED_VALUE"""),10.0)</f>
        <v>10</v>
      </c>
      <c r="D79" s="6">
        <f>IFERROR(__xludf.DUMMYFUNCTION("""COMPUTED_VALUE"""),1725.5)</f>
        <v>1725.5</v>
      </c>
      <c r="E79" s="6">
        <f>IFERROR(__xludf.DUMMYFUNCTION("GOOGLEFINANCE(""Currency:BRLMXN"")*D79"),5861.523499999999)</f>
        <v>5861.5235</v>
      </c>
      <c r="F79" s="6">
        <f>IFERROR(__xludf.DUMMYFUNCTION("GOOGLEFINANCE(""Currency:BRLPEN"")*D79"),1131.2377999999999)</f>
        <v>1131.2378</v>
      </c>
      <c r="G79" s="2" t="str">
        <f t="array" ref="G79">_xlfn.XLOOKUP(B79,Vendedores!$A$2:$A$41,Vendedores!$B$2:$B$41,"No hay datos")</f>
        <v>No hay datos</v>
      </c>
      <c r="H79" s="2" t="str">
        <f t="array" ref="H79">_xlfn.XLOOKUP(B79,Vendedores!$A$2:$A$41,Vendedores!$C$2:$C$41,"No hay datos")</f>
        <v>No hay datos</v>
      </c>
      <c r="I79" s="2" t="str">
        <f t="array" ref="I79">_xlfn.XLOOKUP(B79,Vendedores!$A$2:$A$41,Vendedores!$D$2:$D$41,"No hay datos")</f>
        <v>No hay datos</v>
      </c>
      <c r="J79" s="2" t="str">
        <f t="array" ref="J79">_xlfn.XLOOKUP(A79,Productos!$A$2:$A$61,Productos!$B$2:$F$61)</f>
        <v>#N/A</v>
      </c>
    </row>
    <row r="80">
      <c r="A80" s="2" t="str">
        <f>IFERROR(__xludf.DUMMYFUNCTION("""COMPUTED_VALUE"""),"PR045")</f>
        <v>PR045</v>
      </c>
      <c r="B80" s="2" t="str">
        <f>IFERROR(__xludf.DUMMYFUNCTION("""COMPUTED_VALUE"""),"VD027")</f>
        <v>VD027</v>
      </c>
      <c r="C80" s="2">
        <f>IFERROR(__xludf.DUMMYFUNCTION("""COMPUTED_VALUE"""),16.0)</f>
        <v>16</v>
      </c>
      <c r="D80" s="6">
        <f>IFERROR(__xludf.DUMMYFUNCTION("""COMPUTED_VALUE"""),1334.0)</f>
        <v>1334</v>
      </c>
      <c r="E80" s="6">
        <f>IFERROR(__xludf.DUMMYFUNCTION("GOOGLEFINANCE(""Currency:BRLMXN"")*D80"),4531.598)</f>
        <v>4531.598</v>
      </c>
      <c r="F80" s="6">
        <f>IFERROR(__xludf.DUMMYFUNCTION("GOOGLEFINANCE(""Currency:BRLPEN"")*D80"),874.5704)</f>
        <v>874.5704</v>
      </c>
      <c r="G80" s="2" t="str">
        <f t="array" ref="G80">_xlfn.XLOOKUP(B80,Vendedores!$A$2:$A$41,Vendedores!$B$2:$B$41,"No hay datos")</f>
        <v>No hay datos</v>
      </c>
      <c r="H80" s="2" t="str">
        <f t="array" ref="H80">_xlfn.XLOOKUP(B80,Vendedores!$A$2:$A$41,Vendedores!$C$2:$C$41,"No hay datos")</f>
        <v>No hay datos</v>
      </c>
      <c r="I80" s="2" t="str">
        <f t="array" ref="I80">_xlfn.XLOOKUP(B80,Vendedores!$A$2:$A$41,Vendedores!$D$2:$D$41,"No hay datos")</f>
        <v>No hay datos</v>
      </c>
      <c r="J80" s="2" t="str">
        <f t="array" ref="J80">_xlfn.XLOOKUP(A80,Productos!$A$2:$A$61,Productos!$B$2:$F$61)</f>
        <v>#N/A</v>
      </c>
    </row>
    <row r="81">
      <c r="A81" s="2" t="str">
        <f>IFERROR(__xludf.DUMMYFUNCTION("""COMPUTED_VALUE"""),"PR014")</f>
        <v>PR014</v>
      </c>
      <c r="B81" s="2" t="str">
        <f>IFERROR(__xludf.DUMMYFUNCTION("""COMPUTED_VALUE"""),"VD035")</f>
        <v>VD035</v>
      </c>
      <c r="C81" s="2">
        <f>IFERROR(__xludf.DUMMYFUNCTION("""COMPUTED_VALUE"""),20.0)</f>
        <v>20</v>
      </c>
      <c r="D81" s="6">
        <f>IFERROR(__xludf.DUMMYFUNCTION("""COMPUTED_VALUE"""),877.8)</f>
        <v>877.8</v>
      </c>
      <c r="E81" s="6">
        <f>IFERROR(__xludf.DUMMYFUNCTION("GOOGLEFINANCE(""Currency:BRLMXN"")*D81"),2981.8866)</f>
        <v>2981.8866</v>
      </c>
      <c r="F81" s="6">
        <f>IFERROR(__xludf.DUMMYFUNCTION("GOOGLEFINANCE(""Currency:BRLPEN"")*D81"),575.4856799999999)</f>
        <v>575.48568</v>
      </c>
      <c r="G81" s="2" t="str">
        <f t="array" ref="G81">_xlfn.XLOOKUP(B81,Vendedores!$A$2:$A$41,Vendedores!$B$2:$B$41,"No hay datos")</f>
        <v>No hay datos</v>
      </c>
      <c r="H81" s="2" t="str">
        <f t="array" ref="H81">_xlfn.XLOOKUP(B81,Vendedores!$A$2:$A$41,Vendedores!$C$2:$C$41,"No hay datos")</f>
        <v>No hay datos</v>
      </c>
      <c r="I81" s="2" t="str">
        <f t="array" ref="I81">_xlfn.XLOOKUP(B81,Vendedores!$A$2:$A$41,Vendedores!$D$2:$D$41,"No hay datos")</f>
        <v>No hay datos</v>
      </c>
      <c r="J81" s="2" t="str">
        <f t="array" ref="J81">_xlfn.XLOOKUP(A81,Productos!$A$2:$A$61,Productos!$B$2:$F$61)</f>
        <v>#N/A</v>
      </c>
    </row>
    <row r="82">
      <c r="A82" s="2" t="str">
        <f>IFERROR(__xludf.DUMMYFUNCTION("""COMPUTED_VALUE"""),"PR026")</f>
        <v>PR026</v>
      </c>
      <c r="B82" s="2" t="str">
        <f>IFERROR(__xludf.DUMMYFUNCTION("""COMPUTED_VALUE"""),"VD011")</f>
        <v>VD011</v>
      </c>
      <c r="C82" s="2">
        <f>IFERROR(__xludf.DUMMYFUNCTION("""COMPUTED_VALUE"""),15.0)</f>
        <v>15</v>
      </c>
      <c r="D82" s="6">
        <f>IFERROR(__xludf.DUMMYFUNCTION("""COMPUTED_VALUE"""),6035.78)</f>
        <v>6035.78</v>
      </c>
      <c r="E82" s="6">
        <f>IFERROR(__xludf.DUMMYFUNCTION("GOOGLEFINANCE(""Currency:BRLMXN"")*D82"),20503.54466)</f>
        <v>20503.54466</v>
      </c>
      <c r="F82" s="6">
        <f>IFERROR(__xludf.DUMMYFUNCTION("GOOGLEFINANCE(""Currency:BRLPEN"")*D82"),3957.0573679999998)</f>
        <v>3957.057368</v>
      </c>
      <c r="G82" s="2" t="str">
        <f t="array" ref="G82">_xlfn.XLOOKUP(B82,Vendedores!$A$2:$A$41,Vendedores!$B$2:$B$41,"No hay datos")</f>
        <v>No hay datos</v>
      </c>
      <c r="H82" s="2" t="str">
        <f t="array" ref="H82">_xlfn.XLOOKUP(B82,Vendedores!$A$2:$A$41,Vendedores!$C$2:$C$41,"No hay datos")</f>
        <v>No hay datos</v>
      </c>
      <c r="I82" s="2" t="str">
        <f t="array" ref="I82">_xlfn.XLOOKUP(B82,Vendedores!$A$2:$A$41,Vendedores!$D$2:$D$41,"No hay datos")</f>
        <v>No hay datos</v>
      </c>
      <c r="J82" s="2" t="str">
        <f t="array" ref="J82">_xlfn.XLOOKUP(A82,Productos!$A$2:$A$61,Productos!$B$2:$F$61)</f>
        <v>#N/A</v>
      </c>
    </row>
    <row r="83">
      <c r="A83" s="2" t="str">
        <f>IFERROR(__xludf.DUMMYFUNCTION("""COMPUTED_VALUE"""),"PR014")</f>
        <v>PR014</v>
      </c>
      <c r="B83" s="2" t="str">
        <f>IFERROR(__xludf.DUMMYFUNCTION("""COMPUTED_VALUE"""),"VD028")</f>
        <v>VD028</v>
      </c>
      <c r="C83" s="2">
        <f>IFERROR(__xludf.DUMMYFUNCTION("""COMPUTED_VALUE"""),30.0)</f>
        <v>30</v>
      </c>
      <c r="D83" s="6">
        <f>IFERROR(__xludf.DUMMYFUNCTION("""COMPUTED_VALUE"""),1328.67)</f>
        <v>1328.67</v>
      </c>
      <c r="E83" s="6">
        <f>IFERROR(__xludf.DUMMYFUNCTION("GOOGLEFINANCE(""Currency:BRLMXN"")*D83"),4513.4919899999995)</f>
        <v>4513.49199</v>
      </c>
      <c r="F83" s="6">
        <f>IFERROR(__xludf.DUMMYFUNCTION("GOOGLEFINANCE(""Currency:BRLPEN"")*D83"),871.076052)</f>
        <v>871.076052</v>
      </c>
      <c r="G83" s="2" t="str">
        <f t="array" ref="G83">_xlfn.XLOOKUP(B83,Vendedores!$A$2:$A$41,Vendedores!$B$2:$B$41,"No hay datos")</f>
        <v>No hay datos</v>
      </c>
      <c r="H83" s="2" t="str">
        <f t="array" ref="H83">_xlfn.XLOOKUP(B83,Vendedores!$A$2:$A$41,Vendedores!$C$2:$C$41,"No hay datos")</f>
        <v>No hay datos</v>
      </c>
      <c r="I83" s="2" t="str">
        <f t="array" ref="I83">_xlfn.XLOOKUP(B83,Vendedores!$A$2:$A$41,Vendedores!$D$2:$D$41,"No hay datos")</f>
        <v>No hay datos</v>
      </c>
      <c r="J83" s="2" t="str">
        <f t="array" ref="J83">_xlfn.XLOOKUP(A83,Productos!$A$2:$A$61,Productos!$B$2:$F$61)</f>
        <v>#N/A</v>
      </c>
    </row>
    <row r="84">
      <c r="A84" s="2" t="str">
        <f>IFERROR(__xludf.DUMMYFUNCTION("""COMPUTED_VALUE"""),"PR024")</f>
        <v>PR024</v>
      </c>
      <c r="B84" s="2" t="str">
        <f>IFERROR(__xludf.DUMMYFUNCTION("""COMPUTED_VALUE"""),"VD019")</f>
        <v>VD019</v>
      </c>
      <c r="C84" s="2">
        <f>IFERROR(__xludf.DUMMYFUNCTION("""COMPUTED_VALUE"""),30.0)</f>
        <v>30</v>
      </c>
      <c r="D84" s="6">
        <f>IFERROR(__xludf.DUMMYFUNCTION("""COMPUTED_VALUE"""),8810.61)</f>
        <v>8810.61</v>
      </c>
      <c r="E84" s="6">
        <f>IFERROR(__xludf.DUMMYFUNCTION("GOOGLEFINANCE(""Currency:BRLMXN"")*D84"),29929.64217)</f>
        <v>29929.64217</v>
      </c>
      <c r="F84" s="6">
        <f>IFERROR(__xludf.DUMMYFUNCTION("GOOGLEFINANCE(""Currency:BRLPEN"")*D84"),5776.235916)</f>
        <v>5776.235916</v>
      </c>
      <c r="G84" s="2" t="str">
        <f t="array" ref="G84">_xlfn.XLOOKUP(B84,Vendedores!$A$2:$A$41,Vendedores!$B$2:$B$41,"No hay datos")</f>
        <v>No hay datos</v>
      </c>
      <c r="H84" s="2" t="str">
        <f t="array" ref="H84">_xlfn.XLOOKUP(B84,Vendedores!$A$2:$A$41,Vendedores!$C$2:$C$41,"No hay datos")</f>
        <v>No hay datos</v>
      </c>
      <c r="I84" s="2" t="str">
        <f t="array" ref="I84">_xlfn.XLOOKUP(B84,Vendedores!$A$2:$A$41,Vendedores!$D$2:$D$41,"No hay datos")</f>
        <v>No hay datos</v>
      </c>
      <c r="J84" s="2" t="str">
        <f t="array" ref="J84">_xlfn.XLOOKUP(A84,Productos!$A$2:$A$61,Productos!$B$2:$F$61)</f>
        <v>#N/A</v>
      </c>
    </row>
    <row r="85">
      <c r="A85" s="2" t="str">
        <f>IFERROR(__xludf.DUMMYFUNCTION("""COMPUTED_VALUE"""),"PR023")</f>
        <v>PR023</v>
      </c>
      <c r="B85" s="2" t="str">
        <f>IFERROR(__xludf.DUMMYFUNCTION("""COMPUTED_VALUE"""),"VD034")</f>
        <v>VD034</v>
      </c>
      <c r="C85" s="2">
        <f>IFERROR(__xludf.DUMMYFUNCTION("""COMPUTED_VALUE"""),18.0)</f>
        <v>18</v>
      </c>
      <c r="D85" s="6">
        <f>IFERROR(__xludf.DUMMYFUNCTION("""COMPUTED_VALUE"""),5082.97)</f>
        <v>5082.97</v>
      </c>
      <c r="E85" s="6">
        <f>IFERROR(__xludf.DUMMYFUNCTION("GOOGLEFINANCE(""Currency:BRLMXN"")*D85"),17266.84909)</f>
        <v>17266.84909</v>
      </c>
      <c r="F85" s="6">
        <f>IFERROR(__xludf.DUMMYFUNCTION("GOOGLEFINANCE(""Currency:BRLPEN"")*D85"),3332.395132)</f>
        <v>3332.395132</v>
      </c>
      <c r="G85" s="2" t="str">
        <f t="array" ref="G85">_xlfn.XLOOKUP(B85,Vendedores!$A$2:$A$41,Vendedores!$B$2:$B$41,"No hay datos")</f>
        <v>No hay datos</v>
      </c>
      <c r="H85" s="2" t="str">
        <f t="array" ref="H85">_xlfn.XLOOKUP(B85,Vendedores!$A$2:$A$41,Vendedores!$C$2:$C$41,"No hay datos")</f>
        <v>No hay datos</v>
      </c>
      <c r="I85" s="2" t="str">
        <f t="array" ref="I85">_xlfn.XLOOKUP(B85,Vendedores!$A$2:$A$41,Vendedores!$D$2:$D$41,"No hay datos")</f>
        <v>No hay datos</v>
      </c>
      <c r="J85" s="2" t="str">
        <f t="array" ref="J85">_xlfn.XLOOKUP(A85,Productos!$A$2:$A$61,Productos!$B$2:$F$61)</f>
        <v>#N/A</v>
      </c>
    </row>
    <row r="86">
      <c r="A86" s="2" t="str">
        <f>IFERROR(__xludf.DUMMYFUNCTION("""COMPUTED_VALUE"""),"PR010")</f>
        <v>PR010</v>
      </c>
      <c r="B86" s="2" t="str">
        <f>IFERROR(__xludf.DUMMYFUNCTION("""COMPUTED_VALUE"""),"VD028")</f>
        <v>VD028</v>
      </c>
      <c r="C86" s="2">
        <f>IFERROR(__xludf.DUMMYFUNCTION("""COMPUTED_VALUE"""),20.0)</f>
        <v>20</v>
      </c>
      <c r="D86" s="6">
        <f>IFERROR(__xludf.DUMMYFUNCTION("""COMPUTED_VALUE"""),1050.66)</f>
        <v>1050.66</v>
      </c>
      <c r="E86" s="6">
        <f>IFERROR(__xludf.DUMMYFUNCTION("GOOGLEFINANCE(""Currency:BRLMXN"")*D86"),3569.09202)</f>
        <v>3569.09202</v>
      </c>
      <c r="F86" s="6">
        <f>IFERROR(__xludf.DUMMYFUNCTION("GOOGLEFINANCE(""Currency:BRLPEN"")*D86"),688.812696)</f>
        <v>688.812696</v>
      </c>
      <c r="G86" s="2" t="str">
        <f t="array" ref="G86">_xlfn.XLOOKUP(B86,Vendedores!$A$2:$A$41,Vendedores!$B$2:$B$41,"No hay datos")</f>
        <v>No hay datos</v>
      </c>
      <c r="H86" s="2" t="str">
        <f t="array" ref="H86">_xlfn.XLOOKUP(B86,Vendedores!$A$2:$A$41,Vendedores!$C$2:$C$41,"No hay datos")</f>
        <v>No hay datos</v>
      </c>
      <c r="I86" s="2" t="str">
        <f t="array" ref="I86">_xlfn.XLOOKUP(B86,Vendedores!$A$2:$A$41,Vendedores!$D$2:$D$41,"No hay datos")</f>
        <v>No hay datos</v>
      </c>
      <c r="J86" s="2" t="str">
        <f t="array" ref="J86">_xlfn.XLOOKUP(A86,Productos!$A$2:$A$61,Productos!$B$2:$F$61)</f>
        <v>#N/A</v>
      </c>
    </row>
    <row r="87">
      <c r="A87" s="2" t="str">
        <f>IFERROR(__xludf.DUMMYFUNCTION("""COMPUTED_VALUE"""),"PR042")</f>
        <v>PR042</v>
      </c>
      <c r="B87" s="2" t="str">
        <f>IFERROR(__xludf.DUMMYFUNCTION("""COMPUTED_VALUE"""),"VD041")</f>
        <v>VD041</v>
      </c>
      <c r="C87" s="2">
        <f>IFERROR(__xludf.DUMMYFUNCTION("""COMPUTED_VALUE"""),24.0)</f>
        <v>24</v>
      </c>
      <c r="D87" s="6">
        <f>IFERROR(__xludf.DUMMYFUNCTION("""COMPUTED_VALUE"""),1502.06)</f>
        <v>1502.06</v>
      </c>
      <c r="E87" s="6">
        <f>IFERROR(__xludf.DUMMYFUNCTION("GOOGLEFINANCE(""Currency:BRLMXN"")*D87"),5102.49782)</f>
        <v>5102.49782</v>
      </c>
      <c r="F87" s="6">
        <f>IFERROR(__xludf.DUMMYFUNCTION("GOOGLEFINANCE(""Currency:BRLPEN"")*D87"),984.7505359999999)</f>
        <v>984.750536</v>
      </c>
      <c r="G87" s="2" t="str">
        <f t="array" ref="G87">_xlfn.XLOOKUP(B87,Vendedores!$A$2:$A$41,Vendedores!$B$2:$B$41,"No hay datos")</f>
        <v>No hay datos</v>
      </c>
      <c r="H87" s="2" t="str">
        <f t="array" ref="H87">_xlfn.XLOOKUP(B87,Vendedores!$A$2:$A$41,Vendedores!$C$2:$C$41,"No hay datos")</f>
        <v>No hay datos</v>
      </c>
      <c r="I87" s="2" t="str">
        <f t="array" ref="I87">_xlfn.XLOOKUP(B87,Vendedores!$A$2:$A$41,Vendedores!$D$2:$D$41,"No hay datos")</f>
        <v>No hay datos</v>
      </c>
      <c r="J87" s="2" t="str">
        <f t="array" ref="J87">_xlfn.XLOOKUP(A87,Productos!$A$2:$A$61,Productos!$B$2:$F$61)</f>
        <v>#N/A</v>
      </c>
    </row>
    <row r="88">
      <c r="A88" s="2" t="str">
        <f>IFERROR(__xludf.DUMMYFUNCTION("""COMPUTED_VALUE"""),"PR057")</f>
        <v>PR057</v>
      </c>
      <c r="B88" s="2" t="str">
        <f>IFERROR(__xludf.DUMMYFUNCTION("""COMPUTED_VALUE"""),"VD015")</f>
        <v>VD015</v>
      </c>
      <c r="C88" s="2">
        <f>IFERROR(__xludf.DUMMYFUNCTION("""COMPUTED_VALUE"""),24.0)</f>
        <v>24</v>
      </c>
      <c r="D88" s="6">
        <f>IFERROR(__xludf.DUMMYFUNCTION("""COMPUTED_VALUE"""),2373.36)</f>
        <v>2373.36</v>
      </c>
      <c r="E88" s="6">
        <f>IFERROR(__xludf.DUMMYFUNCTION("GOOGLEFINANCE(""Currency:BRLMXN"")*D88"),8062.30392)</f>
        <v>8062.30392</v>
      </c>
      <c r="F88" s="6">
        <f>IFERROR(__xludf.DUMMYFUNCTION("GOOGLEFINANCE(""Currency:BRLPEN"")*D88"),1555.974816)</f>
        <v>1555.974816</v>
      </c>
      <c r="G88" s="2" t="str">
        <f t="array" ref="G88">_xlfn.XLOOKUP(B88,Vendedores!$A$2:$A$41,Vendedores!$B$2:$B$41,"No hay datos")</f>
        <v>No hay datos</v>
      </c>
      <c r="H88" s="2" t="str">
        <f t="array" ref="H88">_xlfn.XLOOKUP(B88,Vendedores!$A$2:$A$41,Vendedores!$C$2:$C$41,"No hay datos")</f>
        <v>No hay datos</v>
      </c>
      <c r="I88" s="2" t="str">
        <f t="array" ref="I88">_xlfn.XLOOKUP(B88,Vendedores!$A$2:$A$41,Vendedores!$D$2:$D$41,"No hay datos")</f>
        <v>No hay datos</v>
      </c>
      <c r="J88" s="2" t="str">
        <f t="array" ref="J88">_xlfn.XLOOKUP(A88,Productos!$A$2:$A$61,Productos!$B$2:$F$61)</f>
        <v>#N/A</v>
      </c>
    </row>
    <row r="89">
      <c r="A89" s="2" t="str">
        <f>IFERROR(__xludf.DUMMYFUNCTION("""COMPUTED_VALUE"""),"PR034")</f>
        <v>PR034</v>
      </c>
      <c r="B89" s="2" t="str">
        <f>IFERROR(__xludf.DUMMYFUNCTION("""COMPUTED_VALUE"""),"VD027")</f>
        <v>VD027</v>
      </c>
      <c r="C89" s="2">
        <f>IFERROR(__xludf.DUMMYFUNCTION("""COMPUTED_VALUE"""),6.0)</f>
        <v>6</v>
      </c>
      <c r="D89" s="6">
        <f>IFERROR(__xludf.DUMMYFUNCTION("""COMPUTED_VALUE"""),598.73)</f>
        <v>598.73</v>
      </c>
      <c r="E89" s="6">
        <f>IFERROR(__xludf.DUMMYFUNCTION("GOOGLEFINANCE(""Currency:BRLMXN"")*D89"),2033.88581)</f>
        <v>2033.88581</v>
      </c>
      <c r="F89" s="6">
        <f>IFERROR(__xludf.DUMMYFUNCTION("GOOGLEFINANCE(""Currency:BRLPEN"")*D89"),392.527388)</f>
        <v>392.527388</v>
      </c>
      <c r="G89" s="2" t="str">
        <f t="array" ref="G89">_xlfn.XLOOKUP(B89,Vendedores!$A$2:$A$41,Vendedores!$B$2:$B$41,"No hay datos")</f>
        <v>No hay datos</v>
      </c>
      <c r="H89" s="2" t="str">
        <f t="array" ref="H89">_xlfn.XLOOKUP(B89,Vendedores!$A$2:$A$41,Vendedores!$C$2:$C$41,"No hay datos")</f>
        <v>No hay datos</v>
      </c>
      <c r="I89" s="2" t="str">
        <f t="array" ref="I89">_xlfn.XLOOKUP(B89,Vendedores!$A$2:$A$41,Vendedores!$D$2:$D$41,"No hay datos")</f>
        <v>No hay datos</v>
      </c>
      <c r="J89" s="2" t="str">
        <f t="array" ref="J89">_xlfn.XLOOKUP(A89,Productos!$A$2:$A$61,Productos!$B$2:$F$61)</f>
        <v>#N/A</v>
      </c>
    </row>
    <row r="90">
      <c r="A90" s="2" t="str">
        <f>IFERROR(__xludf.DUMMYFUNCTION("""COMPUTED_VALUE"""),"PR031")</f>
        <v>PR031</v>
      </c>
      <c r="B90" s="2" t="str">
        <f>IFERROR(__xludf.DUMMYFUNCTION("""COMPUTED_VALUE"""),"VD024")</f>
        <v>VD024</v>
      </c>
      <c r="C90" s="2">
        <f>IFERROR(__xludf.DUMMYFUNCTION("""COMPUTED_VALUE"""),6.0)</f>
        <v>6</v>
      </c>
      <c r="D90" s="6">
        <f>IFERROR(__xludf.DUMMYFUNCTION("""COMPUTED_VALUE"""),1675.8)</f>
        <v>1675.8</v>
      </c>
      <c r="E90" s="6">
        <f>IFERROR(__xludf.DUMMYFUNCTION("GOOGLEFINANCE(""Currency:BRLMXN"")*D90"),5692.692599999999)</f>
        <v>5692.6926</v>
      </c>
      <c r="F90" s="6">
        <f>IFERROR(__xludf.DUMMYFUNCTION("GOOGLEFINANCE(""Currency:BRLPEN"")*D90"),1098.65448)</f>
        <v>1098.65448</v>
      </c>
      <c r="G90" s="2" t="str">
        <f t="array" ref="G90">_xlfn.XLOOKUP(B90,Vendedores!$A$2:$A$41,Vendedores!$B$2:$B$41,"No hay datos")</f>
        <v>No hay datos</v>
      </c>
      <c r="H90" s="2" t="str">
        <f t="array" ref="H90">_xlfn.XLOOKUP(B90,Vendedores!$A$2:$A$41,Vendedores!$C$2:$C$41,"No hay datos")</f>
        <v>No hay datos</v>
      </c>
      <c r="I90" s="2" t="str">
        <f t="array" ref="I90">_xlfn.XLOOKUP(B90,Vendedores!$A$2:$A$41,Vendedores!$D$2:$D$41,"No hay datos")</f>
        <v>No hay datos</v>
      </c>
      <c r="J90" s="2" t="str">
        <f t="array" ref="J90">_xlfn.XLOOKUP(A90,Productos!$A$2:$A$61,Productos!$B$2:$F$61)</f>
        <v>#N/A</v>
      </c>
    </row>
    <row r="91">
      <c r="A91" s="2" t="str">
        <f>IFERROR(__xludf.DUMMYFUNCTION("""COMPUTED_VALUE"""),"PR046")</f>
        <v>PR046</v>
      </c>
      <c r="B91" s="2" t="str">
        <f>IFERROR(__xludf.DUMMYFUNCTION("""COMPUTED_VALUE"""),"VD038")</f>
        <v>VD038</v>
      </c>
      <c r="C91" s="2">
        <f>IFERROR(__xludf.DUMMYFUNCTION("""COMPUTED_VALUE"""),8.0)</f>
        <v>8</v>
      </c>
      <c r="D91" s="6">
        <f>IFERROR(__xludf.DUMMYFUNCTION("""COMPUTED_VALUE"""),2620.7)</f>
        <v>2620.7</v>
      </c>
      <c r="E91" s="6">
        <f>IFERROR(__xludf.DUMMYFUNCTION("GOOGLEFINANCE(""Currency:BRLMXN"")*D91"),8902.517899999999)</f>
        <v>8902.5179</v>
      </c>
      <c r="F91" s="6">
        <f>IFERROR(__xludf.DUMMYFUNCTION("GOOGLEFINANCE(""Currency:BRLPEN"")*D91"),1718.1309199999998)</f>
        <v>1718.13092</v>
      </c>
      <c r="G91" s="2" t="str">
        <f t="array" ref="G91">_xlfn.XLOOKUP(B91,Vendedores!$A$2:$A$41,Vendedores!$B$2:$B$41,"No hay datos")</f>
        <v>No hay datos</v>
      </c>
      <c r="H91" s="2" t="str">
        <f t="array" ref="H91">_xlfn.XLOOKUP(B91,Vendedores!$A$2:$A$41,Vendedores!$C$2:$C$41,"No hay datos")</f>
        <v>No hay datos</v>
      </c>
      <c r="I91" s="2" t="str">
        <f t="array" ref="I91">_xlfn.XLOOKUP(B91,Vendedores!$A$2:$A$41,Vendedores!$D$2:$D$41,"No hay datos")</f>
        <v>No hay datos</v>
      </c>
      <c r="J91" s="2" t="str">
        <f t="array" ref="J91">_xlfn.XLOOKUP(A91,Productos!$A$2:$A$61,Productos!$B$2:$F$61)</f>
        <v>#N/A</v>
      </c>
    </row>
    <row r="92">
      <c r="A92" s="2" t="str">
        <f>IFERROR(__xludf.DUMMYFUNCTION("""COMPUTED_VALUE"""),"PR033")</f>
        <v>PR033</v>
      </c>
      <c r="B92" s="2" t="str">
        <f>IFERROR(__xludf.DUMMYFUNCTION("""COMPUTED_VALUE"""),"VD014")</f>
        <v>VD014</v>
      </c>
      <c r="C92" s="2">
        <f>IFERROR(__xludf.DUMMYFUNCTION("""COMPUTED_VALUE"""),12.0)</f>
        <v>12</v>
      </c>
      <c r="D92" s="6">
        <f>IFERROR(__xludf.DUMMYFUNCTION("""COMPUTED_VALUE"""),3649.0)</f>
        <v>3649</v>
      </c>
      <c r="E92" s="6">
        <f>IFERROR(__xludf.DUMMYFUNCTION("GOOGLEFINANCE(""Currency:BRLMXN"")*D92"),12395.652999999998)</f>
        <v>12395.653</v>
      </c>
      <c r="F92" s="6">
        <f>IFERROR(__xludf.DUMMYFUNCTION("GOOGLEFINANCE(""Currency:BRLPEN"")*D92"),2392.2844)</f>
        <v>2392.2844</v>
      </c>
      <c r="G92" s="2" t="str">
        <f t="array" ref="G92">_xlfn.XLOOKUP(B92,Vendedores!$A$2:$A$41,Vendedores!$B$2:$B$41,"No hay datos")</f>
        <v>No hay datos</v>
      </c>
      <c r="H92" s="2" t="str">
        <f t="array" ref="H92">_xlfn.XLOOKUP(B92,Vendedores!$A$2:$A$41,Vendedores!$C$2:$C$41,"No hay datos")</f>
        <v>No hay datos</v>
      </c>
      <c r="I92" s="2" t="str">
        <f t="array" ref="I92">_xlfn.XLOOKUP(B92,Vendedores!$A$2:$A$41,Vendedores!$D$2:$D$41,"No hay datos")</f>
        <v>No hay datos</v>
      </c>
      <c r="J92" s="2" t="str">
        <f t="array" ref="J92">_xlfn.XLOOKUP(A92,Productos!$A$2:$A$61,Productos!$B$2:$F$61)</f>
        <v>#N/A</v>
      </c>
    </row>
    <row r="93">
      <c r="A93" s="2" t="str">
        <f>IFERROR(__xludf.DUMMYFUNCTION("""COMPUTED_VALUE"""),"PR041")</f>
        <v>PR041</v>
      </c>
      <c r="B93" s="2" t="str">
        <f>IFERROR(__xludf.DUMMYFUNCTION("""COMPUTED_VALUE"""),"VD035")</f>
        <v>VD035</v>
      </c>
      <c r="C93" s="2">
        <f>IFERROR(__xludf.DUMMYFUNCTION("""COMPUTED_VALUE"""),18.0)</f>
        <v>18</v>
      </c>
      <c r="D93" s="6">
        <f>IFERROR(__xludf.DUMMYFUNCTION("""COMPUTED_VALUE"""),1166.08)</f>
        <v>1166.08</v>
      </c>
      <c r="E93" s="6">
        <f>IFERROR(__xludf.DUMMYFUNCTION("GOOGLEFINANCE(""Currency:BRLMXN"")*D93"),3961.1737599999997)</f>
        <v>3961.17376</v>
      </c>
      <c r="F93" s="6">
        <f>IFERROR(__xludf.DUMMYFUNCTION("GOOGLEFINANCE(""Currency:BRLPEN"")*D93"),764.4820479999998)</f>
        <v>764.482048</v>
      </c>
      <c r="G93" s="2" t="str">
        <f t="array" ref="G93">_xlfn.XLOOKUP(B93,Vendedores!$A$2:$A$41,Vendedores!$B$2:$B$41,"No hay datos")</f>
        <v>No hay datos</v>
      </c>
      <c r="H93" s="2" t="str">
        <f t="array" ref="H93">_xlfn.XLOOKUP(B93,Vendedores!$A$2:$A$41,Vendedores!$C$2:$C$41,"No hay datos")</f>
        <v>No hay datos</v>
      </c>
      <c r="I93" s="2" t="str">
        <f t="array" ref="I93">_xlfn.XLOOKUP(B93,Vendedores!$A$2:$A$41,Vendedores!$D$2:$D$41,"No hay datos")</f>
        <v>No hay datos</v>
      </c>
      <c r="J93" s="2" t="str">
        <f t="array" ref="J93">_xlfn.XLOOKUP(A93,Productos!$A$2:$A$61,Productos!$B$2:$F$61)</f>
        <v>#N/A</v>
      </c>
    </row>
    <row r="94">
      <c r="A94" s="2" t="str">
        <f>IFERROR(__xludf.DUMMYFUNCTION("""COMPUTED_VALUE"""),"PR001")</f>
        <v>PR001</v>
      </c>
      <c r="B94" s="2" t="str">
        <f>IFERROR(__xludf.DUMMYFUNCTION("""COMPUTED_VALUE"""),"VD045")</f>
        <v>VD045</v>
      </c>
      <c r="C94" s="2">
        <f>IFERROR(__xludf.DUMMYFUNCTION("""COMPUTED_VALUE"""),12.0)</f>
        <v>12</v>
      </c>
      <c r="D94" s="6">
        <f>IFERROR(__xludf.DUMMYFUNCTION("""COMPUTED_VALUE"""),941.05)</f>
        <v>941.05</v>
      </c>
      <c r="E94" s="6">
        <f>IFERROR(__xludf.DUMMYFUNCTION("GOOGLEFINANCE(""Currency:BRLMXN"")*D94"),3196.7468499999995)</f>
        <v>3196.74685</v>
      </c>
      <c r="F94" s="6">
        <f>IFERROR(__xludf.DUMMYFUNCTION("GOOGLEFINANCE(""Currency:BRLPEN"")*D94"),616.95238)</f>
        <v>616.95238</v>
      </c>
      <c r="G94" s="2" t="str">
        <f t="array" ref="G94">_xlfn.XLOOKUP(B94,Vendedores!$A$2:$A$41,Vendedores!$B$2:$B$41,"No hay datos")</f>
        <v>No hay datos</v>
      </c>
      <c r="H94" s="2" t="str">
        <f t="array" ref="H94">_xlfn.XLOOKUP(B94,Vendedores!$A$2:$A$41,Vendedores!$C$2:$C$41,"No hay datos")</f>
        <v>No hay datos</v>
      </c>
      <c r="I94" s="2" t="str">
        <f t="array" ref="I94">_xlfn.XLOOKUP(B94,Vendedores!$A$2:$A$41,Vendedores!$D$2:$D$41,"No hay datos")</f>
        <v>No hay datos</v>
      </c>
      <c r="J94" s="2" t="str">
        <f t="array" ref="J94">_xlfn.XLOOKUP(A94,Productos!$A$2:$A$61,Productos!$B$2:$F$61)</f>
        <v>#N/A</v>
      </c>
    </row>
    <row r="95">
      <c r="A95" s="2" t="str">
        <f>IFERROR(__xludf.DUMMYFUNCTION("""COMPUTED_VALUE"""),"PR006")</f>
        <v>PR006</v>
      </c>
      <c r="B95" s="2" t="str">
        <f>IFERROR(__xludf.DUMMYFUNCTION("""COMPUTED_VALUE"""),"VD035")</f>
        <v>VD035</v>
      </c>
      <c r="C95" s="2">
        <f>IFERROR(__xludf.DUMMYFUNCTION("""COMPUTED_VALUE"""),12.0)</f>
        <v>12</v>
      </c>
      <c r="D95" s="6">
        <f>IFERROR(__xludf.DUMMYFUNCTION("""COMPUTED_VALUE"""),541.04)</f>
        <v>541.04</v>
      </c>
      <c r="E95" s="6">
        <f>IFERROR(__xludf.DUMMYFUNCTION("GOOGLEFINANCE(""Currency:BRLMXN"")*D95"),1837.9128799999999)</f>
        <v>1837.91288</v>
      </c>
      <c r="F95" s="6">
        <f>IFERROR(__xludf.DUMMYFUNCTION("GOOGLEFINANCE(""Currency:BRLPEN"")*D95"),354.70582399999995)</f>
        <v>354.705824</v>
      </c>
      <c r="G95" s="2" t="str">
        <f t="array" ref="G95">_xlfn.XLOOKUP(B95,Vendedores!$A$2:$A$41,Vendedores!$B$2:$B$41,"No hay datos")</f>
        <v>No hay datos</v>
      </c>
      <c r="H95" s="2" t="str">
        <f t="array" ref="H95">_xlfn.XLOOKUP(B95,Vendedores!$A$2:$A$41,Vendedores!$C$2:$C$41,"No hay datos")</f>
        <v>No hay datos</v>
      </c>
      <c r="I95" s="2" t="str">
        <f t="array" ref="I95">_xlfn.XLOOKUP(B95,Vendedores!$A$2:$A$41,Vendedores!$D$2:$D$41,"No hay datos")</f>
        <v>No hay datos</v>
      </c>
      <c r="J95" s="2" t="str">
        <f t="array" ref="J95">_xlfn.XLOOKUP(A95,Productos!$A$2:$A$61,Productos!$B$2:$F$61)</f>
        <v>#N/A</v>
      </c>
    </row>
    <row r="96">
      <c r="A96" s="2" t="str">
        <f>IFERROR(__xludf.DUMMYFUNCTION("""COMPUTED_VALUE"""),"PR049")</f>
        <v>PR049</v>
      </c>
      <c r="B96" s="2" t="str">
        <f>IFERROR(__xludf.DUMMYFUNCTION("""COMPUTED_VALUE"""),"VD039")</f>
        <v>VD039</v>
      </c>
      <c r="C96" s="2">
        <f>IFERROR(__xludf.DUMMYFUNCTION("""COMPUTED_VALUE"""),10.0)</f>
        <v>10</v>
      </c>
      <c r="D96" s="6">
        <f>IFERROR(__xludf.DUMMYFUNCTION("""COMPUTED_VALUE"""),388.22)</f>
        <v>388.22</v>
      </c>
      <c r="E96" s="6">
        <f>IFERROR(__xludf.DUMMYFUNCTION("GOOGLEFINANCE(""Currency:BRLMXN"")*D96"),1318.78334)</f>
        <v>1318.78334</v>
      </c>
      <c r="F96" s="6">
        <f>IFERROR(__xludf.DUMMYFUNCTION("GOOGLEFINANCE(""Currency:BRLPEN"")*D96"),254.517032)</f>
        <v>254.517032</v>
      </c>
      <c r="G96" s="2" t="str">
        <f t="array" ref="G96">_xlfn.XLOOKUP(B96,Vendedores!$A$2:$A$41,Vendedores!$B$2:$B$41,"No hay datos")</f>
        <v>No hay datos</v>
      </c>
      <c r="H96" s="2" t="str">
        <f t="array" ref="H96">_xlfn.XLOOKUP(B96,Vendedores!$A$2:$A$41,Vendedores!$C$2:$C$41,"No hay datos")</f>
        <v>No hay datos</v>
      </c>
      <c r="I96" s="2" t="str">
        <f t="array" ref="I96">_xlfn.XLOOKUP(B96,Vendedores!$A$2:$A$41,Vendedores!$D$2:$D$41,"No hay datos")</f>
        <v>No hay datos</v>
      </c>
      <c r="J96" s="2" t="str">
        <f t="array" ref="J96">_xlfn.XLOOKUP(A96,Productos!$A$2:$A$61,Productos!$B$2:$F$61)</f>
        <v>#N/A</v>
      </c>
    </row>
    <row r="97">
      <c r="A97" s="2" t="str">
        <f>IFERROR(__xludf.DUMMYFUNCTION("""COMPUTED_VALUE"""),"PR012")</f>
        <v>PR012</v>
      </c>
      <c r="B97" s="2" t="str">
        <f>IFERROR(__xludf.DUMMYFUNCTION("""COMPUTED_VALUE"""),"VD034")</f>
        <v>VD034</v>
      </c>
      <c r="C97" s="2">
        <f>IFERROR(__xludf.DUMMYFUNCTION("""COMPUTED_VALUE"""),27.0)</f>
        <v>27</v>
      </c>
      <c r="D97" s="6">
        <f>IFERROR(__xludf.DUMMYFUNCTION("""COMPUTED_VALUE"""),1584.36)</f>
        <v>1584.36</v>
      </c>
      <c r="E97" s="6">
        <f>IFERROR(__xludf.DUMMYFUNCTION("GOOGLEFINANCE(""Currency:BRLMXN"")*D97"),5382.070919999999)</f>
        <v>5382.07092</v>
      </c>
      <c r="F97" s="6">
        <f>IFERROR(__xludf.DUMMYFUNCTION("GOOGLEFINANCE(""Currency:BRLPEN"")*D97"),1038.7064159999998)</f>
        <v>1038.706416</v>
      </c>
      <c r="G97" s="2" t="str">
        <f t="array" ref="G97">_xlfn.XLOOKUP(B97,Vendedores!$A$2:$A$41,Vendedores!$B$2:$B$41,"No hay datos")</f>
        <v>No hay datos</v>
      </c>
      <c r="H97" s="2" t="str">
        <f t="array" ref="H97">_xlfn.XLOOKUP(B97,Vendedores!$A$2:$A$41,Vendedores!$C$2:$C$41,"No hay datos")</f>
        <v>No hay datos</v>
      </c>
      <c r="I97" s="2" t="str">
        <f t="array" ref="I97">_xlfn.XLOOKUP(B97,Vendedores!$A$2:$A$41,Vendedores!$D$2:$D$41,"No hay datos")</f>
        <v>No hay datos</v>
      </c>
      <c r="J97" s="2" t="str">
        <f t="array" ref="J97">_xlfn.XLOOKUP(A97,Productos!$A$2:$A$61,Productos!$B$2:$F$61)</f>
        <v>#N/A</v>
      </c>
    </row>
    <row r="98">
      <c r="A98" s="2" t="str">
        <f>IFERROR(__xludf.DUMMYFUNCTION("""COMPUTED_VALUE"""),"PR060")</f>
        <v>PR060</v>
      </c>
      <c r="B98" s="2" t="str">
        <f>IFERROR(__xludf.DUMMYFUNCTION("""COMPUTED_VALUE"""),"VD019")</f>
        <v>VD019</v>
      </c>
      <c r="C98" s="2">
        <f>IFERROR(__xludf.DUMMYFUNCTION("""COMPUTED_VALUE"""),18.0)</f>
        <v>18</v>
      </c>
      <c r="D98" s="6">
        <f>IFERROR(__xludf.DUMMYFUNCTION("""COMPUTED_VALUE"""),3628.8)</f>
        <v>3628.8</v>
      </c>
      <c r="E98" s="6">
        <f>IFERROR(__xludf.DUMMYFUNCTION("GOOGLEFINANCE(""Currency:BRLMXN"")*D98"),12327.0336)</f>
        <v>12327.0336</v>
      </c>
      <c r="F98" s="6">
        <f>IFERROR(__xludf.DUMMYFUNCTION("GOOGLEFINANCE(""Currency:BRLPEN"")*D98"),2379.04128)</f>
        <v>2379.04128</v>
      </c>
      <c r="G98" s="2" t="str">
        <f t="array" ref="G98">_xlfn.XLOOKUP(B98,Vendedores!$A$2:$A$41,Vendedores!$B$2:$B$41,"No hay datos")</f>
        <v>No hay datos</v>
      </c>
      <c r="H98" s="2" t="str">
        <f t="array" ref="H98">_xlfn.XLOOKUP(B98,Vendedores!$A$2:$A$41,Vendedores!$C$2:$C$41,"No hay datos")</f>
        <v>No hay datos</v>
      </c>
      <c r="I98" s="2" t="str">
        <f t="array" ref="I98">_xlfn.XLOOKUP(B98,Vendedores!$A$2:$A$41,Vendedores!$D$2:$D$41,"No hay datos")</f>
        <v>No hay datos</v>
      </c>
      <c r="J98" s="2" t="str">
        <f t="array" ref="J98">_xlfn.XLOOKUP(A98,Productos!$A$2:$A$61,Productos!$B$2:$F$61)</f>
        <v>#N/A</v>
      </c>
    </row>
    <row r="99">
      <c r="A99" s="2" t="str">
        <f>IFERROR(__xludf.DUMMYFUNCTION("""COMPUTED_VALUE"""),"PR060")</f>
        <v>PR060</v>
      </c>
      <c r="B99" s="2" t="str">
        <f>IFERROR(__xludf.DUMMYFUNCTION("""COMPUTED_VALUE"""),"VD042")</f>
        <v>VD042</v>
      </c>
      <c r="C99" s="2">
        <f>IFERROR(__xludf.DUMMYFUNCTION("""COMPUTED_VALUE"""),10.0)</f>
        <v>10</v>
      </c>
      <c r="D99" s="6">
        <f>IFERROR(__xludf.DUMMYFUNCTION("""COMPUTED_VALUE"""),1980.0)</f>
        <v>1980</v>
      </c>
      <c r="E99" s="6">
        <f>IFERROR(__xludf.DUMMYFUNCTION("GOOGLEFINANCE(""Currency:BRLMXN"")*D99"),6726.0599999999995)</f>
        <v>6726.06</v>
      </c>
      <c r="F99" s="6">
        <f>IFERROR(__xludf.DUMMYFUNCTION("GOOGLEFINANCE(""Currency:BRLPEN"")*D99"),1298.088)</f>
        <v>1298.088</v>
      </c>
      <c r="G99" s="2" t="str">
        <f t="array" ref="G99">_xlfn.XLOOKUP(B99,Vendedores!$A$2:$A$41,Vendedores!$B$2:$B$41,"No hay datos")</f>
        <v>No hay datos</v>
      </c>
      <c r="H99" s="2" t="str">
        <f t="array" ref="H99">_xlfn.XLOOKUP(B99,Vendedores!$A$2:$A$41,Vendedores!$C$2:$C$41,"No hay datos")</f>
        <v>No hay datos</v>
      </c>
      <c r="I99" s="2" t="str">
        <f t="array" ref="I99">_xlfn.XLOOKUP(B99,Vendedores!$A$2:$A$41,Vendedores!$D$2:$D$41,"No hay datos")</f>
        <v>No hay datos</v>
      </c>
      <c r="J99" s="2" t="str">
        <f t="array" ref="J99">_xlfn.XLOOKUP(A99,Productos!$A$2:$A$61,Productos!$B$2:$F$61)</f>
        <v>#N/A</v>
      </c>
    </row>
    <row r="100">
      <c r="A100" s="2" t="str">
        <f>IFERROR(__xludf.DUMMYFUNCTION("""COMPUTED_VALUE"""),"PR014")</f>
        <v>PR014</v>
      </c>
      <c r="B100" s="2" t="str">
        <f>IFERROR(__xludf.DUMMYFUNCTION("""COMPUTED_VALUE"""),"VD010")</f>
        <v>VD010</v>
      </c>
      <c r="C100" s="2">
        <f>IFERROR(__xludf.DUMMYFUNCTION("""COMPUTED_VALUE"""),18.0)</f>
        <v>18</v>
      </c>
      <c r="D100" s="6">
        <f>IFERROR(__xludf.DUMMYFUNCTION("""COMPUTED_VALUE"""),790.02)</f>
        <v>790.02</v>
      </c>
      <c r="E100" s="6">
        <f>IFERROR(__xludf.DUMMYFUNCTION("GOOGLEFINANCE(""Currency:BRLMXN"")*D100"),2683.6979399999996)</f>
        <v>2683.69794</v>
      </c>
      <c r="F100" s="6">
        <f>IFERROR(__xludf.DUMMYFUNCTION("GOOGLEFINANCE(""Currency:BRLPEN"")*D100"),517.937112)</f>
        <v>517.937112</v>
      </c>
      <c r="G100" s="2" t="str">
        <f t="array" ref="G100">_xlfn.XLOOKUP(B100,Vendedores!$A$2:$A$41,Vendedores!$B$2:$B$41,"No hay datos")</f>
        <v>No hay datos</v>
      </c>
      <c r="H100" s="2" t="str">
        <f t="array" ref="H100">_xlfn.XLOOKUP(B100,Vendedores!$A$2:$A$41,Vendedores!$C$2:$C$41,"No hay datos")</f>
        <v>No hay datos</v>
      </c>
      <c r="I100" s="2" t="str">
        <f t="array" ref="I100">_xlfn.XLOOKUP(B100,Vendedores!$A$2:$A$41,Vendedores!$D$2:$D$41,"No hay datos")</f>
        <v>No hay datos</v>
      </c>
      <c r="J100" s="2" t="str">
        <f t="array" ref="J100">_xlfn.XLOOKUP(A100,Productos!$A$2:$A$61,Productos!$B$2:$F$61)</f>
        <v>#N/A</v>
      </c>
    </row>
    <row r="101">
      <c r="A101" s="2" t="str">
        <f>IFERROR(__xludf.DUMMYFUNCTION("""COMPUTED_VALUE"""),"PR036")</f>
        <v>PR036</v>
      </c>
      <c r="B101" s="2" t="str">
        <f>IFERROR(__xludf.DUMMYFUNCTION("""COMPUTED_VALUE"""),"VD019")</f>
        <v>VD019</v>
      </c>
      <c r="C101" s="2">
        <f>IFERROR(__xludf.DUMMYFUNCTION("""COMPUTED_VALUE"""),27.0)</f>
        <v>27</v>
      </c>
      <c r="D101" s="6">
        <f>IFERROR(__xludf.DUMMYFUNCTION("""COMPUTED_VALUE"""),2953.67)</f>
        <v>2953.67</v>
      </c>
      <c r="E101" s="6">
        <f>IFERROR(__xludf.DUMMYFUNCTION("GOOGLEFINANCE(""Currency:BRLMXN"")*D101"),10033.61699)</f>
        <v>10033.61699</v>
      </c>
      <c r="F101" s="6">
        <f>IFERROR(__xludf.DUMMYFUNCTION("GOOGLEFINANCE(""Currency:BRLPEN"")*D101"),1936.426052)</f>
        <v>1936.426052</v>
      </c>
      <c r="G101" s="2" t="str">
        <f t="array" ref="G101">_xlfn.XLOOKUP(B101,Vendedores!$A$2:$A$41,Vendedores!$B$2:$B$41,"No hay datos")</f>
        <v>No hay datos</v>
      </c>
      <c r="H101" s="2" t="str">
        <f t="array" ref="H101">_xlfn.XLOOKUP(B101,Vendedores!$A$2:$A$41,Vendedores!$C$2:$C$41,"No hay datos")</f>
        <v>No hay datos</v>
      </c>
      <c r="I101" s="2" t="str">
        <f t="array" ref="I101">_xlfn.XLOOKUP(B101,Vendedores!$A$2:$A$41,Vendedores!$D$2:$D$41,"No hay datos")</f>
        <v>No hay datos</v>
      </c>
      <c r="J101" s="2" t="str">
        <f t="array" ref="J101">_xlfn.XLOOKUP(A101,Productos!$A$2:$A$61,Productos!$B$2:$F$61)</f>
        <v>#N/A</v>
      </c>
    </row>
    <row r="102">
      <c r="A102" s="2" t="str">
        <f>IFERROR(__xludf.DUMMYFUNCTION("""COMPUTED_VALUE"""),"PR035")</f>
        <v>PR035</v>
      </c>
      <c r="B102" s="2" t="str">
        <f>IFERROR(__xludf.DUMMYFUNCTION("""COMPUTED_VALUE"""),"VD012")</f>
        <v>VD012</v>
      </c>
      <c r="C102" s="2">
        <f>IFERROR(__xludf.DUMMYFUNCTION("""COMPUTED_VALUE"""),8.0)</f>
        <v>8</v>
      </c>
      <c r="D102" s="6">
        <f>IFERROR(__xludf.DUMMYFUNCTION("""COMPUTED_VALUE"""),862.82)</f>
        <v>862.82</v>
      </c>
      <c r="E102" s="6">
        <f>IFERROR(__xludf.DUMMYFUNCTION("GOOGLEFINANCE(""Currency:BRLMXN"")*D102"),2930.99954)</f>
        <v>2930.99954</v>
      </c>
      <c r="F102" s="6">
        <f>IFERROR(__xludf.DUMMYFUNCTION("GOOGLEFINANCE(""Currency:BRLPEN"")*D102"),565.664792)</f>
        <v>565.664792</v>
      </c>
      <c r="G102" s="2" t="str">
        <f t="array" ref="G102">_xlfn.XLOOKUP(B102,Vendedores!$A$2:$A$41,Vendedores!$B$2:$B$41,"No hay datos")</f>
        <v>No hay datos</v>
      </c>
      <c r="H102" s="2" t="str">
        <f t="array" ref="H102">_xlfn.XLOOKUP(B102,Vendedores!$A$2:$A$41,Vendedores!$C$2:$C$41,"No hay datos")</f>
        <v>No hay datos</v>
      </c>
      <c r="I102" s="2" t="str">
        <f t="array" ref="I102">_xlfn.XLOOKUP(B102,Vendedores!$A$2:$A$41,Vendedores!$D$2:$D$41,"No hay datos")</f>
        <v>No hay datos</v>
      </c>
      <c r="J102" s="2" t="str">
        <f t="array" ref="J102">_xlfn.XLOOKUP(A102,Productos!$A$2:$A$61,Productos!$B$2:$F$61)</f>
        <v>#N/A</v>
      </c>
    </row>
    <row r="103">
      <c r="A103" s="2" t="str">
        <f>IFERROR(__xludf.DUMMYFUNCTION("""COMPUTED_VALUE"""),"PR006")</f>
        <v>PR006</v>
      </c>
      <c r="B103" s="2" t="str">
        <f>IFERROR(__xludf.DUMMYFUNCTION("""COMPUTED_VALUE"""),"VD044")</f>
        <v>VD044</v>
      </c>
      <c r="C103" s="2">
        <f>IFERROR(__xludf.DUMMYFUNCTION("""COMPUTED_VALUE"""),16.0)</f>
        <v>16</v>
      </c>
      <c r="D103" s="6">
        <f>IFERROR(__xludf.DUMMYFUNCTION("""COMPUTED_VALUE"""),746.93)</f>
        <v>746.93</v>
      </c>
      <c r="E103" s="6">
        <f>IFERROR(__xludf.DUMMYFUNCTION("GOOGLEFINANCE(""Currency:BRLMXN"")*D103"),2537.3212099999996)</f>
        <v>2537.32121</v>
      </c>
      <c r="F103" s="6">
        <f>IFERROR(__xludf.DUMMYFUNCTION("GOOGLEFINANCE(""Currency:BRLPEN"")*D103"),489.6873079999999)</f>
        <v>489.687308</v>
      </c>
      <c r="G103" s="2" t="str">
        <f t="array" ref="G103">_xlfn.XLOOKUP(B103,Vendedores!$A$2:$A$41,Vendedores!$B$2:$B$41,"No hay datos")</f>
        <v>No hay datos</v>
      </c>
      <c r="H103" s="2" t="str">
        <f t="array" ref="H103">_xlfn.XLOOKUP(B103,Vendedores!$A$2:$A$41,Vendedores!$C$2:$C$41,"No hay datos")</f>
        <v>No hay datos</v>
      </c>
      <c r="I103" s="2" t="str">
        <f t="array" ref="I103">_xlfn.XLOOKUP(B103,Vendedores!$A$2:$A$41,Vendedores!$D$2:$D$41,"No hay datos")</f>
        <v>No hay datos</v>
      </c>
      <c r="J103" s="2" t="str">
        <f t="array" ref="J103">_xlfn.XLOOKUP(A103,Productos!$A$2:$A$61,Productos!$B$2:$F$61)</f>
        <v>#N/A</v>
      </c>
    </row>
    <row r="104">
      <c r="A104" s="2" t="str">
        <f>IFERROR(__xludf.DUMMYFUNCTION("""COMPUTED_VALUE"""),"PR010")</f>
        <v>PR010</v>
      </c>
      <c r="B104" s="2" t="str">
        <f>IFERROR(__xludf.DUMMYFUNCTION("""COMPUTED_VALUE"""),"VD049")</f>
        <v>VD049</v>
      </c>
      <c r="C104" s="2">
        <f>IFERROR(__xludf.DUMMYFUNCTION("""COMPUTED_VALUE"""),20.0)</f>
        <v>20</v>
      </c>
      <c r="D104" s="6">
        <f>IFERROR(__xludf.DUMMYFUNCTION("""COMPUTED_VALUE"""),1077.6)</f>
        <v>1077.6</v>
      </c>
      <c r="E104" s="6">
        <f>IFERROR(__xludf.DUMMYFUNCTION("GOOGLEFINANCE(""Currency:BRLMXN"")*D104"),3660.6071999999995)</f>
        <v>3660.6072</v>
      </c>
      <c r="F104" s="6">
        <f>IFERROR(__xludf.DUMMYFUNCTION("GOOGLEFINANCE(""Currency:BRLPEN"")*D104"),706.4745599999999)</f>
        <v>706.47456</v>
      </c>
      <c r="G104" s="2" t="str">
        <f t="array" ref="G104">_xlfn.XLOOKUP(B104,Vendedores!$A$2:$A$41,Vendedores!$B$2:$B$41,"No hay datos")</f>
        <v>No hay datos</v>
      </c>
      <c r="H104" s="2" t="str">
        <f t="array" ref="H104">_xlfn.XLOOKUP(B104,Vendedores!$A$2:$A$41,Vendedores!$C$2:$C$41,"No hay datos")</f>
        <v>No hay datos</v>
      </c>
      <c r="I104" s="2" t="str">
        <f t="array" ref="I104">_xlfn.XLOOKUP(B104,Vendedores!$A$2:$A$41,Vendedores!$D$2:$D$41,"No hay datos")</f>
        <v>No hay datos</v>
      </c>
      <c r="J104" s="2" t="str">
        <f t="array" ref="J104">_xlfn.XLOOKUP(A104,Productos!$A$2:$A$61,Productos!$B$2:$F$61)</f>
        <v>#N/A</v>
      </c>
    </row>
    <row r="105">
      <c r="A105" s="2" t="str">
        <f>IFERROR(__xludf.DUMMYFUNCTION("""COMPUTED_VALUE"""),"PR024")</f>
        <v>PR024</v>
      </c>
      <c r="B105" s="2" t="str">
        <f>IFERROR(__xludf.DUMMYFUNCTION("""COMPUTED_VALUE"""),"VD041")</f>
        <v>VD041</v>
      </c>
      <c r="C105" s="2">
        <f>IFERROR(__xludf.DUMMYFUNCTION("""COMPUTED_VALUE"""),27.0)</f>
        <v>27</v>
      </c>
      <c r="D105" s="6">
        <f>IFERROR(__xludf.DUMMYFUNCTION("""COMPUTED_VALUE"""),8350.59)</f>
        <v>8350.59</v>
      </c>
      <c r="E105" s="6">
        <f>IFERROR(__xludf.DUMMYFUNCTION("GOOGLEFINANCE(""Currency:BRLMXN"")*D105"),28366.95423)</f>
        <v>28366.95423</v>
      </c>
      <c r="F105" s="6">
        <f>IFERROR(__xludf.DUMMYFUNCTION("GOOGLEFINANCE(""Currency:BRLPEN"")*D105"),5474.646804)</f>
        <v>5474.646804</v>
      </c>
      <c r="G105" s="2" t="str">
        <f t="array" ref="G105">_xlfn.XLOOKUP(B105,Vendedores!$A$2:$A$41,Vendedores!$B$2:$B$41,"No hay datos")</f>
        <v>No hay datos</v>
      </c>
      <c r="H105" s="2" t="str">
        <f t="array" ref="H105">_xlfn.XLOOKUP(B105,Vendedores!$A$2:$A$41,Vendedores!$C$2:$C$41,"No hay datos")</f>
        <v>No hay datos</v>
      </c>
      <c r="I105" s="2" t="str">
        <f t="array" ref="I105">_xlfn.XLOOKUP(B105,Vendedores!$A$2:$A$41,Vendedores!$D$2:$D$41,"No hay datos")</f>
        <v>No hay datos</v>
      </c>
      <c r="J105" s="2" t="str">
        <f t="array" ref="J105">_xlfn.XLOOKUP(A105,Productos!$A$2:$A$61,Productos!$B$2:$F$61)</f>
        <v>#N/A</v>
      </c>
    </row>
    <row r="106">
      <c r="A106" s="2" t="str">
        <f>IFERROR(__xludf.DUMMYFUNCTION("""COMPUTED_VALUE"""),"PR023")</f>
        <v>PR023</v>
      </c>
      <c r="B106" s="2" t="str">
        <f>IFERROR(__xludf.DUMMYFUNCTION("""COMPUTED_VALUE"""),"VD038")</f>
        <v>VD038</v>
      </c>
      <c r="C106" s="2">
        <f>IFERROR(__xludf.DUMMYFUNCTION("""COMPUTED_VALUE"""),30.0)</f>
        <v>30</v>
      </c>
      <c r="D106" s="6">
        <f>IFERROR(__xludf.DUMMYFUNCTION("""COMPUTED_VALUE"""),8846.46)</f>
        <v>8846.46</v>
      </c>
      <c r="E106" s="6">
        <f>IFERROR(__xludf.DUMMYFUNCTION("GOOGLEFINANCE(""Currency:BRLMXN"")*D106"),30051.424619999994)</f>
        <v>30051.42462</v>
      </c>
      <c r="F106" s="6">
        <f>IFERROR(__xludf.DUMMYFUNCTION("GOOGLEFINANCE(""Currency:BRLPEN"")*D106"),5799.739175999999)</f>
        <v>5799.739176</v>
      </c>
      <c r="G106" s="2" t="str">
        <f t="array" ref="G106">_xlfn.XLOOKUP(B106,Vendedores!$A$2:$A$41,Vendedores!$B$2:$B$41,"No hay datos")</f>
        <v>No hay datos</v>
      </c>
      <c r="H106" s="2" t="str">
        <f t="array" ref="H106">_xlfn.XLOOKUP(B106,Vendedores!$A$2:$A$41,Vendedores!$C$2:$C$41,"No hay datos")</f>
        <v>No hay datos</v>
      </c>
      <c r="I106" s="2" t="str">
        <f t="array" ref="I106">_xlfn.XLOOKUP(B106,Vendedores!$A$2:$A$41,Vendedores!$D$2:$D$41,"No hay datos")</f>
        <v>No hay datos</v>
      </c>
      <c r="J106" s="2" t="str">
        <f t="array" ref="J106">_xlfn.XLOOKUP(A106,Productos!$A$2:$A$61,Productos!$B$2:$F$61)</f>
        <v>#N/A</v>
      </c>
    </row>
    <row r="107">
      <c r="A107" s="2" t="str">
        <f>IFERROR(__xludf.DUMMYFUNCTION("""COMPUTED_VALUE"""),"PR022")</f>
        <v>PR022</v>
      </c>
      <c r="B107" s="2" t="str">
        <f>IFERROR(__xludf.DUMMYFUNCTION("""COMPUTED_VALUE"""),"VD044")</f>
        <v>VD044</v>
      </c>
      <c r="C107" s="2">
        <f>IFERROR(__xludf.DUMMYFUNCTION("""COMPUTED_VALUE"""),12.0)</f>
        <v>12</v>
      </c>
      <c r="D107" s="6">
        <f>IFERROR(__xludf.DUMMYFUNCTION("""COMPUTED_VALUE"""),4032.0)</f>
        <v>4032</v>
      </c>
      <c r="E107" s="6">
        <f>IFERROR(__xludf.DUMMYFUNCTION("GOOGLEFINANCE(""Currency:BRLMXN"")*D107"),13696.704)</f>
        <v>13696.704</v>
      </c>
      <c r="F107" s="6">
        <f>IFERROR(__xludf.DUMMYFUNCTION("GOOGLEFINANCE(""Currency:BRLPEN"")*D107"),2643.3792)</f>
        <v>2643.3792</v>
      </c>
      <c r="G107" s="2" t="str">
        <f t="array" ref="G107">_xlfn.XLOOKUP(B107,Vendedores!$A$2:$A$41,Vendedores!$B$2:$B$41,"No hay datos")</f>
        <v>No hay datos</v>
      </c>
      <c r="H107" s="2" t="str">
        <f t="array" ref="H107">_xlfn.XLOOKUP(B107,Vendedores!$A$2:$A$41,Vendedores!$C$2:$C$41,"No hay datos")</f>
        <v>No hay datos</v>
      </c>
      <c r="I107" s="2" t="str">
        <f t="array" ref="I107">_xlfn.XLOOKUP(B107,Vendedores!$A$2:$A$41,Vendedores!$D$2:$D$41,"No hay datos")</f>
        <v>No hay datos</v>
      </c>
      <c r="J107" s="2" t="str">
        <f t="array" ref="J107">_xlfn.XLOOKUP(A107,Productos!$A$2:$A$61,Productos!$B$2:$F$61)</f>
        <v>#N/A</v>
      </c>
    </row>
    <row r="108">
      <c r="A108" s="2" t="str">
        <f>IFERROR(__xludf.DUMMYFUNCTION("""COMPUTED_VALUE"""),"PR053")</f>
        <v>PR053</v>
      </c>
      <c r="B108" s="2" t="str">
        <f>IFERROR(__xludf.DUMMYFUNCTION("""COMPUTED_VALUE"""),"VD010")</f>
        <v>VD010</v>
      </c>
      <c r="C108" s="2">
        <f>IFERROR(__xludf.DUMMYFUNCTION("""COMPUTED_VALUE"""),14.0)</f>
        <v>14</v>
      </c>
      <c r="D108" s="6">
        <f>IFERROR(__xludf.DUMMYFUNCTION("""COMPUTED_VALUE"""),810.38)</f>
        <v>810.38</v>
      </c>
      <c r="E108" s="6">
        <f>IFERROR(__xludf.DUMMYFUNCTION("GOOGLEFINANCE(""Currency:BRLMXN"")*D108"),2752.86086)</f>
        <v>2752.86086</v>
      </c>
      <c r="F108" s="6">
        <f>IFERROR(__xludf.DUMMYFUNCTION("GOOGLEFINANCE(""Currency:BRLPEN"")*D108"),531.285128)</f>
        <v>531.285128</v>
      </c>
      <c r="G108" s="2" t="str">
        <f t="array" ref="G108">_xlfn.XLOOKUP(B108,Vendedores!$A$2:$A$41,Vendedores!$B$2:$B$41,"No hay datos")</f>
        <v>No hay datos</v>
      </c>
      <c r="H108" s="2" t="str">
        <f t="array" ref="H108">_xlfn.XLOOKUP(B108,Vendedores!$A$2:$A$41,Vendedores!$C$2:$C$41,"No hay datos")</f>
        <v>No hay datos</v>
      </c>
      <c r="I108" s="2" t="str">
        <f t="array" ref="I108">_xlfn.XLOOKUP(B108,Vendedores!$A$2:$A$41,Vendedores!$D$2:$D$41,"No hay datos")</f>
        <v>No hay datos</v>
      </c>
      <c r="J108" s="2" t="str">
        <f t="array" ref="J108">_xlfn.XLOOKUP(A108,Productos!$A$2:$A$61,Productos!$B$2:$F$61)</f>
        <v>#N/A</v>
      </c>
    </row>
    <row r="109">
      <c r="A109" s="2" t="str">
        <f>IFERROR(__xludf.DUMMYFUNCTION("""COMPUTED_VALUE"""),"PR054")</f>
        <v>PR054</v>
      </c>
      <c r="B109" s="2" t="str">
        <f>IFERROR(__xludf.DUMMYFUNCTION("""COMPUTED_VALUE"""),"VD034")</f>
        <v>VD034</v>
      </c>
      <c r="C109" s="2">
        <f>IFERROR(__xludf.DUMMYFUNCTION("""COMPUTED_VALUE"""),21.0)</f>
        <v>21</v>
      </c>
      <c r="D109" s="6">
        <f>IFERROR(__xludf.DUMMYFUNCTION("""COMPUTED_VALUE"""),1236.52)</f>
        <v>1236.52</v>
      </c>
      <c r="E109" s="6">
        <f>IFERROR(__xludf.DUMMYFUNCTION("GOOGLEFINANCE(""Currency:BRLMXN"")*D109"),4200.458439999999)</f>
        <v>4200.45844</v>
      </c>
      <c r="F109" s="6">
        <f>IFERROR(__xludf.DUMMYFUNCTION("GOOGLEFINANCE(""Currency:BRLPEN"")*D109"),810.662512)</f>
        <v>810.662512</v>
      </c>
      <c r="G109" s="2" t="str">
        <f t="array" ref="G109">_xlfn.XLOOKUP(B109,Vendedores!$A$2:$A$41,Vendedores!$B$2:$B$41,"No hay datos")</f>
        <v>No hay datos</v>
      </c>
      <c r="H109" s="2" t="str">
        <f t="array" ref="H109">_xlfn.XLOOKUP(B109,Vendedores!$A$2:$A$41,Vendedores!$C$2:$C$41,"No hay datos")</f>
        <v>No hay datos</v>
      </c>
      <c r="I109" s="2" t="str">
        <f t="array" ref="I109">_xlfn.XLOOKUP(B109,Vendedores!$A$2:$A$41,Vendedores!$D$2:$D$41,"No hay datos")</f>
        <v>No hay datos</v>
      </c>
      <c r="J109" s="2" t="str">
        <f t="array" ref="J109">_xlfn.XLOOKUP(A109,Productos!$A$2:$A$61,Productos!$B$2:$F$61)</f>
        <v>#N/A</v>
      </c>
    </row>
    <row r="110">
      <c r="A110" s="2" t="str">
        <f>IFERROR(__xludf.DUMMYFUNCTION("""COMPUTED_VALUE"""),"PR058")</f>
        <v>PR058</v>
      </c>
      <c r="B110" s="2" t="str">
        <f>IFERROR(__xludf.DUMMYFUNCTION("""COMPUTED_VALUE"""),"VD044")</f>
        <v>VD044</v>
      </c>
      <c r="C110" s="2">
        <f>IFERROR(__xludf.DUMMYFUNCTION("""COMPUTED_VALUE"""),15.0)</f>
        <v>15</v>
      </c>
      <c r="D110" s="6">
        <f>IFERROR(__xludf.DUMMYFUNCTION("""COMPUTED_VALUE"""),3240.0)</f>
        <v>3240</v>
      </c>
      <c r="E110" s="6">
        <f>IFERROR(__xludf.DUMMYFUNCTION("GOOGLEFINANCE(""Currency:BRLMXN"")*D110"),11006.279999999999)</f>
        <v>11006.28</v>
      </c>
      <c r="F110" s="6">
        <f>IFERROR(__xludf.DUMMYFUNCTION("GOOGLEFINANCE(""Currency:BRLPEN"")*D110"),2124.144)</f>
        <v>2124.144</v>
      </c>
      <c r="G110" s="2" t="str">
        <f t="array" ref="G110">_xlfn.XLOOKUP(B110,Vendedores!$A$2:$A$41,Vendedores!$B$2:$B$41,"No hay datos")</f>
        <v>No hay datos</v>
      </c>
      <c r="H110" s="2" t="str">
        <f t="array" ref="H110">_xlfn.XLOOKUP(B110,Vendedores!$A$2:$A$41,Vendedores!$C$2:$C$41,"No hay datos")</f>
        <v>No hay datos</v>
      </c>
      <c r="I110" s="2" t="str">
        <f t="array" ref="I110">_xlfn.XLOOKUP(B110,Vendedores!$A$2:$A$41,Vendedores!$D$2:$D$41,"No hay datos")</f>
        <v>No hay datos</v>
      </c>
      <c r="J110" s="2" t="str">
        <f t="array" ref="J110">_xlfn.XLOOKUP(A110,Productos!$A$2:$A$61,Productos!$B$2:$F$61)</f>
        <v>#N/A</v>
      </c>
    </row>
    <row r="111">
      <c r="A111" s="2" t="str">
        <f>IFERROR(__xludf.DUMMYFUNCTION("""COMPUTED_VALUE"""),"PR040")</f>
        <v>PR040</v>
      </c>
      <c r="B111" s="2" t="str">
        <f>IFERROR(__xludf.DUMMYFUNCTION("""COMPUTED_VALUE"""),"VD037")</f>
        <v>VD037</v>
      </c>
      <c r="C111" s="2">
        <f>IFERROR(__xludf.DUMMYFUNCTION("""COMPUTED_VALUE"""),12.0)</f>
        <v>12</v>
      </c>
      <c r="D111" s="6">
        <f>IFERROR(__xludf.DUMMYFUNCTION("""COMPUTED_VALUE"""),974.4)</f>
        <v>974.4</v>
      </c>
      <c r="E111" s="6">
        <f>IFERROR(__xludf.DUMMYFUNCTION("GOOGLEFINANCE(""Currency:BRLMXN"")*D111"),3310.0368)</f>
        <v>3310.0368</v>
      </c>
      <c r="F111" s="6">
        <f>IFERROR(__xludf.DUMMYFUNCTION("GOOGLEFINANCE(""Currency:BRLPEN"")*D111"),638.8166399999999)</f>
        <v>638.81664</v>
      </c>
      <c r="G111" s="2" t="str">
        <f t="array" ref="G111">_xlfn.XLOOKUP(B111,Vendedores!$A$2:$A$41,Vendedores!$B$2:$B$41,"No hay datos")</f>
        <v>No hay datos</v>
      </c>
      <c r="H111" s="2" t="str">
        <f t="array" ref="H111">_xlfn.XLOOKUP(B111,Vendedores!$A$2:$A$41,Vendedores!$C$2:$C$41,"No hay datos")</f>
        <v>No hay datos</v>
      </c>
      <c r="I111" s="2" t="str">
        <f t="array" ref="I111">_xlfn.XLOOKUP(B111,Vendedores!$A$2:$A$41,Vendedores!$D$2:$D$41,"No hay datos")</f>
        <v>No hay datos</v>
      </c>
      <c r="J111" s="2" t="str">
        <f t="array" ref="J111">_xlfn.XLOOKUP(A111,Productos!$A$2:$A$61,Productos!$B$2:$F$61)</f>
        <v>#N/A</v>
      </c>
    </row>
    <row r="112">
      <c r="A112" s="2" t="str">
        <f>IFERROR(__xludf.DUMMYFUNCTION("""COMPUTED_VALUE"""),"PR031")</f>
        <v>PR031</v>
      </c>
      <c r="B112" s="2" t="str">
        <f>IFERROR(__xludf.DUMMYFUNCTION("""COMPUTED_VALUE"""),"VD037")</f>
        <v>VD037</v>
      </c>
      <c r="C112" s="2">
        <f>IFERROR(__xludf.DUMMYFUNCTION("""COMPUTED_VALUE"""),24.0)</f>
        <v>24</v>
      </c>
      <c r="D112" s="6">
        <f>IFERROR(__xludf.DUMMYFUNCTION("""COMPUTED_VALUE"""),6997.2)</f>
        <v>6997.2</v>
      </c>
      <c r="E112" s="6">
        <f>IFERROR(__xludf.DUMMYFUNCTION("GOOGLEFINANCE(""Currency:BRLMXN"")*D112"),23769.4884)</f>
        <v>23769.4884</v>
      </c>
      <c r="F112" s="6">
        <f>IFERROR(__xludf.DUMMYFUNCTION("GOOGLEFINANCE(""Currency:BRLPEN"")*D112"),4587.36432)</f>
        <v>4587.36432</v>
      </c>
      <c r="G112" s="2" t="str">
        <f t="array" ref="G112">_xlfn.XLOOKUP(B112,Vendedores!$A$2:$A$41,Vendedores!$B$2:$B$41,"No hay datos")</f>
        <v>No hay datos</v>
      </c>
      <c r="H112" s="2" t="str">
        <f t="array" ref="H112">_xlfn.XLOOKUP(B112,Vendedores!$A$2:$A$41,Vendedores!$C$2:$C$41,"No hay datos")</f>
        <v>No hay datos</v>
      </c>
      <c r="I112" s="2" t="str">
        <f t="array" ref="I112">_xlfn.XLOOKUP(B112,Vendedores!$A$2:$A$41,Vendedores!$D$2:$D$41,"No hay datos")</f>
        <v>No hay datos</v>
      </c>
      <c r="J112" s="2" t="str">
        <f t="array" ref="J112">_xlfn.XLOOKUP(A112,Productos!$A$2:$A$61,Productos!$B$2:$F$61)</f>
        <v>#N/A</v>
      </c>
    </row>
    <row r="113">
      <c r="A113" s="2" t="str">
        <f>IFERROR(__xludf.DUMMYFUNCTION("""COMPUTED_VALUE"""),"PR009")</f>
        <v>PR009</v>
      </c>
      <c r="B113" s="2" t="str">
        <f>IFERROR(__xludf.DUMMYFUNCTION("""COMPUTED_VALUE"""),"VD011")</f>
        <v>VD011</v>
      </c>
      <c r="C113" s="2">
        <f>IFERROR(__xludf.DUMMYFUNCTION("""COMPUTED_VALUE"""),21.0)</f>
        <v>21</v>
      </c>
      <c r="D113" s="6">
        <f>IFERROR(__xludf.DUMMYFUNCTION("""COMPUTED_VALUE"""),2185.01)</f>
        <v>2185.01</v>
      </c>
      <c r="E113" s="6">
        <f>IFERROR(__xludf.DUMMYFUNCTION("GOOGLEFINANCE(""Currency:BRLMXN"")*D113"),7422.47897)</f>
        <v>7422.47897</v>
      </c>
      <c r="F113" s="6">
        <f>IFERROR(__xludf.DUMMYFUNCTION("GOOGLEFINANCE(""Currency:BRLPEN"")*D113"),1432.4925560000001)</f>
        <v>1432.492556</v>
      </c>
      <c r="G113" s="2" t="str">
        <f t="array" ref="G113">_xlfn.XLOOKUP(B113,Vendedores!$A$2:$A$41,Vendedores!$B$2:$B$41,"No hay datos")</f>
        <v>No hay datos</v>
      </c>
      <c r="H113" s="2" t="str">
        <f t="array" ref="H113">_xlfn.XLOOKUP(B113,Vendedores!$A$2:$A$41,Vendedores!$C$2:$C$41,"No hay datos")</f>
        <v>No hay datos</v>
      </c>
      <c r="I113" s="2" t="str">
        <f t="array" ref="I113">_xlfn.XLOOKUP(B113,Vendedores!$A$2:$A$41,Vendedores!$D$2:$D$41,"No hay datos")</f>
        <v>No hay datos</v>
      </c>
      <c r="J113" s="2" t="str">
        <f t="array" ref="J113">_xlfn.XLOOKUP(A113,Productos!$A$2:$A$61,Productos!$B$2:$F$61)</f>
        <v>#N/A</v>
      </c>
    </row>
    <row r="114">
      <c r="A114" s="2" t="str">
        <f>IFERROR(__xludf.DUMMYFUNCTION("""COMPUTED_VALUE"""),"PR029")</f>
        <v>PR029</v>
      </c>
      <c r="B114" s="2" t="str">
        <f>IFERROR(__xludf.DUMMYFUNCTION("""COMPUTED_VALUE"""),"VD047")</f>
        <v>VD047</v>
      </c>
      <c r="C114" s="2">
        <f>IFERROR(__xludf.DUMMYFUNCTION("""COMPUTED_VALUE"""),24.0)</f>
        <v>24</v>
      </c>
      <c r="D114" s="6">
        <f>IFERROR(__xludf.DUMMYFUNCTION("""COMPUTED_VALUE"""),6793.2)</f>
        <v>6793.2</v>
      </c>
      <c r="E114" s="6">
        <f>IFERROR(__xludf.DUMMYFUNCTION("GOOGLEFINANCE(""Currency:BRLMXN"")*D114"),23076.500399999997)</f>
        <v>23076.5004</v>
      </c>
      <c r="F114" s="6">
        <f>IFERROR(__xludf.DUMMYFUNCTION("GOOGLEFINANCE(""Currency:BRLPEN"")*D114"),4453.62192)</f>
        <v>4453.62192</v>
      </c>
      <c r="G114" s="2" t="str">
        <f t="array" ref="G114">_xlfn.XLOOKUP(B114,Vendedores!$A$2:$A$41,Vendedores!$B$2:$B$41,"No hay datos")</f>
        <v>No hay datos</v>
      </c>
      <c r="H114" s="2" t="str">
        <f t="array" ref="H114">_xlfn.XLOOKUP(B114,Vendedores!$A$2:$A$41,Vendedores!$C$2:$C$41,"No hay datos")</f>
        <v>No hay datos</v>
      </c>
      <c r="I114" s="2" t="str">
        <f t="array" ref="I114">_xlfn.XLOOKUP(B114,Vendedores!$A$2:$A$41,Vendedores!$D$2:$D$41,"No hay datos")</f>
        <v>No hay datos</v>
      </c>
      <c r="J114" s="2" t="str">
        <f t="array" ref="J114">_xlfn.XLOOKUP(A114,Productos!$A$2:$A$61,Productos!$B$2:$F$61)</f>
        <v>#N/A</v>
      </c>
    </row>
    <row r="115">
      <c r="A115" s="2" t="str">
        <f>IFERROR(__xludf.DUMMYFUNCTION("""COMPUTED_VALUE"""),"PR017")</f>
        <v>PR017</v>
      </c>
      <c r="B115" s="2" t="str">
        <f>IFERROR(__xludf.DUMMYFUNCTION("""COMPUTED_VALUE"""),"VD042")</f>
        <v>VD042</v>
      </c>
      <c r="C115" s="2">
        <f>IFERROR(__xludf.DUMMYFUNCTION("""COMPUTED_VALUE"""),27.0)</f>
        <v>27</v>
      </c>
      <c r="D115" s="6">
        <f>IFERROR(__xludf.DUMMYFUNCTION("""COMPUTED_VALUE"""),912.25)</f>
        <v>912.25</v>
      </c>
      <c r="E115" s="6">
        <f>IFERROR(__xludf.DUMMYFUNCTION("GOOGLEFINANCE(""Currency:BRLMXN"")*D115"),3098.9132499999996)</f>
        <v>3098.91325</v>
      </c>
      <c r="F115" s="6">
        <f>IFERROR(__xludf.DUMMYFUNCTION("GOOGLEFINANCE(""Currency:BRLPEN"")*D115"),598.0711)</f>
        <v>598.0711</v>
      </c>
      <c r="G115" s="2" t="str">
        <f t="array" ref="G115">_xlfn.XLOOKUP(B115,Vendedores!$A$2:$A$41,Vendedores!$B$2:$B$41,"No hay datos")</f>
        <v>No hay datos</v>
      </c>
      <c r="H115" s="2" t="str">
        <f t="array" ref="H115">_xlfn.XLOOKUP(B115,Vendedores!$A$2:$A$41,Vendedores!$C$2:$C$41,"No hay datos")</f>
        <v>No hay datos</v>
      </c>
      <c r="I115" s="2" t="str">
        <f t="array" ref="I115">_xlfn.XLOOKUP(B115,Vendedores!$A$2:$A$41,Vendedores!$D$2:$D$41,"No hay datos")</f>
        <v>No hay datos</v>
      </c>
      <c r="J115" s="2" t="str">
        <f t="array" ref="J115">_xlfn.XLOOKUP(A115,Productos!$A$2:$A$61,Productos!$B$2:$F$61)</f>
        <v>#N/A</v>
      </c>
    </row>
    <row r="116">
      <c r="A116" s="2" t="str">
        <f>IFERROR(__xludf.DUMMYFUNCTION("""COMPUTED_VALUE"""),"PR003")</f>
        <v>PR003</v>
      </c>
      <c r="B116" s="2" t="str">
        <f>IFERROR(__xludf.DUMMYFUNCTION("""COMPUTED_VALUE"""),"VD032")</f>
        <v>VD032</v>
      </c>
      <c r="C116" s="2">
        <f>IFERROR(__xludf.DUMMYFUNCTION("""COMPUTED_VALUE"""),24.0)</f>
        <v>24</v>
      </c>
      <c r="D116" s="6">
        <f>IFERROR(__xludf.DUMMYFUNCTION("""COMPUTED_VALUE"""),2041.92)</f>
        <v>2041.92</v>
      </c>
      <c r="E116" s="6">
        <f>IFERROR(__xludf.DUMMYFUNCTION("GOOGLEFINANCE(""Currency:BRLMXN"")*D116"),6936.402239999999)</f>
        <v>6936.40224</v>
      </c>
      <c r="F116" s="6">
        <f>IFERROR(__xludf.DUMMYFUNCTION("GOOGLEFINANCE(""Currency:BRLPEN"")*D116"),1338.682752)</f>
        <v>1338.682752</v>
      </c>
      <c r="G116" s="2" t="str">
        <f t="array" ref="G116">_xlfn.XLOOKUP(B116,Vendedores!$A$2:$A$41,Vendedores!$B$2:$B$41,"No hay datos")</f>
        <v>No hay datos</v>
      </c>
      <c r="H116" s="2" t="str">
        <f t="array" ref="H116">_xlfn.XLOOKUP(B116,Vendedores!$A$2:$A$41,Vendedores!$C$2:$C$41,"No hay datos")</f>
        <v>No hay datos</v>
      </c>
      <c r="I116" s="2" t="str">
        <f t="array" ref="I116">_xlfn.XLOOKUP(B116,Vendedores!$A$2:$A$41,Vendedores!$D$2:$D$41,"No hay datos")</f>
        <v>No hay datos</v>
      </c>
      <c r="J116" s="2" t="str">
        <f t="array" ref="J116">_xlfn.XLOOKUP(A116,Productos!$A$2:$A$61,Productos!$B$2:$F$61)</f>
        <v>#N/A</v>
      </c>
    </row>
    <row r="117">
      <c r="A117" s="2" t="str">
        <f>IFERROR(__xludf.DUMMYFUNCTION("""COMPUTED_VALUE"""),"PR041")</f>
        <v>PR041</v>
      </c>
      <c r="B117" s="2" t="str">
        <f>IFERROR(__xludf.DUMMYFUNCTION("""COMPUTED_VALUE"""),"VD023")</f>
        <v>VD023</v>
      </c>
      <c r="C117" s="2">
        <f>IFERROR(__xludf.DUMMYFUNCTION("""COMPUTED_VALUE"""),18.0)</f>
        <v>18</v>
      </c>
      <c r="D117" s="6">
        <f>IFERROR(__xludf.DUMMYFUNCTION("""COMPUTED_VALUE"""),1136.43)</f>
        <v>1136.43</v>
      </c>
      <c r="E117" s="6">
        <f>IFERROR(__xludf.DUMMYFUNCTION("GOOGLEFINANCE(""Currency:BRLMXN"")*D117"),3860.45271)</f>
        <v>3860.45271</v>
      </c>
      <c r="F117" s="6">
        <f>IFERROR(__xludf.DUMMYFUNCTION("GOOGLEFINANCE(""Currency:BRLPEN"")*D117"),745.043508)</f>
        <v>745.043508</v>
      </c>
      <c r="G117" s="2" t="str">
        <f t="array" ref="G117">_xlfn.XLOOKUP(B117,Vendedores!$A$2:$A$41,Vendedores!$B$2:$B$41,"No hay datos")</f>
        <v>No hay datos</v>
      </c>
      <c r="H117" s="2" t="str">
        <f t="array" ref="H117">_xlfn.XLOOKUP(B117,Vendedores!$A$2:$A$41,Vendedores!$C$2:$C$41,"No hay datos")</f>
        <v>No hay datos</v>
      </c>
      <c r="I117" s="2" t="str">
        <f t="array" ref="I117">_xlfn.XLOOKUP(B117,Vendedores!$A$2:$A$41,Vendedores!$D$2:$D$41,"No hay datos")</f>
        <v>No hay datos</v>
      </c>
      <c r="J117" s="2" t="str">
        <f t="array" ref="J117">_xlfn.XLOOKUP(A117,Productos!$A$2:$A$61,Productos!$B$2:$F$61)</f>
        <v>#N/A</v>
      </c>
    </row>
    <row r="118">
      <c r="A118" s="2" t="str">
        <f>IFERROR(__xludf.DUMMYFUNCTION("""COMPUTED_VALUE"""),"PR029")</f>
        <v>PR029</v>
      </c>
      <c r="B118" s="2" t="str">
        <f>IFERROR(__xludf.DUMMYFUNCTION("""COMPUTED_VALUE"""),"VD036")</f>
        <v>VD036</v>
      </c>
      <c r="C118" s="2">
        <f>IFERROR(__xludf.DUMMYFUNCTION("""COMPUTED_VALUE"""),24.0)</f>
        <v>24</v>
      </c>
      <c r="D118" s="6">
        <f>IFERROR(__xludf.DUMMYFUNCTION("""COMPUTED_VALUE"""),6976.8)</f>
        <v>6976.8</v>
      </c>
      <c r="E118" s="6">
        <f>IFERROR(__xludf.DUMMYFUNCTION("GOOGLEFINANCE(""Currency:BRLMXN"")*D118"),23700.189599999998)</f>
        <v>23700.1896</v>
      </c>
      <c r="F118" s="6">
        <f>IFERROR(__xludf.DUMMYFUNCTION("GOOGLEFINANCE(""Currency:BRLPEN"")*D118"),4573.99008)</f>
        <v>4573.99008</v>
      </c>
      <c r="G118" s="2" t="str">
        <f t="array" ref="G118">_xlfn.XLOOKUP(B118,Vendedores!$A$2:$A$41,Vendedores!$B$2:$B$41,"No hay datos")</f>
        <v>No hay datos</v>
      </c>
      <c r="H118" s="2" t="str">
        <f t="array" ref="H118">_xlfn.XLOOKUP(B118,Vendedores!$A$2:$A$41,Vendedores!$C$2:$C$41,"No hay datos")</f>
        <v>No hay datos</v>
      </c>
      <c r="I118" s="2" t="str">
        <f t="array" ref="I118">_xlfn.XLOOKUP(B118,Vendedores!$A$2:$A$41,Vendedores!$D$2:$D$41,"No hay datos")</f>
        <v>No hay datos</v>
      </c>
      <c r="J118" s="2" t="str">
        <f t="array" ref="J118">_xlfn.XLOOKUP(A118,Productos!$A$2:$A$61,Productos!$B$2:$F$61)</f>
        <v>#N/A</v>
      </c>
    </row>
    <row r="119">
      <c r="A119" s="2" t="str">
        <f>IFERROR(__xludf.DUMMYFUNCTION("""COMPUTED_VALUE"""),"PR054")</f>
        <v>PR054</v>
      </c>
      <c r="B119" s="2" t="str">
        <f>IFERROR(__xludf.DUMMYFUNCTION("""COMPUTED_VALUE"""),"VD034")</f>
        <v>VD034</v>
      </c>
      <c r="C119" s="2">
        <f>IFERROR(__xludf.DUMMYFUNCTION("""COMPUTED_VALUE"""),18.0)</f>
        <v>18</v>
      </c>
      <c r="D119" s="6">
        <f>IFERROR(__xludf.DUMMYFUNCTION("""COMPUTED_VALUE"""),1059.88)</f>
        <v>1059.88</v>
      </c>
      <c r="E119" s="6">
        <f>IFERROR(__xludf.DUMMYFUNCTION("GOOGLEFINANCE(""Currency:BRLMXN"")*D119"),3600.4123600000003)</f>
        <v>3600.41236</v>
      </c>
      <c r="F119" s="6">
        <f>IFERROR(__xludf.DUMMYFUNCTION("GOOGLEFINANCE(""Currency:BRLPEN"")*D119"),694.857328)</f>
        <v>694.857328</v>
      </c>
      <c r="G119" s="2" t="str">
        <f t="array" ref="G119">_xlfn.XLOOKUP(B119,Vendedores!$A$2:$A$41,Vendedores!$B$2:$B$41,"No hay datos")</f>
        <v>No hay datos</v>
      </c>
      <c r="H119" s="2" t="str">
        <f t="array" ref="H119">_xlfn.XLOOKUP(B119,Vendedores!$A$2:$A$41,Vendedores!$C$2:$C$41,"No hay datos")</f>
        <v>No hay datos</v>
      </c>
      <c r="I119" s="2" t="str">
        <f t="array" ref="I119">_xlfn.XLOOKUP(B119,Vendedores!$A$2:$A$41,Vendedores!$D$2:$D$41,"No hay datos")</f>
        <v>No hay datos</v>
      </c>
      <c r="J119" s="2" t="str">
        <f t="array" ref="J119">_xlfn.XLOOKUP(A119,Productos!$A$2:$A$61,Productos!$B$2:$F$61)</f>
        <v>#N/A</v>
      </c>
    </row>
    <row r="120">
      <c r="A120" s="2" t="str">
        <f>IFERROR(__xludf.DUMMYFUNCTION("""COMPUTED_VALUE"""),"PR047")</f>
        <v>PR047</v>
      </c>
      <c r="B120" s="2" t="str">
        <f>IFERROR(__xludf.DUMMYFUNCTION("""COMPUTED_VALUE"""),"VD034")</f>
        <v>VD034</v>
      </c>
      <c r="C120" s="2">
        <f>IFERROR(__xludf.DUMMYFUNCTION("""COMPUTED_VALUE"""),21.0)</f>
        <v>21</v>
      </c>
      <c r="D120" s="6">
        <f>IFERROR(__xludf.DUMMYFUNCTION("""COMPUTED_VALUE"""),7122.84)</f>
        <v>7122.84</v>
      </c>
      <c r="E120" s="6">
        <f>IFERROR(__xludf.DUMMYFUNCTION("GOOGLEFINANCE(""Currency:BRLMXN"")*D120"),24196.28748)</f>
        <v>24196.28748</v>
      </c>
      <c r="F120" s="6">
        <f>IFERROR(__xludf.DUMMYFUNCTION("GOOGLEFINANCE(""Currency:BRLPEN"")*D120"),4669.733904)</f>
        <v>4669.733904</v>
      </c>
      <c r="G120" s="2" t="str">
        <f t="array" ref="G120">_xlfn.XLOOKUP(B120,Vendedores!$A$2:$A$41,Vendedores!$B$2:$B$41,"No hay datos")</f>
        <v>No hay datos</v>
      </c>
      <c r="H120" s="2" t="str">
        <f t="array" ref="H120">_xlfn.XLOOKUP(B120,Vendedores!$A$2:$A$41,Vendedores!$C$2:$C$41,"No hay datos")</f>
        <v>No hay datos</v>
      </c>
      <c r="I120" s="2" t="str">
        <f t="array" ref="I120">_xlfn.XLOOKUP(B120,Vendedores!$A$2:$A$41,Vendedores!$D$2:$D$41,"No hay datos")</f>
        <v>No hay datos</v>
      </c>
      <c r="J120" s="2" t="str">
        <f t="array" ref="J120">_xlfn.XLOOKUP(A120,Productos!$A$2:$A$61,Productos!$B$2:$F$61)</f>
        <v>#N/A</v>
      </c>
    </row>
    <row r="121">
      <c r="A121" s="2" t="str">
        <f>IFERROR(__xludf.DUMMYFUNCTION("""COMPUTED_VALUE"""),"PR023")</f>
        <v>PR023</v>
      </c>
      <c r="B121" s="2" t="str">
        <f>IFERROR(__xludf.DUMMYFUNCTION("""COMPUTED_VALUE"""),"VD018")</f>
        <v>VD018</v>
      </c>
      <c r="C121" s="2">
        <f>IFERROR(__xludf.DUMMYFUNCTION("""COMPUTED_VALUE"""),12.0)</f>
        <v>12</v>
      </c>
      <c r="D121" s="6">
        <f>IFERROR(__xludf.DUMMYFUNCTION("""COMPUTED_VALUE"""),3598.56)</f>
        <v>3598.56</v>
      </c>
      <c r="E121" s="6">
        <f>IFERROR(__xludf.DUMMYFUNCTION("GOOGLEFINANCE(""Currency:BRLMXN"")*D121"),12224.308319999998)</f>
        <v>12224.30832</v>
      </c>
      <c r="F121" s="6">
        <f>IFERROR(__xludf.DUMMYFUNCTION("GOOGLEFINANCE(""Currency:BRLPEN"")*D121"),2359.2159359999996)</f>
        <v>2359.215936</v>
      </c>
      <c r="G121" s="2" t="str">
        <f t="array" ref="G121">_xlfn.XLOOKUP(B121,Vendedores!$A$2:$A$41,Vendedores!$B$2:$B$41,"No hay datos")</f>
        <v>No hay datos</v>
      </c>
      <c r="H121" s="2" t="str">
        <f t="array" ref="H121">_xlfn.XLOOKUP(B121,Vendedores!$A$2:$A$41,Vendedores!$C$2:$C$41,"No hay datos")</f>
        <v>No hay datos</v>
      </c>
      <c r="I121" s="2" t="str">
        <f t="array" ref="I121">_xlfn.XLOOKUP(B121,Vendedores!$A$2:$A$41,Vendedores!$D$2:$D$41,"No hay datos")</f>
        <v>No hay datos</v>
      </c>
      <c r="J121" s="2" t="str">
        <f t="array" ref="J121">_xlfn.XLOOKUP(A121,Productos!$A$2:$A$61,Productos!$B$2:$F$61)</f>
        <v>#N/A</v>
      </c>
    </row>
    <row r="122">
      <c r="A122" s="2" t="str">
        <f>IFERROR(__xludf.DUMMYFUNCTION("""COMPUTED_VALUE"""),"PR017")</f>
        <v>PR017</v>
      </c>
      <c r="B122" s="2" t="str">
        <f>IFERROR(__xludf.DUMMYFUNCTION("""COMPUTED_VALUE"""),"VD043")</f>
        <v>VD043</v>
      </c>
      <c r="C122" s="2">
        <f>IFERROR(__xludf.DUMMYFUNCTION("""COMPUTED_VALUE"""),18.0)</f>
        <v>18</v>
      </c>
      <c r="D122" s="6">
        <f>IFERROR(__xludf.DUMMYFUNCTION("""COMPUTED_VALUE"""),592.02)</f>
        <v>592.02</v>
      </c>
      <c r="E122" s="6">
        <f>IFERROR(__xludf.DUMMYFUNCTION("GOOGLEFINANCE(""Currency:BRLMXN"")*D122"),2011.0919399999998)</f>
        <v>2011.09194</v>
      </c>
      <c r="F122" s="6">
        <f>IFERROR(__xludf.DUMMYFUNCTION("GOOGLEFINANCE(""Currency:BRLPEN"")*D122"),388.12831199999994)</f>
        <v>388.128312</v>
      </c>
      <c r="G122" s="2" t="str">
        <f t="array" ref="G122">_xlfn.XLOOKUP(B122,Vendedores!$A$2:$A$41,Vendedores!$B$2:$B$41,"No hay datos")</f>
        <v>No hay datos</v>
      </c>
      <c r="H122" s="2" t="str">
        <f t="array" ref="H122">_xlfn.XLOOKUP(B122,Vendedores!$A$2:$A$41,Vendedores!$C$2:$C$41,"No hay datos")</f>
        <v>No hay datos</v>
      </c>
      <c r="I122" s="2" t="str">
        <f t="array" ref="I122">_xlfn.XLOOKUP(B122,Vendedores!$A$2:$A$41,Vendedores!$D$2:$D$41,"No hay datos")</f>
        <v>No hay datos</v>
      </c>
      <c r="J122" s="2" t="str">
        <f t="array" ref="J122">_xlfn.XLOOKUP(A122,Productos!$A$2:$A$61,Productos!$B$2:$F$61)</f>
        <v>#N/A</v>
      </c>
    </row>
    <row r="123">
      <c r="A123" s="2" t="str">
        <f>IFERROR(__xludf.DUMMYFUNCTION("""COMPUTED_VALUE"""),"PR058")</f>
        <v>PR058</v>
      </c>
      <c r="B123" s="2" t="str">
        <f>IFERROR(__xludf.DUMMYFUNCTION("""COMPUTED_VALUE"""),"VD021")</f>
        <v>VD021</v>
      </c>
      <c r="C123" s="2">
        <f>IFERROR(__xludf.DUMMYFUNCTION("""COMPUTED_VALUE"""),10.0)</f>
        <v>10</v>
      </c>
      <c r="D123" s="6">
        <f>IFERROR(__xludf.DUMMYFUNCTION("""COMPUTED_VALUE"""),2070.0)</f>
        <v>2070</v>
      </c>
      <c r="E123" s="6">
        <f>IFERROR(__xludf.DUMMYFUNCTION("GOOGLEFINANCE(""Currency:BRLMXN"")*D123"),7031.79)</f>
        <v>7031.79</v>
      </c>
      <c r="F123" s="6">
        <f>IFERROR(__xludf.DUMMYFUNCTION("GOOGLEFINANCE(""Currency:BRLPEN"")*D123"),1357.0919999999999)</f>
        <v>1357.092</v>
      </c>
      <c r="G123" s="2" t="str">
        <f t="array" ref="G123">_xlfn.XLOOKUP(B123,Vendedores!$A$2:$A$41,Vendedores!$B$2:$B$41,"No hay datos")</f>
        <v>No hay datos</v>
      </c>
      <c r="H123" s="2" t="str">
        <f t="array" ref="H123">_xlfn.XLOOKUP(B123,Vendedores!$A$2:$A$41,Vendedores!$C$2:$C$41,"No hay datos")</f>
        <v>No hay datos</v>
      </c>
      <c r="I123" s="2" t="str">
        <f t="array" ref="I123">_xlfn.XLOOKUP(B123,Vendedores!$A$2:$A$41,Vendedores!$D$2:$D$41,"No hay datos")</f>
        <v>No hay datos</v>
      </c>
      <c r="J123" s="2" t="str">
        <f t="array" ref="J123">_xlfn.XLOOKUP(A123,Productos!$A$2:$A$61,Productos!$B$2:$F$61)</f>
        <v>#N/A</v>
      </c>
    </row>
    <row r="124">
      <c r="A124" s="2" t="str">
        <f>IFERROR(__xludf.DUMMYFUNCTION("""COMPUTED_VALUE"""),"PR012")</f>
        <v>PR012</v>
      </c>
      <c r="B124" s="2" t="str">
        <f>IFERROR(__xludf.DUMMYFUNCTION("""COMPUTED_VALUE"""),"VD031")</f>
        <v>VD031</v>
      </c>
      <c r="C124" s="2">
        <f>IFERROR(__xludf.DUMMYFUNCTION("""COMPUTED_VALUE"""),9.0)</f>
        <v>9</v>
      </c>
      <c r="D124" s="6">
        <f>IFERROR(__xludf.DUMMYFUNCTION("""COMPUTED_VALUE"""),523.72)</f>
        <v>523.72</v>
      </c>
      <c r="E124" s="6">
        <f>IFERROR(__xludf.DUMMYFUNCTION("GOOGLEFINANCE(""Currency:BRLMXN"")*D124"),1779.07684)</f>
        <v>1779.07684</v>
      </c>
      <c r="F124" s="6">
        <f>IFERROR(__xludf.DUMMYFUNCTION("GOOGLEFINANCE(""Currency:BRLPEN"")*D124"),343.350832)</f>
        <v>343.350832</v>
      </c>
      <c r="G124" s="2" t="str">
        <f t="array" ref="G124">_xlfn.XLOOKUP(B124,Vendedores!$A$2:$A$41,Vendedores!$B$2:$B$41,"No hay datos")</f>
        <v>No hay datos</v>
      </c>
      <c r="H124" s="2" t="str">
        <f t="array" ref="H124">_xlfn.XLOOKUP(B124,Vendedores!$A$2:$A$41,Vendedores!$C$2:$C$41,"No hay datos")</f>
        <v>No hay datos</v>
      </c>
      <c r="I124" s="2" t="str">
        <f t="array" ref="I124">_xlfn.XLOOKUP(B124,Vendedores!$A$2:$A$41,Vendedores!$D$2:$D$41,"No hay datos")</f>
        <v>No hay datos</v>
      </c>
      <c r="J124" s="2" t="str">
        <f t="array" ref="J124">_xlfn.XLOOKUP(A124,Productos!$A$2:$A$61,Productos!$B$2:$F$61)</f>
        <v>#N/A</v>
      </c>
    </row>
    <row r="125">
      <c r="A125" s="2" t="str">
        <f>IFERROR(__xludf.DUMMYFUNCTION("""COMPUTED_VALUE"""),"PR010")</f>
        <v>PR010</v>
      </c>
      <c r="B125" s="2" t="str">
        <f>IFERROR(__xludf.DUMMYFUNCTION("""COMPUTED_VALUE"""),"VD020")</f>
        <v>VD020</v>
      </c>
      <c r="C125" s="2">
        <f>IFERROR(__xludf.DUMMYFUNCTION("""COMPUTED_VALUE"""),27.0)</f>
        <v>27</v>
      </c>
      <c r="D125" s="6">
        <f>IFERROR(__xludf.DUMMYFUNCTION("""COMPUTED_VALUE"""),1357.78)</f>
        <v>1357.78</v>
      </c>
      <c r="E125" s="6">
        <f>IFERROR(__xludf.DUMMYFUNCTION("GOOGLEFINANCE(""Currency:BRLMXN"")*D125"),4612.378659999999)</f>
        <v>4612.37866</v>
      </c>
      <c r="F125" s="6">
        <f>IFERROR(__xludf.DUMMYFUNCTION("GOOGLEFINANCE(""Currency:BRLPEN"")*D125"),890.1605679999999)</f>
        <v>890.160568</v>
      </c>
      <c r="G125" s="2" t="str">
        <f t="array" ref="G125">_xlfn.XLOOKUP(B125,Vendedores!$A$2:$A$41,Vendedores!$B$2:$B$41,"No hay datos")</f>
        <v>No hay datos</v>
      </c>
      <c r="H125" s="2" t="str">
        <f t="array" ref="H125">_xlfn.XLOOKUP(B125,Vendedores!$A$2:$A$41,Vendedores!$C$2:$C$41,"No hay datos")</f>
        <v>No hay datos</v>
      </c>
      <c r="I125" s="2" t="str">
        <f t="array" ref="I125">_xlfn.XLOOKUP(B125,Vendedores!$A$2:$A$41,Vendedores!$D$2:$D$41,"No hay datos")</f>
        <v>No hay datos</v>
      </c>
      <c r="J125" s="2" t="str">
        <f t="array" ref="J125">_xlfn.XLOOKUP(A125,Productos!$A$2:$A$61,Productos!$B$2:$F$61)</f>
        <v>#N/A</v>
      </c>
    </row>
    <row r="126">
      <c r="A126" s="2" t="str">
        <f>IFERROR(__xludf.DUMMYFUNCTION("""COMPUTED_VALUE"""),"PR038")</f>
        <v>PR038</v>
      </c>
      <c r="B126" s="2" t="str">
        <f>IFERROR(__xludf.DUMMYFUNCTION("""COMPUTED_VALUE"""),"VD024")</f>
        <v>VD024</v>
      </c>
      <c r="C126" s="2">
        <f>IFERROR(__xludf.DUMMYFUNCTION("""COMPUTED_VALUE"""),24.0)</f>
        <v>24</v>
      </c>
      <c r="D126" s="6">
        <f>IFERROR(__xludf.DUMMYFUNCTION("""COMPUTED_VALUE"""),4081.22)</f>
        <v>4081.22</v>
      </c>
      <c r="E126" s="6">
        <f>IFERROR(__xludf.DUMMYFUNCTION("GOOGLEFINANCE(""Currency:BRLMXN"")*D126"),13863.90434)</f>
        <v>13863.90434</v>
      </c>
      <c r="F126" s="6">
        <f>IFERROR(__xludf.DUMMYFUNCTION("GOOGLEFINANCE(""Currency:BRLPEN"")*D126"),2675.6478319999997)</f>
        <v>2675.647832</v>
      </c>
      <c r="G126" s="2" t="str">
        <f t="array" ref="G126">_xlfn.XLOOKUP(B126,Vendedores!$A$2:$A$41,Vendedores!$B$2:$B$41,"No hay datos")</f>
        <v>No hay datos</v>
      </c>
      <c r="H126" s="2" t="str">
        <f t="array" ref="H126">_xlfn.XLOOKUP(B126,Vendedores!$A$2:$A$41,Vendedores!$C$2:$C$41,"No hay datos")</f>
        <v>No hay datos</v>
      </c>
      <c r="I126" s="2" t="str">
        <f t="array" ref="I126">_xlfn.XLOOKUP(B126,Vendedores!$A$2:$A$41,Vendedores!$D$2:$D$41,"No hay datos")</f>
        <v>No hay datos</v>
      </c>
      <c r="J126" s="2" t="str">
        <f t="array" ref="J126">_xlfn.XLOOKUP(A126,Productos!$A$2:$A$61,Productos!$B$2:$F$61)</f>
        <v>#N/A</v>
      </c>
    </row>
    <row r="127">
      <c r="A127" s="2" t="str">
        <f>IFERROR(__xludf.DUMMYFUNCTION("""COMPUTED_VALUE"""),"PR024")</f>
        <v>PR024</v>
      </c>
      <c r="B127" s="2" t="str">
        <f>IFERROR(__xludf.DUMMYFUNCTION("""COMPUTED_VALUE"""),"VD038")</f>
        <v>VD038</v>
      </c>
      <c r="C127" s="2">
        <f>IFERROR(__xludf.DUMMYFUNCTION("""COMPUTED_VALUE"""),18.0)</f>
        <v>18</v>
      </c>
      <c r="D127" s="6">
        <f>IFERROR(__xludf.DUMMYFUNCTION("""COMPUTED_VALUE"""),5567.06)</f>
        <v>5567.06</v>
      </c>
      <c r="E127" s="6">
        <f>IFERROR(__xludf.DUMMYFUNCTION("GOOGLEFINANCE(""Currency:BRLMXN"")*D127"),18911.30282)</f>
        <v>18911.30282</v>
      </c>
      <c r="F127" s="6">
        <f>IFERROR(__xludf.DUMMYFUNCTION("GOOGLEFINANCE(""Currency:BRLPEN"")*D127"),3649.764536)</f>
        <v>3649.764536</v>
      </c>
      <c r="G127" s="2" t="str">
        <f t="array" ref="G127">_xlfn.XLOOKUP(B127,Vendedores!$A$2:$A$41,Vendedores!$B$2:$B$41,"No hay datos")</f>
        <v>No hay datos</v>
      </c>
      <c r="H127" s="2" t="str">
        <f t="array" ref="H127">_xlfn.XLOOKUP(B127,Vendedores!$A$2:$A$41,Vendedores!$C$2:$C$41,"No hay datos")</f>
        <v>No hay datos</v>
      </c>
      <c r="I127" s="2" t="str">
        <f t="array" ref="I127">_xlfn.XLOOKUP(B127,Vendedores!$A$2:$A$41,Vendedores!$D$2:$D$41,"No hay datos")</f>
        <v>No hay datos</v>
      </c>
      <c r="J127" s="2" t="str">
        <f t="array" ref="J127">_xlfn.XLOOKUP(A127,Productos!$A$2:$A$61,Productos!$B$2:$F$61)</f>
        <v>#N/A</v>
      </c>
    </row>
    <row r="128">
      <c r="A128" s="2" t="str">
        <f>IFERROR(__xludf.DUMMYFUNCTION("""COMPUTED_VALUE"""),"PR029")</f>
        <v>PR029</v>
      </c>
      <c r="B128" s="2" t="str">
        <f>IFERROR(__xludf.DUMMYFUNCTION("""COMPUTED_VALUE"""),"VD048")</f>
        <v>VD048</v>
      </c>
      <c r="C128" s="2">
        <f>IFERROR(__xludf.DUMMYFUNCTION("""COMPUTED_VALUE"""),8.0)</f>
        <v>8</v>
      </c>
      <c r="D128" s="6">
        <f>IFERROR(__xludf.DUMMYFUNCTION("""COMPUTED_VALUE"""),2325.6)</f>
        <v>2325.6</v>
      </c>
      <c r="E128" s="6">
        <f>IFERROR(__xludf.DUMMYFUNCTION("GOOGLEFINANCE(""Currency:BRLMXN"")*D128"),7900.0632)</f>
        <v>7900.0632</v>
      </c>
      <c r="F128" s="6">
        <f>IFERROR(__xludf.DUMMYFUNCTION("GOOGLEFINANCE(""Currency:BRLPEN"")*D128"),1524.6633599999998)</f>
        <v>1524.66336</v>
      </c>
      <c r="G128" s="2" t="str">
        <f t="array" ref="G128">_xlfn.XLOOKUP(B128,Vendedores!$A$2:$A$41,Vendedores!$B$2:$B$41,"No hay datos")</f>
        <v>No hay datos</v>
      </c>
      <c r="H128" s="2" t="str">
        <f t="array" ref="H128">_xlfn.XLOOKUP(B128,Vendedores!$A$2:$A$41,Vendedores!$C$2:$C$41,"No hay datos")</f>
        <v>No hay datos</v>
      </c>
      <c r="I128" s="2" t="str">
        <f t="array" ref="I128">_xlfn.XLOOKUP(B128,Vendedores!$A$2:$A$41,Vendedores!$D$2:$D$41,"No hay datos")</f>
        <v>No hay datos</v>
      </c>
      <c r="J128" s="2" t="str">
        <f t="array" ref="J128">_xlfn.XLOOKUP(A128,Productos!$A$2:$A$61,Productos!$B$2:$F$61)</f>
        <v>#N/A</v>
      </c>
    </row>
    <row r="129">
      <c r="A129" s="2" t="str">
        <f>IFERROR(__xludf.DUMMYFUNCTION("""COMPUTED_VALUE"""),"PR040")</f>
        <v>PR040</v>
      </c>
      <c r="B129" s="2" t="str">
        <f>IFERROR(__xludf.DUMMYFUNCTION("""COMPUTED_VALUE"""),"VD022")</f>
        <v>VD022</v>
      </c>
      <c r="C129" s="2">
        <f>IFERROR(__xludf.DUMMYFUNCTION("""COMPUTED_VALUE"""),18.0)</f>
        <v>18</v>
      </c>
      <c r="D129" s="6">
        <f>IFERROR(__xludf.DUMMYFUNCTION("""COMPUTED_VALUE"""),1423.8)</f>
        <v>1423.8</v>
      </c>
      <c r="E129" s="6">
        <f>IFERROR(__xludf.DUMMYFUNCTION("GOOGLEFINANCE(""Currency:BRLMXN"")*D129"),4836.6485999999995)</f>
        <v>4836.6486</v>
      </c>
      <c r="F129" s="6">
        <f>IFERROR(__xludf.DUMMYFUNCTION("GOOGLEFINANCE(""Currency:BRLPEN"")*D129"),933.44328)</f>
        <v>933.44328</v>
      </c>
      <c r="G129" s="2" t="str">
        <f t="array" ref="G129">_xlfn.XLOOKUP(B129,Vendedores!$A$2:$A$41,Vendedores!$B$2:$B$41,"No hay datos")</f>
        <v>No hay datos</v>
      </c>
      <c r="H129" s="2" t="str">
        <f t="array" ref="H129">_xlfn.XLOOKUP(B129,Vendedores!$A$2:$A$41,Vendedores!$C$2:$C$41,"No hay datos")</f>
        <v>No hay datos</v>
      </c>
      <c r="I129" s="2" t="str">
        <f t="array" ref="I129">_xlfn.XLOOKUP(B129,Vendedores!$A$2:$A$41,Vendedores!$D$2:$D$41,"No hay datos")</f>
        <v>No hay datos</v>
      </c>
      <c r="J129" s="2" t="str">
        <f t="array" ref="J129">_xlfn.XLOOKUP(A129,Productos!$A$2:$A$61,Productos!$B$2:$F$61)</f>
        <v>#N/A</v>
      </c>
    </row>
    <row r="130">
      <c r="A130" s="2" t="str">
        <f>IFERROR(__xludf.DUMMYFUNCTION("""COMPUTED_VALUE"""),"PR045")</f>
        <v>PR045</v>
      </c>
      <c r="B130" s="2" t="str">
        <f>IFERROR(__xludf.DUMMYFUNCTION("""COMPUTED_VALUE"""),"VD023")</f>
        <v>VD023</v>
      </c>
      <c r="C130" s="2">
        <f>IFERROR(__xludf.DUMMYFUNCTION("""COMPUTED_VALUE"""),16.0)</f>
        <v>16</v>
      </c>
      <c r="D130" s="6">
        <f>IFERROR(__xludf.DUMMYFUNCTION("""COMPUTED_VALUE"""),1345.6)</f>
        <v>1345.6</v>
      </c>
      <c r="E130" s="6">
        <f>IFERROR(__xludf.DUMMYFUNCTION("GOOGLEFINANCE(""Currency:BRLMXN"")*D130"),4571.003199999999)</f>
        <v>4571.0032</v>
      </c>
      <c r="F130" s="6">
        <f>IFERROR(__xludf.DUMMYFUNCTION("GOOGLEFINANCE(""Currency:BRLPEN"")*D130"),882.1753599999998)</f>
        <v>882.17536</v>
      </c>
      <c r="G130" s="2" t="str">
        <f t="array" ref="G130">_xlfn.XLOOKUP(B130,Vendedores!$A$2:$A$41,Vendedores!$B$2:$B$41,"No hay datos")</f>
        <v>No hay datos</v>
      </c>
      <c r="H130" s="2" t="str">
        <f t="array" ref="H130">_xlfn.XLOOKUP(B130,Vendedores!$A$2:$A$41,Vendedores!$C$2:$C$41,"No hay datos")</f>
        <v>No hay datos</v>
      </c>
      <c r="I130" s="2" t="str">
        <f t="array" ref="I130">_xlfn.XLOOKUP(B130,Vendedores!$A$2:$A$41,Vendedores!$D$2:$D$41,"No hay datos")</f>
        <v>No hay datos</v>
      </c>
      <c r="J130" s="2" t="str">
        <f t="array" ref="J130">_xlfn.XLOOKUP(A130,Productos!$A$2:$A$61,Productos!$B$2:$F$61)</f>
        <v>#N/A</v>
      </c>
    </row>
    <row r="131">
      <c r="A131" s="2" t="str">
        <f>IFERROR(__xludf.DUMMYFUNCTION("""COMPUTED_VALUE"""),"PR059")</f>
        <v>PR059</v>
      </c>
      <c r="B131" s="2" t="str">
        <f>IFERROR(__xludf.DUMMYFUNCTION("""COMPUTED_VALUE"""),"VD034")</f>
        <v>VD034</v>
      </c>
      <c r="C131" s="2">
        <f>IFERROR(__xludf.DUMMYFUNCTION("""COMPUTED_VALUE"""),18.0)</f>
        <v>18</v>
      </c>
      <c r="D131" s="6">
        <f>IFERROR(__xludf.DUMMYFUNCTION("""COMPUTED_VALUE"""),3888.0)</f>
        <v>3888</v>
      </c>
      <c r="E131" s="6">
        <f>IFERROR(__xludf.DUMMYFUNCTION("GOOGLEFINANCE(""Currency:BRLMXN"")*D131"),13207.536)</f>
        <v>13207.536</v>
      </c>
      <c r="F131" s="6">
        <f>IFERROR(__xludf.DUMMYFUNCTION("GOOGLEFINANCE(""Currency:BRLPEN"")*D131"),2548.9728)</f>
        <v>2548.9728</v>
      </c>
      <c r="G131" s="2" t="str">
        <f t="array" ref="G131">_xlfn.XLOOKUP(B131,Vendedores!$A$2:$A$41,Vendedores!$B$2:$B$41,"No hay datos")</f>
        <v>No hay datos</v>
      </c>
      <c r="H131" s="2" t="str">
        <f t="array" ref="H131">_xlfn.XLOOKUP(B131,Vendedores!$A$2:$A$41,Vendedores!$C$2:$C$41,"No hay datos")</f>
        <v>No hay datos</v>
      </c>
      <c r="I131" s="2" t="str">
        <f t="array" ref="I131">_xlfn.XLOOKUP(B131,Vendedores!$A$2:$A$41,Vendedores!$D$2:$D$41,"No hay datos")</f>
        <v>No hay datos</v>
      </c>
      <c r="J131" s="2" t="str">
        <f t="array" ref="J131">_xlfn.XLOOKUP(A131,Productos!$A$2:$A$61,Productos!$B$2:$F$61)</f>
        <v>#N/A</v>
      </c>
    </row>
    <row r="132">
      <c r="A132" s="2" t="str">
        <f>IFERROR(__xludf.DUMMYFUNCTION("""COMPUTED_VALUE"""),"PR031")</f>
        <v>PR031</v>
      </c>
      <c r="B132" s="2" t="str">
        <f>IFERROR(__xludf.DUMMYFUNCTION("""COMPUTED_VALUE"""),"VD039")</f>
        <v>VD039</v>
      </c>
      <c r="C132" s="2">
        <f>IFERROR(__xludf.DUMMYFUNCTION("""COMPUTED_VALUE"""),9.0)</f>
        <v>9</v>
      </c>
      <c r="D132" s="6">
        <f>IFERROR(__xludf.DUMMYFUNCTION("""COMPUTED_VALUE"""),2557.8)</f>
        <v>2557.8</v>
      </c>
      <c r="E132" s="6">
        <f>IFERROR(__xludf.DUMMYFUNCTION("GOOGLEFINANCE(""Currency:BRLMXN"")*D132"),8688.8466)</f>
        <v>8688.8466</v>
      </c>
      <c r="F132" s="6">
        <f>IFERROR(__xludf.DUMMYFUNCTION("GOOGLEFINANCE(""Currency:BRLPEN"")*D132"),1676.8936800000001)</f>
        <v>1676.89368</v>
      </c>
      <c r="G132" s="2" t="str">
        <f t="array" ref="G132">_xlfn.XLOOKUP(B132,Vendedores!$A$2:$A$41,Vendedores!$B$2:$B$41,"No hay datos")</f>
        <v>No hay datos</v>
      </c>
      <c r="H132" s="2" t="str">
        <f t="array" ref="H132">_xlfn.XLOOKUP(B132,Vendedores!$A$2:$A$41,Vendedores!$C$2:$C$41,"No hay datos")</f>
        <v>No hay datos</v>
      </c>
      <c r="I132" s="2" t="str">
        <f t="array" ref="I132">_xlfn.XLOOKUP(B132,Vendedores!$A$2:$A$41,Vendedores!$D$2:$D$41,"No hay datos")</f>
        <v>No hay datos</v>
      </c>
      <c r="J132" s="2" t="str">
        <f t="array" ref="J132">_xlfn.XLOOKUP(A132,Productos!$A$2:$A$61,Productos!$B$2:$F$61)</f>
        <v>#N/A</v>
      </c>
    </row>
    <row r="133">
      <c r="A133" s="2" t="str">
        <f>IFERROR(__xludf.DUMMYFUNCTION("""COMPUTED_VALUE"""),"PR059")</f>
        <v>PR059</v>
      </c>
      <c r="B133" s="2" t="str">
        <f>IFERROR(__xludf.DUMMYFUNCTION("""COMPUTED_VALUE"""),"VD036")</f>
        <v>VD036</v>
      </c>
      <c r="C133" s="2">
        <f>IFERROR(__xludf.DUMMYFUNCTION("""COMPUTED_VALUE"""),15.0)</f>
        <v>15</v>
      </c>
      <c r="D133" s="6">
        <f>IFERROR(__xludf.DUMMYFUNCTION("""COMPUTED_VALUE"""),2997.0)</f>
        <v>2997</v>
      </c>
      <c r="E133" s="6">
        <f>IFERROR(__xludf.DUMMYFUNCTION("GOOGLEFINANCE(""Currency:BRLMXN"")*D133"),10180.809)</f>
        <v>10180.809</v>
      </c>
      <c r="F133" s="6">
        <f>IFERROR(__xludf.DUMMYFUNCTION("GOOGLEFINANCE(""Currency:BRLPEN"")*D133"),1964.8331999999998)</f>
        <v>1964.8332</v>
      </c>
      <c r="G133" s="2" t="str">
        <f t="array" ref="G133">_xlfn.XLOOKUP(B133,Vendedores!$A$2:$A$41,Vendedores!$B$2:$B$41,"No hay datos")</f>
        <v>No hay datos</v>
      </c>
      <c r="H133" s="2" t="str">
        <f t="array" ref="H133">_xlfn.XLOOKUP(B133,Vendedores!$A$2:$A$41,Vendedores!$C$2:$C$41,"No hay datos")</f>
        <v>No hay datos</v>
      </c>
      <c r="I133" s="2" t="str">
        <f t="array" ref="I133">_xlfn.XLOOKUP(B133,Vendedores!$A$2:$A$41,Vendedores!$D$2:$D$41,"No hay datos")</f>
        <v>No hay datos</v>
      </c>
      <c r="J133" s="2" t="str">
        <f t="array" ref="J133">_xlfn.XLOOKUP(A133,Productos!$A$2:$A$61,Productos!$B$2:$F$61)</f>
        <v>#N/A</v>
      </c>
    </row>
    <row r="134">
      <c r="A134" s="2" t="str">
        <f>IFERROR(__xludf.DUMMYFUNCTION("""COMPUTED_VALUE"""),"PR058")</f>
        <v>PR058</v>
      </c>
      <c r="B134" s="2" t="str">
        <f>IFERROR(__xludf.DUMMYFUNCTION("""COMPUTED_VALUE"""),"VD027")</f>
        <v>VD027</v>
      </c>
      <c r="C134" s="2">
        <f>IFERROR(__xludf.DUMMYFUNCTION("""COMPUTED_VALUE"""),15.0)</f>
        <v>15</v>
      </c>
      <c r="D134" s="6">
        <f>IFERROR(__xludf.DUMMYFUNCTION("""COMPUTED_VALUE"""),3186.0)</f>
        <v>3186</v>
      </c>
      <c r="E134" s="6">
        <f>IFERROR(__xludf.DUMMYFUNCTION("GOOGLEFINANCE(""Currency:BRLMXN"")*D134"),10822.841999999999)</f>
        <v>10822.842</v>
      </c>
      <c r="F134" s="6">
        <f>IFERROR(__xludf.DUMMYFUNCTION("GOOGLEFINANCE(""Currency:BRLPEN"")*D134"),2088.7416)</f>
        <v>2088.7416</v>
      </c>
      <c r="G134" s="2" t="str">
        <f t="array" ref="G134">_xlfn.XLOOKUP(B134,Vendedores!$A$2:$A$41,Vendedores!$B$2:$B$41,"No hay datos")</f>
        <v>No hay datos</v>
      </c>
      <c r="H134" s="2" t="str">
        <f t="array" ref="H134">_xlfn.XLOOKUP(B134,Vendedores!$A$2:$A$41,Vendedores!$C$2:$C$41,"No hay datos")</f>
        <v>No hay datos</v>
      </c>
      <c r="I134" s="2" t="str">
        <f t="array" ref="I134">_xlfn.XLOOKUP(B134,Vendedores!$A$2:$A$41,Vendedores!$D$2:$D$41,"No hay datos")</f>
        <v>No hay datos</v>
      </c>
      <c r="J134" s="2" t="str">
        <f t="array" ref="J134">_xlfn.XLOOKUP(A134,Productos!$A$2:$A$61,Productos!$B$2:$F$61)</f>
        <v>#N/A</v>
      </c>
    </row>
    <row r="135">
      <c r="A135" s="2" t="str">
        <f>IFERROR(__xludf.DUMMYFUNCTION("""COMPUTED_VALUE"""),"PR005")</f>
        <v>PR005</v>
      </c>
      <c r="B135" s="2" t="str">
        <f>IFERROR(__xludf.DUMMYFUNCTION("""COMPUTED_VALUE"""),"VD036")</f>
        <v>VD036</v>
      </c>
      <c r="C135" s="2">
        <f>IFERROR(__xludf.DUMMYFUNCTION("""COMPUTED_VALUE"""),27.0)</f>
        <v>27</v>
      </c>
      <c r="D135" s="6">
        <f>IFERROR(__xludf.DUMMYFUNCTION("""COMPUTED_VALUE"""),7929.55)</f>
        <v>7929.55</v>
      </c>
      <c r="E135" s="6">
        <f>IFERROR(__xludf.DUMMYFUNCTION("GOOGLEFINANCE(""Currency:BRLMXN"")*D135"),26936.68135)</f>
        <v>26936.68135</v>
      </c>
      <c r="F135" s="6">
        <f>IFERROR(__xludf.DUMMYFUNCTION("GOOGLEFINANCE(""Currency:BRLPEN"")*D135"),5198.61298)</f>
        <v>5198.61298</v>
      </c>
      <c r="G135" s="2" t="str">
        <f t="array" ref="G135">_xlfn.XLOOKUP(B135,Vendedores!$A$2:$A$41,Vendedores!$B$2:$B$41,"No hay datos")</f>
        <v>No hay datos</v>
      </c>
      <c r="H135" s="2" t="str">
        <f t="array" ref="H135">_xlfn.XLOOKUP(B135,Vendedores!$A$2:$A$41,Vendedores!$C$2:$C$41,"No hay datos")</f>
        <v>No hay datos</v>
      </c>
      <c r="I135" s="2" t="str">
        <f t="array" ref="I135">_xlfn.XLOOKUP(B135,Vendedores!$A$2:$A$41,Vendedores!$D$2:$D$41,"No hay datos")</f>
        <v>No hay datos</v>
      </c>
      <c r="J135" s="2" t="str">
        <f t="array" ref="J135">_xlfn.XLOOKUP(A135,Productos!$A$2:$A$61,Productos!$B$2:$F$61)</f>
        <v>#N/A</v>
      </c>
    </row>
    <row r="136">
      <c r="A136" s="2" t="str">
        <f>IFERROR(__xludf.DUMMYFUNCTION("""COMPUTED_VALUE"""),"PR017")</f>
        <v>PR017</v>
      </c>
      <c r="B136" s="2" t="str">
        <f>IFERROR(__xludf.DUMMYFUNCTION("""COMPUTED_VALUE"""),"VD022")</f>
        <v>VD022</v>
      </c>
      <c r="C136" s="2">
        <f>IFERROR(__xludf.DUMMYFUNCTION("""COMPUTED_VALUE"""),18.0)</f>
        <v>18</v>
      </c>
      <c r="D136" s="6">
        <f>IFERROR(__xludf.DUMMYFUNCTION("""COMPUTED_VALUE"""),592.02)</f>
        <v>592.02</v>
      </c>
      <c r="E136" s="6">
        <f>IFERROR(__xludf.DUMMYFUNCTION("GOOGLEFINANCE(""Currency:BRLMXN"")*D136"),2011.0919399999998)</f>
        <v>2011.09194</v>
      </c>
      <c r="F136" s="6">
        <f>IFERROR(__xludf.DUMMYFUNCTION("GOOGLEFINANCE(""Currency:BRLPEN"")*D136"),388.12831199999994)</f>
        <v>388.128312</v>
      </c>
      <c r="G136" s="2" t="str">
        <f t="array" ref="G136">_xlfn.XLOOKUP(B136,Vendedores!$A$2:$A$41,Vendedores!$B$2:$B$41,"No hay datos")</f>
        <v>No hay datos</v>
      </c>
      <c r="H136" s="2" t="str">
        <f t="array" ref="H136">_xlfn.XLOOKUP(B136,Vendedores!$A$2:$A$41,Vendedores!$C$2:$C$41,"No hay datos")</f>
        <v>No hay datos</v>
      </c>
      <c r="I136" s="2" t="str">
        <f t="array" ref="I136">_xlfn.XLOOKUP(B136,Vendedores!$A$2:$A$41,Vendedores!$D$2:$D$41,"No hay datos")</f>
        <v>No hay datos</v>
      </c>
      <c r="J136" s="2" t="str">
        <f t="array" ref="J136">_xlfn.XLOOKUP(A136,Productos!$A$2:$A$61,Productos!$B$2:$F$61)</f>
        <v>#N/A</v>
      </c>
    </row>
    <row r="137">
      <c r="A137" s="2" t="str">
        <f>IFERROR(__xludf.DUMMYFUNCTION("""COMPUTED_VALUE"""),"PR005")</f>
        <v>PR005</v>
      </c>
      <c r="B137" s="2" t="str">
        <f>IFERROR(__xludf.DUMMYFUNCTION("""COMPUTED_VALUE"""),"VD047")</f>
        <v>VD047</v>
      </c>
      <c r="C137" s="2">
        <f>IFERROR(__xludf.DUMMYFUNCTION("""COMPUTED_VALUE"""),15.0)</f>
        <v>15</v>
      </c>
      <c r="D137" s="6">
        <f>IFERROR(__xludf.DUMMYFUNCTION("""COMPUTED_VALUE"""),4561.25)</f>
        <v>4561.25</v>
      </c>
      <c r="E137" s="6">
        <f>IFERROR(__xludf.DUMMYFUNCTION("GOOGLEFINANCE(""Currency:BRLMXN"")*D137"),15494.56625)</f>
        <v>15494.56625</v>
      </c>
      <c r="F137" s="6">
        <f>IFERROR(__xludf.DUMMYFUNCTION("GOOGLEFINANCE(""Currency:BRLPEN"")*D137"),2990.3554999999997)</f>
        <v>2990.3555</v>
      </c>
      <c r="G137" s="2" t="str">
        <f t="array" ref="G137">_xlfn.XLOOKUP(B137,Vendedores!$A$2:$A$41,Vendedores!$B$2:$B$41,"No hay datos")</f>
        <v>No hay datos</v>
      </c>
      <c r="H137" s="2" t="str">
        <f t="array" ref="H137">_xlfn.XLOOKUP(B137,Vendedores!$A$2:$A$41,Vendedores!$C$2:$C$41,"No hay datos")</f>
        <v>No hay datos</v>
      </c>
      <c r="I137" s="2" t="str">
        <f t="array" ref="I137">_xlfn.XLOOKUP(B137,Vendedores!$A$2:$A$41,Vendedores!$D$2:$D$41,"No hay datos")</f>
        <v>No hay datos</v>
      </c>
      <c r="J137" s="2" t="str">
        <f t="array" ref="J137">_xlfn.XLOOKUP(A137,Productos!$A$2:$A$61,Productos!$B$2:$F$61)</f>
        <v>#N/A</v>
      </c>
    </row>
    <row r="138">
      <c r="A138" s="2" t="str">
        <f>IFERROR(__xludf.DUMMYFUNCTION("""COMPUTED_VALUE"""),"PR015")</f>
        <v>PR015</v>
      </c>
      <c r="B138" s="2" t="str">
        <f>IFERROR(__xludf.DUMMYFUNCTION("""COMPUTED_VALUE"""),"VD022")</f>
        <v>VD022</v>
      </c>
      <c r="C138" s="2">
        <f>IFERROR(__xludf.DUMMYFUNCTION("""COMPUTED_VALUE"""),6.0)</f>
        <v>6</v>
      </c>
      <c r="D138" s="6">
        <f>IFERROR(__xludf.DUMMYFUNCTION("""COMPUTED_VALUE"""),306.0)</f>
        <v>306</v>
      </c>
      <c r="E138" s="6">
        <f>IFERROR(__xludf.DUMMYFUNCTION("GOOGLEFINANCE(""Currency:BRLMXN"")*D138"),1039.482)</f>
        <v>1039.482</v>
      </c>
      <c r="F138" s="6">
        <f>IFERROR(__xludf.DUMMYFUNCTION("GOOGLEFINANCE(""Currency:BRLPEN"")*D138"),200.6136)</f>
        <v>200.6136</v>
      </c>
      <c r="G138" s="2" t="str">
        <f t="array" ref="G138">_xlfn.XLOOKUP(B138,Vendedores!$A$2:$A$41,Vendedores!$B$2:$B$41,"No hay datos")</f>
        <v>No hay datos</v>
      </c>
      <c r="H138" s="2" t="str">
        <f t="array" ref="H138">_xlfn.XLOOKUP(B138,Vendedores!$A$2:$A$41,Vendedores!$C$2:$C$41,"No hay datos")</f>
        <v>No hay datos</v>
      </c>
      <c r="I138" s="2" t="str">
        <f t="array" ref="I138">_xlfn.XLOOKUP(B138,Vendedores!$A$2:$A$41,Vendedores!$D$2:$D$41,"No hay datos")</f>
        <v>No hay datos</v>
      </c>
      <c r="J138" s="2" t="str">
        <f t="array" ref="J138">_xlfn.XLOOKUP(A138,Productos!$A$2:$A$61,Productos!$B$2:$F$61)</f>
        <v>#N/A</v>
      </c>
    </row>
    <row r="139">
      <c r="A139" s="2" t="str">
        <f>IFERROR(__xludf.DUMMYFUNCTION("""COMPUTED_VALUE"""),"PR010")</f>
        <v>PR010</v>
      </c>
      <c r="B139" s="2" t="str">
        <f>IFERROR(__xludf.DUMMYFUNCTION("""COMPUTED_VALUE"""),"VD013")</f>
        <v>VD013</v>
      </c>
      <c r="C139" s="2">
        <f>IFERROR(__xludf.DUMMYFUNCTION("""COMPUTED_VALUE"""),8.0)</f>
        <v>8</v>
      </c>
      <c r="D139" s="6">
        <f>IFERROR(__xludf.DUMMYFUNCTION("""COMPUTED_VALUE"""),423.86)</f>
        <v>423.86</v>
      </c>
      <c r="E139" s="6">
        <f>IFERROR(__xludf.DUMMYFUNCTION("GOOGLEFINANCE(""Currency:BRLMXN"")*D139"),1439.85242)</f>
        <v>1439.85242</v>
      </c>
      <c r="F139" s="6">
        <f>IFERROR(__xludf.DUMMYFUNCTION("GOOGLEFINANCE(""Currency:BRLPEN"")*D139"),277.882616)</f>
        <v>277.882616</v>
      </c>
      <c r="G139" s="2" t="str">
        <f t="array" ref="G139">_xlfn.XLOOKUP(B139,Vendedores!$A$2:$A$41,Vendedores!$B$2:$B$41,"No hay datos")</f>
        <v>No hay datos</v>
      </c>
      <c r="H139" s="2" t="str">
        <f t="array" ref="H139">_xlfn.XLOOKUP(B139,Vendedores!$A$2:$A$41,Vendedores!$C$2:$C$41,"No hay datos")</f>
        <v>No hay datos</v>
      </c>
      <c r="I139" s="2" t="str">
        <f t="array" ref="I139">_xlfn.XLOOKUP(B139,Vendedores!$A$2:$A$41,Vendedores!$D$2:$D$41,"No hay datos")</f>
        <v>No hay datos</v>
      </c>
      <c r="J139" s="2" t="str">
        <f t="array" ref="J139">_xlfn.XLOOKUP(A139,Productos!$A$2:$A$61,Productos!$B$2:$F$61)</f>
        <v>#N/A</v>
      </c>
    </row>
    <row r="140">
      <c r="A140" s="2" t="str">
        <f>IFERROR(__xludf.DUMMYFUNCTION("""COMPUTED_VALUE"""),"PR057")</f>
        <v>PR057</v>
      </c>
      <c r="B140" s="2" t="str">
        <f>IFERROR(__xludf.DUMMYFUNCTION("""COMPUTED_VALUE"""),"VD023")</f>
        <v>VD023</v>
      </c>
      <c r="C140" s="2">
        <f>IFERROR(__xludf.DUMMYFUNCTION("""COMPUTED_VALUE"""),27.0)</f>
        <v>27</v>
      </c>
      <c r="D140" s="6">
        <f>IFERROR(__xludf.DUMMYFUNCTION("""COMPUTED_VALUE"""),2670.03)</f>
        <v>2670.03</v>
      </c>
      <c r="E140" s="6">
        <f>IFERROR(__xludf.DUMMYFUNCTION("GOOGLEFINANCE(""Currency:BRLMXN"")*D140"),9070.091910000001)</f>
        <v>9070.09191</v>
      </c>
      <c r="F140" s="6">
        <f>IFERROR(__xludf.DUMMYFUNCTION("GOOGLEFINANCE(""Currency:BRLPEN"")*D140"),1750.4716680000001)</f>
        <v>1750.471668</v>
      </c>
      <c r="G140" s="2" t="str">
        <f t="array" ref="G140">_xlfn.XLOOKUP(B140,Vendedores!$A$2:$A$41,Vendedores!$B$2:$B$41,"No hay datos")</f>
        <v>No hay datos</v>
      </c>
      <c r="H140" s="2" t="str">
        <f t="array" ref="H140">_xlfn.XLOOKUP(B140,Vendedores!$A$2:$A$41,Vendedores!$C$2:$C$41,"No hay datos")</f>
        <v>No hay datos</v>
      </c>
      <c r="I140" s="2" t="str">
        <f t="array" ref="I140">_xlfn.XLOOKUP(B140,Vendedores!$A$2:$A$41,Vendedores!$D$2:$D$41,"No hay datos")</f>
        <v>No hay datos</v>
      </c>
      <c r="J140" s="2" t="str">
        <f t="array" ref="J140">_xlfn.XLOOKUP(A140,Productos!$A$2:$A$61,Productos!$B$2:$F$61)</f>
        <v>#N/A</v>
      </c>
    </row>
    <row r="141">
      <c r="A141" s="2" t="str">
        <f>IFERROR(__xludf.DUMMYFUNCTION("""COMPUTED_VALUE"""),"PR024")</f>
        <v>PR024</v>
      </c>
      <c r="B141" s="2" t="str">
        <f>IFERROR(__xludf.DUMMYFUNCTION("""COMPUTED_VALUE"""),"VD048")</f>
        <v>VD048</v>
      </c>
      <c r="C141" s="2">
        <f>IFERROR(__xludf.DUMMYFUNCTION("""COMPUTED_VALUE"""),16.0)</f>
        <v>16</v>
      </c>
      <c r="D141" s="6">
        <f>IFERROR(__xludf.DUMMYFUNCTION("""COMPUTED_VALUE"""),4823.74)</f>
        <v>4823.74</v>
      </c>
      <c r="E141" s="6">
        <f>IFERROR(__xludf.DUMMYFUNCTION("GOOGLEFINANCE(""Currency:BRLMXN"")*D141"),16386.244779999997)</f>
        <v>16386.24478</v>
      </c>
      <c r="F141" s="6">
        <f>IFERROR(__xludf.DUMMYFUNCTION("GOOGLEFINANCE(""Currency:BRLPEN"")*D141"),3162.4439439999996)</f>
        <v>3162.443944</v>
      </c>
      <c r="G141" s="2" t="str">
        <f t="array" ref="G141">_xlfn.XLOOKUP(B141,Vendedores!$A$2:$A$41,Vendedores!$B$2:$B$41,"No hay datos")</f>
        <v>No hay datos</v>
      </c>
      <c r="H141" s="2" t="str">
        <f t="array" ref="H141">_xlfn.XLOOKUP(B141,Vendedores!$A$2:$A$41,Vendedores!$C$2:$C$41,"No hay datos")</f>
        <v>No hay datos</v>
      </c>
      <c r="I141" s="2" t="str">
        <f t="array" ref="I141">_xlfn.XLOOKUP(B141,Vendedores!$A$2:$A$41,Vendedores!$D$2:$D$41,"No hay datos")</f>
        <v>No hay datos</v>
      </c>
      <c r="J141" s="2" t="str">
        <f t="array" ref="J141">_xlfn.XLOOKUP(A141,Productos!$A$2:$A$61,Productos!$B$2:$F$61)</f>
        <v>#N/A</v>
      </c>
    </row>
    <row r="142">
      <c r="A142" s="2" t="str">
        <f>IFERROR(__xludf.DUMMYFUNCTION("""COMPUTED_VALUE"""),"PR050")</f>
        <v>PR050</v>
      </c>
      <c r="B142" s="2" t="str">
        <f>IFERROR(__xludf.DUMMYFUNCTION("""COMPUTED_VALUE"""),"VD019")</f>
        <v>VD019</v>
      </c>
      <c r="C142" s="2">
        <f>IFERROR(__xludf.DUMMYFUNCTION("""COMPUTED_VALUE"""),18.0)</f>
        <v>18</v>
      </c>
      <c r="D142" s="6">
        <f>IFERROR(__xludf.DUMMYFUNCTION("""COMPUTED_VALUE"""),681.03)</f>
        <v>681.03</v>
      </c>
      <c r="E142" s="6">
        <f>IFERROR(__xludf.DUMMYFUNCTION("GOOGLEFINANCE(""Currency:BRLMXN"")*D142"),2313.45891)</f>
        <v>2313.45891</v>
      </c>
      <c r="F142" s="6">
        <f>IFERROR(__xludf.DUMMYFUNCTION("GOOGLEFINANCE(""Currency:BRLPEN"")*D142"),446.48326799999995)</f>
        <v>446.483268</v>
      </c>
      <c r="G142" s="2" t="str">
        <f t="array" ref="G142">_xlfn.XLOOKUP(B142,Vendedores!$A$2:$A$41,Vendedores!$B$2:$B$41,"No hay datos")</f>
        <v>No hay datos</v>
      </c>
      <c r="H142" s="2" t="str">
        <f t="array" ref="H142">_xlfn.XLOOKUP(B142,Vendedores!$A$2:$A$41,Vendedores!$C$2:$C$41,"No hay datos")</f>
        <v>No hay datos</v>
      </c>
      <c r="I142" s="2" t="str">
        <f t="array" ref="I142">_xlfn.XLOOKUP(B142,Vendedores!$A$2:$A$41,Vendedores!$D$2:$D$41,"No hay datos")</f>
        <v>No hay datos</v>
      </c>
      <c r="J142" s="2" t="str">
        <f t="array" ref="J142">_xlfn.XLOOKUP(A142,Productos!$A$2:$A$61,Productos!$B$2:$F$61)</f>
        <v>#N/A</v>
      </c>
    </row>
    <row r="143">
      <c r="A143" s="2" t="str">
        <f>IFERROR(__xludf.DUMMYFUNCTION("""COMPUTED_VALUE"""),"PR012")</f>
        <v>PR012</v>
      </c>
      <c r="B143" s="2" t="str">
        <f>IFERROR(__xludf.DUMMYFUNCTION("""COMPUTED_VALUE"""),"VD028")</f>
        <v>VD028</v>
      </c>
      <c r="C143" s="2">
        <f>IFERROR(__xludf.DUMMYFUNCTION("""COMPUTED_VALUE"""),12.0)</f>
        <v>12</v>
      </c>
      <c r="D143" s="6">
        <f>IFERROR(__xludf.DUMMYFUNCTION("""COMPUTED_VALUE"""),692.42)</f>
        <v>692.42</v>
      </c>
      <c r="E143" s="6">
        <f>IFERROR(__xludf.DUMMYFUNCTION("GOOGLEFINANCE(""Currency:BRLMXN"")*D143"),2352.1507399999996)</f>
        <v>2352.15074</v>
      </c>
      <c r="F143" s="6">
        <f>IFERROR(__xludf.DUMMYFUNCTION("GOOGLEFINANCE(""Currency:BRLPEN"")*D143"),453.95055199999996)</f>
        <v>453.950552</v>
      </c>
      <c r="G143" s="2" t="str">
        <f t="array" ref="G143">_xlfn.XLOOKUP(B143,Vendedores!$A$2:$A$41,Vendedores!$B$2:$B$41,"No hay datos")</f>
        <v>No hay datos</v>
      </c>
      <c r="H143" s="2" t="str">
        <f t="array" ref="H143">_xlfn.XLOOKUP(B143,Vendedores!$A$2:$A$41,Vendedores!$C$2:$C$41,"No hay datos")</f>
        <v>No hay datos</v>
      </c>
      <c r="I143" s="2" t="str">
        <f t="array" ref="I143">_xlfn.XLOOKUP(B143,Vendedores!$A$2:$A$41,Vendedores!$D$2:$D$41,"No hay datos")</f>
        <v>No hay datos</v>
      </c>
      <c r="J143" s="2" t="str">
        <f t="array" ref="J143">_xlfn.XLOOKUP(A143,Productos!$A$2:$A$61,Productos!$B$2:$F$61)</f>
        <v>#N/A</v>
      </c>
    </row>
    <row r="144">
      <c r="A144" s="2" t="str">
        <f>IFERROR(__xludf.DUMMYFUNCTION("""COMPUTED_VALUE"""),"PR010")</f>
        <v>PR010</v>
      </c>
      <c r="B144" s="2" t="str">
        <f>IFERROR(__xludf.DUMMYFUNCTION("""COMPUTED_VALUE"""),"VD011")</f>
        <v>VD011</v>
      </c>
      <c r="C144" s="2">
        <f>IFERROR(__xludf.DUMMYFUNCTION("""COMPUTED_VALUE"""),12.0)</f>
        <v>12</v>
      </c>
      <c r="D144" s="6">
        <f>IFERROR(__xludf.DUMMYFUNCTION("""COMPUTED_VALUE"""),646.56)</f>
        <v>646.56</v>
      </c>
      <c r="E144" s="6">
        <f>IFERROR(__xludf.DUMMYFUNCTION("GOOGLEFINANCE(""Currency:BRLMXN"")*D144"),2196.3643199999997)</f>
        <v>2196.36432</v>
      </c>
      <c r="F144" s="6">
        <f>IFERROR(__xludf.DUMMYFUNCTION("GOOGLEFINANCE(""Currency:BRLPEN"")*D144"),423.8847359999999)</f>
        <v>423.884736</v>
      </c>
      <c r="G144" s="2" t="str">
        <f t="array" ref="G144">_xlfn.XLOOKUP(B144,Vendedores!$A$2:$A$41,Vendedores!$B$2:$B$41,"No hay datos")</f>
        <v>No hay datos</v>
      </c>
      <c r="H144" s="2" t="str">
        <f t="array" ref="H144">_xlfn.XLOOKUP(B144,Vendedores!$A$2:$A$41,Vendedores!$C$2:$C$41,"No hay datos")</f>
        <v>No hay datos</v>
      </c>
      <c r="I144" s="2" t="str">
        <f t="array" ref="I144">_xlfn.XLOOKUP(B144,Vendedores!$A$2:$A$41,Vendedores!$D$2:$D$41,"No hay datos")</f>
        <v>No hay datos</v>
      </c>
      <c r="J144" s="2" t="str">
        <f t="array" ref="J144">_xlfn.XLOOKUP(A144,Productos!$A$2:$A$61,Productos!$B$2:$F$61)</f>
        <v>#N/A</v>
      </c>
    </row>
    <row r="145">
      <c r="A145" s="2" t="str">
        <f>IFERROR(__xludf.DUMMYFUNCTION("""COMPUTED_VALUE"""),"PR054")</f>
        <v>PR054</v>
      </c>
      <c r="B145" s="2" t="str">
        <f>IFERROR(__xludf.DUMMYFUNCTION("""COMPUTED_VALUE"""),"VD033")</f>
        <v>VD033</v>
      </c>
      <c r="C145" s="2">
        <f>IFERROR(__xludf.DUMMYFUNCTION("""COMPUTED_VALUE"""),20.0)</f>
        <v>20</v>
      </c>
      <c r="D145" s="6">
        <f>IFERROR(__xludf.DUMMYFUNCTION("""COMPUTED_VALUE"""),1147.7)</f>
        <v>1147.7</v>
      </c>
      <c r="E145" s="6">
        <f>IFERROR(__xludf.DUMMYFUNCTION("GOOGLEFINANCE(""Currency:BRLMXN"")*D145"),3898.7369)</f>
        <v>3898.7369</v>
      </c>
      <c r="F145" s="6">
        <f>IFERROR(__xludf.DUMMYFUNCTION("GOOGLEFINANCE(""Currency:BRLPEN"")*D145"),752.4321199999999)</f>
        <v>752.43212</v>
      </c>
      <c r="G145" s="2" t="str">
        <f t="array" ref="G145">_xlfn.XLOOKUP(B145,Vendedores!$A$2:$A$41,Vendedores!$B$2:$B$41,"No hay datos")</f>
        <v>No hay datos</v>
      </c>
      <c r="H145" s="2" t="str">
        <f t="array" ref="H145">_xlfn.XLOOKUP(B145,Vendedores!$A$2:$A$41,Vendedores!$C$2:$C$41,"No hay datos")</f>
        <v>No hay datos</v>
      </c>
      <c r="I145" s="2" t="str">
        <f t="array" ref="I145">_xlfn.XLOOKUP(B145,Vendedores!$A$2:$A$41,Vendedores!$D$2:$D$41,"No hay datos")</f>
        <v>No hay datos</v>
      </c>
      <c r="J145" s="2" t="str">
        <f t="array" ref="J145">_xlfn.XLOOKUP(A145,Productos!$A$2:$A$61,Productos!$B$2:$F$61)</f>
        <v>#N/A</v>
      </c>
    </row>
    <row r="146">
      <c r="A146" s="2" t="str">
        <f>IFERROR(__xludf.DUMMYFUNCTION("""COMPUTED_VALUE"""),"PR007")</f>
        <v>PR007</v>
      </c>
      <c r="B146" s="2" t="str">
        <f>IFERROR(__xludf.DUMMYFUNCTION("""COMPUTED_VALUE"""),"VD031")</f>
        <v>VD031</v>
      </c>
      <c r="C146" s="2">
        <f>IFERROR(__xludf.DUMMYFUNCTION("""COMPUTED_VALUE"""),20.0)</f>
        <v>20</v>
      </c>
      <c r="D146" s="6">
        <f>IFERROR(__xludf.DUMMYFUNCTION("""COMPUTED_VALUE"""),1924.16)</f>
        <v>1924.16</v>
      </c>
      <c r="E146" s="6">
        <f>IFERROR(__xludf.DUMMYFUNCTION("GOOGLEFINANCE(""Currency:BRLMXN"")*D146"),6536.37152)</f>
        <v>6536.37152</v>
      </c>
      <c r="F146" s="6">
        <f>IFERROR(__xludf.DUMMYFUNCTION("GOOGLEFINANCE(""Currency:BRLPEN"")*D146"),1261.479296)</f>
        <v>1261.479296</v>
      </c>
      <c r="G146" s="2" t="str">
        <f t="array" ref="G146">_xlfn.XLOOKUP(B146,Vendedores!$A$2:$A$41,Vendedores!$B$2:$B$41,"No hay datos")</f>
        <v>No hay datos</v>
      </c>
      <c r="H146" s="2" t="str">
        <f t="array" ref="H146">_xlfn.XLOOKUP(B146,Vendedores!$A$2:$A$41,Vendedores!$C$2:$C$41,"No hay datos")</f>
        <v>No hay datos</v>
      </c>
      <c r="I146" s="2" t="str">
        <f t="array" ref="I146">_xlfn.XLOOKUP(B146,Vendedores!$A$2:$A$41,Vendedores!$D$2:$D$41,"No hay datos")</f>
        <v>No hay datos</v>
      </c>
      <c r="J146" s="2" t="str">
        <f t="array" ref="J146">_xlfn.XLOOKUP(A146,Productos!$A$2:$A$61,Productos!$B$2:$F$61)</f>
        <v>#N/A</v>
      </c>
    </row>
    <row r="147">
      <c r="A147" s="2" t="str">
        <f>IFERROR(__xludf.DUMMYFUNCTION("""COMPUTED_VALUE"""),"PR057")</f>
        <v>PR057</v>
      </c>
      <c r="B147" s="2" t="str">
        <f>IFERROR(__xludf.DUMMYFUNCTION("""COMPUTED_VALUE"""),"VD031")</f>
        <v>VD031</v>
      </c>
      <c r="C147" s="2">
        <f>IFERROR(__xludf.DUMMYFUNCTION("""COMPUTED_VALUE"""),30.0)</f>
        <v>30</v>
      </c>
      <c r="D147" s="6">
        <f>IFERROR(__xludf.DUMMYFUNCTION("""COMPUTED_VALUE"""),3020.64)</f>
        <v>3020.64</v>
      </c>
      <c r="E147" s="6">
        <f>IFERROR(__xludf.DUMMYFUNCTION("GOOGLEFINANCE(""Currency:BRLMXN"")*D147"),10261.11408)</f>
        <v>10261.11408</v>
      </c>
      <c r="F147" s="6">
        <f>IFERROR(__xludf.DUMMYFUNCTION("GOOGLEFINANCE(""Currency:BRLPEN"")*D147"),1980.3315839999998)</f>
        <v>1980.331584</v>
      </c>
      <c r="G147" s="2" t="str">
        <f t="array" ref="G147">_xlfn.XLOOKUP(B147,Vendedores!$A$2:$A$41,Vendedores!$B$2:$B$41,"No hay datos")</f>
        <v>No hay datos</v>
      </c>
      <c r="H147" s="2" t="str">
        <f t="array" ref="H147">_xlfn.XLOOKUP(B147,Vendedores!$A$2:$A$41,Vendedores!$C$2:$C$41,"No hay datos")</f>
        <v>No hay datos</v>
      </c>
      <c r="I147" s="2" t="str">
        <f t="array" ref="I147">_xlfn.XLOOKUP(B147,Vendedores!$A$2:$A$41,Vendedores!$D$2:$D$41,"No hay datos")</f>
        <v>No hay datos</v>
      </c>
      <c r="J147" s="2" t="str">
        <f t="array" ref="J147">_xlfn.XLOOKUP(A147,Productos!$A$2:$A$61,Productos!$B$2:$F$61)</f>
        <v>#N/A</v>
      </c>
    </row>
    <row r="148">
      <c r="A148" s="2" t="str">
        <f>IFERROR(__xludf.DUMMYFUNCTION("""COMPUTED_VALUE"""),"PR020")</f>
        <v>PR020</v>
      </c>
      <c r="B148" s="2" t="str">
        <f>IFERROR(__xludf.DUMMYFUNCTION("""COMPUTED_VALUE"""),"VD040")</f>
        <v>VD040</v>
      </c>
      <c r="C148" s="2">
        <f>IFERROR(__xludf.DUMMYFUNCTION("""COMPUTED_VALUE"""),18.0)</f>
        <v>18</v>
      </c>
      <c r="D148" s="6">
        <f>IFERROR(__xludf.DUMMYFUNCTION("""COMPUTED_VALUE"""),5938.02)</f>
        <v>5938.02</v>
      </c>
      <c r="E148" s="6">
        <f>IFERROR(__xludf.DUMMYFUNCTION("GOOGLEFINANCE(""Currency:BRLMXN"")*D148"),20171.45394)</f>
        <v>20171.45394</v>
      </c>
      <c r="F148" s="6">
        <f>IFERROR(__xludf.DUMMYFUNCTION("GOOGLEFINANCE(""Currency:BRLPEN"")*D148"),3892.965912)</f>
        <v>3892.965912</v>
      </c>
      <c r="G148" s="2" t="str">
        <f t="array" ref="G148">_xlfn.XLOOKUP(B148,Vendedores!$A$2:$A$41,Vendedores!$B$2:$B$41,"No hay datos")</f>
        <v>No hay datos</v>
      </c>
      <c r="H148" s="2" t="str">
        <f t="array" ref="H148">_xlfn.XLOOKUP(B148,Vendedores!$A$2:$A$41,Vendedores!$C$2:$C$41,"No hay datos")</f>
        <v>No hay datos</v>
      </c>
      <c r="I148" s="2" t="str">
        <f t="array" ref="I148">_xlfn.XLOOKUP(B148,Vendedores!$A$2:$A$41,Vendedores!$D$2:$D$41,"No hay datos")</f>
        <v>No hay datos</v>
      </c>
      <c r="J148" s="2" t="str">
        <f t="array" ref="J148">_xlfn.XLOOKUP(A148,Productos!$A$2:$A$61,Productos!$B$2:$F$61)</f>
        <v>#N/A</v>
      </c>
    </row>
    <row r="149">
      <c r="A149" s="2" t="str">
        <f>IFERROR(__xludf.DUMMYFUNCTION("""COMPUTED_VALUE"""),"PR053")</f>
        <v>PR053</v>
      </c>
      <c r="B149" s="2" t="str">
        <f>IFERROR(__xludf.DUMMYFUNCTION("""COMPUTED_VALUE"""),"VD019")</f>
        <v>VD019</v>
      </c>
      <c r="C149" s="2">
        <f>IFERROR(__xludf.DUMMYFUNCTION("""COMPUTED_VALUE"""),12.0)</f>
        <v>12</v>
      </c>
      <c r="D149" s="6">
        <f>IFERROR(__xludf.DUMMYFUNCTION("""COMPUTED_VALUE"""),670.66)</f>
        <v>670.66</v>
      </c>
      <c r="E149" s="6">
        <f>IFERROR(__xludf.DUMMYFUNCTION("GOOGLEFINANCE(""Currency:BRLMXN"")*D149"),2278.23202)</f>
        <v>2278.23202</v>
      </c>
      <c r="F149" s="6">
        <f>IFERROR(__xludf.DUMMYFUNCTION("GOOGLEFINANCE(""Currency:BRLPEN"")*D149"),439.684696)</f>
        <v>439.684696</v>
      </c>
      <c r="G149" s="2" t="str">
        <f t="array" ref="G149">_xlfn.XLOOKUP(B149,Vendedores!$A$2:$A$41,Vendedores!$B$2:$B$41,"No hay datos")</f>
        <v>No hay datos</v>
      </c>
      <c r="H149" s="2" t="str">
        <f t="array" ref="H149">_xlfn.XLOOKUP(B149,Vendedores!$A$2:$A$41,Vendedores!$C$2:$C$41,"No hay datos")</f>
        <v>No hay datos</v>
      </c>
      <c r="I149" s="2" t="str">
        <f t="array" ref="I149">_xlfn.XLOOKUP(B149,Vendedores!$A$2:$A$41,Vendedores!$D$2:$D$41,"No hay datos")</f>
        <v>No hay datos</v>
      </c>
      <c r="J149" s="2" t="str">
        <f t="array" ref="J149">_xlfn.XLOOKUP(A149,Productos!$A$2:$A$61,Productos!$B$2:$F$61)</f>
        <v>#N/A</v>
      </c>
    </row>
    <row r="150">
      <c r="A150" s="2" t="str">
        <f>IFERROR(__xludf.DUMMYFUNCTION("""COMPUTED_VALUE"""),"PR049")</f>
        <v>PR049</v>
      </c>
      <c r="B150" s="2" t="str">
        <f>IFERROR(__xludf.DUMMYFUNCTION("""COMPUTED_VALUE"""),"VD016")</f>
        <v>VD016</v>
      </c>
      <c r="C150" s="2">
        <f>IFERROR(__xludf.DUMMYFUNCTION("""COMPUTED_VALUE"""),21.0)</f>
        <v>21</v>
      </c>
      <c r="D150" s="6">
        <f>IFERROR(__xludf.DUMMYFUNCTION("""COMPUTED_VALUE"""),766.9)</f>
        <v>766.9</v>
      </c>
      <c r="E150" s="6">
        <f>IFERROR(__xludf.DUMMYFUNCTION("GOOGLEFINANCE(""Currency:BRLMXN"")*D150"),2605.1593)</f>
        <v>2605.1593</v>
      </c>
      <c r="F150" s="6">
        <f>IFERROR(__xludf.DUMMYFUNCTION("GOOGLEFINANCE(""Currency:BRLPEN"")*D150"),502.77964)</f>
        <v>502.77964</v>
      </c>
      <c r="G150" s="2" t="str">
        <f t="array" ref="G150">_xlfn.XLOOKUP(B150,Vendedores!$A$2:$A$41,Vendedores!$B$2:$B$41,"No hay datos")</f>
        <v>No hay datos</v>
      </c>
      <c r="H150" s="2" t="str">
        <f t="array" ref="H150">_xlfn.XLOOKUP(B150,Vendedores!$A$2:$A$41,Vendedores!$C$2:$C$41,"No hay datos")</f>
        <v>No hay datos</v>
      </c>
      <c r="I150" s="2" t="str">
        <f t="array" ref="I150">_xlfn.XLOOKUP(B150,Vendedores!$A$2:$A$41,Vendedores!$D$2:$D$41,"No hay datos")</f>
        <v>No hay datos</v>
      </c>
      <c r="J150" s="2" t="str">
        <f t="array" ref="J150">_xlfn.XLOOKUP(A150,Productos!$A$2:$A$61,Productos!$B$2:$F$61)</f>
        <v>#N/A</v>
      </c>
    </row>
    <row r="151">
      <c r="A151" s="2" t="str">
        <f>IFERROR(__xludf.DUMMYFUNCTION("""COMPUTED_VALUE"""),"PR026")</f>
        <v>PR026</v>
      </c>
      <c r="B151" s="2" t="str">
        <f>IFERROR(__xludf.DUMMYFUNCTION("""COMPUTED_VALUE"""),"VD018")</f>
        <v>VD018</v>
      </c>
      <c r="C151" s="2">
        <f>IFERROR(__xludf.DUMMYFUNCTION("""COMPUTED_VALUE"""),9.0)</f>
        <v>9</v>
      </c>
      <c r="D151" s="6">
        <f>IFERROR(__xludf.DUMMYFUNCTION("""COMPUTED_VALUE"""),3589.97)</f>
        <v>3589.97</v>
      </c>
      <c r="E151" s="6">
        <f>IFERROR(__xludf.DUMMYFUNCTION("GOOGLEFINANCE(""Currency:BRLMXN"")*D151"),12195.128089999998)</f>
        <v>12195.12809</v>
      </c>
      <c r="F151" s="6">
        <f>IFERROR(__xludf.DUMMYFUNCTION("GOOGLEFINANCE(""Currency:BRLPEN"")*D151"),2353.584332)</f>
        <v>2353.584332</v>
      </c>
      <c r="G151" s="2" t="str">
        <f t="array" ref="G151">_xlfn.XLOOKUP(B151,Vendedores!$A$2:$A$41,Vendedores!$B$2:$B$41,"No hay datos")</f>
        <v>No hay datos</v>
      </c>
      <c r="H151" s="2" t="str">
        <f t="array" ref="H151">_xlfn.XLOOKUP(B151,Vendedores!$A$2:$A$41,Vendedores!$C$2:$C$41,"No hay datos")</f>
        <v>No hay datos</v>
      </c>
      <c r="I151" s="2" t="str">
        <f t="array" ref="I151">_xlfn.XLOOKUP(B151,Vendedores!$A$2:$A$41,Vendedores!$D$2:$D$41,"No hay datos")</f>
        <v>No hay datos</v>
      </c>
      <c r="J151" s="2" t="str">
        <f t="array" ref="J151">_xlfn.XLOOKUP(A151,Productos!$A$2:$A$61,Productos!$B$2:$F$61)</f>
        <v>#N/A</v>
      </c>
    </row>
    <row r="152">
      <c r="A152" s="2" t="str">
        <f>IFERROR(__xludf.DUMMYFUNCTION("""COMPUTED_VALUE"""),"PR055")</f>
        <v>PR055</v>
      </c>
      <c r="B152" s="2" t="str">
        <f>IFERROR(__xludf.DUMMYFUNCTION("""COMPUTED_VALUE"""),"VD045")</f>
        <v>VD045</v>
      </c>
      <c r="C152" s="2">
        <f>IFERROR(__xludf.DUMMYFUNCTION("""COMPUTED_VALUE"""),27.0)</f>
        <v>27</v>
      </c>
      <c r="D152" s="6">
        <f>IFERROR(__xludf.DUMMYFUNCTION("""COMPUTED_VALUE"""),2815.67)</f>
        <v>2815.67</v>
      </c>
      <c r="E152" s="6">
        <f>IFERROR(__xludf.DUMMYFUNCTION("GOOGLEFINANCE(""Currency:BRLMXN"")*D152"),9564.83099)</f>
        <v>9564.83099</v>
      </c>
      <c r="F152" s="6">
        <f>IFERROR(__xludf.DUMMYFUNCTION("GOOGLEFINANCE(""Currency:BRLPEN"")*D152"),1845.953252)</f>
        <v>1845.953252</v>
      </c>
      <c r="G152" s="2" t="str">
        <f t="array" ref="G152">_xlfn.XLOOKUP(B152,Vendedores!$A$2:$A$41,Vendedores!$B$2:$B$41,"No hay datos")</f>
        <v>No hay datos</v>
      </c>
      <c r="H152" s="2" t="str">
        <f t="array" ref="H152">_xlfn.XLOOKUP(B152,Vendedores!$A$2:$A$41,Vendedores!$C$2:$C$41,"No hay datos")</f>
        <v>No hay datos</v>
      </c>
      <c r="I152" s="2" t="str">
        <f t="array" ref="I152">_xlfn.XLOOKUP(B152,Vendedores!$A$2:$A$41,Vendedores!$D$2:$D$41,"No hay datos")</f>
        <v>No hay datos</v>
      </c>
      <c r="J152" s="2" t="str">
        <f t="array" ref="J152">_xlfn.XLOOKUP(A152,Productos!$A$2:$A$61,Productos!$B$2:$F$61)</f>
        <v>#N/A</v>
      </c>
    </row>
    <row r="153">
      <c r="A153" s="2" t="str">
        <f>IFERROR(__xludf.DUMMYFUNCTION("""COMPUTED_VALUE"""),"PR016")</f>
        <v>PR016</v>
      </c>
      <c r="B153" s="2" t="str">
        <f>IFERROR(__xludf.DUMMYFUNCTION("""COMPUTED_VALUE"""),"VD041")</f>
        <v>VD041</v>
      </c>
      <c r="C153" s="2">
        <f>IFERROR(__xludf.DUMMYFUNCTION("""COMPUTED_VALUE"""),30.0)</f>
        <v>30</v>
      </c>
      <c r="D153" s="6">
        <f>IFERROR(__xludf.DUMMYFUNCTION("""COMPUTED_VALUE"""),901.32)</f>
        <v>901.32</v>
      </c>
      <c r="E153" s="6">
        <f>IFERROR(__xludf.DUMMYFUNCTION("GOOGLEFINANCE(""Currency:BRLMXN"")*D153"),3061.78404)</f>
        <v>3061.78404</v>
      </c>
      <c r="F153" s="6">
        <f>IFERROR(__xludf.DUMMYFUNCTION("GOOGLEFINANCE(""Currency:BRLPEN"")*D153"),590.905392)</f>
        <v>590.905392</v>
      </c>
      <c r="G153" s="2" t="str">
        <f t="array" ref="G153">_xlfn.XLOOKUP(B153,Vendedores!$A$2:$A$41,Vendedores!$B$2:$B$41,"No hay datos")</f>
        <v>No hay datos</v>
      </c>
      <c r="H153" s="2" t="str">
        <f t="array" ref="H153">_xlfn.XLOOKUP(B153,Vendedores!$A$2:$A$41,Vendedores!$C$2:$C$41,"No hay datos")</f>
        <v>No hay datos</v>
      </c>
      <c r="I153" s="2" t="str">
        <f t="array" ref="I153">_xlfn.XLOOKUP(B153,Vendedores!$A$2:$A$41,Vendedores!$D$2:$D$41,"No hay datos")</f>
        <v>No hay datos</v>
      </c>
      <c r="J153" s="2" t="str">
        <f t="array" ref="J153">_xlfn.XLOOKUP(A153,Productos!$A$2:$A$61,Productos!$B$2:$F$61)</f>
        <v>#N/A</v>
      </c>
    </row>
    <row r="154">
      <c r="A154" s="2" t="str">
        <f>IFERROR(__xludf.DUMMYFUNCTION("""COMPUTED_VALUE"""),"PR002")</f>
        <v>PR002</v>
      </c>
      <c r="B154" s="2" t="str">
        <f>IFERROR(__xludf.DUMMYFUNCTION("""COMPUTED_VALUE"""),"VD018")</f>
        <v>VD018</v>
      </c>
      <c r="C154" s="2">
        <f>IFERROR(__xludf.DUMMYFUNCTION("""COMPUTED_VALUE"""),18.0)</f>
        <v>18</v>
      </c>
      <c r="D154" s="6">
        <f>IFERROR(__xludf.DUMMYFUNCTION("""COMPUTED_VALUE"""),1421.77)</f>
        <v>1421.77</v>
      </c>
      <c r="E154" s="6">
        <f>IFERROR(__xludf.DUMMYFUNCTION("GOOGLEFINANCE(""Currency:BRLMXN"")*D154"),4829.752689999999)</f>
        <v>4829.75269</v>
      </c>
      <c r="F154" s="6">
        <f>IFERROR(__xludf.DUMMYFUNCTION("GOOGLEFINANCE(""Currency:BRLPEN"")*D154"),932.112412)</f>
        <v>932.112412</v>
      </c>
      <c r="G154" s="2" t="str">
        <f t="array" ref="G154">_xlfn.XLOOKUP(B154,Vendedores!$A$2:$A$41,Vendedores!$B$2:$B$41,"No hay datos")</f>
        <v>No hay datos</v>
      </c>
      <c r="H154" s="2" t="str">
        <f t="array" ref="H154">_xlfn.XLOOKUP(B154,Vendedores!$A$2:$A$41,Vendedores!$C$2:$C$41,"No hay datos")</f>
        <v>No hay datos</v>
      </c>
      <c r="I154" s="2" t="str">
        <f t="array" ref="I154">_xlfn.XLOOKUP(B154,Vendedores!$A$2:$A$41,Vendedores!$D$2:$D$41,"No hay datos")</f>
        <v>No hay datos</v>
      </c>
      <c r="J154" s="2" t="str">
        <f t="array" ref="J154">_xlfn.XLOOKUP(A154,Productos!$A$2:$A$61,Productos!$B$2:$F$61)</f>
        <v>#N/A</v>
      </c>
    </row>
    <row r="155">
      <c r="A155" s="2" t="str">
        <f>IFERROR(__xludf.DUMMYFUNCTION("""COMPUTED_VALUE"""),"PR021")</f>
        <v>PR021</v>
      </c>
      <c r="B155" s="2" t="str">
        <f>IFERROR(__xludf.DUMMYFUNCTION("""COMPUTED_VALUE"""),"VD013")</f>
        <v>VD013</v>
      </c>
      <c r="C155" s="2">
        <f>IFERROR(__xludf.DUMMYFUNCTION("""COMPUTED_VALUE"""),20.0)</f>
        <v>20</v>
      </c>
      <c r="D155" s="6">
        <f>IFERROR(__xludf.DUMMYFUNCTION("""COMPUTED_VALUE"""),7209.02)</f>
        <v>7209.02</v>
      </c>
      <c r="E155" s="6">
        <f>IFERROR(__xludf.DUMMYFUNCTION("GOOGLEFINANCE(""Currency:BRLMXN"")*D155"),24489.04094)</f>
        <v>24489.04094</v>
      </c>
      <c r="F155" s="6">
        <f>IFERROR(__xludf.DUMMYFUNCTION("GOOGLEFINANCE(""Currency:BRLPEN"")*D155"),4726.233512)</f>
        <v>4726.233512</v>
      </c>
      <c r="G155" s="2" t="str">
        <f t="array" ref="G155">_xlfn.XLOOKUP(B155,Vendedores!$A$2:$A$41,Vendedores!$B$2:$B$41,"No hay datos")</f>
        <v>No hay datos</v>
      </c>
      <c r="H155" s="2" t="str">
        <f t="array" ref="H155">_xlfn.XLOOKUP(B155,Vendedores!$A$2:$A$41,Vendedores!$C$2:$C$41,"No hay datos")</f>
        <v>No hay datos</v>
      </c>
      <c r="I155" s="2" t="str">
        <f t="array" ref="I155">_xlfn.XLOOKUP(B155,Vendedores!$A$2:$A$41,Vendedores!$D$2:$D$41,"No hay datos")</f>
        <v>No hay datos</v>
      </c>
      <c r="J155" s="2" t="str">
        <f t="array" ref="J155">_xlfn.XLOOKUP(A155,Productos!$A$2:$A$61,Productos!$B$2:$F$61)</f>
        <v>#N/A</v>
      </c>
    </row>
    <row r="156">
      <c r="A156" s="2" t="str">
        <f>IFERROR(__xludf.DUMMYFUNCTION("""COMPUTED_VALUE"""),"PR042")</f>
        <v>PR042</v>
      </c>
      <c r="B156" s="2" t="str">
        <f>IFERROR(__xludf.DUMMYFUNCTION("""COMPUTED_VALUE"""),"VD046")</f>
        <v>VD046</v>
      </c>
      <c r="C156" s="2">
        <f>IFERROR(__xludf.DUMMYFUNCTION("""COMPUTED_VALUE"""),30.0)</f>
        <v>30</v>
      </c>
      <c r="D156" s="6">
        <f>IFERROR(__xludf.DUMMYFUNCTION("""COMPUTED_VALUE"""),1811.7)</f>
        <v>1811.7</v>
      </c>
      <c r="E156" s="6">
        <f>IFERROR(__xludf.DUMMYFUNCTION("GOOGLEFINANCE(""Currency:BRLMXN"")*D156"),6154.3449)</f>
        <v>6154.3449</v>
      </c>
      <c r="F156" s="6">
        <f>IFERROR(__xludf.DUMMYFUNCTION("GOOGLEFINANCE(""Currency:BRLPEN"")*D156"),1187.75052)</f>
        <v>1187.75052</v>
      </c>
      <c r="G156" s="2" t="str">
        <f t="array" ref="G156">_xlfn.XLOOKUP(B156,Vendedores!$A$2:$A$41,Vendedores!$B$2:$B$41,"No hay datos")</f>
        <v>No hay datos</v>
      </c>
      <c r="H156" s="2" t="str">
        <f t="array" ref="H156">_xlfn.XLOOKUP(B156,Vendedores!$A$2:$A$41,Vendedores!$C$2:$C$41,"No hay datos")</f>
        <v>No hay datos</v>
      </c>
      <c r="I156" s="2" t="str">
        <f t="array" ref="I156">_xlfn.XLOOKUP(B156,Vendedores!$A$2:$A$41,Vendedores!$D$2:$D$41,"No hay datos")</f>
        <v>No hay datos</v>
      </c>
      <c r="J156" s="2" t="str">
        <f t="array" ref="J156">_xlfn.XLOOKUP(A156,Productos!$A$2:$A$61,Productos!$B$2:$F$61)</f>
        <v>#N/A</v>
      </c>
    </row>
    <row r="157">
      <c r="A157" s="2" t="str">
        <f>IFERROR(__xludf.DUMMYFUNCTION("""COMPUTED_VALUE"""),"PR015")</f>
        <v>PR015</v>
      </c>
      <c r="B157" s="2" t="str">
        <f>IFERROR(__xludf.DUMMYFUNCTION("""COMPUTED_VALUE"""),"VD026")</f>
        <v>VD026</v>
      </c>
      <c r="C157" s="2">
        <f>IFERROR(__xludf.DUMMYFUNCTION("""COMPUTED_VALUE"""),24.0)</f>
        <v>24</v>
      </c>
      <c r="D157" s="6">
        <f>IFERROR(__xludf.DUMMYFUNCTION("""COMPUTED_VALUE"""),1183.2)</f>
        <v>1183.2</v>
      </c>
      <c r="E157" s="6">
        <f>IFERROR(__xludf.DUMMYFUNCTION("GOOGLEFINANCE(""Currency:BRLMXN"")*D157"),4019.3304)</f>
        <v>4019.3304</v>
      </c>
      <c r="F157" s="6">
        <f>IFERROR(__xludf.DUMMYFUNCTION("GOOGLEFINANCE(""Currency:BRLPEN"")*D157"),775.70592)</f>
        <v>775.70592</v>
      </c>
      <c r="G157" s="2" t="str">
        <f t="array" ref="G157">_xlfn.XLOOKUP(B157,Vendedores!$A$2:$A$41,Vendedores!$B$2:$B$41,"No hay datos")</f>
        <v>No hay datos</v>
      </c>
      <c r="H157" s="2" t="str">
        <f t="array" ref="H157">_xlfn.XLOOKUP(B157,Vendedores!$A$2:$A$41,Vendedores!$C$2:$C$41,"No hay datos")</f>
        <v>No hay datos</v>
      </c>
      <c r="I157" s="2" t="str">
        <f t="array" ref="I157">_xlfn.XLOOKUP(B157,Vendedores!$A$2:$A$41,Vendedores!$D$2:$D$41,"No hay datos")</f>
        <v>No hay datos</v>
      </c>
      <c r="J157" s="2" t="str">
        <f t="array" ref="J157">_xlfn.XLOOKUP(A157,Productos!$A$2:$A$61,Productos!$B$2:$F$61)</f>
        <v>#N/A</v>
      </c>
    </row>
    <row r="158">
      <c r="A158" s="2" t="str">
        <f>IFERROR(__xludf.DUMMYFUNCTION("""COMPUTED_VALUE"""),"PR015")</f>
        <v>PR015</v>
      </c>
      <c r="B158" s="2" t="str">
        <f>IFERROR(__xludf.DUMMYFUNCTION("""COMPUTED_VALUE"""),"VD044")</f>
        <v>VD044</v>
      </c>
      <c r="C158" s="2">
        <f>IFERROR(__xludf.DUMMYFUNCTION("""COMPUTED_VALUE"""),18.0)</f>
        <v>18</v>
      </c>
      <c r="D158" s="6">
        <f>IFERROR(__xludf.DUMMYFUNCTION("""COMPUTED_VALUE"""),918.0)</f>
        <v>918</v>
      </c>
      <c r="E158" s="6">
        <f>IFERROR(__xludf.DUMMYFUNCTION("GOOGLEFINANCE(""Currency:BRLMXN"")*D158"),3118.446)</f>
        <v>3118.446</v>
      </c>
      <c r="F158" s="6">
        <f>IFERROR(__xludf.DUMMYFUNCTION("GOOGLEFINANCE(""Currency:BRLPEN"")*D158"),601.8408)</f>
        <v>601.8408</v>
      </c>
      <c r="G158" s="2" t="str">
        <f t="array" ref="G158">_xlfn.XLOOKUP(B158,Vendedores!$A$2:$A$41,Vendedores!$B$2:$B$41,"No hay datos")</f>
        <v>No hay datos</v>
      </c>
      <c r="H158" s="2" t="str">
        <f t="array" ref="H158">_xlfn.XLOOKUP(B158,Vendedores!$A$2:$A$41,Vendedores!$C$2:$C$41,"No hay datos")</f>
        <v>No hay datos</v>
      </c>
      <c r="I158" s="2" t="str">
        <f t="array" ref="I158">_xlfn.XLOOKUP(B158,Vendedores!$A$2:$A$41,Vendedores!$D$2:$D$41,"No hay datos")</f>
        <v>No hay datos</v>
      </c>
      <c r="J158" s="2" t="str">
        <f t="array" ref="J158">_xlfn.XLOOKUP(A158,Productos!$A$2:$A$61,Productos!$B$2:$F$61)</f>
        <v>#N/A</v>
      </c>
    </row>
    <row r="159">
      <c r="A159" s="2" t="str">
        <f>IFERROR(__xludf.DUMMYFUNCTION("""COMPUTED_VALUE"""),"PR036")</f>
        <v>PR036</v>
      </c>
      <c r="B159" s="2" t="str">
        <f>IFERROR(__xludf.DUMMYFUNCTION("""COMPUTED_VALUE"""),"VD035")</f>
        <v>VD035</v>
      </c>
      <c r="C159" s="2">
        <f>IFERROR(__xludf.DUMMYFUNCTION("""COMPUTED_VALUE"""),20.0)</f>
        <v>20</v>
      </c>
      <c r="D159" s="6">
        <f>IFERROR(__xludf.DUMMYFUNCTION("""COMPUTED_VALUE"""),2187.9)</f>
        <v>2187.9</v>
      </c>
      <c r="E159" s="6">
        <f>IFERROR(__xludf.DUMMYFUNCTION("GOOGLEFINANCE(""Currency:BRLMXN"")*D159"),7432.2963)</f>
        <v>7432.2963</v>
      </c>
      <c r="F159" s="6">
        <f>IFERROR(__xludf.DUMMYFUNCTION("GOOGLEFINANCE(""Currency:BRLPEN"")*D159"),1434.38724)</f>
        <v>1434.38724</v>
      </c>
      <c r="G159" s="2" t="str">
        <f t="array" ref="G159">_xlfn.XLOOKUP(B159,Vendedores!$A$2:$A$41,Vendedores!$B$2:$B$41,"No hay datos")</f>
        <v>No hay datos</v>
      </c>
      <c r="H159" s="2" t="str">
        <f t="array" ref="H159">_xlfn.XLOOKUP(B159,Vendedores!$A$2:$A$41,Vendedores!$C$2:$C$41,"No hay datos")</f>
        <v>No hay datos</v>
      </c>
      <c r="I159" s="2" t="str">
        <f t="array" ref="I159">_xlfn.XLOOKUP(B159,Vendedores!$A$2:$A$41,Vendedores!$D$2:$D$41,"No hay datos")</f>
        <v>No hay datos</v>
      </c>
      <c r="J159" s="2" t="str">
        <f t="array" ref="J159">_xlfn.XLOOKUP(A159,Productos!$A$2:$A$61,Productos!$B$2:$F$61)</f>
        <v>#N/A</v>
      </c>
    </row>
    <row r="160">
      <c r="A160" s="2" t="str">
        <f>IFERROR(__xludf.DUMMYFUNCTION("""COMPUTED_VALUE"""),"PR029")</f>
        <v>PR029</v>
      </c>
      <c r="B160" s="2" t="str">
        <f>IFERROR(__xludf.DUMMYFUNCTION("""COMPUTED_VALUE"""),"VD040")</f>
        <v>VD040</v>
      </c>
      <c r="C160" s="2">
        <f>IFERROR(__xludf.DUMMYFUNCTION("""COMPUTED_VALUE"""),12.0)</f>
        <v>12</v>
      </c>
      <c r="D160" s="6">
        <f>IFERROR(__xludf.DUMMYFUNCTION("""COMPUTED_VALUE"""),3610.8)</f>
        <v>3610.8</v>
      </c>
      <c r="E160" s="6">
        <f>IFERROR(__xludf.DUMMYFUNCTION("GOOGLEFINANCE(""Currency:BRLMXN"")*D160"),12265.8876)</f>
        <v>12265.8876</v>
      </c>
      <c r="F160" s="6">
        <f>IFERROR(__xludf.DUMMYFUNCTION("GOOGLEFINANCE(""Currency:BRLPEN"")*D160"),2367.24048)</f>
        <v>2367.24048</v>
      </c>
      <c r="G160" s="2" t="str">
        <f t="array" ref="G160">_xlfn.XLOOKUP(B160,Vendedores!$A$2:$A$41,Vendedores!$B$2:$B$41,"No hay datos")</f>
        <v>No hay datos</v>
      </c>
      <c r="H160" s="2" t="str">
        <f t="array" ref="H160">_xlfn.XLOOKUP(B160,Vendedores!$A$2:$A$41,Vendedores!$C$2:$C$41,"No hay datos")</f>
        <v>No hay datos</v>
      </c>
      <c r="I160" s="2" t="str">
        <f t="array" ref="I160">_xlfn.XLOOKUP(B160,Vendedores!$A$2:$A$41,Vendedores!$D$2:$D$41,"No hay datos")</f>
        <v>No hay datos</v>
      </c>
      <c r="J160" s="2" t="str">
        <f t="array" ref="J160">_xlfn.XLOOKUP(A160,Productos!$A$2:$A$61,Productos!$B$2:$F$61)</f>
        <v>#N/A</v>
      </c>
    </row>
    <row r="161">
      <c r="A161" s="2" t="str">
        <f>IFERROR(__xludf.DUMMYFUNCTION("""COMPUTED_VALUE"""),"PR050")</f>
        <v>PR050</v>
      </c>
      <c r="B161" s="2" t="str">
        <f>IFERROR(__xludf.DUMMYFUNCTION("""COMPUTED_VALUE"""),"VD011")</f>
        <v>VD011</v>
      </c>
      <c r="C161" s="2">
        <f>IFERROR(__xludf.DUMMYFUNCTION("""COMPUTED_VALUE"""),18.0)</f>
        <v>18</v>
      </c>
      <c r="D161" s="6">
        <f>IFERROR(__xludf.DUMMYFUNCTION("""COMPUTED_VALUE"""),651.42)</f>
        <v>651.42</v>
      </c>
      <c r="E161" s="6">
        <f>IFERROR(__xludf.DUMMYFUNCTION("GOOGLEFINANCE(""Currency:BRLMXN"")*D161"),2212.8737399999995)</f>
        <v>2212.87374</v>
      </c>
      <c r="F161" s="6">
        <f>IFERROR(__xludf.DUMMYFUNCTION("GOOGLEFINANCE(""Currency:BRLPEN"")*D161"),427.0709519999999)</f>
        <v>427.070952</v>
      </c>
      <c r="G161" s="2" t="str">
        <f t="array" ref="G161">_xlfn.XLOOKUP(B161,Vendedores!$A$2:$A$41,Vendedores!$B$2:$B$41,"No hay datos")</f>
        <v>No hay datos</v>
      </c>
      <c r="H161" s="2" t="str">
        <f t="array" ref="H161">_xlfn.XLOOKUP(B161,Vendedores!$A$2:$A$41,Vendedores!$C$2:$C$41,"No hay datos")</f>
        <v>No hay datos</v>
      </c>
      <c r="I161" s="2" t="str">
        <f t="array" ref="I161">_xlfn.XLOOKUP(B161,Vendedores!$A$2:$A$41,Vendedores!$D$2:$D$41,"No hay datos")</f>
        <v>No hay datos</v>
      </c>
      <c r="J161" s="2" t="str">
        <f t="array" ref="J161">_xlfn.XLOOKUP(A161,Productos!$A$2:$A$61,Productos!$B$2:$F$61)</f>
        <v>#N/A</v>
      </c>
    </row>
    <row r="162">
      <c r="A162" s="2" t="str">
        <f>IFERROR(__xludf.DUMMYFUNCTION("""COMPUTED_VALUE"""),"PR034")</f>
        <v>PR034</v>
      </c>
      <c r="B162" s="2" t="str">
        <f>IFERROR(__xludf.DUMMYFUNCTION("""COMPUTED_VALUE"""),"VD018")</f>
        <v>VD018</v>
      </c>
      <c r="C162" s="2">
        <f>IFERROR(__xludf.DUMMYFUNCTION("""COMPUTED_VALUE"""),9.0)</f>
        <v>9</v>
      </c>
      <c r="D162" s="6">
        <f>IFERROR(__xludf.DUMMYFUNCTION("""COMPUTED_VALUE"""),954.74)</f>
        <v>954.74</v>
      </c>
      <c r="E162" s="6">
        <f>IFERROR(__xludf.DUMMYFUNCTION("GOOGLEFINANCE(""Currency:BRLMXN"")*D162"),3243.25178)</f>
        <v>3243.25178</v>
      </c>
      <c r="F162" s="6">
        <f>IFERROR(__xludf.DUMMYFUNCTION("GOOGLEFINANCE(""Currency:BRLPEN"")*D162"),625.927544)</f>
        <v>625.927544</v>
      </c>
      <c r="G162" s="2" t="str">
        <f t="array" ref="G162">_xlfn.XLOOKUP(B162,Vendedores!$A$2:$A$41,Vendedores!$B$2:$B$41,"No hay datos")</f>
        <v>No hay datos</v>
      </c>
      <c r="H162" s="2" t="str">
        <f t="array" ref="H162">_xlfn.XLOOKUP(B162,Vendedores!$A$2:$A$41,Vendedores!$C$2:$C$41,"No hay datos")</f>
        <v>No hay datos</v>
      </c>
      <c r="I162" s="2" t="str">
        <f t="array" ref="I162">_xlfn.XLOOKUP(B162,Vendedores!$A$2:$A$41,Vendedores!$D$2:$D$41,"No hay datos")</f>
        <v>No hay datos</v>
      </c>
      <c r="J162" s="2" t="str">
        <f t="array" ref="J162">_xlfn.XLOOKUP(A162,Productos!$A$2:$A$61,Productos!$B$2:$F$61)</f>
        <v>#N/A</v>
      </c>
    </row>
    <row r="163">
      <c r="A163" s="2" t="str">
        <f>IFERROR(__xludf.DUMMYFUNCTION("""COMPUTED_VALUE"""),"PR027")</f>
        <v>PR027</v>
      </c>
      <c r="B163" s="2" t="str">
        <f>IFERROR(__xludf.DUMMYFUNCTION("""COMPUTED_VALUE"""),"VD016")</f>
        <v>VD016</v>
      </c>
      <c r="C163" s="2">
        <f>IFERROR(__xludf.DUMMYFUNCTION("""COMPUTED_VALUE"""),10.0)</f>
        <v>10</v>
      </c>
      <c r="D163" s="6">
        <f>IFERROR(__xludf.DUMMYFUNCTION("""COMPUTED_VALUE"""),1428.0)</f>
        <v>1428</v>
      </c>
      <c r="E163" s="6">
        <f>IFERROR(__xludf.DUMMYFUNCTION("GOOGLEFINANCE(""Currency:BRLMXN"")*D163"),4850.915999999999)</f>
        <v>4850.916</v>
      </c>
      <c r="F163" s="6">
        <f>IFERROR(__xludf.DUMMYFUNCTION("GOOGLEFINANCE(""Currency:BRLPEN"")*D163"),936.1967999999999)</f>
        <v>936.1968</v>
      </c>
      <c r="G163" s="2" t="str">
        <f t="array" ref="G163">_xlfn.XLOOKUP(B163,Vendedores!$A$2:$A$41,Vendedores!$B$2:$B$41,"No hay datos")</f>
        <v>No hay datos</v>
      </c>
      <c r="H163" s="2" t="str">
        <f t="array" ref="H163">_xlfn.XLOOKUP(B163,Vendedores!$A$2:$A$41,Vendedores!$C$2:$C$41,"No hay datos")</f>
        <v>No hay datos</v>
      </c>
      <c r="I163" s="2" t="str">
        <f t="array" ref="I163">_xlfn.XLOOKUP(B163,Vendedores!$A$2:$A$41,Vendedores!$D$2:$D$41,"No hay datos")</f>
        <v>No hay datos</v>
      </c>
      <c r="J163" s="2" t="str">
        <f t="array" ref="J163">_xlfn.XLOOKUP(A163,Productos!$A$2:$A$61,Productos!$B$2:$F$61)</f>
        <v>#N/A</v>
      </c>
    </row>
    <row r="164">
      <c r="A164" s="2" t="str">
        <f>IFERROR(__xludf.DUMMYFUNCTION("""COMPUTED_VALUE"""),"PR015")</f>
        <v>PR015</v>
      </c>
      <c r="B164" s="2" t="str">
        <f>IFERROR(__xludf.DUMMYFUNCTION("""COMPUTED_VALUE"""),"VD043")</f>
        <v>VD043</v>
      </c>
      <c r="C164" s="2">
        <f>IFERROR(__xludf.DUMMYFUNCTION("""COMPUTED_VALUE"""),18.0)</f>
        <v>18</v>
      </c>
      <c r="D164" s="6">
        <f>IFERROR(__xludf.DUMMYFUNCTION("""COMPUTED_VALUE"""),872.1)</f>
        <v>872.1</v>
      </c>
      <c r="E164" s="6">
        <f>IFERROR(__xludf.DUMMYFUNCTION("GOOGLEFINANCE(""Currency:BRLMXN"")*D164"),2962.5236999999997)</f>
        <v>2962.5237</v>
      </c>
      <c r="F164" s="6">
        <f>IFERROR(__xludf.DUMMYFUNCTION("GOOGLEFINANCE(""Currency:BRLPEN"")*D164"),571.74876)</f>
        <v>571.74876</v>
      </c>
      <c r="G164" s="2" t="str">
        <f t="array" ref="G164">_xlfn.XLOOKUP(B164,Vendedores!$A$2:$A$41,Vendedores!$B$2:$B$41,"No hay datos")</f>
        <v>No hay datos</v>
      </c>
      <c r="H164" s="2" t="str">
        <f t="array" ref="H164">_xlfn.XLOOKUP(B164,Vendedores!$A$2:$A$41,Vendedores!$C$2:$C$41,"No hay datos")</f>
        <v>No hay datos</v>
      </c>
      <c r="I164" s="2" t="str">
        <f t="array" ref="I164">_xlfn.XLOOKUP(B164,Vendedores!$A$2:$A$41,Vendedores!$D$2:$D$41,"No hay datos")</f>
        <v>No hay datos</v>
      </c>
      <c r="J164" s="2" t="str">
        <f t="array" ref="J164">_xlfn.XLOOKUP(A164,Productos!$A$2:$A$61,Productos!$B$2:$F$61)</f>
        <v>#N/A</v>
      </c>
    </row>
    <row r="165">
      <c r="A165" s="2" t="str">
        <f>IFERROR(__xludf.DUMMYFUNCTION("""COMPUTED_VALUE"""),"PR003")</f>
        <v>PR003</v>
      </c>
      <c r="B165" s="2" t="str">
        <f>IFERROR(__xludf.DUMMYFUNCTION("""COMPUTED_VALUE"""),"VD031")</f>
        <v>VD031</v>
      </c>
      <c r="C165" s="2">
        <f>IFERROR(__xludf.DUMMYFUNCTION("""COMPUTED_VALUE"""),9.0)</f>
        <v>9</v>
      </c>
      <c r="D165" s="6">
        <f>IFERROR(__xludf.DUMMYFUNCTION("""COMPUTED_VALUE"""),708.29)</f>
        <v>708.29</v>
      </c>
      <c r="E165" s="6">
        <f>IFERROR(__xludf.DUMMYFUNCTION("GOOGLEFINANCE(""Currency:BRLMXN"")*D165"),2406.0611299999996)</f>
        <v>2406.06113</v>
      </c>
      <c r="F165" s="6">
        <f>IFERROR(__xludf.DUMMYFUNCTION("GOOGLEFINANCE(""Currency:BRLPEN"")*D165"),464.3549239999999)</f>
        <v>464.354924</v>
      </c>
      <c r="G165" s="2" t="str">
        <f t="array" ref="G165">_xlfn.XLOOKUP(B165,Vendedores!$A$2:$A$41,Vendedores!$B$2:$B$41,"No hay datos")</f>
        <v>No hay datos</v>
      </c>
      <c r="H165" s="2" t="str">
        <f t="array" ref="H165">_xlfn.XLOOKUP(B165,Vendedores!$A$2:$A$41,Vendedores!$C$2:$C$41,"No hay datos")</f>
        <v>No hay datos</v>
      </c>
      <c r="I165" s="2" t="str">
        <f t="array" ref="I165">_xlfn.XLOOKUP(B165,Vendedores!$A$2:$A$41,Vendedores!$D$2:$D$41,"No hay datos")</f>
        <v>No hay datos</v>
      </c>
      <c r="J165" s="2" t="str">
        <f t="array" ref="J165">_xlfn.XLOOKUP(A165,Productos!$A$2:$A$61,Productos!$B$2:$F$61)</f>
        <v>#N/A</v>
      </c>
    </row>
    <row r="166">
      <c r="A166" s="2" t="str">
        <f>IFERROR(__xludf.DUMMYFUNCTION("""COMPUTED_VALUE"""),"PR026")</f>
        <v>PR026</v>
      </c>
      <c r="B166" s="2" t="str">
        <f>IFERROR(__xludf.DUMMYFUNCTION("""COMPUTED_VALUE"""),"VD032")</f>
        <v>VD032</v>
      </c>
      <c r="C166" s="2">
        <f>IFERROR(__xludf.DUMMYFUNCTION("""COMPUTED_VALUE"""),10.0)</f>
        <v>10</v>
      </c>
      <c r="D166" s="6">
        <f>IFERROR(__xludf.DUMMYFUNCTION("""COMPUTED_VALUE"""),4128.82)</f>
        <v>4128.82</v>
      </c>
      <c r="E166" s="6">
        <f>IFERROR(__xludf.DUMMYFUNCTION("GOOGLEFINANCE(""Currency:BRLMXN"")*D166"),14025.601539999998)</f>
        <v>14025.60154</v>
      </c>
      <c r="F166" s="6">
        <f>IFERROR(__xludf.DUMMYFUNCTION("GOOGLEFINANCE(""Currency:BRLPEN"")*D166"),2706.8543919999997)</f>
        <v>2706.854392</v>
      </c>
      <c r="G166" s="2" t="str">
        <f t="array" ref="G166">_xlfn.XLOOKUP(B166,Vendedores!$A$2:$A$41,Vendedores!$B$2:$B$41,"No hay datos")</f>
        <v>No hay datos</v>
      </c>
      <c r="H166" s="2" t="str">
        <f t="array" ref="H166">_xlfn.XLOOKUP(B166,Vendedores!$A$2:$A$41,Vendedores!$C$2:$C$41,"No hay datos")</f>
        <v>No hay datos</v>
      </c>
      <c r="I166" s="2" t="str">
        <f t="array" ref="I166">_xlfn.XLOOKUP(B166,Vendedores!$A$2:$A$41,Vendedores!$D$2:$D$41,"No hay datos")</f>
        <v>No hay datos</v>
      </c>
      <c r="J166" s="2" t="str">
        <f t="array" ref="J166">_xlfn.XLOOKUP(A166,Productos!$A$2:$A$61,Productos!$B$2:$F$61)</f>
        <v>#N/A</v>
      </c>
    </row>
    <row r="167">
      <c r="A167" s="2" t="str">
        <f>IFERROR(__xludf.DUMMYFUNCTION("""COMPUTED_VALUE"""),"PR006")</f>
        <v>PR006</v>
      </c>
      <c r="B167" s="2" t="str">
        <f>IFERROR(__xludf.DUMMYFUNCTION("""COMPUTED_VALUE"""),"VD017")</f>
        <v>VD017</v>
      </c>
      <c r="C167" s="2">
        <f>IFERROR(__xludf.DUMMYFUNCTION("""COMPUTED_VALUE"""),16.0)</f>
        <v>16</v>
      </c>
      <c r="D167" s="6">
        <f>IFERROR(__xludf.DUMMYFUNCTION("""COMPUTED_VALUE"""),766.08)</f>
        <v>766.08</v>
      </c>
      <c r="E167" s="6">
        <f>IFERROR(__xludf.DUMMYFUNCTION("GOOGLEFINANCE(""Currency:BRLMXN"")*D167"),2602.37376)</f>
        <v>2602.37376</v>
      </c>
      <c r="F167" s="6">
        <f>IFERROR(__xludf.DUMMYFUNCTION("GOOGLEFINANCE(""Currency:BRLPEN"")*D167"),502.242048)</f>
        <v>502.242048</v>
      </c>
      <c r="G167" s="2" t="str">
        <f t="array" ref="G167">_xlfn.XLOOKUP(B167,Vendedores!$A$2:$A$41,Vendedores!$B$2:$B$41,"No hay datos")</f>
        <v>No hay datos</v>
      </c>
      <c r="H167" s="2" t="str">
        <f t="array" ref="H167">_xlfn.XLOOKUP(B167,Vendedores!$A$2:$A$41,Vendedores!$C$2:$C$41,"No hay datos")</f>
        <v>No hay datos</v>
      </c>
      <c r="I167" s="2" t="str">
        <f t="array" ref="I167">_xlfn.XLOOKUP(B167,Vendedores!$A$2:$A$41,Vendedores!$D$2:$D$41,"No hay datos")</f>
        <v>No hay datos</v>
      </c>
      <c r="J167" s="2" t="str">
        <f t="array" ref="J167">_xlfn.XLOOKUP(A167,Productos!$A$2:$A$61,Productos!$B$2:$F$61)</f>
        <v>#N/A</v>
      </c>
    </row>
    <row r="168">
      <c r="A168" s="2" t="str">
        <f>IFERROR(__xludf.DUMMYFUNCTION("""COMPUTED_VALUE"""),"PR050")</f>
        <v>PR050</v>
      </c>
      <c r="B168" s="2" t="str">
        <f>IFERROR(__xludf.DUMMYFUNCTION("""COMPUTED_VALUE"""),"VD015")</f>
        <v>VD015</v>
      </c>
      <c r="C168" s="2">
        <f>IFERROR(__xludf.DUMMYFUNCTION("""COMPUTED_VALUE"""),27.0)</f>
        <v>27</v>
      </c>
      <c r="D168" s="6">
        <f>IFERROR(__xludf.DUMMYFUNCTION("""COMPUTED_VALUE"""),1012.66)</f>
        <v>1012.66</v>
      </c>
      <c r="E168" s="6">
        <f>IFERROR(__xludf.DUMMYFUNCTION("GOOGLEFINANCE(""Currency:BRLMXN"")*D168"),3440.00602)</f>
        <v>3440.00602</v>
      </c>
      <c r="F168" s="6">
        <f>IFERROR(__xludf.DUMMYFUNCTION("GOOGLEFINANCE(""Currency:BRLPEN"")*D168"),663.8998959999999)</f>
        <v>663.899896</v>
      </c>
      <c r="G168" s="2" t="str">
        <f t="array" ref="G168">_xlfn.XLOOKUP(B168,Vendedores!$A$2:$A$41,Vendedores!$B$2:$B$41,"No hay datos")</f>
        <v>No hay datos</v>
      </c>
      <c r="H168" s="2" t="str">
        <f t="array" ref="H168">_xlfn.XLOOKUP(B168,Vendedores!$A$2:$A$41,Vendedores!$C$2:$C$41,"No hay datos")</f>
        <v>No hay datos</v>
      </c>
      <c r="I168" s="2" t="str">
        <f t="array" ref="I168">_xlfn.XLOOKUP(B168,Vendedores!$A$2:$A$41,Vendedores!$D$2:$D$41,"No hay datos")</f>
        <v>No hay datos</v>
      </c>
      <c r="J168" s="2" t="str">
        <f t="array" ref="J168">_xlfn.XLOOKUP(A168,Productos!$A$2:$A$61,Productos!$B$2:$F$61)</f>
        <v>#N/A</v>
      </c>
    </row>
    <row r="169">
      <c r="A169" s="2" t="str">
        <f>IFERROR(__xludf.DUMMYFUNCTION("""COMPUTED_VALUE"""),"PR009")</f>
        <v>PR009</v>
      </c>
      <c r="B169" s="2" t="str">
        <f>IFERROR(__xludf.DUMMYFUNCTION("""COMPUTED_VALUE"""),"VD040")</f>
        <v>VD040</v>
      </c>
      <c r="C169" s="2">
        <f>IFERROR(__xludf.DUMMYFUNCTION("""COMPUTED_VALUE"""),30.0)</f>
        <v>30</v>
      </c>
      <c r="D169" s="6">
        <f>IFERROR(__xludf.DUMMYFUNCTION("""COMPUTED_VALUE"""),3065.7)</f>
        <v>3065.7</v>
      </c>
      <c r="E169" s="6">
        <f>IFERROR(__xludf.DUMMYFUNCTION("GOOGLEFINANCE(""Currency:BRLMXN"")*D169"),10414.182899999998)</f>
        <v>10414.1829</v>
      </c>
      <c r="F169" s="6">
        <f>IFERROR(__xludf.DUMMYFUNCTION("GOOGLEFINANCE(""Currency:BRLPEN"")*D169"),2009.8729199999998)</f>
        <v>2009.87292</v>
      </c>
      <c r="G169" s="2" t="str">
        <f t="array" ref="G169">_xlfn.XLOOKUP(B169,Vendedores!$A$2:$A$41,Vendedores!$B$2:$B$41,"No hay datos")</f>
        <v>No hay datos</v>
      </c>
      <c r="H169" s="2" t="str">
        <f t="array" ref="H169">_xlfn.XLOOKUP(B169,Vendedores!$A$2:$A$41,Vendedores!$C$2:$C$41,"No hay datos")</f>
        <v>No hay datos</v>
      </c>
      <c r="I169" s="2" t="str">
        <f t="array" ref="I169">_xlfn.XLOOKUP(B169,Vendedores!$A$2:$A$41,Vendedores!$D$2:$D$41,"No hay datos")</f>
        <v>No hay datos</v>
      </c>
      <c r="J169" s="2" t="str">
        <f t="array" ref="J169">_xlfn.XLOOKUP(A169,Productos!$A$2:$A$61,Productos!$B$2:$F$61)</f>
        <v>#N/A</v>
      </c>
    </row>
    <row r="170">
      <c r="A170" s="2" t="str">
        <f>IFERROR(__xludf.DUMMYFUNCTION("""COMPUTED_VALUE"""),"PR013")</f>
        <v>PR013</v>
      </c>
      <c r="B170" s="2" t="str">
        <f>IFERROR(__xludf.DUMMYFUNCTION("""COMPUTED_VALUE"""),"VD021")</f>
        <v>VD021</v>
      </c>
      <c r="C170" s="2">
        <f>IFERROR(__xludf.DUMMYFUNCTION("""COMPUTED_VALUE"""),15.0)</f>
        <v>15</v>
      </c>
      <c r="D170" s="6">
        <f>IFERROR(__xludf.DUMMYFUNCTION("""COMPUTED_VALUE"""),706.23)</f>
        <v>706.23</v>
      </c>
      <c r="E170" s="6">
        <f>IFERROR(__xludf.DUMMYFUNCTION("GOOGLEFINANCE(""Currency:BRLMXN"")*D170"),2399.06331)</f>
        <v>2399.06331</v>
      </c>
      <c r="F170" s="6">
        <f>IFERROR(__xludf.DUMMYFUNCTION("GOOGLEFINANCE(""Currency:BRLPEN"")*D170"),463.004388)</f>
        <v>463.004388</v>
      </c>
      <c r="G170" s="2" t="str">
        <f t="array" ref="G170">_xlfn.XLOOKUP(B170,Vendedores!$A$2:$A$41,Vendedores!$B$2:$B$41,"No hay datos")</f>
        <v>No hay datos</v>
      </c>
      <c r="H170" s="2" t="str">
        <f t="array" ref="H170">_xlfn.XLOOKUP(B170,Vendedores!$A$2:$A$41,Vendedores!$C$2:$C$41,"No hay datos")</f>
        <v>No hay datos</v>
      </c>
      <c r="I170" s="2" t="str">
        <f t="array" ref="I170">_xlfn.XLOOKUP(B170,Vendedores!$A$2:$A$41,Vendedores!$D$2:$D$41,"No hay datos")</f>
        <v>No hay datos</v>
      </c>
      <c r="J170" s="2" t="str">
        <f t="array" ref="J170">_xlfn.XLOOKUP(A170,Productos!$A$2:$A$61,Productos!$B$2:$F$61)</f>
        <v>#N/A</v>
      </c>
    </row>
    <row r="171">
      <c r="A171" s="2" t="str">
        <f>IFERROR(__xludf.DUMMYFUNCTION("""COMPUTED_VALUE"""),"PR049")</f>
        <v>PR049</v>
      </c>
      <c r="B171" s="2" t="str">
        <f>IFERROR(__xludf.DUMMYFUNCTION("""COMPUTED_VALUE"""),"VD049")</f>
        <v>VD049</v>
      </c>
      <c r="C171" s="2">
        <f>IFERROR(__xludf.DUMMYFUNCTION("""COMPUTED_VALUE"""),21.0)</f>
        <v>21</v>
      </c>
      <c r="D171" s="6">
        <f>IFERROR(__xludf.DUMMYFUNCTION("""COMPUTED_VALUE"""),759.99)</f>
        <v>759.99</v>
      </c>
      <c r="E171" s="6">
        <f>IFERROR(__xludf.DUMMYFUNCTION("GOOGLEFINANCE(""Currency:BRLMXN"")*D171"),2581.68603)</f>
        <v>2581.68603</v>
      </c>
      <c r="F171" s="6">
        <f>IFERROR(__xludf.DUMMYFUNCTION("GOOGLEFINANCE(""Currency:BRLPEN"")*D171"),498.249444)</f>
        <v>498.249444</v>
      </c>
      <c r="G171" s="2" t="str">
        <f t="array" ref="G171">_xlfn.XLOOKUP(B171,Vendedores!$A$2:$A$41,Vendedores!$B$2:$B$41,"No hay datos")</f>
        <v>No hay datos</v>
      </c>
      <c r="H171" s="2" t="str">
        <f t="array" ref="H171">_xlfn.XLOOKUP(B171,Vendedores!$A$2:$A$41,Vendedores!$C$2:$C$41,"No hay datos")</f>
        <v>No hay datos</v>
      </c>
      <c r="I171" s="2" t="str">
        <f t="array" ref="I171">_xlfn.XLOOKUP(B171,Vendedores!$A$2:$A$41,Vendedores!$D$2:$D$41,"No hay datos")</f>
        <v>No hay datos</v>
      </c>
      <c r="J171" s="2" t="str">
        <f t="array" ref="J171">_xlfn.XLOOKUP(A171,Productos!$A$2:$A$61,Productos!$B$2:$F$61)</f>
        <v>#N/A</v>
      </c>
    </row>
    <row r="172">
      <c r="A172" s="2" t="str">
        <f>IFERROR(__xludf.DUMMYFUNCTION("""COMPUTED_VALUE"""),"PR004")</f>
        <v>PR004</v>
      </c>
      <c r="B172" s="2" t="str">
        <f>IFERROR(__xludf.DUMMYFUNCTION("""COMPUTED_VALUE"""),"VD035")</f>
        <v>VD035</v>
      </c>
      <c r="C172" s="2">
        <f>IFERROR(__xludf.DUMMYFUNCTION("""COMPUTED_VALUE"""),18.0)</f>
        <v>18</v>
      </c>
      <c r="D172" s="6">
        <f>IFERROR(__xludf.DUMMYFUNCTION("""COMPUTED_VALUE"""),2923.2)</f>
        <v>2923.2</v>
      </c>
      <c r="E172" s="6">
        <f>IFERROR(__xludf.DUMMYFUNCTION("GOOGLEFINANCE(""Currency:BRLMXN"")*D172"),9930.1104)</f>
        <v>9930.1104</v>
      </c>
      <c r="F172" s="6">
        <f>IFERROR(__xludf.DUMMYFUNCTION("GOOGLEFINANCE(""Currency:BRLPEN"")*D172"),1916.4499199999998)</f>
        <v>1916.44992</v>
      </c>
      <c r="G172" s="2" t="str">
        <f t="array" ref="G172">_xlfn.XLOOKUP(B172,Vendedores!$A$2:$A$41,Vendedores!$B$2:$B$41,"No hay datos")</f>
        <v>No hay datos</v>
      </c>
      <c r="H172" s="2" t="str">
        <f t="array" ref="H172">_xlfn.XLOOKUP(B172,Vendedores!$A$2:$A$41,Vendedores!$C$2:$C$41,"No hay datos")</f>
        <v>No hay datos</v>
      </c>
      <c r="I172" s="2" t="str">
        <f t="array" ref="I172">_xlfn.XLOOKUP(B172,Vendedores!$A$2:$A$41,Vendedores!$D$2:$D$41,"No hay datos")</f>
        <v>No hay datos</v>
      </c>
      <c r="J172" s="2" t="str">
        <f t="array" ref="J172">_xlfn.XLOOKUP(A172,Productos!$A$2:$A$61,Productos!$B$2:$F$61)</f>
        <v>#N/A</v>
      </c>
    </row>
    <row r="173">
      <c r="A173" s="2" t="str">
        <f>IFERROR(__xludf.DUMMYFUNCTION("""COMPUTED_VALUE"""),"PR046")</f>
        <v>PR046</v>
      </c>
      <c r="B173" s="2" t="str">
        <f>IFERROR(__xludf.DUMMYFUNCTION("""COMPUTED_VALUE"""),"VD019")</f>
        <v>VD019</v>
      </c>
      <c r="C173" s="2">
        <f>IFERROR(__xludf.DUMMYFUNCTION("""COMPUTED_VALUE"""),20.0)</f>
        <v>20</v>
      </c>
      <c r="D173" s="6">
        <f>IFERROR(__xludf.DUMMYFUNCTION("""COMPUTED_VALUE"""),6725.68)</f>
        <v>6725.68</v>
      </c>
      <c r="E173" s="6">
        <f>IFERROR(__xludf.DUMMYFUNCTION("GOOGLEFINANCE(""Currency:BRLMXN"")*D173"),22847.13496)</f>
        <v>22847.13496</v>
      </c>
      <c r="F173" s="6">
        <f>IFERROR(__xludf.DUMMYFUNCTION("GOOGLEFINANCE(""Currency:BRLPEN"")*D173"),4409.355808)</f>
        <v>4409.355808</v>
      </c>
      <c r="G173" s="2" t="str">
        <f t="array" ref="G173">_xlfn.XLOOKUP(B173,Vendedores!$A$2:$A$41,Vendedores!$B$2:$B$41,"No hay datos")</f>
        <v>No hay datos</v>
      </c>
      <c r="H173" s="2" t="str">
        <f t="array" ref="H173">_xlfn.XLOOKUP(B173,Vendedores!$A$2:$A$41,Vendedores!$C$2:$C$41,"No hay datos")</f>
        <v>No hay datos</v>
      </c>
      <c r="I173" s="2" t="str">
        <f t="array" ref="I173">_xlfn.XLOOKUP(B173,Vendedores!$A$2:$A$41,Vendedores!$D$2:$D$41,"No hay datos")</f>
        <v>No hay datos</v>
      </c>
      <c r="J173" s="2" t="str">
        <f t="array" ref="J173">_xlfn.XLOOKUP(A173,Productos!$A$2:$A$61,Productos!$B$2:$F$61)</f>
        <v>#N/A</v>
      </c>
    </row>
    <row r="174">
      <c r="A174" s="2" t="str">
        <f>IFERROR(__xludf.DUMMYFUNCTION("""COMPUTED_VALUE"""),"PR047")</f>
        <v>PR047</v>
      </c>
      <c r="B174" s="2" t="str">
        <f>IFERROR(__xludf.DUMMYFUNCTION("""COMPUTED_VALUE"""),"VD046")</f>
        <v>VD046</v>
      </c>
      <c r="C174" s="2">
        <f>IFERROR(__xludf.DUMMYFUNCTION("""COMPUTED_VALUE"""),27.0)</f>
        <v>27</v>
      </c>
      <c r="D174" s="6">
        <f>IFERROR(__xludf.DUMMYFUNCTION("""COMPUTED_VALUE"""),8844.85)</f>
        <v>8844.85</v>
      </c>
      <c r="E174" s="6">
        <f>IFERROR(__xludf.DUMMYFUNCTION("GOOGLEFINANCE(""Currency:BRLMXN"")*D174"),30045.955449999998)</f>
        <v>30045.95545</v>
      </c>
      <c r="F174" s="6">
        <f>IFERROR(__xludf.DUMMYFUNCTION("GOOGLEFINANCE(""Currency:BRLPEN"")*D174"),5798.68366)</f>
        <v>5798.68366</v>
      </c>
      <c r="G174" s="2" t="str">
        <f t="array" ref="G174">_xlfn.XLOOKUP(B174,Vendedores!$A$2:$A$41,Vendedores!$B$2:$B$41,"No hay datos")</f>
        <v>No hay datos</v>
      </c>
      <c r="H174" s="2" t="str">
        <f t="array" ref="H174">_xlfn.XLOOKUP(B174,Vendedores!$A$2:$A$41,Vendedores!$C$2:$C$41,"No hay datos")</f>
        <v>No hay datos</v>
      </c>
      <c r="I174" s="2" t="str">
        <f t="array" ref="I174">_xlfn.XLOOKUP(B174,Vendedores!$A$2:$A$41,Vendedores!$D$2:$D$41,"No hay datos")</f>
        <v>No hay datos</v>
      </c>
      <c r="J174" s="2" t="str">
        <f t="array" ref="J174">_xlfn.XLOOKUP(A174,Productos!$A$2:$A$61,Productos!$B$2:$F$61)</f>
        <v>#N/A</v>
      </c>
    </row>
    <row r="175">
      <c r="A175" s="2" t="str">
        <f>IFERROR(__xludf.DUMMYFUNCTION("""COMPUTED_VALUE"""),"PR054")</f>
        <v>PR054</v>
      </c>
      <c r="B175" s="2" t="str">
        <f>IFERROR(__xludf.DUMMYFUNCTION("""COMPUTED_VALUE"""),"VD019")</f>
        <v>VD019</v>
      </c>
      <c r="C175" s="2">
        <f>IFERROR(__xludf.DUMMYFUNCTION("""COMPUTED_VALUE"""),18.0)</f>
        <v>18</v>
      </c>
      <c r="D175" s="6">
        <f>IFERROR(__xludf.DUMMYFUNCTION("""COMPUTED_VALUE"""),1077.84)</f>
        <v>1077.84</v>
      </c>
      <c r="E175" s="6">
        <f>IFERROR(__xludf.DUMMYFUNCTION("GOOGLEFINANCE(""Currency:BRLMXN"")*D175"),3661.4224799999997)</f>
        <v>3661.42248</v>
      </c>
      <c r="F175" s="6">
        <f>IFERROR(__xludf.DUMMYFUNCTION("GOOGLEFINANCE(""Currency:BRLPEN"")*D175"),706.6319039999998)</f>
        <v>706.631904</v>
      </c>
      <c r="G175" s="2" t="str">
        <f t="array" ref="G175">_xlfn.XLOOKUP(B175,Vendedores!$A$2:$A$41,Vendedores!$B$2:$B$41,"No hay datos")</f>
        <v>No hay datos</v>
      </c>
      <c r="H175" s="2" t="str">
        <f t="array" ref="H175">_xlfn.XLOOKUP(B175,Vendedores!$A$2:$A$41,Vendedores!$C$2:$C$41,"No hay datos")</f>
        <v>No hay datos</v>
      </c>
      <c r="I175" s="2" t="str">
        <f t="array" ref="I175">_xlfn.XLOOKUP(B175,Vendedores!$A$2:$A$41,Vendedores!$D$2:$D$41,"No hay datos")</f>
        <v>No hay datos</v>
      </c>
      <c r="J175" s="2" t="str">
        <f t="array" ref="J175">_xlfn.XLOOKUP(A175,Productos!$A$2:$A$61,Productos!$B$2:$F$61)</f>
        <v>#N/A</v>
      </c>
    </row>
    <row r="176">
      <c r="A176" s="2" t="str">
        <f>IFERROR(__xludf.DUMMYFUNCTION("""COMPUTED_VALUE"""),"PR041")</f>
        <v>PR041</v>
      </c>
      <c r="B176" s="2" t="str">
        <f>IFERROR(__xludf.DUMMYFUNCTION("""COMPUTED_VALUE"""),"VD033")</f>
        <v>VD033</v>
      </c>
      <c r="C176" s="2">
        <f>IFERROR(__xludf.DUMMYFUNCTION("""COMPUTED_VALUE"""),27.0)</f>
        <v>27</v>
      </c>
      <c r="D176" s="6">
        <f>IFERROR(__xludf.DUMMYFUNCTION("""COMPUTED_VALUE"""),1778.76)</f>
        <v>1778.76</v>
      </c>
      <c r="E176" s="6">
        <f>IFERROR(__xludf.DUMMYFUNCTION("GOOGLEFINANCE(""Currency:BRLMXN"")*D176"),6042.447719999999)</f>
        <v>6042.44772</v>
      </c>
      <c r="F176" s="6">
        <f>IFERROR(__xludf.DUMMYFUNCTION("GOOGLEFINANCE(""Currency:BRLPEN"")*D176"),1166.1550559999998)</f>
        <v>1166.155056</v>
      </c>
      <c r="G176" s="2" t="str">
        <f t="array" ref="G176">_xlfn.XLOOKUP(B176,Vendedores!$A$2:$A$41,Vendedores!$B$2:$B$41,"No hay datos")</f>
        <v>No hay datos</v>
      </c>
      <c r="H176" s="2" t="str">
        <f t="array" ref="H176">_xlfn.XLOOKUP(B176,Vendedores!$A$2:$A$41,Vendedores!$C$2:$C$41,"No hay datos")</f>
        <v>No hay datos</v>
      </c>
      <c r="I176" s="2" t="str">
        <f t="array" ref="I176">_xlfn.XLOOKUP(B176,Vendedores!$A$2:$A$41,Vendedores!$D$2:$D$41,"No hay datos")</f>
        <v>No hay datos</v>
      </c>
      <c r="J176" s="2" t="str">
        <f t="array" ref="J176">_xlfn.XLOOKUP(A176,Productos!$A$2:$A$61,Productos!$B$2:$F$61)</f>
        <v>#N/A</v>
      </c>
    </row>
    <row r="177">
      <c r="A177" s="2" t="str">
        <f>IFERROR(__xludf.DUMMYFUNCTION("""COMPUTED_VALUE"""),"PR024")</f>
        <v>PR024</v>
      </c>
      <c r="B177" s="2" t="str">
        <f>IFERROR(__xludf.DUMMYFUNCTION("""COMPUTED_VALUE"""),"VD018")</f>
        <v>VD018</v>
      </c>
      <c r="C177" s="2">
        <f>IFERROR(__xludf.DUMMYFUNCTION("""COMPUTED_VALUE"""),8.0)</f>
        <v>8</v>
      </c>
      <c r="D177" s="6">
        <f>IFERROR(__xludf.DUMMYFUNCTION("""COMPUTED_VALUE"""),2453.46)</f>
        <v>2453.46</v>
      </c>
      <c r="E177" s="6">
        <f>IFERROR(__xludf.DUMMYFUNCTION("GOOGLEFINANCE(""Currency:BRLMXN"")*D177"),8334.40362)</f>
        <v>8334.40362</v>
      </c>
      <c r="F177" s="6">
        <f>IFERROR(__xludf.DUMMYFUNCTION("GOOGLEFINANCE(""Currency:BRLPEN"")*D177"),1608.488376)</f>
        <v>1608.488376</v>
      </c>
      <c r="G177" s="2" t="str">
        <f t="array" ref="G177">_xlfn.XLOOKUP(B177,Vendedores!$A$2:$A$41,Vendedores!$B$2:$B$41,"No hay datos")</f>
        <v>No hay datos</v>
      </c>
      <c r="H177" s="2" t="str">
        <f t="array" ref="H177">_xlfn.XLOOKUP(B177,Vendedores!$A$2:$A$41,Vendedores!$C$2:$C$41,"No hay datos")</f>
        <v>No hay datos</v>
      </c>
      <c r="I177" s="2" t="str">
        <f t="array" ref="I177">_xlfn.XLOOKUP(B177,Vendedores!$A$2:$A$41,Vendedores!$D$2:$D$41,"No hay datos")</f>
        <v>No hay datos</v>
      </c>
      <c r="J177" s="2" t="str">
        <f t="array" ref="J177">_xlfn.XLOOKUP(A177,Productos!$A$2:$A$61,Productos!$B$2:$F$61)</f>
        <v>#N/A</v>
      </c>
    </row>
    <row r="178">
      <c r="A178" s="2" t="str">
        <f>IFERROR(__xludf.DUMMYFUNCTION("""COMPUTED_VALUE"""),"PR024")</f>
        <v>PR024</v>
      </c>
      <c r="B178" s="2" t="str">
        <f>IFERROR(__xludf.DUMMYFUNCTION("""COMPUTED_VALUE"""),"VD048")</f>
        <v>VD048</v>
      </c>
      <c r="C178" s="2">
        <f>IFERROR(__xludf.DUMMYFUNCTION("""COMPUTED_VALUE"""),15.0)</f>
        <v>15</v>
      </c>
      <c r="D178" s="6">
        <f>IFERROR(__xludf.DUMMYFUNCTION("""COMPUTED_VALUE"""),4678.2)</f>
        <v>4678.2</v>
      </c>
      <c r="E178" s="6">
        <f>IFERROR(__xludf.DUMMYFUNCTION("GOOGLEFINANCE(""Currency:BRLMXN"")*D178"),15891.845399999998)</f>
        <v>15891.8454</v>
      </c>
      <c r="F178" s="6">
        <f>IFERROR(__xludf.DUMMYFUNCTION("GOOGLEFINANCE(""Currency:BRLPEN"")*D178"),3067.0279199999995)</f>
        <v>3067.02792</v>
      </c>
      <c r="G178" s="2" t="str">
        <f t="array" ref="G178">_xlfn.XLOOKUP(B178,Vendedores!$A$2:$A$41,Vendedores!$B$2:$B$41,"No hay datos")</f>
        <v>No hay datos</v>
      </c>
      <c r="H178" s="2" t="str">
        <f t="array" ref="H178">_xlfn.XLOOKUP(B178,Vendedores!$A$2:$A$41,Vendedores!$C$2:$C$41,"No hay datos")</f>
        <v>No hay datos</v>
      </c>
      <c r="I178" s="2" t="str">
        <f t="array" ref="I178">_xlfn.XLOOKUP(B178,Vendedores!$A$2:$A$41,Vendedores!$D$2:$D$41,"No hay datos")</f>
        <v>No hay datos</v>
      </c>
      <c r="J178" s="2" t="str">
        <f t="array" ref="J178">_xlfn.XLOOKUP(A178,Productos!$A$2:$A$61,Productos!$B$2:$F$61)</f>
        <v>#N/A</v>
      </c>
    </row>
    <row r="179">
      <c r="A179" s="2" t="str">
        <f>IFERROR(__xludf.DUMMYFUNCTION("""COMPUTED_VALUE"""),"PR039")</f>
        <v>PR039</v>
      </c>
      <c r="B179" s="2" t="str">
        <f>IFERROR(__xludf.DUMMYFUNCTION("""COMPUTED_VALUE"""),"VD015")</f>
        <v>VD015</v>
      </c>
      <c r="C179" s="2">
        <f>IFERROR(__xludf.DUMMYFUNCTION("""COMPUTED_VALUE"""),15.0)</f>
        <v>15</v>
      </c>
      <c r="D179" s="6">
        <f>IFERROR(__xludf.DUMMYFUNCTION("""COMPUTED_VALUE"""),2430.9)</f>
        <v>2430.9</v>
      </c>
      <c r="E179" s="6">
        <f>IFERROR(__xludf.DUMMYFUNCTION("GOOGLEFINANCE(""Currency:BRLMXN"")*D179"),8257.7673)</f>
        <v>8257.7673</v>
      </c>
      <c r="F179" s="6">
        <f>IFERROR(__xludf.DUMMYFUNCTION("GOOGLEFINANCE(""Currency:BRLPEN"")*D179"),1593.69804)</f>
        <v>1593.69804</v>
      </c>
      <c r="G179" s="2" t="str">
        <f t="array" ref="G179">_xlfn.XLOOKUP(B179,Vendedores!$A$2:$A$41,Vendedores!$B$2:$B$41,"No hay datos")</f>
        <v>No hay datos</v>
      </c>
      <c r="H179" s="2" t="str">
        <f t="array" ref="H179">_xlfn.XLOOKUP(B179,Vendedores!$A$2:$A$41,Vendedores!$C$2:$C$41,"No hay datos")</f>
        <v>No hay datos</v>
      </c>
      <c r="I179" s="2" t="str">
        <f t="array" ref="I179">_xlfn.XLOOKUP(B179,Vendedores!$A$2:$A$41,Vendedores!$D$2:$D$41,"No hay datos")</f>
        <v>No hay datos</v>
      </c>
      <c r="J179" s="2" t="str">
        <f t="array" ref="J179">_xlfn.XLOOKUP(A179,Productos!$A$2:$A$61,Productos!$B$2:$F$61)</f>
        <v>#N/A</v>
      </c>
    </row>
    <row r="180">
      <c r="A180" s="2" t="str">
        <f>IFERROR(__xludf.DUMMYFUNCTION("""COMPUTED_VALUE"""),"PR032")</f>
        <v>PR032</v>
      </c>
      <c r="B180" s="2" t="str">
        <f>IFERROR(__xludf.DUMMYFUNCTION("""COMPUTED_VALUE"""),"VD016")</f>
        <v>VD016</v>
      </c>
      <c r="C180" s="2">
        <f>IFERROR(__xludf.DUMMYFUNCTION("""COMPUTED_VALUE"""),27.0)</f>
        <v>27</v>
      </c>
      <c r="D180" s="6">
        <f>IFERROR(__xludf.DUMMYFUNCTION("""COMPUTED_VALUE"""),7897.5)</f>
        <v>7897.5</v>
      </c>
      <c r="E180" s="6">
        <f>IFERROR(__xludf.DUMMYFUNCTION("GOOGLEFINANCE(""Currency:BRLMXN"")*D180"),26827.8075)</f>
        <v>26827.8075</v>
      </c>
      <c r="F180" s="6">
        <f>IFERROR(__xludf.DUMMYFUNCTION("GOOGLEFINANCE(""Currency:BRLPEN"")*D180"),5177.601)</f>
        <v>5177.601</v>
      </c>
      <c r="G180" s="2" t="str">
        <f t="array" ref="G180">_xlfn.XLOOKUP(B180,Vendedores!$A$2:$A$41,Vendedores!$B$2:$B$41,"No hay datos")</f>
        <v>No hay datos</v>
      </c>
      <c r="H180" s="2" t="str">
        <f t="array" ref="H180">_xlfn.XLOOKUP(B180,Vendedores!$A$2:$A$41,Vendedores!$C$2:$C$41,"No hay datos")</f>
        <v>No hay datos</v>
      </c>
      <c r="I180" s="2" t="str">
        <f t="array" ref="I180">_xlfn.XLOOKUP(B180,Vendedores!$A$2:$A$41,Vendedores!$D$2:$D$41,"No hay datos")</f>
        <v>No hay datos</v>
      </c>
      <c r="J180" s="2" t="str">
        <f t="array" ref="J180">_xlfn.XLOOKUP(A180,Productos!$A$2:$A$61,Productos!$B$2:$F$61)</f>
        <v>#N/A</v>
      </c>
    </row>
    <row r="181">
      <c r="A181" s="2" t="str">
        <f>IFERROR(__xludf.DUMMYFUNCTION("""COMPUTED_VALUE"""),"PR006")</f>
        <v>PR006</v>
      </c>
      <c r="B181" s="2" t="str">
        <f>IFERROR(__xludf.DUMMYFUNCTION("""COMPUTED_VALUE"""),"VD015")</f>
        <v>VD015</v>
      </c>
      <c r="C181" s="2">
        <f>IFERROR(__xludf.DUMMYFUNCTION("""COMPUTED_VALUE"""),24.0)</f>
        <v>24</v>
      </c>
      <c r="D181" s="6">
        <f>IFERROR(__xludf.DUMMYFUNCTION("""COMPUTED_VALUE"""),1139.54)</f>
        <v>1139.54</v>
      </c>
      <c r="E181" s="6">
        <f>IFERROR(__xludf.DUMMYFUNCTION("GOOGLEFINANCE(""Currency:BRLMXN"")*D181"),3871.01738)</f>
        <v>3871.01738</v>
      </c>
      <c r="F181" s="6">
        <f>IFERROR(__xludf.DUMMYFUNCTION("GOOGLEFINANCE(""Currency:BRLPEN"")*D181"),747.082424)</f>
        <v>747.082424</v>
      </c>
      <c r="G181" s="2" t="str">
        <f t="array" ref="G181">_xlfn.XLOOKUP(B181,Vendedores!$A$2:$A$41,Vendedores!$B$2:$B$41,"No hay datos")</f>
        <v>No hay datos</v>
      </c>
      <c r="H181" s="2" t="str">
        <f t="array" ref="H181">_xlfn.XLOOKUP(B181,Vendedores!$A$2:$A$41,Vendedores!$C$2:$C$41,"No hay datos")</f>
        <v>No hay datos</v>
      </c>
      <c r="I181" s="2" t="str">
        <f t="array" ref="I181">_xlfn.XLOOKUP(B181,Vendedores!$A$2:$A$41,Vendedores!$D$2:$D$41,"No hay datos")</f>
        <v>No hay datos</v>
      </c>
      <c r="J181" s="2" t="str">
        <f t="array" ref="J181">_xlfn.XLOOKUP(A181,Productos!$A$2:$A$61,Productos!$B$2:$F$61)</f>
        <v>#N/A</v>
      </c>
    </row>
    <row r="182">
      <c r="A182" s="2" t="str">
        <f>IFERROR(__xludf.DUMMYFUNCTION("""COMPUTED_VALUE"""),"PR006")</f>
        <v>PR006</v>
      </c>
      <c r="B182" s="2" t="str">
        <f>IFERROR(__xludf.DUMMYFUNCTION("""COMPUTED_VALUE"""),"VD035")</f>
        <v>VD035</v>
      </c>
      <c r="C182" s="2">
        <f>IFERROR(__xludf.DUMMYFUNCTION("""COMPUTED_VALUE"""),30.0)</f>
        <v>30</v>
      </c>
      <c r="D182" s="6">
        <f>IFERROR(__xludf.DUMMYFUNCTION("""COMPUTED_VALUE"""),1340.64)</f>
        <v>1340.64</v>
      </c>
      <c r="E182" s="6">
        <f>IFERROR(__xludf.DUMMYFUNCTION("GOOGLEFINANCE(""Currency:BRLMXN"")*D182"),4554.15408)</f>
        <v>4554.15408</v>
      </c>
      <c r="F182" s="6">
        <f>IFERROR(__xludf.DUMMYFUNCTION("GOOGLEFINANCE(""Currency:BRLPEN"")*D182"),878.923584)</f>
        <v>878.923584</v>
      </c>
      <c r="G182" s="2" t="str">
        <f t="array" ref="G182">_xlfn.XLOOKUP(B182,Vendedores!$A$2:$A$41,Vendedores!$B$2:$B$41,"No hay datos")</f>
        <v>No hay datos</v>
      </c>
      <c r="H182" s="2" t="str">
        <f t="array" ref="H182">_xlfn.XLOOKUP(B182,Vendedores!$A$2:$A$41,Vendedores!$C$2:$C$41,"No hay datos")</f>
        <v>No hay datos</v>
      </c>
      <c r="I182" s="2" t="str">
        <f t="array" ref="I182">_xlfn.XLOOKUP(B182,Vendedores!$A$2:$A$41,Vendedores!$D$2:$D$41,"No hay datos")</f>
        <v>No hay datos</v>
      </c>
      <c r="J182" s="2" t="str">
        <f t="array" ref="J182">_xlfn.XLOOKUP(A182,Productos!$A$2:$A$61,Productos!$B$2:$F$61)</f>
        <v>#N/A</v>
      </c>
    </row>
    <row r="183">
      <c r="A183" s="2" t="str">
        <f>IFERROR(__xludf.DUMMYFUNCTION("""COMPUTED_VALUE"""),"PR051")</f>
        <v>PR051</v>
      </c>
      <c r="B183" s="2" t="str">
        <f>IFERROR(__xludf.DUMMYFUNCTION("""COMPUTED_VALUE"""),"VD024")</f>
        <v>VD024</v>
      </c>
      <c r="C183" s="2">
        <f>IFERROR(__xludf.DUMMYFUNCTION("""COMPUTED_VALUE"""),30.0)</f>
        <v>30</v>
      </c>
      <c r="D183" s="6">
        <f>IFERROR(__xludf.DUMMYFUNCTION("""COMPUTED_VALUE"""),1135.05)</f>
        <v>1135.05</v>
      </c>
      <c r="E183" s="6">
        <f>IFERROR(__xludf.DUMMYFUNCTION("GOOGLEFINANCE(""Currency:BRLMXN"")*D183"),3855.7648499999996)</f>
        <v>3855.76485</v>
      </c>
      <c r="F183" s="6">
        <f>IFERROR(__xludf.DUMMYFUNCTION("GOOGLEFINANCE(""Currency:BRLPEN"")*D183"),744.1387799999999)</f>
        <v>744.13878</v>
      </c>
      <c r="G183" s="2" t="str">
        <f t="array" ref="G183">_xlfn.XLOOKUP(B183,Vendedores!$A$2:$A$41,Vendedores!$B$2:$B$41,"No hay datos")</f>
        <v>No hay datos</v>
      </c>
      <c r="H183" s="2" t="str">
        <f t="array" ref="H183">_xlfn.XLOOKUP(B183,Vendedores!$A$2:$A$41,Vendedores!$C$2:$C$41,"No hay datos")</f>
        <v>No hay datos</v>
      </c>
      <c r="I183" s="2" t="str">
        <f t="array" ref="I183">_xlfn.XLOOKUP(B183,Vendedores!$A$2:$A$41,Vendedores!$D$2:$D$41,"No hay datos")</f>
        <v>No hay datos</v>
      </c>
      <c r="J183" s="2" t="str">
        <f t="array" ref="J183">_xlfn.XLOOKUP(A183,Productos!$A$2:$A$61,Productos!$B$2:$F$61)</f>
        <v>#N/A</v>
      </c>
    </row>
    <row r="184">
      <c r="A184" s="2" t="str">
        <f>IFERROR(__xludf.DUMMYFUNCTION("""COMPUTED_VALUE"""),"PR047")</f>
        <v>PR047</v>
      </c>
      <c r="B184" s="2" t="str">
        <f>IFERROR(__xludf.DUMMYFUNCTION("""COMPUTED_VALUE"""),"VD019")</f>
        <v>VD019</v>
      </c>
      <c r="C184" s="2">
        <f>IFERROR(__xludf.DUMMYFUNCTION("""COMPUTED_VALUE"""),27.0)</f>
        <v>27</v>
      </c>
      <c r="D184" s="6">
        <f>IFERROR(__xludf.DUMMYFUNCTION("""COMPUTED_VALUE"""),9157.94)</f>
        <v>9157.94</v>
      </c>
      <c r="E184" s="6">
        <f>IFERROR(__xludf.DUMMYFUNCTION("GOOGLEFINANCE(""Currency:BRLMXN"")*D184"),31109.52218)</f>
        <v>31109.52218</v>
      </c>
      <c r="F184" s="6">
        <f>IFERROR(__xludf.DUMMYFUNCTION("GOOGLEFINANCE(""Currency:BRLPEN"")*D184"),6003.945464)</f>
        <v>6003.945464</v>
      </c>
      <c r="G184" s="2" t="str">
        <f t="array" ref="G184">_xlfn.XLOOKUP(B184,Vendedores!$A$2:$A$41,Vendedores!$B$2:$B$41,"No hay datos")</f>
        <v>No hay datos</v>
      </c>
      <c r="H184" s="2" t="str">
        <f t="array" ref="H184">_xlfn.XLOOKUP(B184,Vendedores!$A$2:$A$41,Vendedores!$C$2:$C$41,"No hay datos")</f>
        <v>No hay datos</v>
      </c>
      <c r="I184" s="2" t="str">
        <f t="array" ref="I184">_xlfn.XLOOKUP(B184,Vendedores!$A$2:$A$41,Vendedores!$D$2:$D$41,"No hay datos")</f>
        <v>No hay datos</v>
      </c>
      <c r="J184" s="2" t="str">
        <f t="array" ref="J184">_xlfn.XLOOKUP(A184,Productos!$A$2:$A$61,Productos!$B$2:$F$61)</f>
        <v>#N/A</v>
      </c>
    </row>
    <row r="185">
      <c r="A185" s="2" t="str">
        <f>IFERROR(__xludf.DUMMYFUNCTION("""COMPUTED_VALUE"""),"PR006")</f>
        <v>PR006</v>
      </c>
      <c r="B185" s="2" t="str">
        <f>IFERROR(__xludf.DUMMYFUNCTION("""COMPUTED_VALUE"""),"VD030")</f>
        <v>VD030</v>
      </c>
      <c r="C185" s="2">
        <f>IFERROR(__xludf.DUMMYFUNCTION("""COMPUTED_VALUE"""),9.0)</f>
        <v>9</v>
      </c>
      <c r="D185" s="6">
        <f>IFERROR(__xludf.DUMMYFUNCTION("""COMPUTED_VALUE"""),395.01)</f>
        <v>395.01</v>
      </c>
      <c r="E185" s="6">
        <f>IFERROR(__xludf.DUMMYFUNCTION("GOOGLEFINANCE(""Currency:BRLMXN"")*D185"),1341.8489699999998)</f>
        <v>1341.84897</v>
      </c>
      <c r="F185" s="6">
        <f>IFERROR(__xludf.DUMMYFUNCTION("GOOGLEFINANCE(""Currency:BRLPEN"")*D185"),258.968556)</f>
        <v>258.968556</v>
      </c>
      <c r="G185" s="2" t="str">
        <f t="array" ref="G185">_xlfn.XLOOKUP(B185,Vendedores!$A$2:$A$41,Vendedores!$B$2:$B$41,"No hay datos")</f>
        <v>No hay datos</v>
      </c>
      <c r="H185" s="2" t="str">
        <f t="array" ref="H185">_xlfn.XLOOKUP(B185,Vendedores!$A$2:$A$41,Vendedores!$C$2:$C$41,"No hay datos")</f>
        <v>No hay datos</v>
      </c>
      <c r="I185" s="2" t="str">
        <f t="array" ref="I185">_xlfn.XLOOKUP(B185,Vendedores!$A$2:$A$41,Vendedores!$D$2:$D$41,"No hay datos")</f>
        <v>No hay datos</v>
      </c>
      <c r="J185" s="2" t="str">
        <f t="array" ref="J185">_xlfn.XLOOKUP(A185,Productos!$A$2:$A$61,Productos!$B$2:$F$61)</f>
        <v>#N/A</v>
      </c>
    </row>
    <row r="186">
      <c r="A186" s="2" t="str">
        <f>IFERROR(__xludf.DUMMYFUNCTION("""COMPUTED_VALUE"""),"PR050")</f>
        <v>PR050</v>
      </c>
      <c r="B186" s="2" t="str">
        <f>IFERROR(__xludf.DUMMYFUNCTION("""COMPUTED_VALUE"""),"VD016")</f>
        <v>VD016</v>
      </c>
      <c r="C186" s="2">
        <f>IFERROR(__xludf.DUMMYFUNCTION("""COMPUTED_VALUE"""),27.0)</f>
        <v>27</v>
      </c>
      <c r="D186" s="6">
        <f>IFERROR(__xludf.DUMMYFUNCTION("""COMPUTED_VALUE"""),1030.43)</f>
        <v>1030.43</v>
      </c>
      <c r="E186" s="6">
        <f>IFERROR(__xludf.DUMMYFUNCTION("GOOGLEFINANCE(""Currency:BRLMXN"")*D186"),3500.37071)</f>
        <v>3500.37071</v>
      </c>
      <c r="F186" s="6">
        <f>IFERROR(__xludf.DUMMYFUNCTION("GOOGLEFINANCE(""Currency:BRLPEN"")*D186"),675.549908)</f>
        <v>675.549908</v>
      </c>
      <c r="G186" s="2" t="str">
        <f t="array" ref="G186">_xlfn.XLOOKUP(B186,Vendedores!$A$2:$A$41,Vendedores!$B$2:$B$41,"No hay datos")</f>
        <v>No hay datos</v>
      </c>
      <c r="H186" s="2" t="str">
        <f t="array" ref="H186">_xlfn.XLOOKUP(B186,Vendedores!$A$2:$A$41,Vendedores!$C$2:$C$41,"No hay datos")</f>
        <v>No hay datos</v>
      </c>
      <c r="I186" s="2" t="str">
        <f t="array" ref="I186">_xlfn.XLOOKUP(B186,Vendedores!$A$2:$A$41,Vendedores!$D$2:$D$41,"No hay datos")</f>
        <v>No hay datos</v>
      </c>
      <c r="J186" s="2" t="str">
        <f t="array" ref="J186">_xlfn.XLOOKUP(A186,Productos!$A$2:$A$61,Productos!$B$2:$F$61)</f>
        <v>#N/A</v>
      </c>
    </row>
    <row r="187">
      <c r="A187" s="2" t="str">
        <f>IFERROR(__xludf.DUMMYFUNCTION("""COMPUTED_VALUE"""),"PR019")</f>
        <v>PR019</v>
      </c>
      <c r="B187" s="2" t="str">
        <f>IFERROR(__xludf.DUMMYFUNCTION("""COMPUTED_VALUE"""),"VD042")</f>
        <v>VD042</v>
      </c>
      <c r="C187" s="2">
        <f>IFERROR(__xludf.DUMMYFUNCTION("""COMPUTED_VALUE"""),18.0)</f>
        <v>18</v>
      </c>
      <c r="D187" s="6">
        <f>IFERROR(__xludf.DUMMYFUNCTION("""COMPUTED_VALUE"""),1014.97)</f>
        <v>1014.97</v>
      </c>
      <c r="E187" s="6">
        <f>IFERROR(__xludf.DUMMYFUNCTION("GOOGLEFINANCE(""Currency:BRLMXN"")*D187"),3447.85309)</f>
        <v>3447.85309</v>
      </c>
      <c r="F187" s="6">
        <f>IFERROR(__xludf.DUMMYFUNCTION("GOOGLEFINANCE(""Currency:BRLPEN"")*D187"),665.414332)</f>
        <v>665.414332</v>
      </c>
      <c r="G187" s="2" t="str">
        <f t="array" ref="G187">_xlfn.XLOOKUP(B187,Vendedores!$A$2:$A$41,Vendedores!$B$2:$B$41,"No hay datos")</f>
        <v>No hay datos</v>
      </c>
      <c r="H187" s="2" t="str">
        <f t="array" ref="H187">_xlfn.XLOOKUP(B187,Vendedores!$A$2:$A$41,Vendedores!$C$2:$C$41,"No hay datos")</f>
        <v>No hay datos</v>
      </c>
      <c r="I187" s="2" t="str">
        <f t="array" ref="I187">_xlfn.XLOOKUP(B187,Vendedores!$A$2:$A$41,Vendedores!$D$2:$D$41,"No hay datos")</f>
        <v>No hay datos</v>
      </c>
      <c r="J187" s="2" t="str">
        <f t="array" ref="J187">_xlfn.XLOOKUP(A187,Productos!$A$2:$A$61,Productos!$B$2:$F$61)</f>
        <v>#N/A</v>
      </c>
    </row>
    <row r="188">
      <c r="A188" s="2" t="str">
        <f>IFERROR(__xludf.DUMMYFUNCTION("""COMPUTED_VALUE"""),"PR044")</f>
        <v>PR044</v>
      </c>
      <c r="B188" s="2" t="str">
        <f>IFERROR(__xludf.DUMMYFUNCTION("""COMPUTED_VALUE"""),"VD011")</f>
        <v>VD011</v>
      </c>
      <c r="C188" s="2">
        <f>IFERROR(__xludf.DUMMYFUNCTION("""COMPUTED_VALUE"""),27.0)</f>
        <v>27</v>
      </c>
      <c r="D188" s="6">
        <f>IFERROR(__xludf.DUMMYFUNCTION("""COMPUTED_VALUE"""),2153.25)</f>
        <v>2153.25</v>
      </c>
      <c r="E188" s="6">
        <f>IFERROR(__xludf.DUMMYFUNCTION("GOOGLEFINANCE(""Currency:BRLMXN"")*D188"),7314.590249999999)</f>
        <v>7314.59025</v>
      </c>
      <c r="F188" s="6">
        <f>IFERROR(__xludf.DUMMYFUNCTION("GOOGLEFINANCE(""Currency:BRLPEN"")*D188"),1411.6707)</f>
        <v>1411.6707</v>
      </c>
      <c r="G188" s="2" t="str">
        <f t="array" ref="G188">_xlfn.XLOOKUP(B188,Vendedores!$A$2:$A$41,Vendedores!$B$2:$B$41,"No hay datos")</f>
        <v>No hay datos</v>
      </c>
      <c r="H188" s="2" t="str">
        <f t="array" ref="H188">_xlfn.XLOOKUP(B188,Vendedores!$A$2:$A$41,Vendedores!$C$2:$C$41,"No hay datos")</f>
        <v>No hay datos</v>
      </c>
      <c r="I188" s="2" t="str">
        <f t="array" ref="I188">_xlfn.XLOOKUP(B188,Vendedores!$A$2:$A$41,Vendedores!$D$2:$D$41,"No hay datos")</f>
        <v>No hay datos</v>
      </c>
      <c r="J188" s="2" t="str">
        <f t="array" ref="J188">_xlfn.XLOOKUP(A188,Productos!$A$2:$A$61,Productos!$B$2:$F$61)</f>
        <v>#N/A</v>
      </c>
    </row>
    <row r="189">
      <c r="A189" s="2" t="str">
        <f>IFERROR(__xludf.DUMMYFUNCTION("""COMPUTED_VALUE"""),"PR017")</f>
        <v>PR017</v>
      </c>
      <c r="B189" s="2" t="str">
        <f>IFERROR(__xludf.DUMMYFUNCTION("""COMPUTED_VALUE"""),"VD019")</f>
        <v>VD019</v>
      </c>
      <c r="C189" s="2">
        <f>IFERROR(__xludf.DUMMYFUNCTION("""COMPUTED_VALUE"""),18.0)</f>
        <v>18</v>
      </c>
      <c r="D189" s="6">
        <f>IFERROR(__xludf.DUMMYFUNCTION("""COMPUTED_VALUE"""),613.55)</f>
        <v>613.55</v>
      </c>
      <c r="E189" s="6">
        <f>IFERROR(__xludf.DUMMYFUNCTION("GOOGLEFINANCE(""Currency:BRLMXN"")*D189"),2084.2293499999996)</f>
        <v>2084.22935</v>
      </c>
      <c r="F189" s="6">
        <f>IFERROR(__xludf.DUMMYFUNCTION("GOOGLEFINANCE(""Currency:BRLPEN"")*D189"),402.24337999999995)</f>
        <v>402.24338</v>
      </c>
      <c r="G189" s="2" t="str">
        <f t="array" ref="G189">_xlfn.XLOOKUP(B189,Vendedores!$A$2:$A$41,Vendedores!$B$2:$B$41,"No hay datos")</f>
        <v>No hay datos</v>
      </c>
      <c r="H189" s="2" t="str">
        <f t="array" ref="H189">_xlfn.XLOOKUP(B189,Vendedores!$A$2:$A$41,Vendedores!$C$2:$C$41,"No hay datos")</f>
        <v>No hay datos</v>
      </c>
      <c r="I189" s="2" t="str">
        <f t="array" ref="I189">_xlfn.XLOOKUP(B189,Vendedores!$A$2:$A$41,Vendedores!$D$2:$D$41,"No hay datos")</f>
        <v>No hay datos</v>
      </c>
      <c r="J189" s="2" t="str">
        <f t="array" ref="J189">_xlfn.XLOOKUP(A189,Productos!$A$2:$A$61,Productos!$B$2:$F$61)</f>
        <v>#N/A</v>
      </c>
    </row>
    <row r="190">
      <c r="A190" s="2" t="str">
        <f>IFERROR(__xludf.DUMMYFUNCTION("""COMPUTED_VALUE"""),"PR004")</f>
        <v>PR004</v>
      </c>
      <c r="B190" s="2" t="str">
        <f>IFERROR(__xludf.DUMMYFUNCTION("""COMPUTED_VALUE"""),"VD033")</f>
        <v>VD033</v>
      </c>
      <c r="C190" s="2">
        <f>IFERROR(__xludf.DUMMYFUNCTION("""COMPUTED_VALUE"""),24.0)</f>
        <v>24</v>
      </c>
      <c r="D190" s="6">
        <f>IFERROR(__xludf.DUMMYFUNCTION("""COMPUTED_VALUE"""),4141.2)</f>
        <v>4141.2</v>
      </c>
      <c r="E190" s="6">
        <f>IFERROR(__xludf.DUMMYFUNCTION("GOOGLEFINANCE(""Currency:BRLMXN"")*D190"),14067.656399999998)</f>
        <v>14067.6564</v>
      </c>
      <c r="F190" s="6">
        <f>IFERROR(__xludf.DUMMYFUNCTION("GOOGLEFINANCE(""Currency:BRLPEN"")*D190"),2714.97072)</f>
        <v>2714.97072</v>
      </c>
      <c r="G190" s="2" t="str">
        <f t="array" ref="G190">_xlfn.XLOOKUP(B190,Vendedores!$A$2:$A$41,Vendedores!$B$2:$B$41,"No hay datos")</f>
        <v>No hay datos</v>
      </c>
      <c r="H190" s="2" t="str">
        <f t="array" ref="H190">_xlfn.XLOOKUP(B190,Vendedores!$A$2:$A$41,Vendedores!$C$2:$C$41,"No hay datos")</f>
        <v>No hay datos</v>
      </c>
      <c r="I190" s="2" t="str">
        <f t="array" ref="I190">_xlfn.XLOOKUP(B190,Vendedores!$A$2:$A$41,Vendedores!$D$2:$D$41,"No hay datos")</f>
        <v>No hay datos</v>
      </c>
      <c r="J190" s="2" t="str">
        <f t="array" ref="J190">_xlfn.XLOOKUP(A190,Productos!$A$2:$A$61,Productos!$B$2:$F$61)</f>
        <v>#N/A</v>
      </c>
    </row>
    <row r="191">
      <c r="A191" s="2" t="str">
        <f>IFERROR(__xludf.DUMMYFUNCTION("""COMPUTED_VALUE"""),"PR059")</f>
        <v>PR059</v>
      </c>
      <c r="B191" s="2" t="str">
        <f>IFERROR(__xludf.DUMMYFUNCTION("""COMPUTED_VALUE"""),"VD028")</f>
        <v>VD028</v>
      </c>
      <c r="C191" s="2">
        <f>IFERROR(__xludf.DUMMYFUNCTION("""COMPUTED_VALUE"""),12.0)</f>
        <v>12</v>
      </c>
      <c r="D191" s="6">
        <f>IFERROR(__xludf.DUMMYFUNCTION("""COMPUTED_VALUE"""),2527.2)</f>
        <v>2527.2</v>
      </c>
      <c r="E191" s="6">
        <f>IFERROR(__xludf.DUMMYFUNCTION("GOOGLEFINANCE(""Currency:BRLMXN"")*D191"),8584.898399999998)</f>
        <v>8584.8984</v>
      </c>
      <c r="F191" s="6">
        <f>IFERROR(__xludf.DUMMYFUNCTION("GOOGLEFINANCE(""Currency:BRLPEN"")*D191"),1656.8323199999998)</f>
        <v>1656.83232</v>
      </c>
      <c r="G191" s="2" t="str">
        <f t="array" ref="G191">_xlfn.XLOOKUP(B191,Vendedores!$A$2:$A$41,Vendedores!$B$2:$B$41,"No hay datos")</f>
        <v>No hay datos</v>
      </c>
      <c r="H191" s="2" t="str">
        <f t="array" ref="H191">_xlfn.XLOOKUP(B191,Vendedores!$A$2:$A$41,Vendedores!$C$2:$C$41,"No hay datos")</f>
        <v>No hay datos</v>
      </c>
      <c r="I191" s="2" t="str">
        <f t="array" ref="I191">_xlfn.XLOOKUP(B191,Vendedores!$A$2:$A$41,Vendedores!$D$2:$D$41,"No hay datos")</f>
        <v>No hay datos</v>
      </c>
      <c r="J191" s="2" t="str">
        <f t="array" ref="J191">_xlfn.XLOOKUP(A191,Productos!$A$2:$A$61,Productos!$B$2:$F$61)</f>
        <v>#N/A</v>
      </c>
    </row>
    <row r="192">
      <c r="A192" s="2" t="str">
        <f>IFERROR(__xludf.DUMMYFUNCTION("""COMPUTED_VALUE"""),"PR003")</f>
        <v>PR003</v>
      </c>
      <c r="B192" s="2" t="str">
        <f>IFERROR(__xludf.DUMMYFUNCTION("""COMPUTED_VALUE"""),"VD040")</f>
        <v>VD040</v>
      </c>
      <c r="C192" s="2">
        <f>IFERROR(__xludf.DUMMYFUNCTION("""COMPUTED_VALUE"""),16.0)</f>
        <v>16</v>
      </c>
      <c r="D192" s="6">
        <f>IFERROR(__xludf.DUMMYFUNCTION("""COMPUTED_VALUE"""),1247.84)</f>
        <v>1247.84</v>
      </c>
      <c r="E192" s="6">
        <f>IFERROR(__xludf.DUMMYFUNCTION("GOOGLEFINANCE(""Currency:BRLMXN"")*D192"),4238.912479999999)</f>
        <v>4238.91248</v>
      </c>
      <c r="F192" s="6">
        <f>IFERROR(__xludf.DUMMYFUNCTION("GOOGLEFINANCE(""Currency:BRLPEN"")*D192"),818.0839039999998)</f>
        <v>818.083904</v>
      </c>
      <c r="G192" s="2" t="str">
        <f t="array" ref="G192">_xlfn.XLOOKUP(B192,Vendedores!$A$2:$A$41,Vendedores!$B$2:$B$41,"No hay datos")</f>
        <v>No hay datos</v>
      </c>
      <c r="H192" s="2" t="str">
        <f t="array" ref="H192">_xlfn.XLOOKUP(B192,Vendedores!$A$2:$A$41,Vendedores!$C$2:$C$41,"No hay datos")</f>
        <v>No hay datos</v>
      </c>
      <c r="I192" s="2" t="str">
        <f t="array" ref="I192">_xlfn.XLOOKUP(B192,Vendedores!$A$2:$A$41,Vendedores!$D$2:$D$41,"No hay datos")</f>
        <v>No hay datos</v>
      </c>
      <c r="J192" s="2" t="str">
        <f t="array" ref="J192">_xlfn.XLOOKUP(A192,Productos!$A$2:$A$61,Productos!$B$2:$F$61)</f>
        <v>#N/A</v>
      </c>
    </row>
    <row r="193">
      <c r="A193" s="2" t="str">
        <f>IFERROR(__xludf.DUMMYFUNCTION("""COMPUTED_VALUE"""),"PR055")</f>
        <v>PR055</v>
      </c>
      <c r="B193" s="2" t="str">
        <f>IFERROR(__xludf.DUMMYFUNCTION("""COMPUTED_VALUE"""),"VD018")</f>
        <v>VD018</v>
      </c>
      <c r="C193" s="2">
        <f>IFERROR(__xludf.DUMMYFUNCTION("""COMPUTED_VALUE"""),14.0)</f>
        <v>14</v>
      </c>
      <c r="D193" s="6">
        <f>IFERROR(__xludf.DUMMYFUNCTION("""COMPUTED_VALUE"""),1485.15)</f>
        <v>1485.15</v>
      </c>
      <c r="E193" s="6">
        <f>IFERROR(__xludf.DUMMYFUNCTION("GOOGLEFINANCE(""Currency:BRLMXN"")*D193"),5045.05455)</f>
        <v>5045.05455</v>
      </c>
      <c r="F193" s="6">
        <f>IFERROR(__xludf.DUMMYFUNCTION("GOOGLEFINANCE(""Currency:BRLPEN"")*D193"),973.66434)</f>
        <v>973.66434</v>
      </c>
      <c r="G193" s="2" t="str">
        <f t="array" ref="G193">_xlfn.XLOOKUP(B193,Vendedores!$A$2:$A$41,Vendedores!$B$2:$B$41,"No hay datos")</f>
        <v>No hay datos</v>
      </c>
      <c r="H193" s="2" t="str">
        <f t="array" ref="H193">_xlfn.XLOOKUP(B193,Vendedores!$A$2:$A$41,Vendedores!$C$2:$C$41,"No hay datos")</f>
        <v>No hay datos</v>
      </c>
      <c r="I193" s="2" t="str">
        <f t="array" ref="I193">_xlfn.XLOOKUP(B193,Vendedores!$A$2:$A$41,Vendedores!$D$2:$D$41,"No hay datos")</f>
        <v>No hay datos</v>
      </c>
      <c r="J193" s="2" t="str">
        <f t="array" ref="J193">_xlfn.XLOOKUP(A193,Productos!$A$2:$A$61,Productos!$B$2:$F$61)</f>
        <v>#N/A</v>
      </c>
    </row>
    <row r="194">
      <c r="A194" s="2" t="str">
        <f>IFERROR(__xludf.DUMMYFUNCTION("""COMPUTED_VALUE"""),"PR041")</f>
        <v>PR041</v>
      </c>
      <c r="B194" s="2" t="str">
        <f>IFERROR(__xludf.DUMMYFUNCTION("""COMPUTED_VALUE"""),"VD031")</f>
        <v>VD031</v>
      </c>
      <c r="C194" s="2">
        <f>IFERROR(__xludf.DUMMYFUNCTION("""COMPUTED_VALUE"""),21.0)</f>
        <v>21</v>
      </c>
      <c r="D194" s="6">
        <f>IFERROR(__xludf.DUMMYFUNCTION("""COMPUTED_VALUE"""),1314.31)</f>
        <v>1314.31</v>
      </c>
      <c r="E194" s="6">
        <f>IFERROR(__xludf.DUMMYFUNCTION("GOOGLEFINANCE(""Currency:BRLMXN"")*D194"),4464.711069999999)</f>
        <v>4464.71107</v>
      </c>
      <c r="F194" s="6">
        <f>IFERROR(__xludf.DUMMYFUNCTION("GOOGLEFINANCE(""Currency:BRLPEN"")*D194"),861.6616359999999)</f>
        <v>861.661636</v>
      </c>
      <c r="G194" s="2" t="str">
        <f t="array" ref="G194">_xlfn.XLOOKUP(B194,Vendedores!$A$2:$A$41,Vendedores!$B$2:$B$41,"No hay datos")</f>
        <v>No hay datos</v>
      </c>
      <c r="H194" s="2" t="str">
        <f t="array" ref="H194">_xlfn.XLOOKUP(B194,Vendedores!$A$2:$A$41,Vendedores!$C$2:$C$41,"No hay datos")</f>
        <v>No hay datos</v>
      </c>
      <c r="I194" s="2" t="str">
        <f t="array" ref="I194">_xlfn.XLOOKUP(B194,Vendedores!$A$2:$A$41,Vendedores!$D$2:$D$41,"No hay datos")</f>
        <v>No hay datos</v>
      </c>
      <c r="J194" s="2" t="str">
        <f t="array" ref="J194">_xlfn.XLOOKUP(A194,Productos!$A$2:$A$61,Productos!$B$2:$F$61)</f>
        <v>#N/A</v>
      </c>
    </row>
    <row r="195">
      <c r="A195" s="2" t="str">
        <f>IFERROR(__xludf.DUMMYFUNCTION("""COMPUTED_VALUE"""),"PR056")</f>
        <v>PR056</v>
      </c>
      <c r="B195" s="2" t="str">
        <f>IFERROR(__xludf.DUMMYFUNCTION("""COMPUTED_VALUE"""),"VD040")</f>
        <v>VD040</v>
      </c>
      <c r="C195" s="2">
        <f>IFERROR(__xludf.DUMMYFUNCTION("""COMPUTED_VALUE"""),16.0)</f>
        <v>16</v>
      </c>
      <c r="D195" s="6">
        <f>IFERROR(__xludf.DUMMYFUNCTION("""COMPUTED_VALUE"""),1639.78)</f>
        <v>1639.78</v>
      </c>
      <c r="E195" s="6">
        <f>IFERROR(__xludf.DUMMYFUNCTION("GOOGLEFINANCE(""Currency:BRLMXN"")*D195"),5570.332659999999)</f>
        <v>5570.33266</v>
      </c>
      <c r="F195" s="6">
        <f>IFERROR(__xludf.DUMMYFUNCTION("GOOGLEFINANCE(""Currency:BRLPEN"")*D195"),1075.0397679999999)</f>
        <v>1075.039768</v>
      </c>
      <c r="G195" s="2" t="str">
        <f t="array" ref="G195">_xlfn.XLOOKUP(B195,Vendedores!$A$2:$A$41,Vendedores!$B$2:$B$41,"No hay datos")</f>
        <v>No hay datos</v>
      </c>
      <c r="H195" s="2" t="str">
        <f t="array" ref="H195">_xlfn.XLOOKUP(B195,Vendedores!$A$2:$A$41,Vendedores!$C$2:$C$41,"No hay datos")</f>
        <v>No hay datos</v>
      </c>
      <c r="I195" s="2" t="str">
        <f t="array" ref="I195">_xlfn.XLOOKUP(B195,Vendedores!$A$2:$A$41,Vendedores!$D$2:$D$41,"No hay datos")</f>
        <v>No hay datos</v>
      </c>
      <c r="J195" s="2" t="str">
        <f t="array" ref="J195">_xlfn.XLOOKUP(A195,Productos!$A$2:$A$61,Productos!$B$2:$F$61)</f>
        <v>#N/A</v>
      </c>
    </row>
    <row r="196">
      <c r="A196" s="2" t="str">
        <f>IFERROR(__xludf.DUMMYFUNCTION("""COMPUTED_VALUE"""),"PR038")</f>
        <v>PR038</v>
      </c>
      <c r="B196" s="2" t="str">
        <f>IFERROR(__xludf.DUMMYFUNCTION("""COMPUTED_VALUE"""),"VD028")</f>
        <v>VD028</v>
      </c>
      <c r="C196" s="2">
        <f>IFERROR(__xludf.DUMMYFUNCTION("""COMPUTED_VALUE"""),24.0)</f>
        <v>24</v>
      </c>
      <c r="D196" s="6">
        <f>IFERROR(__xludf.DUMMYFUNCTION("""COMPUTED_VALUE"""),3772.56)</f>
        <v>3772.56</v>
      </c>
      <c r="E196" s="6">
        <f>IFERROR(__xludf.DUMMYFUNCTION("GOOGLEFINANCE(""Currency:BRLMXN"")*D196"),12815.38632)</f>
        <v>12815.38632</v>
      </c>
      <c r="F196" s="6">
        <f>IFERROR(__xludf.DUMMYFUNCTION("GOOGLEFINANCE(""Currency:BRLPEN"")*D196"),2473.290336)</f>
        <v>2473.290336</v>
      </c>
      <c r="G196" s="2" t="str">
        <f t="array" ref="G196">_xlfn.XLOOKUP(B196,Vendedores!$A$2:$A$41,Vendedores!$B$2:$B$41,"No hay datos")</f>
        <v>No hay datos</v>
      </c>
      <c r="H196" s="2" t="str">
        <f t="array" ref="H196">_xlfn.XLOOKUP(B196,Vendedores!$A$2:$A$41,Vendedores!$C$2:$C$41,"No hay datos")</f>
        <v>No hay datos</v>
      </c>
      <c r="I196" s="2" t="str">
        <f t="array" ref="I196">_xlfn.XLOOKUP(B196,Vendedores!$A$2:$A$41,Vendedores!$D$2:$D$41,"No hay datos")</f>
        <v>No hay datos</v>
      </c>
      <c r="J196" s="2" t="str">
        <f t="array" ref="J196">_xlfn.XLOOKUP(A196,Productos!$A$2:$A$61,Productos!$B$2:$F$61)</f>
        <v>#N/A</v>
      </c>
    </row>
    <row r="197">
      <c r="A197" s="2" t="str">
        <f>IFERROR(__xludf.DUMMYFUNCTION("""COMPUTED_VALUE"""),"PR022")</f>
        <v>PR022</v>
      </c>
      <c r="B197" s="2" t="str">
        <f>IFERROR(__xludf.DUMMYFUNCTION("""COMPUTED_VALUE"""),"VD045")</f>
        <v>VD045</v>
      </c>
      <c r="C197" s="2">
        <f>IFERROR(__xludf.DUMMYFUNCTION("""COMPUTED_VALUE"""),21.0)</f>
        <v>21</v>
      </c>
      <c r="D197" s="6">
        <f>IFERROR(__xludf.DUMMYFUNCTION("""COMPUTED_VALUE"""),7371.0)</f>
        <v>7371</v>
      </c>
      <c r="E197" s="6">
        <f>IFERROR(__xludf.DUMMYFUNCTION("GOOGLEFINANCE(""Currency:BRLMXN"")*D197"),25039.287)</f>
        <v>25039.287</v>
      </c>
      <c r="F197" s="6">
        <f>IFERROR(__xludf.DUMMYFUNCTION("GOOGLEFINANCE(""Currency:BRLPEN"")*D197"),4832.4276)</f>
        <v>4832.4276</v>
      </c>
      <c r="G197" s="2" t="str">
        <f t="array" ref="G197">_xlfn.XLOOKUP(B197,Vendedores!$A$2:$A$41,Vendedores!$B$2:$B$41,"No hay datos")</f>
        <v>No hay datos</v>
      </c>
      <c r="H197" s="2" t="str">
        <f t="array" ref="H197">_xlfn.XLOOKUP(B197,Vendedores!$A$2:$A$41,Vendedores!$C$2:$C$41,"No hay datos")</f>
        <v>No hay datos</v>
      </c>
      <c r="I197" s="2" t="str">
        <f t="array" ref="I197">_xlfn.XLOOKUP(B197,Vendedores!$A$2:$A$41,Vendedores!$D$2:$D$41,"No hay datos")</f>
        <v>No hay datos</v>
      </c>
      <c r="J197" s="2" t="str">
        <f t="array" ref="J197">_xlfn.XLOOKUP(A197,Productos!$A$2:$A$61,Productos!$B$2:$F$61)</f>
        <v>#N/A</v>
      </c>
    </row>
    <row r="198">
      <c r="A198" s="2" t="str">
        <f>IFERROR(__xludf.DUMMYFUNCTION("""COMPUTED_VALUE"""),"PR023")</f>
        <v>PR023</v>
      </c>
      <c r="B198" s="2" t="str">
        <f>IFERROR(__xludf.DUMMYFUNCTION("""COMPUTED_VALUE"""),"VD024")</f>
        <v>VD024</v>
      </c>
      <c r="C198" s="2">
        <f>IFERROR(__xludf.DUMMYFUNCTION("""COMPUTED_VALUE"""),14.0)</f>
        <v>14</v>
      </c>
      <c r="D198" s="6">
        <f>IFERROR(__xludf.DUMMYFUNCTION("""COMPUTED_VALUE"""),4093.36)</f>
        <v>4093.36</v>
      </c>
      <c r="E198" s="6">
        <f>IFERROR(__xludf.DUMMYFUNCTION("GOOGLEFINANCE(""Currency:BRLMXN"")*D198"),13905.14392)</f>
        <v>13905.14392</v>
      </c>
      <c r="F198" s="6">
        <f>IFERROR(__xludf.DUMMYFUNCTION("GOOGLEFINANCE(""Currency:BRLPEN"")*D198"),2683.606816)</f>
        <v>2683.606816</v>
      </c>
      <c r="G198" s="2" t="str">
        <f t="array" ref="G198">_xlfn.XLOOKUP(B198,Vendedores!$A$2:$A$41,Vendedores!$B$2:$B$41,"No hay datos")</f>
        <v>No hay datos</v>
      </c>
      <c r="H198" s="2" t="str">
        <f t="array" ref="H198">_xlfn.XLOOKUP(B198,Vendedores!$A$2:$A$41,Vendedores!$C$2:$C$41,"No hay datos")</f>
        <v>No hay datos</v>
      </c>
      <c r="I198" s="2" t="str">
        <f t="array" ref="I198">_xlfn.XLOOKUP(B198,Vendedores!$A$2:$A$41,Vendedores!$D$2:$D$41,"No hay datos")</f>
        <v>No hay datos</v>
      </c>
      <c r="J198" s="2" t="str">
        <f t="array" ref="J198">_xlfn.XLOOKUP(A198,Productos!$A$2:$A$61,Productos!$B$2:$F$61)</f>
        <v>#N/A</v>
      </c>
    </row>
    <row r="199">
      <c r="A199" s="2" t="str">
        <f>IFERROR(__xludf.DUMMYFUNCTION("""COMPUTED_VALUE"""),"PR053")</f>
        <v>PR053</v>
      </c>
      <c r="B199" s="2" t="str">
        <f>IFERROR(__xludf.DUMMYFUNCTION("""COMPUTED_VALUE"""),"VD019")</f>
        <v>VD019</v>
      </c>
      <c r="C199" s="2">
        <f>IFERROR(__xludf.DUMMYFUNCTION("""COMPUTED_VALUE"""),21.0)</f>
        <v>21</v>
      </c>
      <c r="D199" s="6">
        <f>IFERROR(__xludf.DUMMYFUNCTION("""COMPUTED_VALUE"""),1152.69)</f>
        <v>1152.69</v>
      </c>
      <c r="E199" s="6">
        <f>IFERROR(__xludf.DUMMYFUNCTION("GOOGLEFINANCE(""Currency:BRLMXN"")*D199"),3915.68793)</f>
        <v>3915.68793</v>
      </c>
      <c r="F199" s="6">
        <f>IFERROR(__xludf.DUMMYFUNCTION("GOOGLEFINANCE(""Currency:BRLPEN"")*D199"),755.703564)</f>
        <v>755.703564</v>
      </c>
      <c r="G199" s="2" t="str">
        <f t="array" ref="G199">_xlfn.XLOOKUP(B199,Vendedores!$A$2:$A$41,Vendedores!$B$2:$B$41,"No hay datos")</f>
        <v>No hay datos</v>
      </c>
      <c r="H199" s="2" t="str">
        <f t="array" ref="H199">_xlfn.XLOOKUP(B199,Vendedores!$A$2:$A$41,Vendedores!$C$2:$C$41,"No hay datos")</f>
        <v>No hay datos</v>
      </c>
      <c r="I199" s="2" t="str">
        <f t="array" ref="I199">_xlfn.XLOOKUP(B199,Vendedores!$A$2:$A$41,Vendedores!$D$2:$D$41,"No hay datos")</f>
        <v>No hay datos</v>
      </c>
      <c r="J199" s="2" t="str">
        <f t="array" ref="J199">_xlfn.XLOOKUP(A199,Productos!$A$2:$A$61,Productos!$B$2:$F$61)</f>
        <v>#N/A</v>
      </c>
    </row>
    <row r="200">
      <c r="A200" s="2" t="str">
        <f>IFERROR(__xludf.DUMMYFUNCTION("""COMPUTED_VALUE"""),"PR046")</f>
        <v>PR046</v>
      </c>
      <c r="B200" s="2" t="str">
        <f>IFERROR(__xludf.DUMMYFUNCTION("""COMPUTED_VALUE"""),"VD047")</f>
        <v>VD047</v>
      </c>
      <c r="C200" s="2">
        <f>IFERROR(__xludf.DUMMYFUNCTION("""COMPUTED_VALUE"""),16.0)</f>
        <v>16</v>
      </c>
      <c r="D200" s="6">
        <f>IFERROR(__xludf.DUMMYFUNCTION("""COMPUTED_VALUE"""),5566.08)</f>
        <v>5566.08</v>
      </c>
      <c r="E200" s="6">
        <f>IFERROR(__xludf.DUMMYFUNCTION("GOOGLEFINANCE(""Currency:BRLMXN"")*D200"),18907.973759999997)</f>
        <v>18907.97376</v>
      </c>
      <c r="F200" s="6">
        <f>IFERROR(__xludf.DUMMYFUNCTION("GOOGLEFINANCE(""Currency:BRLPEN"")*D200"),3649.1220479999997)</f>
        <v>3649.122048</v>
      </c>
      <c r="G200" s="2" t="str">
        <f t="array" ref="G200">_xlfn.XLOOKUP(B200,Vendedores!$A$2:$A$41,Vendedores!$B$2:$B$41,"No hay datos")</f>
        <v>No hay datos</v>
      </c>
      <c r="H200" s="2" t="str">
        <f t="array" ref="H200">_xlfn.XLOOKUP(B200,Vendedores!$A$2:$A$41,Vendedores!$C$2:$C$41,"No hay datos")</f>
        <v>No hay datos</v>
      </c>
      <c r="I200" s="2" t="str">
        <f t="array" ref="I200">_xlfn.XLOOKUP(B200,Vendedores!$A$2:$A$41,Vendedores!$D$2:$D$41,"No hay datos")</f>
        <v>No hay datos</v>
      </c>
      <c r="J200" s="2" t="str">
        <f t="array" ref="J200">_xlfn.XLOOKUP(A200,Productos!$A$2:$A$61,Productos!$B$2:$F$61)</f>
        <v>#N/A</v>
      </c>
    </row>
    <row r="201">
      <c r="A201" s="2" t="str">
        <f>IFERROR(__xludf.DUMMYFUNCTION("""COMPUTED_VALUE"""),"PR048")</f>
        <v>PR048</v>
      </c>
      <c r="B201" s="2" t="str">
        <f>IFERROR(__xludf.DUMMYFUNCTION("""COMPUTED_VALUE"""),"VD027")</f>
        <v>VD027</v>
      </c>
      <c r="C201" s="2">
        <f>IFERROR(__xludf.DUMMYFUNCTION("""COMPUTED_VALUE"""),27.0)</f>
        <v>27</v>
      </c>
      <c r="D201" s="6">
        <f>IFERROR(__xludf.DUMMYFUNCTION("""COMPUTED_VALUE"""),9392.76)</f>
        <v>9392.76</v>
      </c>
      <c r="E201" s="6">
        <f>IFERROR(__xludf.DUMMYFUNCTION("GOOGLEFINANCE(""Currency:BRLMXN"")*D201"),31907.205719999998)</f>
        <v>31907.20572</v>
      </c>
      <c r="F201" s="6">
        <f>IFERROR(__xludf.DUMMYFUNCTION("GOOGLEFINANCE(""Currency:BRLPEN"")*D201"),6157.893456)</f>
        <v>6157.893456</v>
      </c>
      <c r="G201" s="2" t="str">
        <f t="array" ref="G201">_xlfn.XLOOKUP(B201,Vendedores!$A$2:$A$41,Vendedores!$B$2:$B$41,"No hay datos")</f>
        <v>No hay datos</v>
      </c>
      <c r="H201" s="2" t="str">
        <f t="array" ref="H201">_xlfn.XLOOKUP(B201,Vendedores!$A$2:$A$41,Vendedores!$C$2:$C$41,"No hay datos")</f>
        <v>No hay datos</v>
      </c>
      <c r="I201" s="2" t="str">
        <f t="array" ref="I201">_xlfn.XLOOKUP(B201,Vendedores!$A$2:$A$41,Vendedores!$D$2:$D$41,"No hay datos")</f>
        <v>No hay datos</v>
      </c>
      <c r="J201" s="2" t="str">
        <f t="array" ref="J201">_xlfn.XLOOKUP(A201,Productos!$A$2:$A$61,Productos!$B$2:$F$61)</f>
        <v>#N/A</v>
      </c>
    </row>
    <row r="202">
      <c r="A202" s="2" t="str">
        <f>IFERROR(__xludf.DUMMYFUNCTION("""COMPUTED_VALUE"""),"PR055")</f>
        <v>PR055</v>
      </c>
      <c r="B202" s="2" t="str">
        <f>IFERROR(__xludf.DUMMYFUNCTION("""COMPUTED_VALUE"""),"VD033")</f>
        <v>VD033</v>
      </c>
      <c r="C202" s="2">
        <f>IFERROR(__xludf.DUMMYFUNCTION("""COMPUTED_VALUE"""),14.0)</f>
        <v>14</v>
      </c>
      <c r="D202" s="6">
        <f>IFERROR(__xludf.DUMMYFUNCTION("""COMPUTED_VALUE"""),1397.05)</f>
        <v>1397.05</v>
      </c>
      <c r="E202" s="6">
        <f>IFERROR(__xludf.DUMMYFUNCTION("GOOGLEFINANCE(""Currency:BRLMXN"")*D202"),4745.77885)</f>
        <v>4745.77885</v>
      </c>
      <c r="F202" s="6">
        <f>IFERROR(__xludf.DUMMYFUNCTION("GOOGLEFINANCE(""Currency:BRLPEN"")*D202"),915.9059799999999)</f>
        <v>915.90598</v>
      </c>
      <c r="G202" s="2" t="str">
        <f t="array" ref="G202">_xlfn.XLOOKUP(B202,Vendedores!$A$2:$A$41,Vendedores!$B$2:$B$41,"No hay datos")</f>
        <v>No hay datos</v>
      </c>
      <c r="H202" s="2" t="str">
        <f t="array" ref="H202">_xlfn.XLOOKUP(B202,Vendedores!$A$2:$A$41,Vendedores!$C$2:$C$41,"No hay datos")</f>
        <v>No hay datos</v>
      </c>
      <c r="I202" s="2" t="str">
        <f t="array" ref="I202">_xlfn.XLOOKUP(B202,Vendedores!$A$2:$A$41,Vendedores!$D$2:$D$41,"No hay datos")</f>
        <v>No hay datos</v>
      </c>
      <c r="J202" s="2" t="str">
        <f t="array" ref="J202">_xlfn.XLOOKUP(A202,Productos!$A$2:$A$61,Productos!$B$2:$F$61)</f>
        <v>#N/A</v>
      </c>
    </row>
    <row r="203">
      <c r="A203" s="2" t="str">
        <f>IFERROR(__xludf.DUMMYFUNCTION("""COMPUTED_VALUE"""),"PR017")</f>
        <v>PR017</v>
      </c>
      <c r="B203" s="2" t="str">
        <f>IFERROR(__xludf.DUMMYFUNCTION("""COMPUTED_VALUE"""),"VD036")</f>
        <v>VD036</v>
      </c>
      <c r="C203" s="2">
        <f>IFERROR(__xludf.DUMMYFUNCTION("""COMPUTED_VALUE"""),21.0)</f>
        <v>21</v>
      </c>
      <c r="D203" s="6">
        <f>IFERROR(__xludf.DUMMYFUNCTION("""COMPUTED_VALUE"""),753.48)</f>
        <v>753.48</v>
      </c>
      <c r="E203" s="6">
        <f>IFERROR(__xludf.DUMMYFUNCTION("GOOGLEFINANCE(""Currency:BRLMXN"")*D203"),2559.57156)</f>
        <v>2559.57156</v>
      </c>
      <c r="F203" s="6">
        <f>IFERROR(__xludf.DUMMYFUNCTION("GOOGLEFINANCE(""Currency:BRLPEN"")*D203"),493.98148799999996)</f>
        <v>493.981488</v>
      </c>
      <c r="G203" s="2" t="str">
        <f t="array" ref="G203">_xlfn.XLOOKUP(B203,Vendedores!$A$2:$A$41,Vendedores!$B$2:$B$41,"No hay datos")</f>
        <v>No hay datos</v>
      </c>
      <c r="H203" s="2" t="str">
        <f t="array" ref="H203">_xlfn.XLOOKUP(B203,Vendedores!$A$2:$A$41,Vendedores!$C$2:$C$41,"No hay datos")</f>
        <v>No hay datos</v>
      </c>
      <c r="I203" s="2" t="str">
        <f t="array" ref="I203">_xlfn.XLOOKUP(B203,Vendedores!$A$2:$A$41,Vendedores!$D$2:$D$41,"No hay datos")</f>
        <v>No hay datos</v>
      </c>
      <c r="J203" s="2" t="str">
        <f t="array" ref="J203">_xlfn.XLOOKUP(A203,Productos!$A$2:$A$61,Productos!$B$2:$F$61)</f>
        <v>#N/A</v>
      </c>
    </row>
    <row r="204">
      <c r="A204" s="2" t="str">
        <f>IFERROR(__xludf.DUMMYFUNCTION("""COMPUTED_VALUE"""),"PR029")</f>
        <v>PR029</v>
      </c>
      <c r="B204" s="2" t="str">
        <f>IFERROR(__xludf.DUMMYFUNCTION("""COMPUTED_VALUE"""),"VD035")</f>
        <v>VD035</v>
      </c>
      <c r="C204" s="2">
        <f>IFERROR(__xludf.DUMMYFUNCTION("""COMPUTED_VALUE"""),12.0)</f>
        <v>12</v>
      </c>
      <c r="D204" s="6">
        <f>IFERROR(__xludf.DUMMYFUNCTION("""COMPUTED_VALUE"""),3610.8)</f>
        <v>3610.8</v>
      </c>
      <c r="E204" s="6">
        <f>IFERROR(__xludf.DUMMYFUNCTION("GOOGLEFINANCE(""Currency:BRLMXN"")*D204"),12265.8876)</f>
        <v>12265.8876</v>
      </c>
      <c r="F204" s="6">
        <f>IFERROR(__xludf.DUMMYFUNCTION("GOOGLEFINANCE(""Currency:BRLPEN"")*D204"),2367.24048)</f>
        <v>2367.24048</v>
      </c>
      <c r="G204" s="2" t="str">
        <f t="array" ref="G204">_xlfn.XLOOKUP(B204,Vendedores!$A$2:$A$41,Vendedores!$B$2:$B$41,"No hay datos")</f>
        <v>No hay datos</v>
      </c>
      <c r="H204" s="2" t="str">
        <f t="array" ref="H204">_xlfn.XLOOKUP(B204,Vendedores!$A$2:$A$41,Vendedores!$C$2:$C$41,"No hay datos")</f>
        <v>No hay datos</v>
      </c>
      <c r="I204" s="2" t="str">
        <f t="array" ref="I204">_xlfn.XLOOKUP(B204,Vendedores!$A$2:$A$41,Vendedores!$D$2:$D$41,"No hay datos")</f>
        <v>No hay datos</v>
      </c>
      <c r="J204" s="2" t="str">
        <f t="array" ref="J204">_xlfn.XLOOKUP(A204,Productos!$A$2:$A$61,Productos!$B$2:$F$61)</f>
        <v>#N/A</v>
      </c>
    </row>
    <row r="205">
      <c r="A205" s="2" t="str">
        <f>IFERROR(__xludf.DUMMYFUNCTION("""COMPUTED_VALUE"""),"PR005")</f>
        <v>PR005</v>
      </c>
      <c r="B205" s="2" t="str">
        <f>IFERROR(__xludf.DUMMYFUNCTION("""COMPUTED_VALUE"""),"VD037")</f>
        <v>VD037</v>
      </c>
      <c r="C205" s="2">
        <f>IFERROR(__xludf.DUMMYFUNCTION("""COMPUTED_VALUE"""),20.0)</f>
        <v>20</v>
      </c>
      <c r="D205" s="6">
        <f>IFERROR(__xludf.DUMMYFUNCTION("""COMPUTED_VALUE"""),6185.62)</f>
        <v>6185.62</v>
      </c>
      <c r="E205" s="6">
        <f>IFERROR(__xludf.DUMMYFUNCTION("GOOGLEFINANCE(""Currency:BRLMXN"")*D205"),21012.55114)</f>
        <v>21012.55114</v>
      </c>
      <c r="F205" s="6">
        <f>IFERROR(__xludf.DUMMYFUNCTION("GOOGLEFINANCE(""Currency:BRLPEN"")*D205"),4055.2924719999996)</f>
        <v>4055.292472</v>
      </c>
      <c r="G205" s="2" t="str">
        <f t="array" ref="G205">_xlfn.XLOOKUP(B205,Vendedores!$A$2:$A$41,Vendedores!$B$2:$B$41,"No hay datos")</f>
        <v>No hay datos</v>
      </c>
      <c r="H205" s="2" t="str">
        <f t="array" ref="H205">_xlfn.XLOOKUP(B205,Vendedores!$A$2:$A$41,Vendedores!$C$2:$C$41,"No hay datos")</f>
        <v>No hay datos</v>
      </c>
      <c r="I205" s="2" t="str">
        <f t="array" ref="I205">_xlfn.XLOOKUP(B205,Vendedores!$A$2:$A$41,Vendedores!$D$2:$D$41,"No hay datos")</f>
        <v>No hay datos</v>
      </c>
      <c r="J205" s="2" t="str">
        <f t="array" ref="J205">_xlfn.XLOOKUP(A205,Productos!$A$2:$A$61,Productos!$B$2:$F$61)</f>
        <v>#N/A</v>
      </c>
    </row>
    <row r="206">
      <c r="A206" s="2" t="str">
        <f>IFERROR(__xludf.DUMMYFUNCTION("""COMPUTED_VALUE"""),"PR058")</f>
        <v>PR058</v>
      </c>
      <c r="B206" s="2" t="str">
        <f>IFERROR(__xludf.DUMMYFUNCTION("""COMPUTED_VALUE"""),"VD048")</f>
        <v>VD048</v>
      </c>
      <c r="C206" s="2">
        <f>IFERROR(__xludf.DUMMYFUNCTION("""COMPUTED_VALUE"""),15.0)</f>
        <v>15</v>
      </c>
      <c r="D206" s="6">
        <f>IFERROR(__xludf.DUMMYFUNCTION("""COMPUTED_VALUE"""),3105.0)</f>
        <v>3105</v>
      </c>
      <c r="E206" s="6">
        <f>IFERROR(__xludf.DUMMYFUNCTION("GOOGLEFINANCE(""Currency:BRLMXN"")*D206"),10547.685)</f>
        <v>10547.685</v>
      </c>
      <c r="F206" s="6">
        <f>IFERROR(__xludf.DUMMYFUNCTION("GOOGLEFINANCE(""Currency:BRLPEN"")*D206"),2035.638)</f>
        <v>2035.638</v>
      </c>
      <c r="G206" s="2" t="str">
        <f t="array" ref="G206">_xlfn.XLOOKUP(B206,Vendedores!$A$2:$A$41,Vendedores!$B$2:$B$41,"No hay datos")</f>
        <v>No hay datos</v>
      </c>
      <c r="H206" s="2" t="str">
        <f t="array" ref="H206">_xlfn.XLOOKUP(B206,Vendedores!$A$2:$A$41,Vendedores!$C$2:$C$41,"No hay datos")</f>
        <v>No hay datos</v>
      </c>
      <c r="I206" s="2" t="str">
        <f t="array" ref="I206">_xlfn.XLOOKUP(B206,Vendedores!$A$2:$A$41,Vendedores!$D$2:$D$41,"No hay datos")</f>
        <v>No hay datos</v>
      </c>
      <c r="J206" s="2" t="str">
        <f t="array" ref="J206">_xlfn.XLOOKUP(A206,Productos!$A$2:$A$61,Productos!$B$2:$F$61)</f>
        <v>#N/A</v>
      </c>
    </row>
    <row r="207">
      <c r="A207" s="2" t="str">
        <f>IFERROR(__xludf.DUMMYFUNCTION("""COMPUTED_VALUE"""),"PR025")</f>
        <v>PR025</v>
      </c>
      <c r="B207" s="2" t="str">
        <f>IFERROR(__xludf.DUMMYFUNCTION("""COMPUTED_VALUE"""),"VD035")</f>
        <v>VD035</v>
      </c>
      <c r="C207" s="2">
        <f>IFERROR(__xludf.DUMMYFUNCTION("""COMPUTED_VALUE"""),12.0)</f>
        <v>12</v>
      </c>
      <c r="D207" s="6">
        <f>IFERROR(__xludf.DUMMYFUNCTION("""COMPUTED_VALUE"""),4102.63)</f>
        <v>4102.63</v>
      </c>
      <c r="E207" s="6">
        <f>IFERROR(__xludf.DUMMYFUNCTION("GOOGLEFINANCE(""Currency:BRLMXN"")*D207"),13936.634109999999)</f>
        <v>13936.63411</v>
      </c>
      <c r="F207" s="6">
        <f>IFERROR(__xludf.DUMMYFUNCTION("GOOGLEFINANCE(""Currency:BRLPEN"")*D207"),2689.684228)</f>
        <v>2689.684228</v>
      </c>
      <c r="G207" s="2" t="str">
        <f t="array" ref="G207">_xlfn.XLOOKUP(B207,Vendedores!$A$2:$A$41,Vendedores!$B$2:$B$41,"No hay datos")</f>
        <v>No hay datos</v>
      </c>
      <c r="H207" s="2" t="str">
        <f t="array" ref="H207">_xlfn.XLOOKUP(B207,Vendedores!$A$2:$A$41,Vendedores!$C$2:$C$41,"No hay datos")</f>
        <v>No hay datos</v>
      </c>
      <c r="I207" s="2" t="str">
        <f t="array" ref="I207">_xlfn.XLOOKUP(B207,Vendedores!$A$2:$A$41,Vendedores!$D$2:$D$41,"No hay datos")</f>
        <v>No hay datos</v>
      </c>
      <c r="J207" s="2" t="str">
        <f t="array" ref="J207">_xlfn.XLOOKUP(A207,Productos!$A$2:$A$61,Productos!$B$2:$F$61)</f>
        <v>#N/A</v>
      </c>
    </row>
    <row r="208">
      <c r="A208" s="2" t="str">
        <f>IFERROR(__xludf.DUMMYFUNCTION("""COMPUTED_VALUE"""),"PR042")</f>
        <v>PR042</v>
      </c>
      <c r="B208" s="2" t="str">
        <f>IFERROR(__xludf.DUMMYFUNCTION("""COMPUTED_VALUE"""),"VD017")</f>
        <v>VD017</v>
      </c>
      <c r="C208" s="2">
        <f>IFERROR(__xludf.DUMMYFUNCTION("""COMPUTED_VALUE"""),3.0)</f>
        <v>3</v>
      </c>
      <c r="D208" s="6">
        <f>IFERROR(__xludf.DUMMYFUNCTION("""COMPUTED_VALUE"""),197.64)</f>
        <v>197.64</v>
      </c>
      <c r="E208" s="6">
        <f>IFERROR(__xludf.DUMMYFUNCTION("GOOGLEFINANCE(""Currency:BRLMXN"")*D208"),671.38308)</f>
        <v>671.38308</v>
      </c>
      <c r="F208" s="6">
        <f>IFERROR(__xludf.DUMMYFUNCTION("GOOGLEFINANCE(""Currency:BRLPEN"")*D208"),129.57278399999998)</f>
        <v>129.572784</v>
      </c>
      <c r="G208" s="2" t="str">
        <f t="array" ref="G208">_xlfn.XLOOKUP(B208,Vendedores!$A$2:$A$41,Vendedores!$B$2:$B$41,"No hay datos")</f>
        <v>No hay datos</v>
      </c>
      <c r="H208" s="2" t="str">
        <f t="array" ref="H208">_xlfn.XLOOKUP(B208,Vendedores!$A$2:$A$41,Vendedores!$C$2:$C$41,"No hay datos")</f>
        <v>No hay datos</v>
      </c>
      <c r="I208" s="2" t="str">
        <f t="array" ref="I208">_xlfn.XLOOKUP(B208,Vendedores!$A$2:$A$41,Vendedores!$D$2:$D$41,"No hay datos")</f>
        <v>No hay datos</v>
      </c>
      <c r="J208" s="2" t="str">
        <f t="array" ref="J208">_xlfn.XLOOKUP(A208,Productos!$A$2:$A$61,Productos!$B$2:$F$61)</f>
        <v>#N/A</v>
      </c>
    </row>
    <row r="209">
      <c r="A209" s="2" t="str">
        <f>IFERROR(__xludf.DUMMYFUNCTION("""COMPUTED_VALUE"""),"PR046")</f>
        <v>PR046</v>
      </c>
      <c r="B209" s="2" t="str">
        <f>IFERROR(__xludf.DUMMYFUNCTION("""COMPUTED_VALUE"""),"VD039")</f>
        <v>VD039</v>
      </c>
      <c r="C209" s="2">
        <f>IFERROR(__xludf.DUMMYFUNCTION("""COMPUTED_VALUE"""),15.0)</f>
        <v>15</v>
      </c>
      <c r="D209" s="6">
        <f>IFERROR(__xludf.DUMMYFUNCTION("""COMPUTED_VALUE"""),4870.32)</f>
        <v>4870.32</v>
      </c>
      <c r="E209" s="6">
        <f>IFERROR(__xludf.DUMMYFUNCTION("GOOGLEFINANCE(""Currency:BRLMXN"")*D209"),16544.477039999998)</f>
        <v>16544.47704</v>
      </c>
      <c r="F209" s="6">
        <f>IFERROR(__xludf.DUMMYFUNCTION("GOOGLEFINANCE(""Currency:BRLPEN"")*D209"),3192.9817919999996)</f>
        <v>3192.981792</v>
      </c>
      <c r="G209" s="2" t="str">
        <f t="array" ref="G209">_xlfn.XLOOKUP(B209,Vendedores!$A$2:$A$41,Vendedores!$B$2:$B$41,"No hay datos")</f>
        <v>No hay datos</v>
      </c>
      <c r="H209" s="2" t="str">
        <f t="array" ref="H209">_xlfn.XLOOKUP(B209,Vendedores!$A$2:$A$41,Vendedores!$C$2:$C$41,"No hay datos")</f>
        <v>No hay datos</v>
      </c>
      <c r="I209" s="2" t="str">
        <f t="array" ref="I209">_xlfn.XLOOKUP(B209,Vendedores!$A$2:$A$41,Vendedores!$D$2:$D$41,"No hay datos")</f>
        <v>No hay datos</v>
      </c>
      <c r="J209" s="2" t="str">
        <f t="array" ref="J209">_xlfn.XLOOKUP(A209,Productos!$A$2:$A$61,Productos!$B$2:$F$61)</f>
        <v>#N/A</v>
      </c>
    </row>
    <row r="210">
      <c r="A210" s="2" t="str">
        <f>IFERROR(__xludf.DUMMYFUNCTION("""COMPUTED_VALUE"""),"PR006")</f>
        <v>PR006</v>
      </c>
      <c r="B210" s="2" t="str">
        <f>IFERROR(__xludf.DUMMYFUNCTION("""COMPUTED_VALUE"""),"VD044")</f>
        <v>VD044</v>
      </c>
      <c r="C210" s="2">
        <f>IFERROR(__xludf.DUMMYFUNCTION("""COMPUTED_VALUE"""),27.0)</f>
        <v>27</v>
      </c>
      <c r="D210" s="6">
        <f>IFERROR(__xludf.DUMMYFUNCTION("""COMPUTED_VALUE"""),1238.9)</f>
        <v>1238.9</v>
      </c>
      <c r="E210" s="6">
        <f>IFERROR(__xludf.DUMMYFUNCTION("GOOGLEFINANCE(""Currency:BRLMXN"")*D210"),4208.5433)</f>
        <v>4208.5433</v>
      </c>
      <c r="F210" s="6">
        <f>IFERROR(__xludf.DUMMYFUNCTION("GOOGLEFINANCE(""Currency:BRLPEN"")*D210"),812.22284)</f>
        <v>812.22284</v>
      </c>
      <c r="G210" s="2" t="str">
        <f t="array" ref="G210">_xlfn.XLOOKUP(B210,Vendedores!$A$2:$A$41,Vendedores!$B$2:$B$41,"No hay datos")</f>
        <v>No hay datos</v>
      </c>
      <c r="H210" s="2" t="str">
        <f t="array" ref="H210">_xlfn.XLOOKUP(B210,Vendedores!$A$2:$A$41,Vendedores!$C$2:$C$41,"No hay datos")</f>
        <v>No hay datos</v>
      </c>
      <c r="I210" s="2" t="str">
        <f t="array" ref="I210">_xlfn.XLOOKUP(B210,Vendedores!$A$2:$A$41,Vendedores!$D$2:$D$41,"No hay datos")</f>
        <v>No hay datos</v>
      </c>
      <c r="J210" s="2" t="str">
        <f t="array" ref="J210">_xlfn.XLOOKUP(A210,Productos!$A$2:$A$61,Productos!$B$2:$F$61)</f>
        <v>#N/A</v>
      </c>
    </row>
    <row r="211">
      <c r="A211" s="2" t="str">
        <f>IFERROR(__xludf.DUMMYFUNCTION("""COMPUTED_VALUE"""),"PR053")</f>
        <v>PR053</v>
      </c>
      <c r="B211" s="2" t="str">
        <f>IFERROR(__xludf.DUMMYFUNCTION("""COMPUTED_VALUE"""),"VD047")</f>
        <v>VD047</v>
      </c>
      <c r="C211" s="2">
        <f>IFERROR(__xludf.DUMMYFUNCTION("""COMPUTED_VALUE"""),12.0)</f>
        <v>12</v>
      </c>
      <c r="D211" s="6">
        <f>IFERROR(__xludf.DUMMYFUNCTION("""COMPUTED_VALUE"""),676.64)</f>
        <v>676.64</v>
      </c>
      <c r="E211" s="6">
        <f>IFERROR(__xludf.DUMMYFUNCTION("GOOGLEFINANCE(""Currency:BRLMXN"")*D211"),2298.5460799999996)</f>
        <v>2298.54608</v>
      </c>
      <c r="F211" s="6">
        <f>IFERROR(__xludf.DUMMYFUNCTION("GOOGLEFINANCE(""Currency:BRLPEN"")*D211"),443.60518399999995)</f>
        <v>443.605184</v>
      </c>
      <c r="G211" s="2" t="str">
        <f t="array" ref="G211">_xlfn.XLOOKUP(B211,Vendedores!$A$2:$A$41,Vendedores!$B$2:$B$41,"No hay datos")</f>
        <v>No hay datos</v>
      </c>
      <c r="H211" s="2" t="str">
        <f t="array" ref="H211">_xlfn.XLOOKUP(B211,Vendedores!$A$2:$A$41,Vendedores!$C$2:$C$41,"No hay datos")</f>
        <v>No hay datos</v>
      </c>
      <c r="I211" s="2" t="str">
        <f t="array" ref="I211">_xlfn.XLOOKUP(B211,Vendedores!$A$2:$A$41,Vendedores!$D$2:$D$41,"No hay datos")</f>
        <v>No hay datos</v>
      </c>
      <c r="J211" s="2" t="str">
        <f t="array" ref="J211">_xlfn.XLOOKUP(A211,Productos!$A$2:$A$61,Productos!$B$2:$F$61)</f>
        <v>#N/A</v>
      </c>
    </row>
    <row r="212">
      <c r="A212" s="2" t="str">
        <f>IFERROR(__xludf.DUMMYFUNCTION("""COMPUTED_VALUE"""),"PR042")</f>
        <v>PR042</v>
      </c>
      <c r="B212" s="2" t="str">
        <f>IFERROR(__xludf.DUMMYFUNCTION("""COMPUTED_VALUE"""),"VD018")</f>
        <v>VD018</v>
      </c>
      <c r="C212" s="2">
        <f>IFERROR(__xludf.DUMMYFUNCTION("""COMPUTED_VALUE"""),8.0)</f>
        <v>8</v>
      </c>
      <c r="D212" s="6">
        <f>IFERROR(__xludf.DUMMYFUNCTION("""COMPUTED_VALUE"""),491.9)</f>
        <v>491.9</v>
      </c>
      <c r="E212" s="6">
        <f>IFERROR(__xludf.DUMMYFUNCTION("GOOGLEFINANCE(""Currency:BRLMXN"")*D212"),1670.9842999999998)</f>
        <v>1670.9843</v>
      </c>
      <c r="F212" s="6">
        <f>IFERROR(__xludf.DUMMYFUNCTION("GOOGLEFINANCE(""Currency:BRLPEN"")*D212"),322.48963999999995)</f>
        <v>322.48964</v>
      </c>
      <c r="G212" s="2" t="str">
        <f t="array" ref="G212">_xlfn.XLOOKUP(B212,Vendedores!$A$2:$A$41,Vendedores!$B$2:$B$41,"No hay datos")</f>
        <v>No hay datos</v>
      </c>
      <c r="H212" s="2" t="str">
        <f t="array" ref="H212">_xlfn.XLOOKUP(B212,Vendedores!$A$2:$A$41,Vendedores!$C$2:$C$41,"No hay datos")</f>
        <v>No hay datos</v>
      </c>
      <c r="I212" s="2" t="str">
        <f t="array" ref="I212">_xlfn.XLOOKUP(B212,Vendedores!$A$2:$A$41,Vendedores!$D$2:$D$41,"No hay datos")</f>
        <v>No hay datos</v>
      </c>
      <c r="J212" s="2" t="str">
        <f t="array" ref="J212">_xlfn.XLOOKUP(A212,Productos!$A$2:$A$61,Productos!$B$2:$F$61)</f>
        <v>#N/A</v>
      </c>
    </row>
    <row r="213">
      <c r="A213" s="2" t="str">
        <f>IFERROR(__xludf.DUMMYFUNCTION("""COMPUTED_VALUE"""),"PR002")</f>
        <v>PR002</v>
      </c>
      <c r="B213" s="2" t="str">
        <f>IFERROR(__xludf.DUMMYFUNCTION("""COMPUTED_VALUE"""),"VD034")</f>
        <v>VD034</v>
      </c>
      <c r="C213" s="2">
        <f>IFERROR(__xludf.DUMMYFUNCTION("""COMPUTED_VALUE"""),3.0)</f>
        <v>3</v>
      </c>
      <c r="D213" s="6">
        <f>IFERROR(__xludf.DUMMYFUNCTION("""COMPUTED_VALUE"""),245.35)</f>
        <v>245.35</v>
      </c>
      <c r="E213" s="6">
        <f>IFERROR(__xludf.DUMMYFUNCTION("GOOGLEFINANCE(""Currency:BRLMXN"")*D213"),833.45395)</f>
        <v>833.45395</v>
      </c>
      <c r="F213" s="6">
        <f>IFERROR(__xludf.DUMMYFUNCTION("GOOGLEFINANCE(""Currency:BRLPEN"")*D213"),160.85145999999997)</f>
        <v>160.85146</v>
      </c>
      <c r="G213" s="2" t="str">
        <f t="array" ref="G213">_xlfn.XLOOKUP(B213,Vendedores!$A$2:$A$41,Vendedores!$B$2:$B$41,"No hay datos")</f>
        <v>No hay datos</v>
      </c>
      <c r="H213" s="2" t="str">
        <f t="array" ref="H213">_xlfn.XLOOKUP(B213,Vendedores!$A$2:$A$41,Vendedores!$C$2:$C$41,"No hay datos")</f>
        <v>No hay datos</v>
      </c>
      <c r="I213" s="2" t="str">
        <f t="array" ref="I213">_xlfn.XLOOKUP(B213,Vendedores!$A$2:$A$41,Vendedores!$D$2:$D$41,"No hay datos")</f>
        <v>No hay datos</v>
      </c>
      <c r="J213" s="2" t="str">
        <f t="array" ref="J213">_xlfn.XLOOKUP(A213,Productos!$A$2:$A$61,Productos!$B$2:$F$61)</f>
        <v>#N/A</v>
      </c>
    </row>
    <row r="214">
      <c r="A214" s="2" t="str">
        <f>IFERROR(__xludf.DUMMYFUNCTION("""COMPUTED_VALUE"""),"PR016")</f>
        <v>PR016</v>
      </c>
      <c r="B214" s="2" t="str">
        <f>IFERROR(__xludf.DUMMYFUNCTION("""COMPUTED_VALUE"""),"VD019")</f>
        <v>VD019</v>
      </c>
      <c r="C214" s="2">
        <f>IFERROR(__xludf.DUMMYFUNCTION("""COMPUTED_VALUE"""),16.0)</f>
        <v>16</v>
      </c>
      <c r="D214" s="6">
        <f>IFERROR(__xludf.DUMMYFUNCTION("""COMPUTED_VALUE"""),472.42)</f>
        <v>472.42</v>
      </c>
      <c r="E214" s="6">
        <f>IFERROR(__xludf.DUMMYFUNCTION("GOOGLEFINANCE(""Currency:BRLMXN"")*D214"),1604.81074)</f>
        <v>1604.81074</v>
      </c>
      <c r="F214" s="6">
        <f>IFERROR(__xludf.DUMMYFUNCTION("GOOGLEFINANCE(""Currency:BRLPEN"")*D214"),309.718552)</f>
        <v>309.718552</v>
      </c>
      <c r="G214" s="2" t="str">
        <f t="array" ref="G214">_xlfn.XLOOKUP(B214,Vendedores!$A$2:$A$41,Vendedores!$B$2:$B$41,"No hay datos")</f>
        <v>No hay datos</v>
      </c>
      <c r="H214" s="2" t="str">
        <f t="array" ref="H214">_xlfn.XLOOKUP(B214,Vendedores!$A$2:$A$41,Vendedores!$C$2:$C$41,"No hay datos")</f>
        <v>No hay datos</v>
      </c>
      <c r="I214" s="2" t="str">
        <f t="array" ref="I214">_xlfn.XLOOKUP(B214,Vendedores!$A$2:$A$41,Vendedores!$D$2:$D$41,"No hay datos")</f>
        <v>No hay datos</v>
      </c>
      <c r="J214" s="2" t="str">
        <f t="array" ref="J214">_xlfn.XLOOKUP(A214,Productos!$A$2:$A$61,Productos!$B$2:$F$61)</f>
        <v>#N/A</v>
      </c>
    </row>
    <row r="215">
      <c r="A215" s="2" t="str">
        <f>IFERROR(__xludf.DUMMYFUNCTION("""COMPUTED_VALUE"""),"PR055")</f>
        <v>PR055</v>
      </c>
      <c r="B215" s="2" t="str">
        <f>IFERROR(__xludf.DUMMYFUNCTION("""COMPUTED_VALUE"""),"VD029")</f>
        <v>VD029</v>
      </c>
      <c r="C215" s="2">
        <f>IFERROR(__xludf.DUMMYFUNCTION("""COMPUTED_VALUE"""),2.0)</f>
        <v>2</v>
      </c>
      <c r="D215" s="6">
        <f>IFERROR(__xludf.DUMMYFUNCTION("""COMPUTED_VALUE"""),213.96)</f>
        <v>213.96</v>
      </c>
      <c r="E215" s="6">
        <f>IFERROR(__xludf.DUMMYFUNCTION("GOOGLEFINANCE(""Currency:BRLMXN"")*D215"),726.8221199999999)</f>
        <v>726.82212</v>
      </c>
      <c r="F215" s="6">
        <f>IFERROR(__xludf.DUMMYFUNCTION("GOOGLEFINANCE(""Currency:BRLPEN"")*D215"),140.272176)</f>
        <v>140.272176</v>
      </c>
      <c r="G215" s="2" t="str">
        <f t="array" ref="G215">_xlfn.XLOOKUP(B215,Vendedores!$A$2:$A$41,Vendedores!$B$2:$B$41,"No hay datos")</f>
        <v>No hay datos</v>
      </c>
      <c r="H215" s="2" t="str">
        <f t="array" ref="H215">_xlfn.XLOOKUP(B215,Vendedores!$A$2:$A$41,Vendedores!$C$2:$C$41,"No hay datos")</f>
        <v>No hay datos</v>
      </c>
      <c r="I215" s="2" t="str">
        <f t="array" ref="I215">_xlfn.XLOOKUP(B215,Vendedores!$A$2:$A$41,Vendedores!$D$2:$D$41,"No hay datos")</f>
        <v>No hay datos</v>
      </c>
      <c r="J215" s="2" t="str">
        <f t="array" ref="J215">_xlfn.XLOOKUP(A215,Productos!$A$2:$A$61,Productos!$B$2:$F$61)</f>
        <v>#N/A</v>
      </c>
    </row>
    <row r="216">
      <c r="A216" s="2" t="str">
        <f>IFERROR(__xludf.DUMMYFUNCTION("""COMPUTED_VALUE"""),"PR057")</f>
        <v>PR057</v>
      </c>
      <c r="B216" s="2" t="str">
        <f>IFERROR(__xludf.DUMMYFUNCTION("""COMPUTED_VALUE"""),"VD037")</f>
        <v>VD037</v>
      </c>
      <c r="C216" s="2">
        <f>IFERROR(__xludf.DUMMYFUNCTION("""COMPUTED_VALUE"""),3.0)</f>
        <v>3</v>
      </c>
      <c r="D216" s="6">
        <f>IFERROR(__xludf.DUMMYFUNCTION("""COMPUTED_VALUE"""),315.55)</f>
        <v>315.55</v>
      </c>
      <c r="E216" s="6">
        <f>IFERROR(__xludf.DUMMYFUNCTION("GOOGLEFINANCE(""Currency:BRLMXN"")*D216"),1071.92335)</f>
        <v>1071.92335</v>
      </c>
      <c r="F216" s="6">
        <f>IFERROR(__xludf.DUMMYFUNCTION("GOOGLEFINANCE(""Currency:BRLPEN"")*D216"),206.87458)</f>
        <v>206.87458</v>
      </c>
      <c r="G216" s="2" t="str">
        <f t="array" ref="G216">_xlfn.XLOOKUP(B216,Vendedores!$A$2:$A$41,Vendedores!$B$2:$B$41,"No hay datos")</f>
        <v>No hay datos</v>
      </c>
      <c r="H216" s="2" t="str">
        <f t="array" ref="H216">_xlfn.XLOOKUP(B216,Vendedores!$A$2:$A$41,Vendedores!$C$2:$C$41,"No hay datos")</f>
        <v>No hay datos</v>
      </c>
      <c r="I216" s="2" t="str">
        <f t="array" ref="I216">_xlfn.XLOOKUP(B216,Vendedores!$A$2:$A$41,Vendedores!$D$2:$D$41,"No hay datos")</f>
        <v>No hay datos</v>
      </c>
      <c r="J216" s="2" t="str">
        <f t="array" ref="J216">_xlfn.XLOOKUP(A216,Productos!$A$2:$A$61,Productos!$B$2:$F$61)</f>
        <v>#N/A</v>
      </c>
    </row>
    <row r="217">
      <c r="A217" s="2" t="str">
        <f>IFERROR(__xludf.DUMMYFUNCTION("""COMPUTED_VALUE"""),"PR011")</f>
        <v>PR011</v>
      </c>
      <c r="B217" s="2" t="str">
        <f>IFERROR(__xludf.DUMMYFUNCTION("""COMPUTED_VALUE"""),"VD030")</f>
        <v>VD030</v>
      </c>
      <c r="C217" s="2">
        <f>IFERROR(__xludf.DUMMYFUNCTION("""COMPUTED_VALUE"""),7.0)</f>
        <v>7</v>
      </c>
      <c r="D217" s="6">
        <f>IFERROR(__xludf.DUMMYFUNCTION("""COMPUTED_VALUE"""),380.83)</f>
        <v>380.83</v>
      </c>
      <c r="E217" s="6">
        <f>IFERROR(__xludf.DUMMYFUNCTION("GOOGLEFINANCE(""Currency:BRLMXN"")*D217"),1293.67951)</f>
        <v>1293.67951</v>
      </c>
      <c r="F217" s="6">
        <f>IFERROR(__xludf.DUMMYFUNCTION("GOOGLEFINANCE(""Currency:BRLPEN"")*D217"),249.67214799999996)</f>
        <v>249.672148</v>
      </c>
      <c r="G217" s="2" t="str">
        <f t="array" ref="G217">_xlfn.XLOOKUP(B217,Vendedores!$A$2:$A$41,Vendedores!$B$2:$B$41,"No hay datos")</f>
        <v>No hay datos</v>
      </c>
      <c r="H217" s="2" t="str">
        <f t="array" ref="H217">_xlfn.XLOOKUP(B217,Vendedores!$A$2:$A$41,Vendedores!$C$2:$C$41,"No hay datos")</f>
        <v>No hay datos</v>
      </c>
      <c r="I217" s="2" t="str">
        <f t="array" ref="I217">_xlfn.XLOOKUP(B217,Vendedores!$A$2:$A$41,Vendedores!$D$2:$D$41,"No hay datos")</f>
        <v>No hay datos</v>
      </c>
      <c r="J217" s="2" t="str">
        <f t="array" ref="J217">_xlfn.XLOOKUP(A217,Productos!$A$2:$A$61,Productos!$B$2:$F$61)</f>
        <v>#N/A</v>
      </c>
    </row>
    <row r="218">
      <c r="A218" s="2" t="str">
        <f>IFERROR(__xludf.DUMMYFUNCTION("""COMPUTED_VALUE"""),"PR006")</f>
        <v>PR006</v>
      </c>
      <c r="B218" s="2" t="str">
        <f>IFERROR(__xludf.DUMMYFUNCTION("""COMPUTED_VALUE"""),"VD047")</f>
        <v>VD047</v>
      </c>
      <c r="C218" s="2">
        <f>IFERROR(__xludf.DUMMYFUNCTION("""COMPUTED_VALUE"""),16.0)</f>
        <v>16</v>
      </c>
      <c r="D218" s="6">
        <f>IFERROR(__xludf.DUMMYFUNCTION("""COMPUTED_VALUE"""),766.08)</f>
        <v>766.08</v>
      </c>
      <c r="E218" s="6">
        <f>IFERROR(__xludf.DUMMYFUNCTION("GOOGLEFINANCE(""Currency:BRLMXN"")*D218"),2602.37376)</f>
        <v>2602.37376</v>
      </c>
      <c r="F218" s="6">
        <f>IFERROR(__xludf.DUMMYFUNCTION("GOOGLEFINANCE(""Currency:BRLPEN"")*D218"),502.242048)</f>
        <v>502.242048</v>
      </c>
      <c r="G218" s="2" t="str">
        <f t="array" ref="G218">_xlfn.XLOOKUP(B218,Vendedores!$A$2:$A$41,Vendedores!$B$2:$B$41,"No hay datos")</f>
        <v>No hay datos</v>
      </c>
      <c r="H218" s="2" t="str">
        <f t="array" ref="H218">_xlfn.XLOOKUP(B218,Vendedores!$A$2:$A$41,Vendedores!$C$2:$C$41,"No hay datos")</f>
        <v>No hay datos</v>
      </c>
      <c r="I218" s="2" t="str">
        <f t="array" ref="I218">_xlfn.XLOOKUP(B218,Vendedores!$A$2:$A$41,Vendedores!$D$2:$D$41,"No hay datos")</f>
        <v>No hay datos</v>
      </c>
      <c r="J218" s="2" t="str">
        <f t="array" ref="J218">_xlfn.XLOOKUP(A218,Productos!$A$2:$A$61,Productos!$B$2:$F$61)</f>
        <v>#N/A</v>
      </c>
    </row>
    <row r="219">
      <c r="A219" s="2" t="str">
        <f>IFERROR(__xludf.DUMMYFUNCTION("""COMPUTED_VALUE"""),"PR019")</f>
        <v>PR019</v>
      </c>
      <c r="B219" s="2" t="str">
        <f>IFERROR(__xludf.DUMMYFUNCTION("""COMPUTED_VALUE"""),"VD034")</f>
        <v>VD034</v>
      </c>
      <c r="C219" s="2">
        <f>IFERROR(__xludf.DUMMYFUNCTION("""COMPUTED_VALUE"""),12.0)</f>
        <v>12</v>
      </c>
      <c r="D219" s="6">
        <f>IFERROR(__xludf.DUMMYFUNCTION("""COMPUTED_VALUE"""),670.66)</f>
        <v>670.66</v>
      </c>
      <c r="E219" s="6">
        <f>IFERROR(__xludf.DUMMYFUNCTION("GOOGLEFINANCE(""Currency:BRLMXN"")*D219"),2278.23202)</f>
        <v>2278.23202</v>
      </c>
      <c r="F219" s="6">
        <f>IFERROR(__xludf.DUMMYFUNCTION("GOOGLEFINANCE(""Currency:BRLPEN"")*D219"),439.684696)</f>
        <v>439.684696</v>
      </c>
      <c r="G219" s="2" t="str">
        <f t="array" ref="G219">_xlfn.XLOOKUP(B219,Vendedores!$A$2:$A$41,Vendedores!$B$2:$B$41,"No hay datos")</f>
        <v>No hay datos</v>
      </c>
      <c r="H219" s="2" t="str">
        <f t="array" ref="H219">_xlfn.XLOOKUP(B219,Vendedores!$A$2:$A$41,Vendedores!$C$2:$C$41,"No hay datos")</f>
        <v>No hay datos</v>
      </c>
      <c r="I219" s="2" t="str">
        <f t="array" ref="I219">_xlfn.XLOOKUP(B219,Vendedores!$A$2:$A$41,Vendedores!$D$2:$D$41,"No hay datos")</f>
        <v>No hay datos</v>
      </c>
      <c r="J219" s="2" t="str">
        <f t="array" ref="J219">_xlfn.XLOOKUP(A219,Productos!$A$2:$A$61,Productos!$B$2:$F$61)</f>
        <v>#N/A</v>
      </c>
    </row>
    <row r="220">
      <c r="A220" s="2" t="str">
        <f>IFERROR(__xludf.DUMMYFUNCTION("""COMPUTED_VALUE"""),"PR006")</f>
        <v>PR006</v>
      </c>
      <c r="B220" s="2" t="str">
        <f>IFERROR(__xludf.DUMMYFUNCTION("""COMPUTED_VALUE"""),"VD037")</f>
        <v>VD037</v>
      </c>
      <c r="C220" s="2">
        <f>IFERROR(__xludf.DUMMYFUNCTION("""COMPUTED_VALUE"""),10.0)</f>
        <v>10</v>
      </c>
      <c r="D220" s="6">
        <f>IFERROR(__xludf.DUMMYFUNCTION("""COMPUTED_VALUE"""),462.84)</f>
        <v>462.84</v>
      </c>
      <c r="E220" s="6">
        <f>IFERROR(__xludf.DUMMYFUNCTION("GOOGLEFINANCE(""Currency:BRLMXN"")*D220"),1572.2674799999998)</f>
        <v>1572.26748</v>
      </c>
      <c r="F220" s="6">
        <f>IFERROR(__xludf.DUMMYFUNCTION("GOOGLEFINANCE(""Currency:BRLPEN"")*D220"),303.43790399999995)</f>
        <v>303.437904</v>
      </c>
      <c r="G220" s="2" t="str">
        <f t="array" ref="G220">_xlfn.XLOOKUP(B220,Vendedores!$A$2:$A$41,Vendedores!$B$2:$B$41,"No hay datos")</f>
        <v>No hay datos</v>
      </c>
      <c r="H220" s="2" t="str">
        <f t="array" ref="H220">_xlfn.XLOOKUP(B220,Vendedores!$A$2:$A$41,Vendedores!$C$2:$C$41,"No hay datos")</f>
        <v>No hay datos</v>
      </c>
      <c r="I220" s="2" t="str">
        <f t="array" ref="I220">_xlfn.XLOOKUP(B220,Vendedores!$A$2:$A$41,Vendedores!$D$2:$D$41,"No hay datos")</f>
        <v>No hay datos</v>
      </c>
      <c r="J220" s="2" t="str">
        <f t="array" ref="J220">_xlfn.XLOOKUP(A220,Productos!$A$2:$A$61,Productos!$B$2:$F$61)</f>
        <v>#N/A</v>
      </c>
    </row>
    <row r="221">
      <c r="A221" s="2" t="str">
        <f>IFERROR(__xludf.DUMMYFUNCTION("""COMPUTED_VALUE"""),"PR026")</f>
        <v>PR026</v>
      </c>
      <c r="B221" s="2" t="str">
        <f>IFERROR(__xludf.DUMMYFUNCTION("""COMPUTED_VALUE"""),"VD032")</f>
        <v>VD032</v>
      </c>
      <c r="C221" s="2">
        <f>IFERROR(__xludf.DUMMYFUNCTION("""COMPUTED_VALUE"""),6.0)</f>
        <v>6</v>
      </c>
      <c r="D221" s="6">
        <f>IFERROR(__xludf.DUMMYFUNCTION("""COMPUTED_VALUE"""),2393.32)</f>
        <v>2393.32</v>
      </c>
      <c r="E221" s="6">
        <f>IFERROR(__xludf.DUMMYFUNCTION("GOOGLEFINANCE(""Currency:BRLMXN"")*D221"),8130.10804)</f>
        <v>8130.10804</v>
      </c>
      <c r="F221" s="6">
        <f>IFERROR(__xludf.DUMMYFUNCTION("GOOGLEFINANCE(""Currency:BRLPEN"")*D221"),1569.060592)</f>
        <v>1569.060592</v>
      </c>
      <c r="G221" s="2" t="str">
        <f t="array" ref="G221">_xlfn.XLOOKUP(B221,Vendedores!$A$2:$A$41,Vendedores!$B$2:$B$41,"No hay datos")</f>
        <v>No hay datos</v>
      </c>
      <c r="H221" s="2" t="str">
        <f t="array" ref="H221">_xlfn.XLOOKUP(B221,Vendedores!$A$2:$A$41,Vendedores!$C$2:$C$41,"No hay datos")</f>
        <v>No hay datos</v>
      </c>
      <c r="I221" s="2" t="str">
        <f t="array" ref="I221">_xlfn.XLOOKUP(B221,Vendedores!$A$2:$A$41,Vendedores!$D$2:$D$41,"No hay datos")</f>
        <v>No hay datos</v>
      </c>
      <c r="J221" s="2" t="str">
        <f t="array" ref="J221">_xlfn.XLOOKUP(A221,Productos!$A$2:$A$61,Productos!$B$2:$F$61)</f>
        <v>#N/A</v>
      </c>
    </row>
    <row r="222">
      <c r="A222" s="2" t="str">
        <f>IFERROR(__xludf.DUMMYFUNCTION("""COMPUTED_VALUE"""),"PR058")</f>
        <v>PR058</v>
      </c>
      <c r="B222" s="2" t="str">
        <f>IFERROR(__xludf.DUMMYFUNCTION("""COMPUTED_VALUE"""),"VD027")</f>
        <v>VD027</v>
      </c>
      <c r="C222" s="2">
        <f>IFERROR(__xludf.DUMMYFUNCTION("""COMPUTED_VALUE"""),2.0)</f>
        <v>2</v>
      </c>
      <c r="D222" s="6">
        <f>IFERROR(__xludf.DUMMYFUNCTION("""COMPUTED_VALUE"""),417.6)</f>
        <v>417.6</v>
      </c>
      <c r="E222" s="6">
        <f>IFERROR(__xludf.DUMMYFUNCTION("GOOGLEFINANCE(""Currency:BRLMXN"")*D222"),1418.5872)</f>
        <v>1418.5872</v>
      </c>
      <c r="F222" s="6">
        <f>IFERROR(__xludf.DUMMYFUNCTION("GOOGLEFINANCE(""Currency:BRLPEN"")*D222"),273.77855999999997)</f>
        <v>273.77856</v>
      </c>
      <c r="G222" s="2" t="str">
        <f t="array" ref="G222">_xlfn.XLOOKUP(B222,Vendedores!$A$2:$A$41,Vendedores!$B$2:$B$41,"No hay datos")</f>
        <v>No hay datos</v>
      </c>
      <c r="H222" s="2" t="str">
        <f t="array" ref="H222">_xlfn.XLOOKUP(B222,Vendedores!$A$2:$A$41,Vendedores!$C$2:$C$41,"No hay datos")</f>
        <v>No hay datos</v>
      </c>
      <c r="I222" s="2" t="str">
        <f t="array" ref="I222">_xlfn.XLOOKUP(B222,Vendedores!$A$2:$A$41,Vendedores!$D$2:$D$41,"No hay datos")</f>
        <v>No hay datos</v>
      </c>
      <c r="J222" s="2" t="str">
        <f t="array" ref="J222">_xlfn.XLOOKUP(A222,Productos!$A$2:$A$61,Productos!$B$2:$F$61)</f>
        <v>#N/A</v>
      </c>
    </row>
    <row r="223">
      <c r="A223" s="2" t="str">
        <f>IFERROR(__xludf.DUMMYFUNCTION("""COMPUTED_VALUE"""),"PR013")</f>
        <v>PR013</v>
      </c>
      <c r="B223" s="2" t="str">
        <f>IFERROR(__xludf.DUMMYFUNCTION("""COMPUTED_VALUE"""),"VD011")</f>
        <v>VD011</v>
      </c>
      <c r="C223" s="2">
        <f>IFERROR(__xludf.DUMMYFUNCTION("""COMPUTED_VALUE"""),15.0)</f>
        <v>15</v>
      </c>
      <c r="D223" s="6">
        <f>IFERROR(__xludf.DUMMYFUNCTION("""COMPUTED_VALUE"""),712.22)</f>
        <v>712.22</v>
      </c>
      <c r="E223" s="6">
        <f>IFERROR(__xludf.DUMMYFUNCTION("GOOGLEFINANCE(""Currency:BRLMXN"")*D223"),2419.41134)</f>
        <v>2419.41134</v>
      </c>
      <c r="F223" s="6">
        <f>IFERROR(__xludf.DUMMYFUNCTION("GOOGLEFINANCE(""Currency:BRLPEN"")*D223"),466.931432)</f>
        <v>466.931432</v>
      </c>
      <c r="G223" s="2" t="str">
        <f t="array" ref="G223">_xlfn.XLOOKUP(B223,Vendedores!$A$2:$A$41,Vendedores!$B$2:$B$41,"No hay datos")</f>
        <v>No hay datos</v>
      </c>
      <c r="H223" s="2" t="str">
        <f t="array" ref="H223">_xlfn.XLOOKUP(B223,Vendedores!$A$2:$A$41,Vendedores!$C$2:$C$41,"No hay datos")</f>
        <v>No hay datos</v>
      </c>
      <c r="I223" s="2" t="str">
        <f t="array" ref="I223">_xlfn.XLOOKUP(B223,Vendedores!$A$2:$A$41,Vendedores!$D$2:$D$41,"No hay datos")</f>
        <v>No hay datos</v>
      </c>
      <c r="J223" s="2" t="str">
        <f t="array" ref="J223">_xlfn.XLOOKUP(A223,Productos!$A$2:$A$61,Productos!$B$2:$F$61)</f>
        <v>#N/A</v>
      </c>
    </row>
    <row r="224">
      <c r="A224" s="2" t="str">
        <f>IFERROR(__xludf.DUMMYFUNCTION("""COMPUTED_VALUE"""),"PR058")</f>
        <v>PR058</v>
      </c>
      <c r="B224" s="2" t="str">
        <f>IFERROR(__xludf.DUMMYFUNCTION("""COMPUTED_VALUE"""),"VD017")</f>
        <v>VD017</v>
      </c>
      <c r="C224" s="2">
        <f>IFERROR(__xludf.DUMMYFUNCTION("""COMPUTED_VALUE"""),7.0)</f>
        <v>7</v>
      </c>
      <c r="D224" s="6">
        <f>IFERROR(__xludf.DUMMYFUNCTION("""COMPUTED_VALUE"""),1486.8)</f>
        <v>1486.8</v>
      </c>
      <c r="E224" s="6">
        <f>IFERROR(__xludf.DUMMYFUNCTION("GOOGLEFINANCE(""Currency:BRLMXN"")*D224"),5050.6596)</f>
        <v>5050.6596</v>
      </c>
      <c r="F224" s="6">
        <f>IFERROR(__xludf.DUMMYFUNCTION("GOOGLEFINANCE(""Currency:BRLPEN"")*D224"),974.7460799999999)</f>
        <v>974.74608</v>
      </c>
      <c r="G224" s="2" t="str">
        <f t="array" ref="G224">_xlfn.XLOOKUP(B224,Vendedores!$A$2:$A$41,Vendedores!$B$2:$B$41,"No hay datos")</f>
        <v>No hay datos</v>
      </c>
      <c r="H224" s="2" t="str">
        <f t="array" ref="H224">_xlfn.XLOOKUP(B224,Vendedores!$A$2:$A$41,Vendedores!$C$2:$C$41,"No hay datos")</f>
        <v>No hay datos</v>
      </c>
      <c r="I224" s="2" t="str">
        <f t="array" ref="I224">_xlfn.XLOOKUP(B224,Vendedores!$A$2:$A$41,Vendedores!$D$2:$D$41,"No hay datos")</f>
        <v>No hay datos</v>
      </c>
      <c r="J224" s="2" t="str">
        <f t="array" ref="J224">_xlfn.XLOOKUP(A224,Productos!$A$2:$A$61,Productos!$B$2:$F$61)</f>
        <v>#N/A</v>
      </c>
    </row>
    <row r="225">
      <c r="A225" s="2" t="str">
        <f>IFERROR(__xludf.DUMMYFUNCTION("""COMPUTED_VALUE"""),"PR030")</f>
        <v>PR030</v>
      </c>
      <c r="B225" s="2" t="str">
        <f>IFERROR(__xludf.DUMMYFUNCTION("""COMPUTED_VALUE"""),"VD036")</f>
        <v>VD036</v>
      </c>
      <c r="C225" s="2">
        <f>IFERROR(__xludf.DUMMYFUNCTION("""COMPUTED_VALUE"""),9.0)</f>
        <v>9</v>
      </c>
      <c r="D225" s="6">
        <f>IFERROR(__xludf.DUMMYFUNCTION("""COMPUTED_VALUE"""),2689.97)</f>
        <v>2689.97</v>
      </c>
      <c r="E225" s="6">
        <f>IFERROR(__xludf.DUMMYFUNCTION("GOOGLEFINANCE(""Currency:BRLMXN"")*D225"),9137.828089999999)</f>
        <v>9137.82809</v>
      </c>
      <c r="F225" s="6">
        <f>IFERROR(__xludf.DUMMYFUNCTION("GOOGLEFINANCE(""Currency:BRLPEN"")*D225"),1763.5443319999997)</f>
        <v>1763.544332</v>
      </c>
      <c r="G225" s="2" t="str">
        <f t="array" ref="G225">_xlfn.XLOOKUP(B225,Vendedores!$A$2:$A$41,Vendedores!$B$2:$B$41,"No hay datos")</f>
        <v>No hay datos</v>
      </c>
      <c r="H225" s="2" t="str">
        <f t="array" ref="H225">_xlfn.XLOOKUP(B225,Vendedores!$A$2:$A$41,Vendedores!$C$2:$C$41,"No hay datos")</f>
        <v>No hay datos</v>
      </c>
      <c r="I225" s="2" t="str">
        <f t="array" ref="I225">_xlfn.XLOOKUP(B225,Vendedores!$A$2:$A$41,Vendedores!$D$2:$D$41,"No hay datos")</f>
        <v>No hay datos</v>
      </c>
      <c r="J225" s="2" t="str">
        <f t="array" ref="J225">_xlfn.XLOOKUP(A225,Productos!$A$2:$A$61,Productos!$B$2:$F$61)</f>
        <v>#N/A</v>
      </c>
    </row>
    <row r="226">
      <c r="A226" s="2" t="str">
        <f>IFERROR(__xludf.DUMMYFUNCTION("""COMPUTED_VALUE"""),"PR015")</f>
        <v>PR015</v>
      </c>
      <c r="B226" s="2" t="str">
        <f>IFERROR(__xludf.DUMMYFUNCTION("""COMPUTED_VALUE"""),"VD049")</f>
        <v>VD049</v>
      </c>
      <c r="C226" s="2">
        <f>IFERROR(__xludf.DUMMYFUNCTION("""COMPUTED_VALUE"""),30.0)</f>
        <v>30</v>
      </c>
      <c r="D226" s="6">
        <f>IFERROR(__xludf.DUMMYFUNCTION("""COMPUTED_VALUE"""),1415.25)</f>
        <v>1415.25</v>
      </c>
      <c r="E226" s="6">
        <f>IFERROR(__xludf.DUMMYFUNCTION("GOOGLEFINANCE(""Currency:BRLMXN"")*D226"),4807.604249999999)</f>
        <v>4807.60425</v>
      </c>
      <c r="F226" s="6">
        <f>IFERROR(__xludf.DUMMYFUNCTION("GOOGLEFINANCE(""Currency:BRLPEN"")*D226"),927.8379)</f>
        <v>927.8379</v>
      </c>
      <c r="G226" s="2" t="str">
        <f t="array" ref="G226">_xlfn.XLOOKUP(B226,Vendedores!$A$2:$A$41,Vendedores!$B$2:$B$41,"No hay datos")</f>
        <v>No hay datos</v>
      </c>
      <c r="H226" s="2" t="str">
        <f t="array" ref="H226">_xlfn.XLOOKUP(B226,Vendedores!$A$2:$A$41,Vendedores!$C$2:$C$41,"No hay datos")</f>
        <v>No hay datos</v>
      </c>
      <c r="I226" s="2" t="str">
        <f t="array" ref="I226">_xlfn.XLOOKUP(B226,Vendedores!$A$2:$A$41,Vendedores!$D$2:$D$41,"No hay datos")</f>
        <v>No hay datos</v>
      </c>
      <c r="J226" s="2" t="str">
        <f t="array" ref="J226">_xlfn.XLOOKUP(A226,Productos!$A$2:$A$61,Productos!$B$2:$F$61)</f>
        <v>#N/A</v>
      </c>
    </row>
    <row r="227">
      <c r="A227" s="2" t="str">
        <f>IFERROR(__xludf.DUMMYFUNCTION("""COMPUTED_VALUE"""),"PR001")</f>
        <v>PR001</v>
      </c>
      <c r="B227" s="2" t="str">
        <f>IFERROR(__xludf.DUMMYFUNCTION("""COMPUTED_VALUE"""),"VD013")</f>
        <v>VD013</v>
      </c>
      <c r="C227" s="2">
        <f>IFERROR(__xludf.DUMMYFUNCTION("""COMPUTED_VALUE"""),16.0)</f>
        <v>16</v>
      </c>
      <c r="D227" s="6">
        <f>IFERROR(__xludf.DUMMYFUNCTION("""COMPUTED_VALUE"""),1254.74)</f>
        <v>1254.74</v>
      </c>
      <c r="E227" s="6">
        <f>IFERROR(__xludf.DUMMYFUNCTION("GOOGLEFINANCE(""Currency:BRLMXN"")*D227"),4262.35178)</f>
        <v>4262.35178</v>
      </c>
      <c r="F227" s="6">
        <f>IFERROR(__xludf.DUMMYFUNCTION("GOOGLEFINANCE(""Currency:BRLPEN"")*D227"),822.607544)</f>
        <v>822.607544</v>
      </c>
      <c r="G227" s="2" t="str">
        <f t="array" ref="G227">_xlfn.XLOOKUP(B227,Vendedores!$A$2:$A$41,Vendedores!$B$2:$B$41,"No hay datos")</f>
        <v>No hay datos</v>
      </c>
      <c r="H227" s="2" t="str">
        <f t="array" ref="H227">_xlfn.XLOOKUP(B227,Vendedores!$A$2:$A$41,Vendedores!$C$2:$C$41,"No hay datos")</f>
        <v>No hay datos</v>
      </c>
      <c r="I227" s="2" t="str">
        <f t="array" ref="I227">_xlfn.XLOOKUP(B227,Vendedores!$A$2:$A$41,Vendedores!$D$2:$D$41,"No hay datos")</f>
        <v>No hay datos</v>
      </c>
      <c r="J227" s="2" t="str">
        <f t="array" ref="J227">_xlfn.XLOOKUP(A227,Productos!$A$2:$A$61,Productos!$B$2:$F$61)</f>
        <v>#N/A</v>
      </c>
    </row>
    <row r="228">
      <c r="A228" s="2" t="str">
        <f>IFERROR(__xludf.DUMMYFUNCTION("""COMPUTED_VALUE"""),"PR053")</f>
        <v>PR053</v>
      </c>
      <c r="B228" s="2" t="str">
        <f>IFERROR(__xludf.DUMMYFUNCTION("""COMPUTED_VALUE"""),"VD012")</f>
        <v>VD012</v>
      </c>
      <c r="C228" s="2">
        <f>IFERROR(__xludf.DUMMYFUNCTION("""COMPUTED_VALUE"""),3.0)</f>
        <v>3</v>
      </c>
      <c r="D228" s="6">
        <f>IFERROR(__xludf.DUMMYFUNCTION("""COMPUTED_VALUE"""),166.17)</f>
        <v>166.17</v>
      </c>
      <c r="E228" s="6">
        <f>IFERROR(__xludf.DUMMYFUNCTION("GOOGLEFINANCE(""Currency:BRLMXN"")*D228"),564.4794899999999)</f>
        <v>564.47949</v>
      </c>
      <c r="F228" s="6">
        <f>IFERROR(__xludf.DUMMYFUNCTION("GOOGLEFINANCE(""Currency:BRLPEN"")*D228"),108.94105199999998)</f>
        <v>108.941052</v>
      </c>
      <c r="G228" s="2" t="str">
        <f t="array" ref="G228">_xlfn.XLOOKUP(B228,Vendedores!$A$2:$A$41,Vendedores!$B$2:$B$41,"No hay datos")</f>
        <v>No hay datos</v>
      </c>
      <c r="H228" s="2" t="str">
        <f t="array" ref="H228">_xlfn.XLOOKUP(B228,Vendedores!$A$2:$A$41,Vendedores!$C$2:$C$41,"No hay datos")</f>
        <v>No hay datos</v>
      </c>
      <c r="I228" s="2" t="str">
        <f t="array" ref="I228">_xlfn.XLOOKUP(B228,Vendedores!$A$2:$A$41,Vendedores!$D$2:$D$41,"No hay datos")</f>
        <v>No hay datos</v>
      </c>
      <c r="J228" s="2" t="str">
        <f t="array" ref="J228">_xlfn.XLOOKUP(A228,Productos!$A$2:$A$61,Productos!$B$2:$F$61)</f>
        <v>#N/A</v>
      </c>
    </row>
    <row r="229">
      <c r="A229" s="2" t="str">
        <f>IFERROR(__xludf.DUMMYFUNCTION("""COMPUTED_VALUE"""),"PR041")</f>
        <v>PR041</v>
      </c>
      <c r="B229" s="2" t="str">
        <f>IFERROR(__xludf.DUMMYFUNCTION("""COMPUTED_VALUE"""),"VD037")</f>
        <v>VD037</v>
      </c>
      <c r="C229" s="2">
        <f>IFERROR(__xludf.DUMMYFUNCTION("""COMPUTED_VALUE"""),2.0)</f>
        <v>2</v>
      </c>
      <c r="D229" s="6">
        <f>IFERROR(__xludf.DUMMYFUNCTION("""COMPUTED_VALUE"""),122.98)</f>
        <v>122.98</v>
      </c>
      <c r="E229" s="6">
        <f>IFERROR(__xludf.DUMMYFUNCTION("GOOGLEFINANCE(""Currency:BRLMXN"")*D229"),417.76306)</f>
        <v>417.76306</v>
      </c>
      <c r="F229" s="6">
        <f>IFERROR(__xludf.DUMMYFUNCTION("GOOGLEFINANCE(""Currency:BRLPEN"")*D229"),80.625688)</f>
        <v>80.625688</v>
      </c>
      <c r="G229" s="2" t="str">
        <f t="array" ref="G229">_xlfn.XLOOKUP(B229,Vendedores!$A$2:$A$41,Vendedores!$B$2:$B$41,"No hay datos")</f>
        <v>No hay datos</v>
      </c>
      <c r="H229" s="2" t="str">
        <f t="array" ref="H229">_xlfn.XLOOKUP(B229,Vendedores!$A$2:$A$41,Vendedores!$C$2:$C$41,"No hay datos")</f>
        <v>No hay datos</v>
      </c>
      <c r="I229" s="2" t="str">
        <f t="array" ref="I229">_xlfn.XLOOKUP(B229,Vendedores!$A$2:$A$41,Vendedores!$D$2:$D$41,"No hay datos")</f>
        <v>No hay datos</v>
      </c>
      <c r="J229" s="2" t="str">
        <f t="array" ref="J229">_xlfn.XLOOKUP(A229,Productos!$A$2:$A$61,Productos!$B$2:$F$61)</f>
        <v>#N/A</v>
      </c>
    </row>
    <row r="230">
      <c r="A230" s="2" t="str">
        <f>IFERROR(__xludf.DUMMYFUNCTION("""COMPUTED_VALUE"""),"PR002")</f>
        <v>PR002</v>
      </c>
      <c r="B230" s="2" t="str">
        <f>IFERROR(__xludf.DUMMYFUNCTION("""COMPUTED_VALUE"""),"VD047")</f>
        <v>VD047</v>
      </c>
      <c r="C230" s="2">
        <f>IFERROR(__xludf.DUMMYFUNCTION("""COMPUTED_VALUE"""),2.0)</f>
        <v>2</v>
      </c>
      <c r="D230" s="6">
        <f>IFERROR(__xludf.DUMMYFUNCTION("""COMPUTED_VALUE"""),153.78)</f>
        <v>153.78</v>
      </c>
      <c r="E230" s="6">
        <f>IFERROR(__xludf.DUMMYFUNCTION("GOOGLEFINANCE(""Currency:BRLMXN"")*D230"),522.39066)</f>
        <v>522.39066</v>
      </c>
      <c r="F230" s="6">
        <f>IFERROR(__xludf.DUMMYFUNCTION("GOOGLEFINANCE(""Currency:BRLPEN"")*D230"),100.818168)</f>
        <v>100.818168</v>
      </c>
      <c r="G230" s="2" t="str">
        <f t="array" ref="G230">_xlfn.XLOOKUP(B230,Vendedores!$A$2:$A$41,Vendedores!$B$2:$B$41,"No hay datos")</f>
        <v>No hay datos</v>
      </c>
      <c r="H230" s="2" t="str">
        <f t="array" ref="H230">_xlfn.XLOOKUP(B230,Vendedores!$A$2:$A$41,Vendedores!$C$2:$C$41,"No hay datos")</f>
        <v>No hay datos</v>
      </c>
      <c r="I230" s="2" t="str">
        <f t="array" ref="I230">_xlfn.XLOOKUP(B230,Vendedores!$A$2:$A$41,Vendedores!$D$2:$D$41,"No hay datos")</f>
        <v>No hay datos</v>
      </c>
      <c r="J230" s="2" t="str">
        <f t="array" ref="J230">_xlfn.XLOOKUP(A230,Productos!$A$2:$A$61,Productos!$B$2:$F$61)</f>
        <v>#N/A</v>
      </c>
    </row>
    <row r="231">
      <c r="A231" s="2" t="str">
        <f>IFERROR(__xludf.DUMMYFUNCTION("""COMPUTED_VALUE"""),"PR021")</f>
        <v>PR021</v>
      </c>
      <c r="B231" s="2" t="str">
        <f>IFERROR(__xludf.DUMMYFUNCTION("""COMPUTED_VALUE"""),"VD039")</f>
        <v>VD039</v>
      </c>
      <c r="C231" s="2">
        <f>IFERROR(__xludf.DUMMYFUNCTION("""COMPUTED_VALUE"""),27.0)</f>
        <v>27</v>
      </c>
      <c r="D231" s="6">
        <f>IFERROR(__xludf.DUMMYFUNCTION("""COMPUTED_VALUE"""),9241.48)</f>
        <v>9241.48</v>
      </c>
      <c r="E231" s="6">
        <f>IFERROR(__xludf.DUMMYFUNCTION("GOOGLEFINANCE(""Currency:BRLMXN"")*D231"),31393.307559999997)</f>
        <v>31393.30756</v>
      </c>
      <c r="F231" s="6">
        <f>IFERROR(__xludf.DUMMYFUNCTION("GOOGLEFINANCE(""Currency:BRLPEN"")*D231"),6058.714287999999)</f>
        <v>6058.714288</v>
      </c>
      <c r="G231" s="2" t="str">
        <f t="array" ref="G231">_xlfn.XLOOKUP(B231,Vendedores!$A$2:$A$41,Vendedores!$B$2:$B$41,"No hay datos")</f>
        <v>No hay datos</v>
      </c>
      <c r="H231" s="2" t="str">
        <f t="array" ref="H231">_xlfn.XLOOKUP(B231,Vendedores!$A$2:$A$41,Vendedores!$C$2:$C$41,"No hay datos")</f>
        <v>No hay datos</v>
      </c>
      <c r="I231" s="2" t="str">
        <f t="array" ref="I231">_xlfn.XLOOKUP(B231,Vendedores!$A$2:$A$41,Vendedores!$D$2:$D$41,"No hay datos")</f>
        <v>No hay datos</v>
      </c>
      <c r="J231" s="2" t="str">
        <f t="array" ref="J231">_xlfn.XLOOKUP(A231,Productos!$A$2:$A$61,Productos!$B$2:$F$61)</f>
        <v>#N/A</v>
      </c>
    </row>
    <row r="232">
      <c r="A232" s="2" t="str">
        <f>IFERROR(__xludf.DUMMYFUNCTION("""COMPUTED_VALUE"""),"PR035")</f>
        <v>PR035</v>
      </c>
      <c r="B232" s="2" t="str">
        <f>IFERROR(__xludf.DUMMYFUNCTION("""COMPUTED_VALUE"""),"VD026")</f>
        <v>VD026</v>
      </c>
      <c r="C232" s="2">
        <f>IFERROR(__xludf.DUMMYFUNCTION("""COMPUTED_VALUE"""),6.0)</f>
        <v>6</v>
      </c>
      <c r="D232" s="6">
        <f>IFERROR(__xludf.DUMMYFUNCTION("""COMPUTED_VALUE"""),608.72)</f>
        <v>608.72</v>
      </c>
      <c r="E232" s="6">
        <f>IFERROR(__xludf.DUMMYFUNCTION("GOOGLEFINANCE(""Currency:BRLMXN"")*D232"),2067.82184)</f>
        <v>2067.82184</v>
      </c>
      <c r="F232" s="6">
        <f>IFERROR(__xludf.DUMMYFUNCTION("GOOGLEFINANCE(""Currency:BRLPEN"")*D232"),399.07683199999997)</f>
        <v>399.076832</v>
      </c>
      <c r="G232" s="2" t="str">
        <f t="array" ref="G232">_xlfn.XLOOKUP(B232,Vendedores!$A$2:$A$41,Vendedores!$B$2:$B$41,"No hay datos")</f>
        <v>No hay datos</v>
      </c>
      <c r="H232" s="2" t="str">
        <f t="array" ref="H232">_xlfn.XLOOKUP(B232,Vendedores!$A$2:$A$41,Vendedores!$C$2:$C$41,"No hay datos")</f>
        <v>No hay datos</v>
      </c>
      <c r="I232" s="2" t="str">
        <f t="array" ref="I232">_xlfn.XLOOKUP(B232,Vendedores!$A$2:$A$41,Vendedores!$D$2:$D$41,"No hay datos")</f>
        <v>No hay datos</v>
      </c>
      <c r="J232" s="2" t="str">
        <f t="array" ref="J232">_xlfn.XLOOKUP(A232,Productos!$A$2:$A$61,Productos!$B$2:$F$61)</f>
        <v>#N/A</v>
      </c>
    </row>
    <row r="233">
      <c r="A233" s="2" t="str">
        <f>IFERROR(__xludf.DUMMYFUNCTION("""COMPUTED_VALUE"""),"PR008")</f>
        <v>PR008</v>
      </c>
      <c r="B233" s="2" t="str">
        <f>IFERROR(__xludf.DUMMYFUNCTION("""COMPUTED_VALUE"""),"VD036")</f>
        <v>VD036</v>
      </c>
      <c r="C233" s="2">
        <f>IFERROR(__xludf.DUMMYFUNCTION("""COMPUTED_VALUE"""),6.0)</f>
        <v>6</v>
      </c>
      <c r="D233" s="6">
        <f>IFERROR(__xludf.DUMMYFUNCTION("""COMPUTED_VALUE"""),593.34)</f>
        <v>593.34</v>
      </c>
      <c r="E233" s="6">
        <f>IFERROR(__xludf.DUMMYFUNCTION("GOOGLEFINANCE(""Currency:BRLMXN"")*D233"),2015.57598)</f>
        <v>2015.57598</v>
      </c>
      <c r="F233" s="6">
        <f>IFERROR(__xludf.DUMMYFUNCTION("GOOGLEFINANCE(""Currency:BRLPEN"")*D233"),388.993704)</f>
        <v>388.993704</v>
      </c>
      <c r="G233" s="2" t="str">
        <f t="array" ref="G233">_xlfn.XLOOKUP(B233,Vendedores!$A$2:$A$41,Vendedores!$B$2:$B$41,"No hay datos")</f>
        <v>No hay datos</v>
      </c>
      <c r="H233" s="2" t="str">
        <f t="array" ref="H233">_xlfn.XLOOKUP(B233,Vendedores!$A$2:$A$41,Vendedores!$C$2:$C$41,"No hay datos")</f>
        <v>No hay datos</v>
      </c>
      <c r="I233" s="2" t="str">
        <f t="array" ref="I233">_xlfn.XLOOKUP(B233,Vendedores!$A$2:$A$41,Vendedores!$D$2:$D$41,"No hay datos")</f>
        <v>No hay datos</v>
      </c>
      <c r="J233" s="2" t="str">
        <f t="array" ref="J233">_xlfn.XLOOKUP(A233,Productos!$A$2:$A$61,Productos!$B$2:$F$61)</f>
        <v>#N/A</v>
      </c>
    </row>
    <row r="234">
      <c r="A234" s="2" t="str">
        <f>IFERROR(__xludf.DUMMYFUNCTION("""COMPUTED_VALUE"""),"PR045")</f>
        <v>PR045</v>
      </c>
      <c r="B234" s="2" t="str">
        <f>IFERROR(__xludf.DUMMYFUNCTION("""COMPUTED_VALUE"""),"VD045")</f>
        <v>VD045</v>
      </c>
      <c r="C234" s="2">
        <f>IFERROR(__xludf.DUMMYFUNCTION("""COMPUTED_VALUE"""),6.0)</f>
        <v>6</v>
      </c>
      <c r="D234" s="6">
        <f>IFERROR(__xludf.DUMMYFUNCTION("""COMPUTED_VALUE"""),513.3)</f>
        <v>513.3</v>
      </c>
      <c r="E234" s="6">
        <f>IFERROR(__xludf.DUMMYFUNCTION("GOOGLEFINANCE(""Currency:BRLMXN"")*D234"),1743.6800999999998)</f>
        <v>1743.6801</v>
      </c>
      <c r="F234" s="6">
        <f>IFERROR(__xludf.DUMMYFUNCTION("GOOGLEFINANCE(""Currency:BRLPEN"")*D234"),336.51947999999993)</f>
        <v>336.51948</v>
      </c>
      <c r="G234" s="2" t="str">
        <f t="array" ref="G234">_xlfn.XLOOKUP(B234,Vendedores!$A$2:$A$41,Vendedores!$B$2:$B$41,"No hay datos")</f>
        <v>No hay datos</v>
      </c>
      <c r="H234" s="2" t="str">
        <f t="array" ref="H234">_xlfn.XLOOKUP(B234,Vendedores!$A$2:$A$41,Vendedores!$C$2:$C$41,"No hay datos")</f>
        <v>No hay datos</v>
      </c>
      <c r="I234" s="2" t="str">
        <f t="array" ref="I234">_xlfn.XLOOKUP(B234,Vendedores!$A$2:$A$41,Vendedores!$D$2:$D$41,"No hay datos")</f>
        <v>No hay datos</v>
      </c>
      <c r="J234" s="2" t="str">
        <f t="array" ref="J234">_xlfn.XLOOKUP(A234,Productos!$A$2:$A$61,Productos!$B$2:$F$61)</f>
        <v>#N/A</v>
      </c>
    </row>
    <row r="235">
      <c r="A235" s="2" t="str">
        <f>IFERROR(__xludf.DUMMYFUNCTION("""COMPUTED_VALUE"""),"PR037")</f>
        <v>PR037</v>
      </c>
      <c r="B235" s="2" t="str">
        <f>IFERROR(__xludf.DUMMYFUNCTION("""COMPUTED_VALUE"""),"VD021")</f>
        <v>VD021</v>
      </c>
      <c r="C235" s="2">
        <f>IFERROR(__xludf.DUMMYFUNCTION("""COMPUTED_VALUE"""),9.0)</f>
        <v>9</v>
      </c>
      <c r="D235" s="6">
        <f>IFERROR(__xludf.DUMMYFUNCTION("""COMPUTED_VALUE"""),1398.6)</f>
        <v>1398.6</v>
      </c>
      <c r="E235" s="6">
        <f>IFERROR(__xludf.DUMMYFUNCTION("GOOGLEFINANCE(""Currency:BRLMXN"")*D235"),4751.044199999999)</f>
        <v>4751.0442</v>
      </c>
      <c r="F235" s="6">
        <f>IFERROR(__xludf.DUMMYFUNCTION("GOOGLEFINANCE(""Currency:BRLPEN"")*D235"),916.9221599999998)</f>
        <v>916.92216</v>
      </c>
      <c r="G235" s="2" t="str">
        <f t="array" ref="G235">_xlfn.XLOOKUP(B235,Vendedores!$A$2:$A$41,Vendedores!$B$2:$B$41,"No hay datos")</f>
        <v>No hay datos</v>
      </c>
      <c r="H235" s="2" t="str">
        <f t="array" ref="H235">_xlfn.XLOOKUP(B235,Vendedores!$A$2:$A$41,Vendedores!$C$2:$C$41,"No hay datos")</f>
        <v>No hay datos</v>
      </c>
      <c r="I235" s="2" t="str">
        <f t="array" ref="I235">_xlfn.XLOOKUP(B235,Vendedores!$A$2:$A$41,Vendedores!$D$2:$D$41,"No hay datos")</f>
        <v>No hay datos</v>
      </c>
      <c r="J235" s="2" t="str">
        <f t="array" ref="J235">_xlfn.XLOOKUP(A235,Productos!$A$2:$A$61,Productos!$B$2:$F$61)</f>
        <v>#N/A</v>
      </c>
    </row>
    <row r="236">
      <c r="A236" s="2" t="str">
        <f>IFERROR(__xludf.DUMMYFUNCTION("""COMPUTED_VALUE"""),"PR016")</f>
        <v>PR016</v>
      </c>
      <c r="B236" s="2" t="str">
        <f>IFERROR(__xludf.DUMMYFUNCTION("""COMPUTED_VALUE"""),"VD041")</f>
        <v>VD041</v>
      </c>
      <c r="C236" s="2">
        <f>IFERROR(__xludf.DUMMYFUNCTION("""COMPUTED_VALUE"""),2.0)</f>
        <v>2</v>
      </c>
      <c r="D236" s="6">
        <f>IFERROR(__xludf.DUMMYFUNCTION("""COMPUTED_VALUE"""),57.5)</f>
        <v>57.5</v>
      </c>
      <c r="E236" s="6">
        <f>IFERROR(__xludf.DUMMYFUNCTION("GOOGLEFINANCE(""Currency:BRLMXN"")*D236"),195.3275)</f>
        <v>195.3275</v>
      </c>
      <c r="F236" s="6">
        <f>IFERROR(__xludf.DUMMYFUNCTION("GOOGLEFINANCE(""Currency:BRLPEN"")*D236"),37.696999999999996)</f>
        <v>37.697</v>
      </c>
      <c r="G236" s="2" t="str">
        <f t="array" ref="G236">_xlfn.XLOOKUP(B236,Vendedores!$A$2:$A$41,Vendedores!$B$2:$B$41,"No hay datos")</f>
        <v>No hay datos</v>
      </c>
      <c r="H236" s="2" t="str">
        <f t="array" ref="H236">_xlfn.XLOOKUP(B236,Vendedores!$A$2:$A$41,Vendedores!$C$2:$C$41,"No hay datos")</f>
        <v>No hay datos</v>
      </c>
      <c r="I236" s="2" t="str">
        <f t="array" ref="I236">_xlfn.XLOOKUP(B236,Vendedores!$A$2:$A$41,Vendedores!$D$2:$D$41,"No hay datos")</f>
        <v>No hay datos</v>
      </c>
      <c r="J236" s="2" t="str">
        <f t="array" ref="J236">_xlfn.XLOOKUP(A236,Productos!$A$2:$A$61,Productos!$B$2:$F$61)</f>
        <v>#N/A</v>
      </c>
    </row>
    <row r="237">
      <c r="A237" s="2" t="str">
        <f>IFERROR(__xludf.DUMMYFUNCTION("""COMPUTED_VALUE"""),"PR053")</f>
        <v>PR053</v>
      </c>
      <c r="B237" s="2" t="str">
        <f>IFERROR(__xludf.DUMMYFUNCTION("""COMPUTED_VALUE"""),"VD013")</f>
        <v>VD013</v>
      </c>
      <c r="C237" s="2">
        <f>IFERROR(__xludf.DUMMYFUNCTION("""COMPUTED_VALUE"""),21.0)</f>
        <v>21</v>
      </c>
      <c r="D237" s="6">
        <f>IFERROR(__xludf.DUMMYFUNCTION("""COMPUTED_VALUE"""),1247.0)</f>
        <v>1247</v>
      </c>
      <c r="E237" s="6">
        <f>IFERROR(__xludf.DUMMYFUNCTION("GOOGLEFINANCE(""Currency:BRLMXN"")*D237"),4236.059)</f>
        <v>4236.059</v>
      </c>
      <c r="F237" s="6">
        <f>IFERROR(__xludf.DUMMYFUNCTION("GOOGLEFINANCE(""Currency:BRLPEN"")*D237"),817.5332)</f>
        <v>817.5332</v>
      </c>
      <c r="G237" s="2" t="str">
        <f t="array" ref="G237">_xlfn.XLOOKUP(B237,Vendedores!$A$2:$A$41,Vendedores!$B$2:$B$41,"No hay datos")</f>
        <v>No hay datos</v>
      </c>
      <c r="H237" s="2" t="str">
        <f t="array" ref="H237">_xlfn.XLOOKUP(B237,Vendedores!$A$2:$A$41,Vendedores!$C$2:$C$41,"No hay datos")</f>
        <v>No hay datos</v>
      </c>
      <c r="I237" s="2" t="str">
        <f t="array" ref="I237">_xlfn.XLOOKUP(B237,Vendedores!$A$2:$A$41,Vendedores!$D$2:$D$41,"No hay datos")</f>
        <v>No hay datos</v>
      </c>
      <c r="J237" s="2" t="str">
        <f t="array" ref="J237">_xlfn.XLOOKUP(A237,Productos!$A$2:$A$61,Productos!$B$2:$F$61)</f>
        <v>#N/A</v>
      </c>
    </row>
    <row r="238">
      <c r="A238" s="2" t="str">
        <f>IFERROR(__xludf.DUMMYFUNCTION("""COMPUTED_VALUE"""),"PR001")</f>
        <v>PR001</v>
      </c>
      <c r="B238" s="2" t="str">
        <f>IFERROR(__xludf.DUMMYFUNCTION("""COMPUTED_VALUE"""),"VD019")</f>
        <v>VD019</v>
      </c>
      <c r="C238" s="2">
        <f>IFERROR(__xludf.DUMMYFUNCTION("""COMPUTED_VALUE"""),21.0)</f>
        <v>21</v>
      </c>
      <c r="D238" s="6">
        <f>IFERROR(__xludf.DUMMYFUNCTION("""COMPUTED_VALUE"""),1577.65)</f>
        <v>1577.65</v>
      </c>
      <c r="E238" s="6">
        <f>IFERROR(__xludf.DUMMYFUNCTION("GOOGLEFINANCE(""Currency:BRLMXN"")*D238"),5359.27705)</f>
        <v>5359.27705</v>
      </c>
      <c r="F238" s="6">
        <f>IFERROR(__xludf.DUMMYFUNCTION("GOOGLEFINANCE(""Currency:BRLPEN"")*D238"),1034.30734)</f>
        <v>1034.30734</v>
      </c>
      <c r="G238" s="2" t="str">
        <f t="array" ref="G238">_xlfn.XLOOKUP(B238,Vendedores!$A$2:$A$41,Vendedores!$B$2:$B$41,"No hay datos")</f>
        <v>No hay datos</v>
      </c>
      <c r="H238" s="2" t="str">
        <f t="array" ref="H238">_xlfn.XLOOKUP(B238,Vendedores!$A$2:$A$41,Vendedores!$C$2:$C$41,"No hay datos")</f>
        <v>No hay datos</v>
      </c>
      <c r="I238" s="2" t="str">
        <f t="array" ref="I238">_xlfn.XLOOKUP(B238,Vendedores!$A$2:$A$41,Vendedores!$D$2:$D$41,"No hay datos")</f>
        <v>No hay datos</v>
      </c>
      <c r="J238" s="2" t="str">
        <f t="array" ref="J238">_xlfn.XLOOKUP(A238,Productos!$A$2:$A$61,Productos!$B$2:$F$61)</f>
        <v>#N/A</v>
      </c>
    </row>
    <row r="239">
      <c r="A239" s="2" t="str">
        <f>IFERROR(__xludf.DUMMYFUNCTION("""COMPUTED_VALUE"""),"PR052")</f>
        <v>PR052</v>
      </c>
      <c r="B239" s="2" t="str">
        <f>IFERROR(__xludf.DUMMYFUNCTION("""COMPUTED_VALUE"""),"VD032")</f>
        <v>VD032</v>
      </c>
      <c r="C239" s="2">
        <f>IFERROR(__xludf.DUMMYFUNCTION("""COMPUTED_VALUE"""),2.0)</f>
        <v>2</v>
      </c>
      <c r="D239" s="6">
        <f>IFERROR(__xludf.DUMMYFUNCTION("""COMPUTED_VALUE"""),114.77)</f>
        <v>114.77</v>
      </c>
      <c r="E239" s="6">
        <f>IFERROR(__xludf.DUMMYFUNCTION("GOOGLEFINANCE(""Currency:BRLMXN"")*D239"),389.87368999999995)</f>
        <v>389.87369</v>
      </c>
      <c r="F239" s="6">
        <f>IFERROR(__xludf.DUMMYFUNCTION("GOOGLEFINANCE(""Currency:BRLPEN"")*D239"),75.243212)</f>
        <v>75.243212</v>
      </c>
      <c r="G239" s="2" t="str">
        <f t="array" ref="G239">_xlfn.XLOOKUP(B239,Vendedores!$A$2:$A$41,Vendedores!$B$2:$B$41,"No hay datos")</f>
        <v>No hay datos</v>
      </c>
      <c r="H239" s="2" t="str">
        <f t="array" ref="H239">_xlfn.XLOOKUP(B239,Vendedores!$A$2:$A$41,Vendedores!$C$2:$C$41,"No hay datos")</f>
        <v>No hay datos</v>
      </c>
      <c r="I239" s="2" t="str">
        <f t="array" ref="I239">_xlfn.XLOOKUP(B239,Vendedores!$A$2:$A$41,Vendedores!$D$2:$D$41,"No hay datos")</f>
        <v>No hay datos</v>
      </c>
      <c r="J239" s="2" t="str">
        <f t="array" ref="J239">_xlfn.XLOOKUP(A239,Productos!$A$2:$A$61,Productos!$B$2:$F$61)</f>
        <v>#N/A</v>
      </c>
    </row>
    <row r="240">
      <c r="A240" s="2" t="str">
        <f>IFERROR(__xludf.DUMMYFUNCTION("""COMPUTED_VALUE"""),"PR027")</f>
        <v>PR027</v>
      </c>
      <c r="B240" s="2" t="str">
        <f>IFERROR(__xludf.DUMMYFUNCTION("""COMPUTED_VALUE"""),"VD018")</f>
        <v>VD018</v>
      </c>
      <c r="C240" s="2">
        <f>IFERROR(__xludf.DUMMYFUNCTION("""COMPUTED_VALUE"""),8.0)</f>
        <v>8</v>
      </c>
      <c r="D240" s="6">
        <f>IFERROR(__xludf.DUMMYFUNCTION("""COMPUTED_VALUE"""),1056.0)</f>
        <v>1056</v>
      </c>
      <c r="E240" s="6">
        <f>IFERROR(__xludf.DUMMYFUNCTION("GOOGLEFINANCE(""Currency:BRLMXN"")*D240"),3587.232)</f>
        <v>3587.232</v>
      </c>
      <c r="F240" s="6">
        <f>IFERROR(__xludf.DUMMYFUNCTION("GOOGLEFINANCE(""Currency:BRLPEN"")*D240"),692.3136)</f>
        <v>692.3136</v>
      </c>
      <c r="G240" s="2" t="str">
        <f t="array" ref="G240">_xlfn.XLOOKUP(B240,Vendedores!$A$2:$A$41,Vendedores!$B$2:$B$41,"No hay datos")</f>
        <v>No hay datos</v>
      </c>
      <c r="H240" s="2" t="str">
        <f t="array" ref="H240">_xlfn.XLOOKUP(B240,Vendedores!$A$2:$A$41,Vendedores!$C$2:$C$41,"No hay datos")</f>
        <v>No hay datos</v>
      </c>
      <c r="I240" s="2" t="str">
        <f t="array" ref="I240">_xlfn.XLOOKUP(B240,Vendedores!$A$2:$A$41,Vendedores!$D$2:$D$41,"No hay datos")</f>
        <v>No hay datos</v>
      </c>
      <c r="J240" s="2" t="str">
        <f t="array" ref="J240">_xlfn.XLOOKUP(A240,Productos!$A$2:$A$61,Productos!$B$2:$F$61)</f>
        <v>#N/A</v>
      </c>
    </row>
    <row r="241">
      <c r="A241" s="2" t="str">
        <f>IFERROR(__xludf.DUMMYFUNCTION("""COMPUTED_VALUE"""),"PR049")</f>
        <v>PR049</v>
      </c>
      <c r="B241" s="2" t="str">
        <f>IFERROR(__xludf.DUMMYFUNCTION("""COMPUTED_VALUE"""),"VD013")</f>
        <v>VD013</v>
      </c>
      <c r="C241" s="2">
        <f>IFERROR(__xludf.DUMMYFUNCTION("""COMPUTED_VALUE"""),14.0)</f>
        <v>14</v>
      </c>
      <c r="D241" s="6">
        <f>IFERROR(__xludf.DUMMYFUNCTION("""COMPUTED_VALUE"""),515.87)</f>
        <v>515.87</v>
      </c>
      <c r="E241" s="6">
        <f>IFERROR(__xludf.DUMMYFUNCTION("GOOGLEFINANCE(""Currency:BRLMXN"")*D241"),1752.41039)</f>
        <v>1752.41039</v>
      </c>
      <c r="F241" s="6">
        <f>IFERROR(__xludf.DUMMYFUNCTION("GOOGLEFINANCE(""Currency:BRLPEN"")*D241"),338.204372)</f>
        <v>338.204372</v>
      </c>
      <c r="G241" s="2" t="str">
        <f t="array" ref="G241">_xlfn.XLOOKUP(B241,Vendedores!$A$2:$A$41,Vendedores!$B$2:$B$41,"No hay datos")</f>
        <v>No hay datos</v>
      </c>
      <c r="H241" s="2" t="str">
        <f t="array" ref="H241">_xlfn.XLOOKUP(B241,Vendedores!$A$2:$A$41,Vendedores!$C$2:$C$41,"No hay datos")</f>
        <v>No hay datos</v>
      </c>
      <c r="I241" s="2" t="str">
        <f t="array" ref="I241">_xlfn.XLOOKUP(B241,Vendedores!$A$2:$A$41,Vendedores!$D$2:$D$41,"No hay datos")</f>
        <v>No hay datos</v>
      </c>
      <c r="J241" s="2" t="str">
        <f t="array" ref="J241">_xlfn.XLOOKUP(A241,Productos!$A$2:$A$61,Productos!$B$2:$F$61)</f>
        <v>#N/A</v>
      </c>
    </row>
    <row r="242">
      <c r="A242" s="2" t="str">
        <f>IFERROR(__xludf.DUMMYFUNCTION("""COMPUTED_VALUE"""),"PR021")</f>
        <v>PR021</v>
      </c>
      <c r="B242" s="2" t="str">
        <f>IFERROR(__xludf.DUMMYFUNCTION("""COMPUTED_VALUE"""),"VD035")</f>
        <v>VD035</v>
      </c>
      <c r="C242" s="2">
        <f>IFERROR(__xludf.DUMMYFUNCTION("""COMPUTED_VALUE"""),7.0)</f>
        <v>7</v>
      </c>
      <c r="D242" s="6">
        <f>IFERROR(__xludf.DUMMYFUNCTION("""COMPUTED_VALUE"""),2417.14)</f>
        <v>2417.14</v>
      </c>
      <c r="E242" s="6">
        <f>IFERROR(__xludf.DUMMYFUNCTION("GOOGLEFINANCE(""Currency:BRLMXN"")*D242"),8211.02458)</f>
        <v>8211.02458</v>
      </c>
      <c r="F242" s="6">
        <f>IFERROR(__xludf.DUMMYFUNCTION("GOOGLEFINANCE(""Currency:BRLPEN"")*D242"),1584.6769839999997)</f>
        <v>1584.676984</v>
      </c>
      <c r="G242" s="2" t="str">
        <f t="array" ref="G242">_xlfn.XLOOKUP(B242,Vendedores!$A$2:$A$41,Vendedores!$B$2:$B$41,"No hay datos")</f>
        <v>No hay datos</v>
      </c>
      <c r="H242" s="2" t="str">
        <f t="array" ref="H242">_xlfn.XLOOKUP(B242,Vendedores!$A$2:$A$41,Vendedores!$C$2:$C$41,"No hay datos")</f>
        <v>No hay datos</v>
      </c>
      <c r="I242" s="2" t="str">
        <f t="array" ref="I242">_xlfn.XLOOKUP(B242,Vendedores!$A$2:$A$41,Vendedores!$D$2:$D$41,"No hay datos")</f>
        <v>No hay datos</v>
      </c>
      <c r="J242" s="2" t="str">
        <f t="array" ref="J242">_xlfn.XLOOKUP(A242,Productos!$A$2:$A$61,Productos!$B$2:$F$61)</f>
        <v>#N/A</v>
      </c>
    </row>
    <row r="243">
      <c r="A243" s="2" t="str">
        <f>IFERROR(__xludf.DUMMYFUNCTION("""COMPUTED_VALUE"""),"PR055")</f>
        <v>PR055</v>
      </c>
      <c r="B243" s="2" t="str">
        <f>IFERROR(__xludf.DUMMYFUNCTION("""COMPUTED_VALUE"""),"VD030")</f>
        <v>VD030</v>
      </c>
      <c r="C243" s="2">
        <f>IFERROR(__xludf.DUMMYFUNCTION("""COMPUTED_VALUE"""),10.0)</f>
        <v>10</v>
      </c>
      <c r="D243" s="6">
        <f>IFERROR(__xludf.DUMMYFUNCTION("""COMPUTED_VALUE"""),1024.86)</f>
        <v>1024.86</v>
      </c>
      <c r="E243" s="6">
        <f>IFERROR(__xludf.DUMMYFUNCTION("GOOGLEFINANCE(""Currency:BRLMXN"")*D243"),3481.4494199999995)</f>
        <v>3481.44942</v>
      </c>
      <c r="F243" s="6">
        <f>IFERROR(__xludf.DUMMYFUNCTION("GOOGLEFINANCE(""Currency:BRLPEN"")*D243"),671.8982159999999)</f>
        <v>671.898216</v>
      </c>
      <c r="G243" s="2" t="str">
        <f t="array" ref="G243">_xlfn.XLOOKUP(B243,Vendedores!$A$2:$A$41,Vendedores!$B$2:$B$41,"No hay datos")</f>
        <v>No hay datos</v>
      </c>
      <c r="H243" s="2" t="str">
        <f t="array" ref="H243">_xlfn.XLOOKUP(B243,Vendedores!$A$2:$A$41,Vendedores!$C$2:$C$41,"No hay datos")</f>
        <v>No hay datos</v>
      </c>
      <c r="I243" s="2" t="str">
        <f t="array" ref="I243">_xlfn.XLOOKUP(B243,Vendedores!$A$2:$A$41,Vendedores!$D$2:$D$41,"No hay datos")</f>
        <v>No hay datos</v>
      </c>
      <c r="J243" s="2" t="str">
        <f t="array" ref="J243">_xlfn.XLOOKUP(A243,Productos!$A$2:$A$61,Productos!$B$2:$F$61)</f>
        <v>#N/A</v>
      </c>
    </row>
    <row r="244">
      <c r="A244" s="2" t="str">
        <f>IFERROR(__xludf.DUMMYFUNCTION("""COMPUTED_VALUE"""),"PR022")</f>
        <v>PR022</v>
      </c>
      <c r="B244" s="2" t="str">
        <f>IFERROR(__xludf.DUMMYFUNCTION("""COMPUTED_VALUE"""),"VD022")</f>
        <v>VD022</v>
      </c>
      <c r="C244" s="2">
        <f>IFERROR(__xludf.DUMMYFUNCTION("""COMPUTED_VALUE"""),8.0)</f>
        <v>8</v>
      </c>
      <c r="D244" s="6">
        <f>IFERROR(__xludf.DUMMYFUNCTION("""COMPUTED_VALUE"""),2712.0)</f>
        <v>2712</v>
      </c>
      <c r="E244" s="6">
        <f>IFERROR(__xludf.DUMMYFUNCTION("GOOGLEFINANCE(""Currency:BRLMXN"")*D244"),9212.663999999999)</f>
        <v>9212.664</v>
      </c>
      <c r="F244" s="6">
        <f>IFERROR(__xludf.DUMMYFUNCTION("GOOGLEFINANCE(""Currency:BRLPEN"")*D244"),1777.9871999999998)</f>
        <v>1777.9872</v>
      </c>
      <c r="G244" s="2" t="str">
        <f t="array" ref="G244">_xlfn.XLOOKUP(B244,Vendedores!$A$2:$A$41,Vendedores!$B$2:$B$41,"No hay datos")</f>
        <v>No hay datos</v>
      </c>
      <c r="H244" s="2" t="str">
        <f t="array" ref="H244">_xlfn.XLOOKUP(B244,Vendedores!$A$2:$A$41,Vendedores!$C$2:$C$41,"No hay datos")</f>
        <v>No hay datos</v>
      </c>
      <c r="I244" s="2" t="str">
        <f t="array" ref="I244">_xlfn.XLOOKUP(B244,Vendedores!$A$2:$A$41,Vendedores!$D$2:$D$41,"No hay datos")</f>
        <v>No hay datos</v>
      </c>
      <c r="J244" s="2" t="str">
        <f t="array" ref="J244">_xlfn.XLOOKUP(A244,Productos!$A$2:$A$61,Productos!$B$2:$F$61)</f>
        <v>#N/A</v>
      </c>
    </row>
    <row r="245">
      <c r="A245" s="2" t="str">
        <f>IFERROR(__xludf.DUMMYFUNCTION("""COMPUTED_VALUE"""),"PR043")</f>
        <v>PR043</v>
      </c>
      <c r="B245" s="2" t="str">
        <f>IFERROR(__xludf.DUMMYFUNCTION("""COMPUTED_VALUE"""),"VD037")</f>
        <v>VD037</v>
      </c>
      <c r="C245" s="2">
        <f>IFERROR(__xludf.DUMMYFUNCTION("""COMPUTED_VALUE"""),27.0)</f>
        <v>27</v>
      </c>
      <c r="D245" s="6">
        <f>IFERROR(__xludf.DUMMYFUNCTION("""COMPUTED_VALUE"""),2349.0)</f>
        <v>2349</v>
      </c>
      <c r="E245" s="6">
        <f>IFERROR(__xludf.DUMMYFUNCTION("GOOGLEFINANCE(""Currency:BRLMXN"")*D245"),7979.553)</f>
        <v>7979.553</v>
      </c>
      <c r="F245" s="6">
        <f>IFERROR(__xludf.DUMMYFUNCTION("GOOGLEFINANCE(""Currency:BRLPEN"")*D245"),1540.0043999999998)</f>
        <v>1540.0044</v>
      </c>
      <c r="G245" s="2" t="str">
        <f t="array" ref="G245">_xlfn.XLOOKUP(B245,Vendedores!$A$2:$A$41,Vendedores!$B$2:$B$41,"No hay datos")</f>
        <v>No hay datos</v>
      </c>
      <c r="H245" s="2" t="str">
        <f t="array" ref="H245">_xlfn.XLOOKUP(B245,Vendedores!$A$2:$A$41,Vendedores!$C$2:$C$41,"No hay datos")</f>
        <v>No hay datos</v>
      </c>
      <c r="I245" s="2" t="str">
        <f t="array" ref="I245">_xlfn.XLOOKUP(B245,Vendedores!$A$2:$A$41,Vendedores!$D$2:$D$41,"No hay datos")</f>
        <v>No hay datos</v>
      </c>
      <c r="J245" s="2" t="str">
        <f t="array" ref="J245">_xlfn.XLOOKUP(A245,Productos!$A$2:$A$61,Productos!$B$2:$F$61)</f>
        <v>#N/A</v>
      </c>
    </row>
    <row r="246">
      <c r="A246" s="2" t="str">
        <f>IFERROR(__xludf.DUMMYFUNCTION("""COMPUTED_VALUE"""),"PR008")</f>
        <v>PR008</v>
      </c>
      <c r="B246" s="2" t="str">
        <f>IFERROR(__xludf.DUMMYFUNCTION("""COMPUTED_VALUE"""),"VD023")</f>
        <v>VD023</v>
      </c>
      <c r="C246" s="2">
        <f>IFERROR(__xludf.DUMMYFUNCTION("""COMPUTED_VALUE"""),6.0)</f>
        <v>6</v>
      </c>
      <c r="D246" s="6">
        <f>IFERROR(__xludf.DUMMYFUNCTION("""COMPUTED_VALUE"""),593.34)</f>
        <v>593.34</v>
      </c>
      <c r="E246" s="6">
        <f>IFERROR(__xludf.DUMMYFUNCTION("GOOGLEFINANCE(""Currency:BRLMXN"")*D246"),2015.57598)</f>
        <v>2015.57598</v>
      </c>
      <c r="F246" s="6">
        <f>IFERROR(__xludf.DUMMYFUNCTION("GOOGLEFINANCE(""Currency:BRLPEN"")*D246"),388.993704)</f>
        <v>388.993704</v>
      </c>
      <c r="G246" s="2" t="str">
        <f t="array" ref="G246">_xlfn.XLOOKUP(B246,Vendedores!$A$2:$A$41,Vendedores!$B$2:$B$41,"No hay datos")</f>
        <v>No hay datos</v>
      </c>
      <c r="H246" s="2" t="str">
        <f t="array" ref="H246">_xlfn.XLOOKUP(B246,Vendedores!$A$2:$A$41,Vendedores!$C$2:$C$41,"No hay datos")</f>
        <v>No hay datos</v>
      </c>
      <c r="I246" s="2" t="str">
        <f t="array" ref="I246">_xlfn.XLOOKUP(B246,Vendedores!$A$2:$A$41,Vendedores!$D$2:$D$41,"No hay datos")</f>
        <v>No hay datos</v>
      </c>
      <c r="J246" s="2" t="str">
        <f t="array" ref="J246">_xlfn.XLOOKUP(A246,Productos!$A$2:$A$61,Productos!$B$2:$F$61)</f>
        <v>#N/A</v>
      </c>
    </row>
    <row r="247">
      <c r="A247" s="2" t="str">
        <f>IFERROR(__xludf.DUMMYFUNCTION("""COMPUTED_VALUE"""),"PR004")</f>
        <v>PR004</v>
      </c>
      <c r="B247" s="2" t="str">
        <f>IFERROR(__xludf.DUMMYFUNCTION("""COMPUTED_VALUE"""),"VD017")</f>
        <v>VD017</v>
      </c>
      <c r="C247" s="2">
        <f>IFERROR(__xludf.DUMMYFUNCTION("""COMPUTED_VALUE"""),3.0)</f>
        <v>3</v>
      </c>
      <c r="D247" s="6">
        <f>IFERROR(__xludf.DUMMYFUNCTION("""COMPUTED_VALUE"""),491.55)</f>
        <v>491.55</v>
      </c>
      <c r="E247" s="6">
        <f>IFERROR(__xludf.DUMMYFUNCTION("GOOGLEFINANCE(""Currency:BRLMXN"")*D247"),1669.7953499999999)</f>
        <v>1669.79535</v>
      </c>
      <c r="F247" s="6">
        <f>IFERROR(__xludf.DUMMYFUNCTION("GOOGLEFINANCE(""Currency:BRLPEN"")*D247"),322.26018)</f>
        <v>322.26018</v>
      </c>
      <c r="G247" s="2" t="str">
        <f t="array" ref="G247">_xlfn.XLOOKUP(B247,Vendedores!$A$2:$A$41,Vendedores!$B$2:$B$41,"No hay datos")</f>
        <v>No hay datos</v>
      </c>
      <c r="H247" s="2" t="str">
        <f t="array" ref="H247">_xlfn.XLOOKUP(B247,Vendedores!$A$2:$A$41,Vendedores!$C$2:$C$41,"No hay datos")</f>
        <v>No hay datos</v>
      </c>
      <c r="I247" s="2" t="str">
        <f t="array" ref="I247">_xlfn.XLOOKUP(B247,Vendedores!$A$2:$A$41,Vendedores!$D$2:$D$41,"No hay datos")</f>
        <v>No hay datos</v>
      </c>
      <c r="J247" s="2" t="str">
        <f t="array" ref="J247">_xlfn.XLOOKUP(A247,Productos!$A$2:$A$61,Productos!$B$2:$F$61)</f>
        <v>#N/A</v>
      </c>
    </row>
    <row r="248">
      <c r="A248" s="2" t="str">
        <f>IFERROR(__xludf.DUMMYFUNCTION("""COMPUTED_VALUE"""),"PR012")</f>
        <v>PR012</v>
      </c>
      <c r="B248" s="2" t="str">
        <f>IFERROR(__xludf.DUMMYFUNCTION("""COMPUTED_VALUE"""),"VD039")</f>
        <v>VD039</v>
      </c>
      <c r="C248" s="2">
        <f>IFERROR(__xludf.DUMMYFUNCTION("""COMPUTED_VALUE"""),2.0)</f>
        <v>2</v>
      </c>
      <c r="D248" s="6">
        <f>IFERROR(__xludf.DUMMYFUNCTION("""COMPUTED_VALUE"""),113.45)</f>
        <v>113.45</v>
      </c>
      <c r="E248" s="6">
        <f>IFERROR(__xludf.DUMMYFUNCTION("GOOGLEFINANCE(""Currency:BRLMXN"")*D248"),385.38964999999996)</f>
        <v>385.38965</v>
      </c>
      <c r="F248" s="6">
        <f>IFERROR(__xludf.DUMMYFUNCTION("GOOGLEFINANCE(""Currency:BRLPEN"")*D248"),74.37782)</f>
        <v>74.37782</v>
      </c>
      <c r="G248" s="2" t="str">
        <f t="array" ref="G248">_xlfn.XLOOKUP(B248,Vendedores!$A$2:$A$41,Vendedores!$B$2:$B$41,"No hay datos")</f>
        <v>No hay datos</v>
      </c>
      <c r="H248" s="2" t="str">
        <f t="array" ref="H248">_xlfn.XLOOKUP(B248,Vendedores!$A$2:$A$41,Vendedores!$C$2:$C$41,"No hay datos")</f>
        <v>No hay datos</v>
      </c>
      <c r="I248" s="2" t="str">
        <f t="array" ref="I248">_xlfn.XLOOKUP(B248,Vendedores!$A$2:$A$41,Vendedores!$D$2:$D$41,"No hay datos")</f>
        <v>No hay datos</v>
      </c>
      <c r="J248" s="2" t="str">
        <f t="array" ref="J248">_xlfn.XLOOKUP(A248,Productos!$A$2:$A$61,Productos!$B$2:$F$61)</f>
        <v>#N/A</v>
      </c>
    </row>
    <row r="249">
      <c r="A249" s="2" t="str">
        <f>IFERROR(__xludf.DUMMYFUNCTION("""COMPUTED_VALUE"""),"PR024")</f>
        <v>PR024</v>
      </c>
      <c r="B249" s="2" t="str">
        <f>IFERROR(__xludf.DUMMYFUNCTION("""COMPUTED_VALUE"""),"VD032")</f>
        <v>VD032</v>
      </c>
      <c r="C249" s="2">
        <f>IFERROR(__xludf.DUMMYFUNCTION("""COMPUTED_VALUE"""),18.0)</f>
        <v>18</v>
      </c>
      <c r="D249" s="6">
        <f>IFERROR(__xludf.DUMMYFUNCTION("""COMPUTED_VALUE"""),5192.8)</f>
        <v>5192.8</v>
      </c>
      <c r="E249" s="6">
        <f>IFERROR(__xludf.DUMMYFUNCTION("GOOGLEFINANCE(""Currency:BRLMXN"")*D249"),17639.9416)</f>
        <v>17639.9416</v>
      </c>
      <c r="F249" s="6">
        <f>IFERROR(__xludf.DUMMYFUNCTION("GOOGLEFINANCE(""Currency:BRLPEN"")*D249"),3404.39968)</f>
        <v>3404.39968</v>
      </c>
      <c r="G249" s="2" t="str">
        <f t="array" ref="G249">_xlfn.XLOOKUP(B249,Vendedores!$A$2:$A$41,Vendedores!$B$2:$B$41,"No hay datos")</f>
        <v>No hay datos</v>
      </c>
      <c r="H249" s="2" t="str">
        <f t="array" ref="H249">_xlfn.XLOOKUP(B249,Vendedores!$A$2:$A$41,Vendedores!$C$2:$C$41,"No hay datos")</f>
        <v>No hay datos</v>
      </c>
      <c r="I249" s="2" t="str">
        <f t="array" ref="I249">_xlfn.XLOOKUP(B249,Vendedores!$A$2:$A$41,Vendedores!$D$2:$D$41,"No hay datos")</f>
        <v>No hay datos</v>
      </c>
      <c r="J249" s="2" t="str">
        <f t="array" ref="J249">_xlfn.XLOOKUP(A249,Productos!$A$2:$A$61,Productos!$B$2:$F$61)</f>
        <v>#N/A</v>
      </c>
    </row>
    <row r="250">
      <c r="A250" s="2" t="str">
        <f>IFERROR(__xludf.DUMMYFUNCTION("""COMPUTED_VALUE"""),"PR047")</f>
        <v>PR047</v>
      </c>
      <c r="B250" s="2" t="str">
        <f>IFERROR(__xludf.DUMMYFUNCTION("""COMPUTED_VALUE"""),"VD045")</f>
        <v>VD045</v>
      </c>
      <c r="C250" s="2">
        <f>IFERROR(__xludf.DUMMYFUNCTION("""COMPUTED_VALUE"""),8.0)</f>
        <v>8</v>
      </c>
      <c r="D250" s="6">
        <f>IFERROR(__xludf.DUMMYFUNCTION("""COMPUTED_VALUE"""),2736.66)</f>
        <v>2736.66</v>
      </c>
      <c r="E250" s="6">
        <f>IFERROR(__xludf.DUMMYFUNCTION("GOOGLEFINANCE(""Currency:BRLMXN"")*D250"),9296.434019999999)</f>
        <v>9296.43402</v>
      </c>
      <c r="F250" s="6">
        <f>IFERROR(__xludf.DUMMYFUNCTION("GOOGLEFINANCE(""Currency:BRLPEN"")*D250"),1794.1542959999997)</f>
        <v>1794.154296</v>
      </c>
      <c r="G250" s="2" t="str">
        <f t="array" ref="G250">_xlfn.XLOOKUP(B250,Vendedores!$A$2:$A$41,Vendedores!$B$2:$B$41,"No hay datos")</f>
        <v>No hay datos</v>
      </c>
      <c r="H250" s="2" t="str">
        <f t="array" ref="H250">_xlfn.XLOOKUP(B250,Vendedores!$A$2:$A$41,Vendedores!$C$2:$C$41,"No hay datos")</f>
        <v>No hay datos</v>
      </c>
      <c r="I250" s="2" t="str">
        <f t="array" ref="I250">_xlfn.XLOOKUP(B250,Vendedores!$A$2:$A$41,Vendedores!$D$2:$D$41,"No hay datos")</f>
        <v>No hay datos</v>
      </c>
      <c r="J250" s="2" t="str">
        <f t="array" ref="J250">_xlfn.XLOOKUP(A250,Productos!$A$2:$A$61,Productos!$B$2:$F$61)</f>
        <v>#N/A</v>
      </c>
    </row>
    <row r="251">
      <c r="A251" s="2" t="str">
        <f>IFERROR(__xludf.DUMMYFUNCTION("""COMPUTED_VALUE"""),"PR030")</f>
        <v>PR030</v>
      </c>
      <c r="B251" s="2" t="str">
        <f>IFERROR(__xludf.DUMMYFUNCTION("""COMPUTED_VALUE"""),"VD022")</f>
        <v>VD022</v>
      </c>
      <c r="C251" s="2">
        <f>IFERROR(__xludf.DUMMYFUNCTION("""COMPUTED_VALUE"""),6.0)</f>
        <v>6</v>
      </c>
      <c r="D251" s="6">
        <f>IFERROR(__xludf.DUMMYFUNCTION("""COMPUTED_VALUE"""),1730.93)</f>
        <v>1730.93</v>
      </c>
      <c r="E251" s="6">
        <f>IFERROR(__xludf.DUMMYFUNCTION("GOOGLEFINANCE(""Currency:BRLMXN"")*D251"),5879.96921)</f>
        <v>5879.96921</v>
      </c>
      <c r="F251" s="6">
        <f>IFERROR(__xludf.DUMMYFUNCTION("GOOGLEFINANCE(""Currency:BRLPEN"")*D251"),1134.797708)</f>
        <v>1134.797708</v>
      </c>
      <c r="G251" s="2" t="str">
        <f t="array" ref="G251">_xlfn.XLOOKUP(B251,Vendedores!$A$2:$A$41,Vendedores!$B$2:$B$41,"No hay datos")</f>
        <v>No hay datos</v>
      </c>
      <c r="H251" s="2" t="str">
        <f t="array" ref="H251">_xlfn.XLOOKUP(B251,Vendedores!$A$2:$A$41,Vendedores!$C$2:$C$41,"No hay datos")</f>
        <v>No hay datos</v>
      </c>
      <c r="I251" s="2" t="str">
        <f t="array" ref="I251">_xlfn.XLOOKUP(B251,Vendedores!$A$2:$A$41,Vendedores!$D$2:$D$41,"No hay datos")</f>
        <v>No hay datos</v>
      </c>
      <c r="J251" s="2" t="str">
        <f t="array" ref="J251">_xlfn.XLOOKUP(A251,Productos!$A$2:$A$61,Productos!$B$2:$F$61)</f>
        <v>#N/A</v>
      </c>
    </row>
    <row r="252">
      <c r="A252" s="2" t="str">
        <f>IFERROR(__xludf.DUMMYFUNCTION("""COMPUTED_VALUE"""),"PR006")</f>
        <v>PR006</v>
      </c>
      <c r="B252" s="2" t="str">
        <f>IFERROR(__xludf.DUMMYFUNCTION("""COMPUTED_VALUE"""),"VD032")</f>
        <v>VD032</v>
      </c>
      <c r="C252" s="2">
        <f>IFERROR(__xludf.DUMMYFUNCTION("""COMPUTED_VALUE"""),7.0)</f>
        <v>7</v>
      </c>
      <c r="D252" s="6">
        <f>IFERROR(__xludf.DUMMYFUNCTION("""COMPUTED_VALUE"""),318.4)</f>
        <v>318.4</v>
      </c>
      <c r="E252" s="6">
        <f>IFERROR(__xludf.DUMMYFUNCTION("GOOGLEFINANCE(""Currency:BRLMXN"")*D252"),1081.6047999999998)</f>
        <v>1081.6048</v>
      </c>
      <c r="F252" s="6">
        <f>IFERROR(__xludf.DUMMYFUNCTION("GOOGLEFINANCE(""Currency:BRLPEN"")*D252"),208.74303999999998)</f>
        <v>208.74304</v>
      </c>
      <c r="G252" s="2" t="str">
        <f t="array" ref="G252">_xlfn.XLOOKUP(B252,Vendedores!$A$2:$A$41,Vendedores!$B$2:$B$41,"No hay datos")</f>
        <v>No hay datos</v>
      </c>
      <c r="H252" s="2" t="str">
        <f t="array" ref="H252">_xlfn.XLOOKUP(B252,Vendedores!$A$2:$A$41,Vendedores!$C$2:$C$41,"No hay datos")</f>
        <v>No hay datos</v>
      </c>
      <c r="I252" s="2" t="str">
        <f t="array" ref="I252">_xlfn.XLOOKUP(B252,Vendedores!$A$2:$A$41,Vendedores!$D$2:$D$41,"No hay datos")</f>
        <v>No hay datos</v>
      </c>
      <c r="J252" s="2" t="str">
        <f t="array" ref="J252">_xlfn.XLOOKUP(A252,Productos!$A$2:$A$61,Productos!$B$2:$F$61)</f>
        <v>#N/A</v>
      </c>
    </row>
    <row r="253">
      <c r="A253" s="2" t="str">
        <f>IFERROR(__xludf.DUMMYFUNCTION("""COMPUTED_VALUE"""),"PR032")</f>
        <v>PR032</v>
      </c>
      <c r="B253" s="2" t="str">
        <f>IFERROR(__xludf.DUMMYFUNCTION("""COMPUTED_VALUE"""),"VD014")</f>
        <v>VD014</v>
      </c>
      <c r="C253" s="2">
        <f>IFERROR(__xludf.DUMMYFUNCTION("""COMPUTED_VALUE"""),6.0)</f>
        <v>6</v>
      </c>
      <c r="D253" s="6">
        <f>IFERROR(__xludf.DUMMYFUNCTION("""COMPUTED_VALUE"""),1800.0)</f>
        <v>1800</v>
      </c>
      <c r="E253" s="6">
        <f>IFERROR(__xludf.DUMMYFUNCTION("GOOGLEFINANCE(""Currency:BRLMXN"")*D253"),6114.599999999999)</f>
        <v>6114.6</v>
      </c>
      <c r="F253" s="6">
        <f>IFERROR(__xludf.DUMMYFUNCTION("GOOGLEFINANCE(""Currency:BRLPEN"")*D253"),1180.08)</f>
        <v>1180.08</v>
      </c>
      <c r="G253" s="2" t="str">
        <f t="array" ref="G253">_xlfn.XLOOKUP(B253,Vendedores!$A$2:$A$41,Vendedores!$B$2:$B$41,"No hay datos")</f>
        <v>No hay datos</v>
      </c>
      <c r="H253" s="2" t="str">
        <f t="array" ref="H253">_xlfn.XLOOKUP(B253,Vendedores!$A$2:$A$41,Vendedores!$C$2:$C$41,"No hay datos")</f>
        <v>No hay datos</v>
      </c>
      <c r="I253" s="2" t="str">
        <f t="array" ref="I253">_xlfn.XLOOKUP(B253,Vendedores!$A$2:$A$41,Vendedores!$D$2:$D$41,"No hay datos")</f>
        <v>No hay datos</v>
      </c>
      <c r="J253" s="2" t="str">
        <f t="array" ref="J253">_xlfn.XLOOKUP(A253,Productos!$A$2:$A$61,Productos!$B$2:$F$61)</f>
        <v>#N/A</v>
      </c>
    </row>
    <row r="254">
      <c r="A254" s="2" t="str">
        <f>IFERROR(__xludf.DUMMYFUNCTION("""COMPUTED_VALUE"""),"PR031")</f>
        <v>PR031</v>
      </c>
      <c r="B254" s="2" t="str">
        <f>IFERROR(__xludf.DUMMYFUNCTION("""COMPUTED_VALUE"""),"VD038")</f>
        <v>VD038</v>
      </c>
      <c r="C254" s="2">
        <f>IFERROR(__xludf.DUMMYFUNCTION("""COMPUTED_VALUE"""),16.0)</f>
        <v>16</v>
      </c>
      <c r="D254" s="6">
        <f>IFERROR(__xludf.DUMMYFUNCTION("""COMPUTED_VALUE"""),4664.8)</f>
        <v>4664.8</v>
      </c>
      <c r="E254" s="6">
        <f>IFERROR(__xludf.DUMMYFUNCTION("GOOGLEFINANCE(""Currency:BRLMXN"")*D254"),15846.3256)</f>
        <v>15846.3256</v>
      </c>
      <c r="F254" s="6">
        <f>IFERROR(__xludf.DUMMYFUNCTION("GOOGLEFINANCE(""Currency:BRLPEN"")*D254"),3058.24288)</f>
        <v>3058.24288</v>
      </c>
      <c r="G254" s="2" t="str">
        <f t="array" ref="G254">_xlfn.XLOOKUP(B254,Vendedores!$A$2:$A$41,Vendedores!$B$2:$B$41,"No hay datos")</f>
        <v>No hay datos</v>
      </c>
      <c r="H254" s="2" t="str">
        <f t="array" ref="H254">_xlfn.XLOOKUP(B254,Vendedores!$A$2:$A$41,Vendedores!$C$2:$C$41,"No hay datos")</f>
        <v>No hay datos</v>
      </c>
      <c r="I254" s="2" t="str">
        <f t="array" ref="I254">_xlfn.XLOOKUP(B254,Vendedores!$A$2:$A$41,Vendedores!$D$2:$D$41,"No hay datos")</f>
        <v>No hay datos</v>
      </c>
      <c r="J254" s="2" t="str">
        <f t="array" ref="J254">_xlfn.XLOOKUP(A254,Productos!$A$2:$A$61,Productos!$B$2:$F$61)</f>
        <v>#N/A</v>
      </c>
    </row>
    <row r="255">
      <c r="A255" s="2" t="str">
        <f>IFERROR(__xludf.DUMMYFUNCTION("""COMPUTED_VALUE"""),"PR029")</f>
        <v>PR029</v>
      </c>
      <c r="B255" s="2" t="str">
        <f>IFERROR(__xludf.DUMMYFUNCTION("""COMPUTED_VALUE"""),"VD027")</f>
        <v>VD027</v>
      </c>
      <c r="C255" s="2">
        <f>IFERROR(__xludf.DUMMYFUNCTION("""COMPUTED_VALUE"""),8.0)</f>
        <v>8</v>
      </c>
      <c r="D255" s="6">
        <f>IFERROR(__xludf.DUMMYFUNCTION("""COMPUTED_VALUE"""),2427.6)</f>
        <v>2427.6</v>
      </c>
      <c r="E255" s="6">
        <f>IFERROR(__xludf.DUMMYFUNCTION("GOOGLEFINANCE(""Currency:BRLMXN"")*D255"),8246.5572)</f>
        <v>8246.5572</v>
      </c>
      <c r="F255" s="6">
        <f>IFERROR(__xludf.DUMMYFUNCTION("GOOGLEFINANCE(""Currency:BRLPEN"")*D255"),1591.5345599999998)</f>
        <v>1591.53456</v>
      </c>
      <c r="G255" s="2" t="str">
        <f t="array" ref="G255">_xlfn.XLOOKUP(B255,Vendedores!$A$2:$A$41,Vendedores!$B$2:$B$41,"No hay datos")</f>
        <v>No hay datos</v>
      </c>
      <c r="H255" s="2" t="str">
        <f t="array" ref="H255">_xlfn.XLOOKUP(B255,Vendedores!$A$2:$A$41,Vendedores!$C$2:$C$41,"No hay datos")</f>
        <v>No hay datos</v>
      </c>
      <c r="I255" s="2" t="str">
        <f t="array" ref="I255">_xlfn.XLOOKUP(B255,Vendedores!$A$2:$A$41,Vendedores!$D$2:$D$41,"No hay datos")</f>
        <v>No hay datos</v>
      </c>
      <c r="J255" s="2" t="str">
        <f t="array" ref="J255">_xlfn.XLOOKUP(A255,Productos!$A$2:$A$61,Productos!$B$2:$F$61)</f>
        <v>#N/A</v>
      </c>
    </row>
    <row r="256">
      <c r="A256" s="2" t="str">
        <f>IFERROR(__xludf.DUMMYFUNCTION("""COMPUTED_VALUE"""),"PR021")</f>
        <v>PR021</v>
      </c>
      <c r="B256" s="2" t="str">
        <f>IFERROR(__xludf.DUMMYFUNCTION("""COMPUTED_VALUE"""),"VD011")</f>
        <v>VD011</v>
      </c>
      <c r="C256" s="2">
        <f>IFERROR(__xludf.DUMMYFUNCTION("""COMPUTED_VALUE"""),5.0)</f>
        <v>5</v>
      </c>
      <c r="D256" s="6">
        <f>IFERROR(__xludf.DUMMYFUNCTION("""COMPUTED_VALUE"""),1696.24)</f>
        <v>1696.24</v>
      </c>
      <c r="E256" s="6">
        <f>IFERROR(__xludf.DUMMYFUNCTION("GOOGLEFINANCE(""Currency:BRLMXN"")*D256"),5762.12728)</f>
        <v>5762.12728</v>
      </c>
      <c r="F256" s="6">
        <f>IFERROR(__xludf.DUMMYFUNCTION("GOOGLEFINANCE(""Currency:BRLPEN"")*D256"),1112.054944)</f>
        <v>1112.054944</v>
      </c>
      <c r="G256" s="2" t="str">
        <f t="array" ref="G256">_xlfn.XLOOKUP(B256,Vendedores!$A$2:$A$41,Vendedores!$B$2:$B$41,"No hay datos")</f>
        <v>No hay datos</v>
      </c>
      <c r="H256" s="2" t="str">
        <f t="array" ref="H256">_xlfn.XLOOKUP(B256,Vendedores!$A$2:$A$41,Vendedores!$C$2:$C$41,"No hay datos")</f>
        <v>No hay datos</v>
      </c>
      <c r="I256" s="2" t="str">
        <f t="array" ref="I256">_xlfn.XLOOKUP(B256,Vendedores!$A$2:$A$41,Vendedores!$D$2:$D$41,"No hay datos")</f>
        <v>No hay datos</v>
      </c>
      <c r="J256" s="2" t="str">
        <f t="array" ref="J256">_xlfn.XLOOKUP(A256,Productos!$A$2:$A$61,Productos!$B$2:$F$61)</f>
        <v>#N/A</v>
      </c>
    </row>
    <row r="257">
      <c r="A257" s="2" t="str">
        <f>IFERROR(__xludf.DUMMYFUNCTION("""COMPUTED_VALUE"""),"PR039")</f>
        <v>PR039</v>
      </c>
      <c r="B257" s="2" t="str">
        <f>IFERROR(__xludf.DUMMYFUNCTION("""COMPUTED_VALUE"""),"VD017")</f>
        <v>VD017</v>
      </c>
      <c r="C257" s="2">
        <f>IFERROR(__xludf.DUMMYFUNCTION("""COMPUTED_VALUE"""),6.0)</f>
        <v>6</v>
      </c>
      <c r="D257" s="6">
        <f>IFERROR(__xludf.DUMMYFUNCTION("""COMPUTED_VALUE"""),1033.68)</f>
        <v>1033.68</v>
      </c>
      <c r="E257" s="6">
        <f>IFERROR(__xludf.DUMMYFUNCTION("GOOGLEFINANCE(""Currency:BRLMXN"")*D257"),3511.41096)</f>
        <v>3511.41096</v>
      </c>
      <c r="F257" s="6">
        <f>IFERROR(__xludf.DUMMYFUNCTION("GOOGLEFINANCE(""Currency:BRLPEN"")*D257"),677.680608)</f>
        <v>677.680608</v>
      </c>
      <c r="G257" s="2" t="str">
        <f t="array" ref="G257">_xlfn.XLOOKUP(B257,Vendedores!$A$2:$A$41,Vendedores!$B$2:$B$41,"No hay datos")</f>
        <v>No hay datos</v>
      </c>
      <c r="H257" s="2" t="str">
        <f t="array" ref="H257">_xlfn.XLOOKUP(B257,Vendedores!$A$2:$A$41,Vendedores!$C$2:$C$41,"No hay datos")</f>
        <v>No hay datos</v>
      </c>
      <c r="I257" s="2" t="str">
        <f t="array" ref="I257">_xlfn.XLOOKUP(B257,Vendedores!$A$2:$A$41,Vendedores!$D$2:$D$41,"No hay datos")</f>
        <v>No hay datos</v>
      </c>
      <c r="J257" s="2" t="str">
        <f t="array" ref="J257">_xlfn.XLOOKUP(A257,Productos!$A$2:$A$61,Productos!$B$2:$F$61)</f>
        <v>#N/A</v>
      </c>
    </row>
    <row r="258">
      <c r="A258" s="2" t="str">
        <f>IFERROR(__xludf.DUMMYFUNCTION("""COMPUTED_VALUE"""),"PR024")</f>
        <v>PR024</v>
      </c>
      <c r="B258" s="2" t="str">
        <f>IFERROR(__xludf.DUMMYFUNCTION("""COMPUTED_VALUE"""),"VD021")</f>
        <v>VD021</v>
      </c>
      <c r="C258" s="2">
        <f>IFERROR(__xludf.DUMMYFUNCTION("""COMPUTED_VALUE"""),12.0)</f>
        <v>12</v>
      </c>
      <c r="D258" s="6">
        <f>IFERROR(__xludf.DUMMYFUNCTION("""COMPUTED_VALUE"""),3617.81)</f>
        <v>3617.81</v>
      </c>
      <c r="E258" s="6">
        <f>IFERROR(__xludf.DUMMYFUNCTION("GOOGLEFINANCE(""Currency:BRLMXN"")*D258"),12289.700569999999)</f>
        <v>12289.70057</v>
      </c>
      <c r="F258" s="6">
        <f>IFERROR(__xludf.DUMMYFUNCTION("GOOGLEFINANCE(""Currency:BRLPEN"")*D258"),2371.8362359999996)</f>
        <v>2371.836236</v>
      </c>
      <c r="G258" s="2" t="str">
        <f t="array" ref="G258">_xlfn.XLOOKUP(B258,Vendedores!$A$2:$A$41,Vendedores!$B$2:$B$41,"No hay datos")</f>
        <v>No hay datos</v>
      </c>
      <c r="H258" s="2" t="str">
        <f t="array" ref="H258">_xlfn.XLOOKUP(B258,Vendedores!$A$2:$A$41,Vendedores!$C$2:$C$41,"No hay datos")</f>
        <v>No hay datos</v>
      </c>
      <c r="I258" s="2" t="str">
        <f t="array" ref="I258">_xlfn.XLOOKUP(B258,Vendedores!$A$2:$A$41,Vendedores!$D$2:$D$41,"No hay datos")</f>
        <v>No hay datos</v>
      </c>
      <c r="J258" s="2" t="str">
        <f t="array" ref="J258">_xlfn.XLOOKUP(A258,Productos!$A$2:$A$61,Productos!$B$2:$F$61)</f>
        <v>#N/A</v>
      </c>
    </row>
    <row r="259">
      <c r="A259" s="2" t="str">
        <f>IFERROR(__xludf.DUMMYFUNCTION("""COMPUTED_VALUE"""),"PR039")</f>
        <v>PR039</v>
      </c>
      <c r="B259" s="2" t="str">
        <f>IFERROR(__xludf.DUMMYFUNCTION("""COMPUTED_VALUE"""),"VD042")</f>
        <v>VD042</v>
      </c>
      <c r="C259" s="2">
        <f>IFERROR(__xludf.DUMMYFUNCTION("""COMPUTED_VALUE"""),14.0)</f>
        <v>14</v>
      </c>
      <c r="D259" s="6">
        <f>IFERROR(__xludf.DUMMYFUNCTION("""COMPUTED_VALUE"""),2289.28)</f>
        <v>2289.28</v>
      </c>
      <c r="E259" s="6">
        <f>IFERROR(__xludf.DUMMYFUNCTION("GOOGLEFINANCE(""Currency:BRLMXN"")*D259"),7776.68416)</f>
        <v>7776.68416</v>
      </c>
      <c r="F259" s="6">
        <f>IFERROR(__xludf.DUMMYFUNCTION("GOOGLEFINANCE(""Currency:BRLPEN"")*D259"),1500.851968)</f>
        <v>1500.851968</v>
      </c>
      <c r="G259" s="2" t="str">
        <f t="array" ref="G259">_xlfn.XLOOKUP(B259,Vendedores!$A$2:$A$41,Vendedores!$B$2:$B$41,"No hay datos")</f>
        <v>No hay datos</v>
      </c>
      <c r="H259" s="2" t="str">
        <f t="array" ref="H259">_xlfn.XLOOKUP(B259,Vendedores!$A$2:$A$41,Vendedores!$C$2:$C$41,"No hay datos")</f>
        <v>No hay datos</v>
      </c>
      <c r="I259" s="2" t="str">
        <f t="array" ref="I259">_xlfn.XLOOKUP(B259,Vendedores!$A$2:$A$41,Vendedores!$D$2:$D$41,"No hay datos")</f>
        <v>No hay datos</v>
      </c>
      <c r="J259" s="2" t="str">
        <f t="array" ref="J259">_xlfn.XLOOKUP(A259,Productos!$A$2:$A$61,Productos!$B$2:$F$61)</f>
        <v>#N/A</v>
      </c>
    </row>
    <row r="260">
      <c r="A260" s="2" t="str">
        <f>IFERROR(__xludf.DUMMYFUNCTION("""COMPUTED_VALUE"""),"PR050")</f>
        <v>PR050</v>
      </c>
      <c r="B260" s="2" t="str">
        <f>IFERROR(__xludf.DUMMYFUNCTION("""COMPUTED_VALUE"""),"VD042")</f>
        <v>VD042</v>
      </c>
      <c r="C260" s="2">
        <f>IFERROR(__xludf.DUMMYFUNCTION("""COMPUTED_VALUE"""),8.0)</f>
        <v>8</v>
      </c>
      <c r="D260" s="6">
        <f>IFERROR(__xludf.DUMMYFUNCTION("""COMPUTED_VALUE"""),313.21)</f>
        <v>313.21</v>
      </c>
      <c r="E260" s="6">
        <f>IFERROR(__xludf.DUMMYFUNCTION("GOOGLEFINANCE(""Currency:BRLMXN"")*D260"),1063.97437)</f>
        <v>1063.97437</v>
      </c>
      <c r="F260" s="6">
        <f>IFERROR(__xludf.DUMMYFUNCTION("GOOGLEFINANCE(""Currency:BRLPEN"")*D260"),205.34047599999997)</f>
        <v>205.340476</v>
      </c>
      <c r="G260" s="2" t="str">
        <f t="array" ref="G260">_xlfn.XLOOKUP(B260,Vendedores!$A$2:$A$41,Vendedores!$B$2:$B$41,"No hay datos")</f>
        <v>No hay datos</v>
      </c>
      <c r="H260" s="2" t="str">
        <f t="array" ref="H260">_xlfn.XLOOKUP(B260,Vendedores!$A$2:$A$41,Vendedores!$C$2:$C$41,"No hay datos")</f>
        <v>No hay datos</v>
      </c>
      <c r="I260" s="2" t="str">
        <f t="array" ref="I260">_xlfn.XLOOKUP(B260,Vendedores!$A$2:$A$41,Vendedores!$D$2:$D$41,"No hay datos")</f>
        <v>No hay datos</v>
      </c>
      <c r="J260" s="2" t="str">
        <f t="array" ref="J260">_xlfn.XLOOKUP(A260,Productos!$A$2:$A$61,Productos!$B$2:$F$61)</f>
        <v>#N/A</v>
      </c>
    </row>
    <row r="261">
      <c r="A261" s="2" t="str">
        <f>IFERROR(__xludf.DUMMYFUNCTION("""COMPUTED_VALUE"""),"PR032")</f>
        <v>PR032</v>
      </c>
      <c r="B261" s="2" t="str">
        <f>IFERROR(__xludf.DUMMYFUNCTION("""COMPUTED_VALUE"""),"VD036")</f>
        <v>VD036</v>
      </c>
      <c r="C261" s="2">
        <f>IFERROR(__xludf.DUMMYFUNCTION("""COMPUTED_VALUE"""),30.0)</f>
        <v>30</v>
      </c>
      <c r="D261" s="6">
        <f>IFERROR(__xludf.DUMMYFUNCTION("""COMPUTED_VALUE"""),8925.0)</f>
        <v>8925</v>
      </c>
      <c r="E261" s="6">
        <f>IFERROR(__xludf.DUMMYFUNCTION("GOOGLEFINANCE(""Currency:BRLMXN"")*D261"),30318.225)</f>
        <v>30318.225</v>
      </c>
      <c r="F261" s="6">
        <f>IFERROR(__xludf.DUMMYFUNCTION("GOOGLEFINANCE(""Currency:BRLPEN"")*D261"),5851.23)</f>
        <v>5851.23</v>
      </c>
      <c r="G261" s="2" t="str">
        <f t="array" ref="G261">_xlfn.XLOOKUP(B261,Vendedores!$A$2:$A$41,Vendedores!$B$2:$B$41,"No hay datos")</f>
        <v>No hay datos</v>
      </c>
      <c r="H261" s="2" t="str">
        <f t="array" ref="H261">_xlfn.XLOOKUP(B261,Vendedores!$A$2:$A$41,Vendedores!$C$2:$C$41,"No hay datos")</f>
        <v>No hay datos</v>
      </c>
      <c r="I261" s="2" t="str">
        <f t="array" ref="I261">_xlfn.XLOOKUP(B261,Vendedores!$A$2:$A$41,Vendedores!$D$2:$D$41,"No hay datos")</f>
        <v>No hay datos</v>
      </c>
      <c r="J261" s="2" t="str">
        <f t="array" ref="J261">_xlfn.XLOOKUP(A261,Productos!$A$2:$A$61,Productos!$B$2:$F$61)</f>
        <v>#N/A</v>
      </c>
    </row>
    <row r="262">
      <c r="A262" s="2" t="str">
        <f>IFERROR(__xludf.DUMMYFUNCTION("""COMPUTED_VALUE"""),"PR047")</f>
        <v>PR047</v>
      </c>
      <c r="B262" s="2" t="str">
        <f>IFERROR(__xludf.DUMMYFUNCTION("""COMPUTED_VALUE"""),"VD027")</f>
        <v>VD027</v>
      </c>
      <c r="C262" s="2">
        <f>IFERROR(__xludf.DUMMYFUNCTION("""COMPUTED_VALUE"""),8.0)</f>
        <v>8</v>
      </c>
      <c r="D262" s="6">
        <f>IFERROR(__xludf.DUMMYFUNCTION("""COMPUTED_VALUE"""),2481.54)</f>
        <v>2481.54</v>
      </c>
      <c r="E262" s="6">
        <f>IFERROR(__xludf.DUMMYFUNCTION("GOOGLEFINANCE(""Currency:BRLMXN"")*D262"),8429.791379999999)</f>
        <v>8429.79138</v>
      </c>
      <c r="F262" s="6">
        <f>IFERROR(__xludf.DUMMYFUNCTION("GOOGLEFINANCE(""Currency:BRLPEN"")*D262"),1626.897624)</f>
        <v>1626.897624</v>
      </c>
      <c r="G262" s="2" t="str">
        <f t="array" ref="G262">_xlfn.XLOOKUP(B262,Vendedores!$A$2:$A$41,Vendedores!$B$2:$B$41,"No hay datos")</f>
        <v>No hay datos</v>
      </c>
      <c r="H262" s="2" t="str">
        <f t="array" ref="H262">_xlfn.XLOOKUP(B262,Vendedores!$A$2:$A$41,Vendedores!$C$2:$C$41,"No hay datos")</f>
        <v>No hay datos</v>
      </c>
      <c r="I262" s="2" t="str">
        <f t="array" ref="I262">_xlfn.XLOOKUP(B262,Vendedores!$A$2:$A$41,Vendedores!$D$2:$D$41,"No hay datos")</f>
        <v>No hay datos</v>
      </c>
      <c r="J262" s="2" t="str">
        <f t="array" ref="J262">_xlfn.XLOOKUP(A262,Productos!$A$2:$A$61,Productos!$B$2:$F$61)</f>
        <v>#N/A</v>
      </c>
    </row>
    <row r="263">
      <c r="A263" s="2" t="str">
        <f>IFERROR(__xludf.DUMMYFUNCTION("""COMPUTED_VALUE"""),"PR016")</f>
        <v>PR016</v>
      </c>
      <c r="B263" s="2" t="str">
        <f>IFERROR(__xludf.DUMMYFUNCTION("""COMPUTED_VALUE"""),"VD023")</f>
        <v>VD023</v>
      </c>
      <c r="C263" s="2">
        <f>IFERROR(__xludf.DUMMYFUNCTION("""COMPUTED_VALUE"""),18.0)</f>
        <v>18</v>
      </c>
      <c r="D263" s="6">
        <f>IFERROR(__xludf.DUMMYFUNCTION("""COMPUTED_VALUE"""),470.86)</f>
        <v>470.86</v>
      </c>
      <c r="E263" s="6">
        <f>IFERROR(__xludf.DUMMYFUNCTION("GOOGLEFINANCE(""Currency:BRLMXN"")*D263"),1599.51142)</f>
        <v>1599.51142</v>
      </c>
      <c r="F263" s="6">
        <f>IFERROR(__xludf.DUMMYFUNCTION("GOOGLEFINANCE(""Currency:BRLPEN"")*D263"),308.695816)</f>
        <v>308.695816</v>
      </c>
      <c r="G263" s="2" t="str">
        <f t="array" ref="G263">_xlfn.XLOOKUP(B263,Vendedores!$A$2:$A$41,Vendedores!$B$2:$B$41,"No hay datos")</f>
        <v>No hay datos</v>
      </c>
      <c r="H263" s="2" t="str">
        <f t="array" ref="H263">_xlfn.XLOOKUP(B263,Vendedores!$A$2:$A$41,Vendedores!$C$2:$C$41,"No hay datos")</f>
        <v>No hay datos</v>
      </c>
      <c r="I263" s="2" t="str">
        <f t="array" ref="I263">_xlfn.XLOOKUP(B263,Vendedores!$A$2:$A$41,Vendedores!$D$2:$D$41,"No hay datos")</f>
        <v>No hay datos</v>
      </c>
      <c r="J263" s="2" t="str">
        <f t="array" ref="J263">_xlfn.XLOOKUP(A263,Productos!$A$2:$A$61,Productos!$B$2:$F$61)</f>
        <v>#N/A</v>
      </c>
    </row>
    <row r="264">
      <c r="A264" s="2" t="str">
        <f>IFERROR(__xludf.DUMMYFUNCTION("""COMPUTED_VALUE"""),"PR029")</f>
        <v>PR029</v>
      </c>
      <c r="B264" s="2" t="str">
        <f>IFERROR(__xludf.DUMMYFUNCTION("""COMPUTED_VALUE"""),"VD033")</f>
        <v>VD033</v>
      </c>
      <c r="C264" s="2">
        <f>IFERROR(__xludf.DUMMYFUNCTION("""COMPUTED_VALUE"""),16.0)</f>
        <v>16</v>
      </c>
      <c r="D264" s="6">
        <f>IFERROR(__xludf.DUMMYFUNCTION("""COMPUTED_VALUE"""),4161.6)</f>
        <v>4161.6</v>
      </c>
      <c r="E264" s="6">
        <f>IFERROR(__xludf.DUMMYFUNCTION("GOOGLEFINANCE(""Currency:BRLMXN"")*D264"),14136.9552)</f>
        <v>14136.9552</v>
      </c>
      <c r="F264" s="6">
        <f>IFERROR(__xludf.DUMMYFUNCTION("GOOGLEFINANCE(""Currency:BRLPEN"")*D264"),2728.34496)</f>
        <v>2728.34496</v>
      </c>
      <c r="G264" s="2" t="str">
        <f t="array" ref="G264">_xlfn.XLOOKUP(B264,Vendedores!$A$2:$A$41,Vendedores!$B$2:$B$41,"No hay datos")</f>
        <v>No hay datos</v>
      </c>
      <c r="H264" s="2" t="str">
        <f t="array" ref="H264">_xlfn.XLOOKUP(B264,Vendedores!$A$2:$A$41,Vendedores!$C$2:$C$41,"No hay datos")</f>
        <v>No hay datos</v>
      </c>
      <c r="I264" s="2" t="str">
        <f t="array" ref="I264">_xlfn.XLOOKUP(B264,Vendedores!$A$2:$A$41,Vendedores!$D$2:$D$41,"No hay datos")</f>
        <v>No hay datos</v>
      </c>
      <c r="J264" s="2" t="str">
        <f t="array" ref="J264">_xlfn.XLOOKUP(A264,Productos!$A$2:$A$61,Productos!$B$2:$F$61)</f>
        <v>#N/A</v>
      </c>
    </row>
    <row r="265">
      <c r="A265" s="2" t="str">
        <f>IFERROR(__xludf.DUMMYFUNCTION("""COMPUTED_VALUE"""),"PR050")</f>
        <v>PR050</v>
      </c>
      <c r="B265" s="2" t="str">
        <f>IFERROR(__xludf.DUMMYFUNCTION("""COMPUTED_VALUE"""),"VD036")</f>
        <v>VD036</v>
      </c>
      <c r="C265" s="2">
        <f>IFERROR(__xludf.DUMMYFUNCTION("""COMPUTED_VALUE"""),10.0)</f>
        <v>10</v>
      </c>
      <c r="D265" s="6">
        <f>IFERROR(__xludf.DUMMYFUNCTION("""COMPUTED_VALUE"""),345.45)</f>
        <v>345.45</v>
      </c>
      <c r="E265" s="6">
        <f>IFERROR(__xludf.DUMMYFUNCTION("GOOGLEFINANCE(""Currency:BRLMXN"")*D265"),1173.49365)</f>
        <v>1173.49365</v>
      </c>
      <c r="F265" s="6">
        <f>IFERROR(__xludf.DUMMYFUNCTION("GOOGLEFINANCE(""Currency:BRLPEN"")*D265"),226.47701999999998)</f>
        <v>226.47702</v>
      </c>
      <c r="G265" s="2" t="str">
        <f t="array" ref="G265">_xlfn.XLOOKUP(B265,Vendedores!$A$2:$A$41,Vendedores!$B$2:$B$41,"No hay datos")</f>
        <v>No hay datos</v>
      </c>
      <c r="H265" s="2" t="str">
        <f t="array" ref="H265">_xlfn.XLOOKUP(B265,Vendedores!$A$2:$A$41,Vendedores!$C$2:$C$41,"No hay datos")</f>
        <v>No hay datos</v>
      </c>
      <c r="I265" s="2" t="str">
        <f t="array" ref="I265">_xlfn.XLOOKUP(B265,Vendedores!$A$2:$A$41,Vendedores!$D$2:$D$41,"No hay datos")</f>
        <v>No hay datos</v>
      </c>
      <c r="J265" s="2" t="str">
        <f t="array" ref="J265">_xlfn.XLOOKUP(A265,Productos!$A$2:$A$61,Productos!$B$2:$F$61)</f>
        <v>#N/A</v>
      </c>
    </row>
    <row r="266">
      <c r="A266" s="2" t="str">
        <f>IFERROR(__xludf.DUMMYFUNCTION("""COMPUTED_VALUE"""),"PR045")</f>
        <v>PR045</v>
      </c>
      <c r="B266" s="2" t="str">
        <f>IFERROR(__xludf.DUMMYFUNCTION("""COMPUTED_VALUE"""),"VD045")</f>
        <v>VD045</v>
      </c>
      <c r="C266" s="2">
        <f>IFERROR(__xludf.DUMMYFUNCTION("""COMPUTED_VALUE"""),3.0)</f>
        <v>3</v>
      </c>
      <c r="D266" s="6">
        <f>IFERROR(__xludf.DUMMYFUNCTION("""COMPUTED_VALUE"""),237.08)</f>
        <v>237.08</v>
      </c>
      <c r="E266" s="6">
        <f>IFERROR(__xludf.DUMMYFUNCTION("GOOGLEFINANCE(""Currency:BRLMXN"")*D266"),805.36076)</f>
        <v>805.36076</v>
      </c>
      <c r="F266" s="6">
        <f>IFERROR(__xludf.DUMMYFUNCTION("GOOGLEFINANCE(""Currency:BRLPEN"")*D266"),155.429648)</f>
        <v>155.429648</v>
      </c>
      <c r="G266" s="2" t="str">
        <f t="array" ref="G266">_xlfn.XLOOKUP(B266,Vendedores!$A$2:$A$41,Vendedores!$B$2:$B$41,"No hay datos")</f>
        <v>No hay datos</v>
      </c>
      <c r="H266" s="2" t="str">
        <f t="array" ref="H266">_xlfn.XLOOKUP(B266,Vendedores!$A$2:$A$41,Vendedores!$C$2:$C$41,"No hay datos")</f>
        <v>No hay datos</v>
      </c>
      <c r="I266" s="2" t="str">
        <f t="array" ref="I266">_xlfn.XLOOKUP(B266,Vendedores!$A$2:$A$41,Vendedores!$D$2:$D$41,"No hay datos")</f>
        <v>No hay datos</v>
      </c>
      <c r="J266" s="2" t="str">
        <f t="array" ref="J266">_xlfn.XLOOKUP(A266,Productos!$A$2:$A$61,Productos!$B$2:$F$61)</f>
        <v>#N/A</v>
      </c>
    </row>
    <row r="267">
      <c r="A267" s="2" t="str">
        <f>IFERROR(__xludf.DUMMYFUNCTION("""COMPUTED_VALUE"""),"PR053")</f>
        <v>PR053</v>
      </c>
      <c r="B267" s="2" t="str">
        <f>IFERROR(__xludf.DUMMYFUNCTION("""COMPUTED_VALUE"""),"VD022")</f>
        <v>VD022</v>
      </c>
      <c r="C267" s="2">
        <f>IFERROR(__xludf.DUMMYFUNCTION("""COMPUTED_VALUE"""),10.0)</f>
        <v>10</v>
      </c>
      <c r="D267" s="6">
        <f>IFERROR(__xludf.DUMMYFUNCTION("""COMPUTED_VALUE"""),543.91)</f>
        <v>543.91</v>
      </c>
      <c r="E267" s="6">
        <f>IFERROR(__xludf.DUMMYFUNCTION("GOOGLEFINANCE(""Currency:BRLMXN"")*D267"),1847.6622699999998)</f>
        <v>1847.66227</v>
      </c>
      <c r="F267" s="6">
        <f>IFERROR(__xludf.DUMMYFUNCTION("GOOGLEFINANCE(""Currency:BRLPEN"")*D267"),356.58739599999996)</f>
        <v>356.587396</v>
      </c>
      <c r="G267" s="2" t="str">
        <f t="array" ref="G267">_xlfn.XLOOKUP(B267,Vendedores!$A$2:$A$41,Vendedores!$B$2:$B$41,"No hay datos")</f>
        <v>No hay datos</v>
      </c>
      <c r="H267" s="2" t="str">
        <f t="array" ref="H267">_xlfn.XLOOKUP(B267,Vendedores!$A$2:$A$41,Vendedores!$C$2:$C$41,"No hay datos")</f>
        <v>No hay datos</v>
      </c>
      <c r="I267" s="2" t="str">
        <f t="array" ref="I267">_xlfn.XLOOKUP(B267,Vendedores!$A$2:$A$41,Vendedores!$D$2:$D$41,"No hay datos")</f>
        <v>No hay datos</v>
      </c>
      <c r="J267" s="2" t="str">
        <f t="array" ref="J267">_xlfn.XLOOKUP(A267,Productos!$A$2:$A$61,Productos!$B$2:$F$61)</f>
        <v>#N/A</v>
      </c>
    </row>
    <row r="268">
      <c r="A268" s="2" t="str">
        <f>IFERROR(__xludf.DUMMYFUNCTION("""COMPUTED_VALUE"""),"PR042")</f>
        <v>PR042</v>
      </c>
      <c r="B268" s="2" t="str">
        <f>IFERROR(__xludf.DUMMYFUNCTION("""COMPUTED_VALUE"""),"VD020")</f>
        <v>VD020</v>
      </c>
      <c r="C268" s="2">
        <f>IFERROR(__xludf.DUMMYFUNCTION("""COMPUTED_VALUE"""),3.0)</f>
        <v>3</v>
      </c>
      <c r="D268" s="6">
        <f>IFERROR(__xludf.DUMMYFUNCTION("""COMPUTED_VALUE"""),167.99)</f>
        <v>167.99</v>
      </c>
      <c r="E268" s="6">
        <f>IFERROR(__xludf.DUMMYFUNCTION("GOOGLEFINANCE(""Currency:BRLMXN"")*D268"),570.66203)</f>
        <v>570.66203</v>
      </c>
      <c r="F268" s="6">
        <f>IFERROR(__xludf.DUMMYFUNCTION("GOOGLEFINANCE(""Currency:BRLPEN"")*D268"),110.134244)</f>
        <v>110.134244</v>
      </c>
      <c r="G268" s="2" t="str">
        <f t="array" ref="G268">_xlfn.XLOOKUP(B268,Vendedores!$A$2:$A$41,Vendedores!$B$2:$B$41,"No hay datos")</f>
        <v>No hay datos</v>
      </c>
      <c r="H268" s="2" t="str">
        <f t="array" ref="H268">_xlfn.XLOOKUP(B268,Vendedores!$A$2:$A$41,Vendedores!$C$2:$C$41,"No hay datos")</f>
        <v>No hay datos</v>
      </c>
      <c r="I268" s="2" t="str">
        <f t="array" ref="I268">_xlfn.XLOOKUP(B268,Vendedores!$A$2:$A$41,Vendedores!$D$2:$D$41,"No hay datos")</f>
        <v>No hay datos</v>
      </c>
      <c r="J268" s="2" t="str">
        <f t="array" ref="J268">_xlfn.XLOOKUP(A268,Productos!$A$2:$A$61,Productos!$B$2:$F$61)</f>
        <v>#N/A</v>
      </c>
    </row>
    <row r="269">
      <c r="A269" s="2" t="str">
        <f>IFERROR(__xludf.DUMMYFUNCTION("""COMPUTED_VALUE"""),"PR049")</f>
        <v>PR049</v>
      </c>
      <c r="B269" s="2" t="str">
        <f>IFERROR(__xludf.DUMMYFUNCTION("""COMPUTED_VALUE"""),"VD019")</f>
        <v>VD019</v>
      </c>
      <c r="C269" s="2">
        <f>IFERROR(__xludf.DUMMYFUNCTION("""COMPUTED_VALUE"""),4.0)</f>
        <v>4</v>
      </c>
      <c r="D269" s="6">
        <f>IFERROR(__xludf.DUMMYFUNCTION("""COMPUTED_VALUE"""),132.92)</f>
        <v>132.92</v>
      </c>
      <c r="E269" s="6">
        <f>IFERROR(__xludf.DUMMYFUNCTION("GOOGLEFINANCE(""Currency:BRLMXN"")*D269"),451.52923999999996)</f>
        <v>451.52924</v>
      </c>
      <c r="F269" s="6">
        <f>IFERROR(__xludf.DUMMYFUNCTION("GOOGLEFINANCE(""Currency:BRLPEN"")*D269"),87.14235199999999)</f>
        <v>87.142352</v>
      </c>
      <c r="G269" s="2" t="str">
        <f t="array" ref="G269">_xlfn.XLOOKUP(B269,Vendedores!$A$2:$A$41,Vendedores!$B$2:$B$41,"No hay datos")</f>
        <v>No hay datos</v>
      </c>
      <c r="H269" s="2" t="str">
        <f t="array" ref="H269">_xlfn.XLOOKUP(B269,Vendedores!$A$2:$A$41,Vendedores!$C$2:$C$41,"No hay datos")</f>
        <v>No hay datos</v>
      </c>
      <c r="I269" s="2" t="str">
        <f t="array" ref="I269">_xlfn.XLOOKUP(B269,Vendedores!$A$2:$A$41,Vendedores!$D$2:$D$41,"No hay datos")</f>
        <v>No hay datos</v>
      </c>
      <c r="J269" s="2" t="str">
        <f t="array" ref="J269">_xlfn.XLOOKUP(A269,Productos!$A$2:$A$61,Productos!$B$2:$F$61)</f>
        <v>#N/A</v>
      </c>
    </row>
    <row r="270">
      <c r="A270" s="2" t="str">
        <f>IFERROR(__xludf.DUMMYFUNCTION("""COMPUTED_VALUE"""),"PR045")</f>
        <v>PR045</v>
      </c>
      <c r="B270" s="2" t="str">
        <f>IFERROR(__xludf.DUMMYFUNCTION("""COMPUTED_VALUE"""),"VD015")</f>
        <v>VD015</v>
      </c>
      <c r="C270" s="2">
        <f>IFERROR(__xludf.DUMMYFUNCTION("""COMPUTED_VALUE"""),18.0)</f>
        <v>18</v>
      </c>
      <c r="D270" s="6">
        <f>IFERROR(__xludf.DUMMYFUNCTION("""COMPUTED_VALUE"""),1357.2)</f>
        <v>1357.2</v>
      </c>
      <c r="E270" s="6">
        <f>IFERROR(__xludf.DUMMYFUNCTION("GOOGLEFINANCE(""Currency:BRLMXN"")*D270"),4610.4084)</f>
        <v>4610.4084</v>
      </c>
      <c r="F270" s="6">
        <f>IFERROR(__xludf.DUMMYFUNCTION("GOOGLEFINANCE(""Currency:BRLPEN"")*D270"),889.78032)</f>
        <v>889.78032</v>
      </c>
      <c r="G270" s="2" t="str">
        <f t="array" ref="G270">_xlfn.XLOOKUP(B270,Vendedores!$A$2:$A$41,Vendedores!$B$2:$B$41,"No hay datos")</f>
        <v>No hay datos</v>
      </c>
      <c r="H270" s="2" t="str">
        <f t="array" ref="H270">_xlfn.XLOOKUP(B270,Vendedores!$A$2:$A$41,Vendedores!$C$2:$C$41,"No hay datos")</f>
        <v>No hay datos</v>
      </c>
      <c r="I270" s="2" t="str">
        <f t="array" ref="I270">_xlfn.XLOOKUP(B270,Vendedores!$A$2:$A$41,Vendedores!$D$2:$D$41,"No hay datos")</f>
        <v>No hay datos</v>
      </c>
      <c r="J270" s="2" t="str">
        <f t="array" ref="J270">_xlfn.XLOOKUP(A270,Productos!$A$2:$A$61,Productos!$B$2:$F$61)</f>
        <v>#N/A</v>
      </c>
    </row>
    <row r="271">
      <c r="A271" s="2" t="str">
        <f>IFERROR(__xludf.DUMMYFUNCTION("""COMPUTED_VALUE"""),"PR037")</f>
        <v>PR037</v>
      </c>
      <c r="B271" s="2" t="str">
        <f>IFERROR(__xludf.DUMMYFUNCTION("""COMPUTED_VALUE"""),"VD029")</f>
        <v>VD029</v>
      </c>
      <c r="C271" s="2">
        <f>IFERROR(__xludf.DUMMYFUNCTION("""COMPUTED_VALUE"""),6.0)</f>
        <v>6</v>
      </c>
      <c r="D271" s="6">
        <f>IFERROR(__xludf.DUMMYFUNCTION("""COMPUTED_VALUE"""),915.6)</f>
        <v>915.6</v>
      </c>
      <c r="E271" s="6">
        <f>IFERROR(__xludf.DUMMYFUNCTION("GOOGLEFINANCE(""Currency:BRLMXN"")*D271"),3110.2932)</f>
        <v>3110.2932</v>
      </c>
      <c r="F271" s="6">
        <f>IFERROR(__xludf.DUMMYFUNCTION("GOOGLEFINANCE(""Currency:BRLPEN"")*D271"),600.2673599999999)</f>
        <v>600.26736</v>
      </c>
      <c r="G271" s="2" t="str">
        <f t="array" ref="G271">_xlfn.XLOOKUP(B271,Vendedores!$A$2:$A$41,Vendedores!$B$2:$B$41,"No hay datos")</f>
        <v>No hay datos</v>
      </c>
      <c r="H271" s="2" t="str">
        <f t="array" ref="H271">_xlfn.XLOOKUP(B271,Vendedores!$A$2:$A$41,Vendedores!$C$2:$C$41,"No hay datos")</f>
        <v>No hay datos</v>
      </c>
      <c r="I271" s="2" t="str">
        <f t="array" ref="I271">_xlfn.XLOOKUP(B271,Vendedores!$A$2:$A$41,Vendedores!$D$2:$D$41,"No hay datos")</f>
        <v>No hay datos</v>
      </c>
      <c r="J271" s="2" t="str">
        <f t="array" ref="J271">_xlfn.XLOOKUP(A271,Productos!$A$2:$A$61,Productos!$B$2:$F$61)</f>
        <v>#N/A</v>
      </c>
    </row>
    <row r="272">
      <c r="A272" s="2" t="str">
        <f>IFERROR(__xludf.DUMMYFUNCTION("""COMPUTED_VALUE"""),"PR021")</f>
        <v>PR021</v>
      </c>
      <c r="B272" s="2" t="str">
        <f>IFERROR(__xludf.DUMMYFUNCTION("""COMPUTED_VALUE"""),"VD017")</f>
        <v>VD017</v>
      </c>
      <c r="C272" s="2">
        <f>IFERROR(__xludf.DUMMYFUNCTION("""COMPUTED_VALUE"""),10.0)</f>
        <v>10</v>
      </c>
      <c r="D272" s="6">
        <f>IFERROR(__xludf.DUMMYFUNCTION("""COMPUTED_VALUE"""),3331.9)</f>
        <v>3331.9</v>
      </c>
      <c r="E272" s="6">
        <f>IFERROR(__xludf.DUMMYFUNCTION("GOOGLEFINANCE(""Currency:BRLMXN"")*D272"),11318.4643)</f>
        <v>11318.4643</v>
      </c>
      <c r="F272" s="6">
        <f>IFERROR(__xludf.DUMMYFUNCTION("GOOGLEFINANCE(""Currency:BRLPEN"")*D272"),2184.39364)</f>
        <v>2184.39364</v>
      </c>
      <c r="G272" s="2" t="str">
        <f t="array" ref="G272">_xlfn.XLOOKUP(B272,Vendedores!$A$2:$A$41,Vendedores!$B$2:$B$41,"No hay datos")</f>
        <v>No hay datos</v>
      </c>
      <c r="H272" s="2" t="str">
        <f t="array" ref="H272">_xlfn.XLOOKUP(B272,Vendedores!$A$2:$A$41,Vendedores!$C$2:$C$41,"No hay datos")</f>
        <v>No hay datos</v>
      </c>
      <c r="I272" s="2" t="str">
        <f t="array" ref="I272">_xlfn.XLOOKUP(B272,Vendedores!$A$2:$A$41,Vendedores!$D$2:$D$41,"No hay datos")</f>
        <v>No hay datos</v>
      </c>
      <c r="J272" s="2" t="str">
        <f t="array" ref="J272">_xlfn.XLOOKUP(A272,Productos!$A$2:$A$61,Productos!$B$2:$F$61)</f>
        <v>#N/A</v>
      </c>
    </row>
    <row r="273">
      <c r="A273" s="2" t="str">
        <f>IFERROR(__xludf.DUMMYFUNCTION("""COMPUTED_VALUE"""),"PR034")</f>
        <v>PR034</v>
      </c>
      <c r="B273" s="2" t="str">
        <f>IFERROR(__xludf.DUMMYFUNCTION("""COMPUTED_VALUE"""),"VD045")</f>
        <v>VD045</v>
      </c>
      <c r="C273" s="2">
        <f>IFERROR(__xludf.DUMMYFUNCTION("""COMPUTED_VALUE"""),8.0)</f>
        <v>8</v>
      </c>
      <c r="D273" s="6">
        <f>IFERROR(__xludf.DUMMYFUNCTION("""COMPUTED_VALUE"""),719.2)</f>
        <v>719.2</v>
      </c>
      <c r="E273" s="6">
        <f>IFERROR(__xludf.DUMMYFUNCTION("GOOGLEFINANCE(""Currency:BRLMXN"")*D273"),2443.1224)</f>
        <v>2443.1224</v>
      </c>
      <c r="F273" s="6">
        <f>IFERROR(__xludf.DUMMYFUNCTION("GOOGLEFINANCE(""Currency:BRLPEN"")*D273"),471.50752)</f>
        <v>471.50752</v>
      </c>
      <c r="G273" s="2" t="str">
        <f t="array" ref="G273">_xlfn.XLOOKUP(B273,Vendedores!$A$2:$A$41,Vendedores!$B$2:$B$41,"No hay datos")</f>
        <v>No hay datos</v>
      </c>
      <c r="H273" s="2" t="str">
        <f t="array" ref="H273">_xlfn.XLOOKUP(B273,Vendedores!$A$2:$A$41,Vendedores!$C$2:$C$41,"No hay datos")</f>
        <v>No hay datos</v>
      </c>
      <c r="I273" s="2" t="str">
        <f t="array" ref="I273">_xlfn.XLOOKUP(B273,Vendedores!$A$2:$A$41,Vendedores!$D$2:$D$41,"No hay datos")</f>
        <v>No hay datos</v>
      </c>
      <c r="J273" s="2" t="str">
        <f t="array" ref="J273">_xlfn.XLOOKUP(A273,Productos!$A$2:$A$61,Productos!$B$2:$F$61)</f>
        <v>#N/A</v>
      </c>
    </row>
    <row r="274">
      <c r="A274" s="2" t="str">
        <f>IFERROR(__xludf.DUMMYFUNCTION("""COMPUTED_VALUE"""),"PR047")</f>
        <v>PR047</v>
      </c>
      <c r="B274" s="2" t="str">
        <f>IFERROR(__xludf.DUMMYFUNCTION("""COMPUTED_VALUE"""),"VD041")</f>
        <v>VD041</v>
      </c>
      <c r="C274" s="2">
        <f>IFERROR(__xludf.DUMMYFUNCTION("""COMPUTED_VALUE"""),8.0)</f>
        <v>8</v>
      </c>
      <c r="D274" s="6">
        <f>IFERROR(__xludf.DUMMYFUNCTION("""COMPUTED_VALUE"""),2388.78)</f>
        <v>2388.78</v>
      </c>
      <c r="E274" s="6">
        <f>IFERROR(__xludf.DUMMYFUNCTION("GOOGLEFINANCE(""Currency:BRLMXN"")*D274"),8114.68566)</f>
        <v>8114.68566</v>
      </c>
      <c r="F274" s="6">
        <f>IFERROR(__xludf.DUMMYFUNCTION("GOOGLEFINANCE(""Currency:BRLPEN"")*D274"),1566.084168)</f>
        <v>1566.084168</v>
      </c>
      <c r="G274" s="2" t="str">
        <f t="array" ref="G274">_xlfn.XLOOKUP(B274,Vendedores!$A$2:$A$41,Vendedores!$B$2:$B$41,"No hay datos")</f>
        <v>No hay datos</v>
      </c>
      <c r="H274" s="2" t="str">
        <f t="array" ref="H274">_xlfn.XLOOKUP(B274,Vendedores!$A$2:$A$41,Vendedores!$C$2:$C$41,"No hay datos")</f>
        <v>No hay datos</v>
      </c>
      <c r="I274" s="2" t="str">
        <f t="array" ref="I274">_xlfn.XLOOKUP(B274,Vendedores!$A$2:$A$41,Vendedores!$D$2:$D$41,"No hay datos")</f>
        <v>No hay datos</v>
      </c>
      <c r="J274" s="2" t="str">
        <f t="array" ref="J274">_xlfn.XLOOKUP(A274,Productos!$A$2:$A$61,Productos!$B$2:$F$61)</f>
        <v>#N/A</v>
      </c>
    </row>
    <row r="275">
      <c r="A275" s="2" t="str">
        <f>IFERROR(__xludf.DUMMYFUNCTION("""COMPUTED_VALUE"""),"PR025")</f>
        <v>PR025</v>
      </c>
      <c r="B275" s="2" t="str">
        <f>IFERROR(__xludf.DUMMYFUNCTION("""COMPUTED_VALUE"""),"VD033")</f>
        <v>VD033</v>
      </c>
      <c r="C275" s="2">
        <f>IFERROR(__xludf.DUMMYFUNCTION("""COMPUTED_VALUE"""),4.0)</f>
        <v>4</v>
      </c>
      <c r="D275" s="6">
        <f>IFERROR(__xludf.DUMMYFUNCTION("""COMPUTED_VALUE"""),1295.57)</f>
        <v>1295.57</v>
      </c>
      <c r="E275" s="6">
        <f>IFERROR(__xludf.DUMMYFUNCTION("GOOGLEFINANCE(""Currency:BRLMXN"")*D275"),4401.051289999999)</f>
        <v>4401.05129</v>
      </c>
      <c r="F275" s="6">
        <f>IFERROR(__xludf.DUMMYFUNCTION("GOOGLEFINANCE(""Currency:BRLPEN"")*D275"),849.375692)</f>
        <v>849.375692</v>
      </c>
      <c r="G275" s="2" t="str">
        <f t="array" ref="G275">_xlfn.XLOOKUP(B275,Vendedores!$A$2:$A$41,Vendedores!$B$2:$B$41,"No hay datos")</f>
        <v>No hay datos</v>
      </c>
      <c r="H275" s="2" t="str">
        <f t="array" ref="H275">_xlfn.XLOOKUP(B275,Vendedores!$A$2:$A$41,Vendedores!$C$2:$C$41,"No hay datos")</f>
        <v>No hay datos</v>
      </c>
      <c r="I275" s="2" t="str">
        <f t="array" ref="I275">_xlfn.XLOOKUP(B275,Vendedores!$A$2:$A$41,Vendedores!$D$2:$D$41,"No hay datos")</f>
        <v>No hay datos</v>
      </c>
      <c r="J275" s="2" t="str">
        <f t="array" ref="J275">_xlfn.XLOOKUP(A275,Productos!$A$2:$A$61,Productos!$B$2:$F$61)</f>
        <v>#N/A</v>
      </c>
    </row>
    <row r="276">
      <c r="A276" s="2" t="str">
        <f>IFERROR(__xludf.DUMMYFUNCTION("""COMPUTED_VALUE"""),"PR056")</f>
        <v>PR056</v>
      </c>
      <c r="B276" s="2" t="str">
        <f>IFERROR(__xludf.DUMMYFUNCTION("""COMPUTED_VALUE"""),"VD025")</f>
        <v>VD025</v>
      </c>
      <c r="C276" s="2">
        <f>IFERROR(__xludf.DUMMYFUNCTION("""COMPUTED_VALUE"""),30.0)</f>
        <v>30</v>
      </c>
      <c r="D276" s="6">
        <f>IFERROR(__xludf.DUMMYFUNCTION("""COMPUTED_VALUE"""),2697.0)</f>
        <v>2697</v>
      </c>
      <c r="E276" s="6">
        <f>IFERROR(__xludf.DUMMYFUNCTION("GOOGLEFINANCE(""Currency:BRLMXN"")*D276"),9161.708999999999)</f>
        <v>9161.709</v>
      </c>
      <c r="F276" s="6">
        <f>IFERROR(__xludf.DUMMYFUNCTION("GOOGLEFINANCE(""Currency:BRLPEN"")*D276"),1768.1532)</f>
        <v>1768.1532</v>
      </c>
      <c r="G276" s="2" t="str">
        <f t="array" ref="G276">_xlfn.XLOOKUP(B276,Vendedores!$A$2:$A$41,Vendedores!$B$2:$B$41,"No hay datos")</f>
        <v>No hay datos</v>
      </c>
      <c r="H276" s="2" t="str">
        <f t="array" ref="H276">_xlfn.XLOOKUP(B276,Vendedores!$A$2:$A$41,Vendedores!$C$2:$C$41,"No hay datos")</f>
        <v>No hay datos</v>
      </c>
      <c r="I276" s="2" t="str">
        <f t="array" ref="I276">_xlfn.XLOOKUP(B276,Vendedores!$A$2:$A$41,Vendedores!$D$2:$D$41,"No hay datos")</f>
        <v>No hay datos</v>
      </c>
      <c r="J276" s="2" t="str">
        <f t="array" ref="J276">_xlfn.XLOOKUP(A276,Productos!$A$2:$A$61,Productos!$B$2:$F$61)</f>
        <v>#N/A</v>
      </c>
    </row>
    <row r="277">
      <c r="A277" s="2" t="str">
        <f>IFERROR(__xludf.DUMMYFUNCTION("""COMPUTED_VALUE"""),"PR017")</f>
        <v>PR017</v>
      </c>
      <c r="B277" s="2" t="str">
        <f>IFERROR(__xludf.DUMMYFUNCTION("""COMPUTED_VALUE"""),"VD014")</f>
        <v>VD014</v>
      </c>
      <c r="C277" s="2">
        <f>IFERROR(__xludf.DUMMYFUNCTION("""COMPUTED_VALUE"""),10.0)</f>
        <v>10</v>
      </c>
      <c r="D277" s="6">
        <f>IFERROR(__xludf.DUMMYFUNCTION("""COMPUTED_VALUE"""),310.96)</f>
        <v>310.96</v>
      </c>
      <c r="E277" s="6">
        <f>IFERROR(__xludf.DUMMYFUNCTION("GOOGLEFINANCE(""Currency:BRLMXN"")*D277"),1056.3311199999998)</f>
        <v>1056.33112</v>
      </c>
      <c r="F277" s="6">
        <f>IFERROR(__xludf.DUMMYFUNCTION("GOOGLEFINANCE(""Currency:BRLPEN"")*D277"),203.86537599999997)</f>
        <v>203.865376</v>
      </c>
      <c r="G277" s="2" t="str">
        <f t="array" ref="G277">_xlfn.XLOOKUP(B277,Vendedores!$A$2:$A$41,Vendedores!$B$2:$B$41,"No hay datos")</f>
        <v>No hay datos</v>
      </c>
      <c r="H277" s="2" t="str">
        <f t="array" ref="H277">_xlfn.XLOOKUP(B277,Vendedores!$A$2:$A$41,Vendedores!$C$2:$C$41,"No hay datos")</f>
        <v>No hay datos</v>
      </c>
      <c r="I277" s="2" t="str">
        <f t="array" ref="I277">_xlfn.XLOOKUP(B277,Vendedores!$A$2:$A$41,Vendedores!$D$2:$D$41,"No hay datos")</f>
        <v>No hay datos</v>
      </c>
      <c r="J277" s="2" t="str">
        <f t="array" ref="J277">_xlfn.XLOOKUP(A277,Productos!$A$2:$A$61,Productos!$B$2:$F$61)</f>
        <v>#N/A</v>
      </c>
    </row>
    <row r="278">
      <c r="A278" s="2" t="str">
        <f>IFERROR(__xludf.DUMMYFUNCTION("""COMPUTED_VALUE"""),"PR057")</f>
        <v>PR057</v>
      </c>
      <c r="B278" s="2" t="str">
        <f>IFERROR(__xludf.DUMMYFUNCTION("""COMPUTED_VALUE"""),"VD025")</f>
        <v>VD025</v>
      </c>
      <c r="C278" s="2">
        <f>IFERROR(__xludf.DUMMYFUNCTION("""COMPUTED_VALUE"""),3.0)</f>
        <v>3</v>
      </c>
      <c r="D278" s="6">
        <f>IFERROR(__xludf.DUMMYFUNCTION("""COMPUTED_VALUE"""),269.7)</f>
        <v>269.7</v>
      </c>
      <c r="E278" s="6">
        <f>IFERROR(__xludf.DUMMYFUNCTION("GOOGLEFINANCE(""Currency:BRLMXN"")*D278"),916.1709)</f>
        <v>916.1709</v>
      </c>
      <c r="F278" s="6">
        <f>IFERROR(__xludf.DUMMYFUNCTION("GOOGLEFINANCE(""Currency:BRLPEN"")*D278"),176.81531999999999)</f>
        <v>176.81532</v>
      </c>
      <c r="G278" s="2" t="str">
        <f t="array" ref="G278">_xlfn.XLOOKUP(B278,Vendedores!$A$2:$A$41,Vendedores!$B$2:$B$41,"No hay datos")</f>
        <v>No hay datos</v>
      </c>
      <c r="H278" s="2" t="str">
        <f t="array" ref="H278">_xlfn.XLOOKUP(B278,Vendedores!$A$2:$A$41,Vendedores!$C$2:$C$41,"No hay datos")</f>
        <v>No hay datos</v>
      </c>
      <c r="I278" s="2" t="str">
        <f t="array" ref="I278">_xlfn.XLOOKUP(B278,Vendedores!$A$2:$A$41,Vendedores!$D$2:$D$41,"No hay datos")</f>
        <v>No hay datos</v>
      </c>
      <c r="J278" s="2" t="str">
        <f t="array" ref="J278">_xlfn.XLOOKUP(A278,Productos!$A$2:$A$61,Productos!$B$2:$F$61)</f>
        <v>#N/A</v>
      </c>
    </row>
    <row r="279">
      <c r="A279" s="2" t="str">
        <f>IFERROR(__xludf.DUMMYFUNCTION("""COMPUTED_VALUE"""),"PR033")</f>
        <v>PR033</v>
      </c>
      <c r="B279" s="2" t="str">
        <f>IFERROR(__xludf.DUMMYFUNCTION("""COMPUTED_VALUE"""),"VD016")</f>
        <v>VD016</v>
      </c>
      <c r="C279" s="2">
        <f>IFERROR(__xludf.DUMMYFUNCTION("""COMPUTED_VALUE"""),3.0)</f>
        <v>3</v>
      </c>
      <c r="D279" s="6">
        <f>IFERROR(__xludf.DUMMYFUNCTION("""COMPUTED_VALUE"""),818.69)</f>
        <v>818.69</v>
      </c>
      <c r="E279" s="6">
        <f>IFERROR(__xludf.DUMMYFUNCTION("GOOGLEFINANCE(""Currency:BRLMXN"")*D279"),2781.08993)</f>
        <v>2781.08993</v>
      </c>
      <c r="F279" s="6">
        <f>IFERROR(__xludf.DUMMYFUNCTION("GOOGLEFINANCE(""Currency:BRLPEN"")*D279"),536.733164)</f>
        <v>536.733164</v>
      </c>
      <c r="G279" s="2" t="str">
        <f t="array" ref="G279">_xlfn.XLOOKUP(B279,Vendedores!$A$2:$A$41,Vendedores!$B$2:$B$41,"No hay datos")</f>
        <v>No hay datos</v>
      </c>
      <c r="H279" s="2" t="str">
        <f t="array" ref="H279">_xlfn.XLOOKUP(B279,Vendedores!$A$2:$A$41,Vendedores!$C$2:$C$41,"No hay datos")</f>
        <v>No hay datos</v>
      </c>
      <c r="I279" s="2" t="str">
        <f t="array" ref="I279">_xlfn.XLOOKUP(B279,Vendedores!$A$2:$A$41,Vendedores!$D$2:$D$41,"No hay datos")</f>
        <v>No hay datos</v>
      </c>
      <c r="J279" s="2" t="str">
        <f t="array" ref="J279">_xlfn.XLOOKUP(A279,Productos!$A$2:$A$61,Productos!$B$2:$F$61)</f>
        <v>#N/A</v>
      </c>
    </row>
    <row r="280">
      <c r="A280" s="2" t="str">
        <f>IFERROR(__xludf.DUMMYFUNCTION("""COMPUTED_VALUE"""),"PR029")</f>
        <v>PR029</v>
      </c>
      <c r="B280" s="2" t="str">
        <f>IFERROR(__xludf.DUMMYFUNCTION("""COMPUTED_VALUE"""),"VD038")</f>
        <v>VD038</v>
      </c>
      <c r="C280" s="2">
        <f>IFERROR(__xludf.DUMMYFUNCTION("""COMPUTED_VALUE"""),3.0)</f>
        <v>3</v>
      </c>
      <c r="D280" s="6">
        <f>IFERROR(__xludf.DUMMYFUNCTION("""COMPUTED_VALUE"""),818.55)</f>
        <v>818.55</v>
      </c>
      <c r="E280" s="6">
        <f>IFERROR(__xludf.DUMMYFUNCTION("GOOGLEFINANCE(""Currency:BRLMXN"")*D280"),2780.61435)</f>
        <v>2780.61435</v>
      </c>
      <c r="F280" s="6">
        <f>IFERROR(__xludf.DUMMYFUNCTION("GOOGLEFINANCE(""Currency:BRLPEN"")*D280"),536.6413799999999)</f>
        <v>536.64138</v>
      </c>
      <c r="G280" s="2" t="str">
        <f t="array" ref="G280">_xlfn.XLOOKUP(B280,Vendedores!$A$2:$A$41,Vendedores!$B$2:$B$41,"No hay datos")</f>
        <v>No hay datos</v>
      </c>
      <c r="H280" s="2" t="str">
        <f t="array" ref="H280">_xlfn.XLOOKUP(B280,Vendedores!$A$2:$A$41,Vendedores!$C$2:$C$41,"No hay datos")</f>
        <v>No hay datos</v>
      </c>
      <c r="I280" s="2" t="str">
        <f t="array" ref="I280">_xlfn.XLOOKUP(B280,Vendedores!$A$2:$A$41,Vendedores!$D$2:$D$41,"No hay datos")</f>
        <v>No hay datos</v>
      </c>
      <c r="J280" s="2" t="str">
        <f t="array" ref="J280">_xlfn.XLOOKUP(A280,Productos!$A$2:$A$61,Productos!$B$2:$F$61)</f>
        <v>#N/A</v>
      </c>
    </row>
    <row r="281">
      <c r="A281" s="2" t="str">
        <f>IFERROR(__xludf.DUMMYFUNCTION("""COMPUTED_VALUE"""),"PR060")</f>
        <v>PR060</v>
      </c>
      <c r="B281" s="2" t="str">
        <f>IFERROR(__xludf.DUMMYFUNCTION("""COMPUTED_VALUE"""),"VD039")</f>
        <v>VD039</v>
      </c>
      <c r="C281" s="2">
        <f>IFERROR(__xludf.DUMMYFUNCTION("""COMPUTED_VALUE"""),7.0)</f>
        <v>7</v>
      </c>
      <c r="D281" s="6">
        <f>IFERROR(__xludf.DUMMYFUNCTION("""COMPUTED_VALUE"""),1386.0)</f>
        <v>1386</v>
      </c>
      <c r="E281" s="6">
        <f>IFERROR(__xludf.DUMMYFUNCTION("GOOGLEFINANCE(""Currency:BRLMXN"")*D281"),4708.241999999999)</f>
        <v>4708.242</v>
      </c>
      <c r="F281" s="6">
        <f>IFERROR(__xludf.DUMMYFUNCTION("GOOGLEFINANCE(""Currency:BRLPEN"")*D281"),908.6615999999999)</f>
        <v>908.6616</v>
      </c>
      <c r="G281" s="2" t="str">
        <f t="array" ref="G281">_xlfn.XLOOKUP(B281,Vendedores!$A$2:$A$41,Vendedores!$B$2:$B$41,"No hay datos")</f>
        <v>No hay datos</v>
      </c>
      <c r="H281" s="2" t="str">
        <f t="array" ref="H281">_xlfn.XLOOKUP(B281,Vendedores!$A$2:$A$41,Vendedores!$C$2:$C$41,"No hay datos")</f>
        <v>No hay datos</v>
      </c>
      <c r="I281" s="2" t="str">
        <f t="array" ref="I281">_xlfn.XLOOKUP(B281,Vendedores!$A$2:$A$41,Vendedores!$D$2:$D$41,"No hay datos")</f>
        <v>No hay datos</v>
      </c>
      <c r="J281" s="2" t="str">
        <f t="array" ref="J281">_xlfn.XLOOKUP(A281,Productos!$A$2:$A$61,Productos!$B$2:$F$61)</f>
        <v>#N/A</v>
      </c>
    </row>
    <row r="282">
      <c r="A282" s="2" t="str">
        <f>IFERROR(__xludf.DUMMYFUNCTION("""COMPUTED_VALUE"""),"PR031")</f>
        <v>PR031</v>
      </c>
      <c r="B282" s="2" t="str">
        <f>IFERROR(__xludf.DUMMYFUNCTION("""COMPUTED_VALUE"""),"VD029")</f>
        <v>VD029</v>
      </c>
      <c r="C282" s="2">
        <f>IFERROR(__xludf.DUMMYFUNCTION("""COMPUTED_VALUE"""),6.0)</f>
        <v>6</v>
      </c>
      <c r="D282" s="6">
        <f>IFERROR(__xludf.DUMMYFUNCTION("""COMPUTED_VALUE"""),1484.7)</f>
        <v>1484.7</v>
      </c>
      <c r="E282" s="6">
        <f>IFERROR(__xludf.DUMMYFUNCTION("GOOGLEFINANCE(""Currency:BRLMXN"")*D282"),5043.5259)</f>
        <v>5043.5259</v>
      </c>
      <c r="F282" s="6">
        <f>IFERROR(__xludf.DUMMYFUNCTION("GOOGLEFINANCE(""Currency:BRLPEN"")*D282"),973.36932)</f>
        <v>973.36932</v>
      </c>
      <c r="G282" s="2" t="str">
        <f t="array" ref="G282">_xlfn.XLOOKUP(B282,Vendedores!$A$2:$A$41,Vendedores!$B$2:$B$41,"No hay datos")</f>
        <v>No hay datos</v>
      </c>
      <c r="H282" s="2" t="str">
        <f t="array" ref="H282">_xlfn.XLOOKUP(B282,Vendedores!$A$2:$A$41,Vendedores!$C$2:$C$41,"No hay datos")</f>
        <v>No hay datos</v>
      </c>
      <c r="I282" s="2" t="str">
        <f t="array" ref="I282">_xlfn.XLOOKUP(B282,Vendedores!$A$2:$A$41,Vendedores!$D$2:$D$41,"No hay datos")</f>
        <v>No hay datos</v>
      </c>
      <c r="J282" s="2" t="str">
        <f t="array" ref="J282">_xlfn.XLOOKUP(A282,Productos!$A$2:$A$61,Productos!$B$2:$F$61)</f>
        <v>#N/A</v>
      </c>
    </row>
    <row r="283">
      <c r="A283" s="2" t="str">
        <f>IFERROR(__xludf.DUMMYFUNCTION("""COMPUTED_VALUE"""),"PR038")</f>
        <v>PR038</v>
      </c>
      <c r="B283" s="2" t="str">
        <f>IFERROR(__xludf.DUMMYFUNCTION("""COMPUTED_VALUE"""),"VD036")</f>
        <v>VD036</v>
      </c>
      <c r="C283" s="2">
        <f>IFERROR(__xludf.DUMMYFUNCTION("""COMPUTED_VALUE"""),21.0)</f>
        <v>21</v>
      </c>
      <c r="D283" s="6">
        <f>IFERROR(__xludf.DUMMYFUNCTION("""COMPUTED_VALUE"""),3240.97)</f>
        <v>3240.97</v>
      </c>
      <c r="E283" s="6">
        <f>IFERROR(__xludf.DUMMYFUNCTION("GOOGLEFINANCE(""Currency:BRLMXN"")*D283"),11009.575089999998)</f>
        <v>11009.57509</v>
      </c>
      <c r="F283" s="6">
        <f>IFERROR(__xludf.DUMMYFUNCTION("GOOGLEFINANCE(""Currency:BRLPEN"")*D283"),2124.779932)</f>
        <v>2124.779932</v>
      </c>
      <c r="G283" s="2" t="str">
        <f t="array" ref="G283">_xlfn.XLOOKUP(B283,Vendedores!$A$2:$A$41,Vendedores!$B$2:$B$41,"No hay datos")</f>
        <v>No hay datos</v>
      </c>
      <c r="H283" s="2" t="str">
        <f t="array" ref="H283">_xlfn.XLOOKUP(B283,Vendedores!$A$2:$A$41,Vendedores!$C$2:$C$41,"No hay datos")</f>
        <v>No hay datos</v>
      </c>
      <c r="I283" s="2" t="str">
        <f t="array" ref="I283">_xlfn.XLOOKUP(B283,Vendedores!$A$2:$A$41,Vendedores!$D$2:$D$41,"No hay datos")</f>
        <v>No hay datos</v>
      </c>
      <c r="J283" s="2" t="str">
        <f t="array" ref="J283">_xlfn.XLOOKUP(A283,Productos!$A$2:$A$61,Productos!$B$2:$F$61)</f>
        <v>#N/A</v>
      </c>
    </row>
    <row r="284">
      <c r="A284" s="2" t="str">
        <f>IFERROR(__xludf.DUMMYFUNCTION("""COMPUTED_VALUE"""),"PR054")</f>
        <v>PR054</v>
      </c>
      <c r="B284" s="2" t="str">
        <f>IFERROR(__xludf.DUMMYFUNCTION("""COMPUTED_VALUE"""),"VD041")</f>
        <v>VD041</v>
      </c>
      <c r="C284" s="2">
        <f>IFERROR(__xludf.DUMMYFUNCTION("""COMPUTED_VALUE"""),10.0)</f>
        <v>10</v>
      </c>
      <c r="D284" s="6">
        <f>IFERROR(__xludf.DUMMYFUNCTION("""COMPUTED_VALUE"""),499.0)</f>
        <v>499</v>
      </c>
      <c r="E284" s="6">
        <f>IFERROR(__xludf.DUMMYFUNCTION("GOOGLEFINANCE(""Currency:BRLMXN"")*D284"),1695.1029999999998)</f>
        <v>1695.103</v>
      </c>
      <c r="F284" s="6">
        <f>IFERROR(__xludf.DUMMYFUNCTION("GOOGLEFINANCE(""Currency:BRLPEN"")*D284"),327.14439999999996)</f>
        <v>327.1444</v>
      </c>
      <c r="G284" s="2" t="str">
        <f t="array" ref="G284">_xlfn.XLOOKUP(B284,Vendedores!$A$2:$A$41,Vendedores!$B$2:$B$41,"No hay datos")</f>
        <v>No hay datos</v>
      </c>
      <c r="H284" s="2" t="str">
        <f t="array" ref="H284">_xlfn.XLOOKUP(B284,Vendedores!$A$2:$A$41,Vendedores!$C$2:$C$41,"No hay datos")</f>
        <v>No hay datos</v>
      </c>
      <c r="I284" s="2" t="str">
        <f t="array" ref="I284">_xlfn.XLOOKUP(B284,Vendedores!$A$2:$A$41,Vendedores!$D$2:$D$41,"No hay datos")</f>
        <v>No hay datos</v>
      </c>
      <c r="J284" s="2" t="str">
        <f t="array" ref="J284">_xlfn.XLOOKUP(A284,Productos!$A$2:$A$61,Productos!$B$2:$F$61)</f>
        <v>#N/A</v>
      </c>
    </row>
    <row r="285">
      <c r="A285" s="2" t="str">
        <f>IFERROR(__xludf.DUMMYFUNCTION("""COMPUTED_VALUE"""),"PR022")</f>
        <v>PR022</v>
      </c>
      <c r="B285" s="2" t="str">
        <f>IFERROR(__xludf.DUMMYFUNCTION("""COMPUTED_VALUE"""),"VD045")</f>
        <v>VD045</v>
      </c>
      <c r="C285" s="2">
        <f>IFERROR(__xludf.DUMMYFUNCTION("""COMPUTED_VALUE"""),1.0)</f>
        <v>1</v>
      </c>
      <c r="D285" s="6">
        <f>IFERROR(__xludf.DUMMYFUNCTION("""COMPUTED_VALUE"""),306.0)</f>
        <v>306</v>
      </c>
      <c r="E285" s="6">
        <f>IFERROR(__xludf.DUMMYFUNCTION("GOOGLEFINANCE(""Currency:BRLMXN"")*D285"),1039.482)</f>
        <v>1039.482</v>
      </c>
      <c r="F285" s="6">
        <f>IFERROR(__xludf.DUMMYFUNCTION("GOOGLEFINANCE(""Currency:BRLPEN"")*D285"),200.6136)</f>
        <v>200.6136</v>
      </c>
      <c r="G285" s="2" t="str">
        <f t="array" ref="G285">_xlfn.XLOOKUP(B285,Vendedores!$A$2:$A$41,Vendedores!$B$2:$B$41,"No hay datos")</f>
        <v>No hay datos</v>
      </c>
      <c r="H285" s="2" t="str">
        <f t="array" ref="H285">_xlfn.XLOOKUP(B285,Vendedores!$A$2:$A$41,Vendedores!$C$2:$C$41,"No hay datos")</f>
        <v>No hay datos</v>
      </c>
      <c r="I285" s="2" t="str">
        <f t="array" ref="I285">_xlfn.XLOOKUP(B285,Vendedores!$A$2:$A$41,Vendedores!$D$2:$D$41,"No hay datos")</f>
        <v>No hay datos</v>
      </c>
      <c r="J285" s="2" t="str">
        <f t="array" ref="J285">_xlfn.XLOOKUP(A285,Productos!$A$2:$A$61,Productos!$B$2:$F$61)</f>
        <v>#N/A</v>
      </c>
    </row>
    <row r="286">
      <c r="A286" s="2" t="str">
        <f>IFERROR(__xludf.DUMMYFUNCTION("""COMPUTED_VALUE"""),"PR034")</f>
        <v>PR034</v>
      </c>
      <c r="B286" s="2" t="str">
        <f>IFERROR(__xludf.DUMMYFUNCTION("""COMPUTED_VALUE"""),"VD033")</f>
        <v>VD033</v>
      </c>
      <c r="C286" s="2">
        <f>IFERROR(__xludf.DUMMYFUNCTION("""COMPUTED_VALUE"""),18.0)</f>
        <v>18</v>
      </c>
      <c r="D286" s="6">
        <f>IFERROR(__xludf.DUMMYFUNCTION("""COMPUTED_VALUE"""),1747.66)</f>
        <v>1747.66</v>
      </c>
      <c r="E286" s="6">
        <f>IFERROR(__xludf.DUMMYFUNCTION("GOOGLEFINANCE(""Currency:BRLMXN"")*D286"),5936.80102)</f>
        <v>5936.80102</v>
      </c>
      <c r="F286" s="6">
        <f>IFERROR(__xludf.DUMMYFUNCTION("GOOGLEFINANCE(""Currency:BRLPEN"")*D286"),1145.7658959999999)</f>
        <v>1145.765896</v>
      </c>
      <c r="G286" s="2" t="str">
        <f t="array" ref="G286">_xlfn.XLOOKUP(B286,Vendedores!$A$2:$A$41,Vendedores!$B$2:$B$41,"No hay datos")</f>
        <v>No hay datos</v>
      </c>
      <c r="H286" s="2" t="str">
        <f t="array" ref="H286">_xlfn.XLOOKUP(B286,Vendedores!$A$2:$A$41,Vendedores!$C$2:$C$41,"No hay datos")</f>
        <v>No hay datos</v>
      </c>
      <c r="I286" s="2" t="str">
        <f t="array" ref="I286">_xlfn.XLOOKUP(B286,Vendedores!$A$2:$A$41,Vendedores!$D$2:$D$41,"No hay datos")</f>
        <v>No hay datos</v>
      </c>
      <c r="J286" s="2" t="str">
        <f t="array" ref="J286">_xlfn.XLOOKUP(A286,Productos!$A$2:$A$61,Productos!$B$2:$F$61)</f>
        <v>#N/A</v>
      </c>
    </row>
    <row r="287">
      <c r="A287" s="2" t="str">
        <f>IFERROR(__xludf.DUMMYFUNCTION("""COMPUTED_VALUE"""),"PR010")</f>
        <v>PR010</v>
      </c>
      <c r="B287" s="2" t="str">
        <f>IFERROR(__xludf.DUMMYFUNCTION("""COMPUTED_VALUE"""),"VD034")</f>
        <v>VD034</v>
      </c>
      <c r="C287" s="2">
        <f>IFERROR(__xludf.DUMMYFUNCTION("""COMPUTED_VALUE"""),12.0)</f>
        <v>12</v>
      </c>
      <c r="D287" s="6">
        <f>IFERROR(__xludf.DUMMYFUNCTION("""COMPUTED_VALUE"""),538.8)</f>
        <v>538.8</v>
      </c>
      <c r="E287" s="6">
        <f>IFERROR(__xludf.DUMMYFUNCTION("GOOGLEFINANCE(""Currency:BRLMXN"")*D287"),1830.3035999999997)</f>
        <v>1830.3036</v>
      </c>
      <c r="F287" s="6">
        <f>IFERROR(__xludf.DUMMYFUNCTION("GOOGLEFINANCE(""Currency:BRLPEN"")*D287"),353.23727999999994)</f>
        <v>353.23728</v>
      </c>
      <c r="G287" s="2" t="str">
        <f t="array" ref="G287">_xlfn.XLOOKUP(B287,Vendedores!$A$2:$A$41,Vendedores!$B$2:$B$41,"No hay datos")</f>
        <v>No hay datos</v>
      </c>
      <c r="H287" s="2" t="str">
        <f t="array" ref="H287">_xlfn.XLOOKUP(B287,Vendedores!$A$2:$A$41,Vendedores!$C$2:$C$41,"No hay datos")</f>
        <v>No hay datos</v>
      </c>
      <c r="I287" s="2" t="str">
        <f t="array" ref="I287">_xlfn.XLOOKUP(B287,Vendedores!$A$2:$A$41,Vendedores!$D$2:$D$41,"No hay datos")</f>
        <v>No hay datos</v>
      </c>
      <c r="J287" s="2" t="str">
        <f t="array" ref="J287">_xlfn.XLOOKUP(A287,Productos!$A$2:$A$61,Productos!$B$2:$F$61)</f>
        <v>#N/A</v>
      </c>
    </row>
    <row r="288">
      <c r="A288" s="2" t="str">
        <f>IFERROR(__xludf.DUMMYFUNCTION("""COMPUTED_VALUE"""),"PR058")</f>
        <v>PR058</v>
      </c>
      <c r="B288" s="2" t="str">
        <f>IFERROR(__xludf.DUMMYFUNCTION("""COMPUTED_VALUE"""),"VD031")</f>
        <v>VD031</v>
      </c>
      <c r="C288" s="2">
        <f>IFERROR(__xludf.DUMMYFUNCTION("""COMPUTED_VALUE"""),10.0)</f>
        <v>10</v>
      </c>
      <c r="D288" s="6">
        <f>IFERROR(__xludf.DUMMYFUNCTION("""COMPUTED_VALUE"""),1890.0)</f>
        <v>1890</v>
      </c>
      <c r="E288" s="6">
        <f>IFERROR(__xludf.DUMMYFUNCTION("GOOGLEFINANCE(""Currency:BRLMXN"")*D288"),6420.33)</f>
        <v>6420.33</v>
      </c>
      <c r="F288" s="6">
        <f>IFERROR(__xludf.DUMMYFUNCTION("GOOGLEFINANCE(""Currency:BRLPEN"")*D288"),1239.0839999999998)</f>
        <v>1239.084</v>
      </c>
      <c r="G288" s="2" t="str">
        <f t="array" ref="G288">_xlfn.XLOOKUP(B288,Vendedores!$A$2:$A$41,Vendedores!$B$2:$B$41,"No hay datos")</f>
        <v>No hay datos</v>
      </c>
      <c r="H288" s="2" t="str">
        <f t="array" ref="H288">_xlfn.XLOOKUP(B288,Vendedores!$A$2:$A$41,Vendedores!$C$2:$C$41,"No hay datos")</f>
        <v>No hay datos</v>
      </c>
      <c r="I288" s="2" t="str">
        <f t="array" ref="I288">_xlfn.XLOOKUP(B288,Vendedores!$A$2:$A$41,Vendedores!$D$2:$D$41,"No hay datos")</f>
        <v>No hay datos</v>
      </c>
      <c r="J288" s="2" t="str">
        <f t="array" ref="J288">_xlfn.XLOOKUP(A288,Productos!$A$2:$A$61,Productos!$B$2:$F$61)</f>
        <v>#N/A</v>
      </c>
    </row>
    <row r="289">
      <c r="A289" s="2" t="str">
        <f>IFERROR(__xludf.DUMMYFUNCTION("""COMPUTED_VALUE"""),"PR012")</f>
        <v>PR012</v>
      </c>
      <c r="B289" s="2" t="str">
        <f>IFERROR(__xludf.DUMMYFUNCTION("""COMPUTED_VALUE"""),"VD015")</f>
        <v>VD015</v>
      </c>
      <c r="C289" s="2">
        <f>IFERROR(__xludf.DUMMYFUNCTION("""COMPUTED_VALUE"""),2.0)</f>
        <v>2</v>
      </c>
      <c r="D289" s="6">
        <f>IFERROR(__xludf.DUMMYFUNCTION("""COMPUTED_VALUE"""),103.67)</f>
        <v>103.67</v>
      </c>
      <c r="E289" s="6">
        <f>IFERROR(__xludf.DUMMYFUNCTION("GOOGLEFINANCE(""Currency:BRLMXN"")*D289"),352.16699)</f>
        <v>352.16699</v>
      </c>
      <c r="F289" s="6">
        <f>IFERROR(__xludf.DUMMYFUNCTION("GOOGLEFINANCE(""Currency:BRLPEN"")*D289"),67.96605199999999)</f>
        <v>67.966052</v>
      </c>
      <c r="G289" s="2" t="str">
        <f t="array" ref="G289">_xlfn.XLOOKUP(B289,Vendedores!$A$2:$A$41,Vendedores!$B$2:$B$41,"No hay datos")</f>
        <v>No hay datos</v>
      </c>
      <c r="H289" s="2" t="str">
        <f t="array" ref="H289">_xlfn.XLOOKUP(B289,Vendedores!$A$2:$A$41,Vendedores!$C$2:$C$41,"No hay datos")</f>
        <v>No hay datos</v>
      </c>
      <c r="I289" s="2" t="str">
        <f t="array" ref="I289">_xlfn.XLOOKUP(B289,Vendedores!$A$2:$A$41,Vendedores!$D$2:$D$41,"No hay datos")</f>
        <v>No hay datos</v>
      </c>
      <c r="J289" s="2" t="str">
        <f t="array" ref="J289">_xlfn.XLOOKUP(A289,Productos!$A$2:$A$61,Productos!$B$2:$F$61)</f>
        <v>#N/A</v>
      </c>
    </row>
    <row r="290">
      <c r="A290" s="2" t="str">
        <f>IFERROR(__xludf.DUMMYFUNCTION("""COMPUTED_VALUE"""),"PR004")</f>
        <v>PR004</v>
      </c>
      <c r="B290" s="2" t="str">
        <f>IFERROR(__xludf.DUMMYFUNCTION("""COMPUTED_VALUE"""),"VD031")</f>
        <v>VD031</v>
      </c>
      <c r="C290" s="2">
        <f>IFERROR(__xludf.DUMMYFUNCTION("""COMPUTED_VALUE"""),1.0)</f>
        <v>1</v>
      </c>
      <c r="D290" s="6">
        <f>IFERROR(__xludf.DUMMYFUNCTION("""COMPUTED_VALUE"""),149.35)</f>
        <v>149.35</v>
      </c>
      <c r="E290" s="6">
        <f>IFERROR(__xludf.DUMMYFUNCTION("GOOGLEFINANCE(""Currency:BRLMXN"")*D290"),507.34194999999994)</f>
        <v>507.34195</v>
      </c>
      <c r="F290" s="6">
        <f>IFERROR(__xludf.DUMMYFUNCTION("GOOGLEFINANCE(""Currency:BRLPEN"")*D290"),97.91385999999999)</f>
        <v>97.91386</v>
      </c>
      <c r="G290" s="2" t="str">
        <f t="array" ref="G290">_xlfn.XLOOKUP(B290,Vendedores!$A$2:$A$41,Vendedores!$B$2:$B$41,"No hay datos")</f>
        <v>No hay datos</v>
      </c>
      <c r="H290" s="2" t="str">
        <f t="array" ref="H290">_xlfn.XLOOKUP(B290,Vendedores!$A$2:$A$41,Vendedores!$C$2:$C$41,"No hay datos")</f>
        <v>No hay datos</v>
      </c>
      <c r="I290" s="2" t="str">
        <f t="array" ref="I290">_xlfn.XLOOKUP(B290,Vendedores!$A$2:$A$41,Vendedores!$D$2:$D$41,"No hay datos")</f>
        <v>No hay datos</v>
      </c>
      <c r="J290" s="2" t="str">
        <f t="array" ref="J290">_xlfn.XLOOKUP(A290,Productos!$A$2:$A$61,Productos!$B$2:$F$61)</f>
        <v>#N/A</v>
      </c>
    </row>
    <row r="291">
      <c r="A291" s="2" t="str">
        <f>IFERROR(__xludf.DUMMYFUNCTION("""COMPUTED_VALUE"""),"PR027")</f>
        <v>PR027</v>
      </c>
      <c r="B291" s="2" t="str">
        <f>IFERROR(__xludf.DUMMYFUNCTION("""COMPUTED_VALUE"""),"VD030")</f>
        <v>VD030</v>
      </c>
      <c r="C291" s="2">
        <f>IFERROR(__xludf.DUMMYFUNCTION("""COMPUTED_VALUE"""),6.0)</f>
        <v>6</v>
      </c>
      <c r="D291" s="6">
        <f>IFERROR(__xludf.DUMMYFUNCTION("""COMPUTED_VALUE"""),770.4)</f>
        <v>770.4</v>
      </c>
      <c r="E291" s="6">
        <f>IFERROR(__xludf.DUMMYFUNCTION("GOOGLEFINANCE(""Currency:BRLMXN"")*D291"),2617.0487999999996)</f>
        <v>2617.0488</v>
      </c>
      <c r="F291" s="6">
        <f>IFERROR(__xludf.DUMMYFUNCTION("GOOGLEFINANCE(""Currency:BRLPEN"")*D291"),505.07424)</f>
        <v>505.07424</v>
      </c>
      <c r="G291" s="2" t="str">
        <f t="array" ref="G291">_xlfn.XLOOKUP(B291,Vendedores!$A$2:$A$41,Vendedores!$B$2:$B$41,"No hay datos")</f>
        <v>No hay datos</v>
      </c>
      <c r="H291" s="2" t="str">
        <f t="array" ref="H291">_xlfn.XLOOKUP(B291,Vendedores!$A$2:$A$41,Vendedores!$C$2:$C$41,"No hay datos")</f>
        <v>No hay datos</v>
      </c>
      <c r="I291" s="2" t="str">
        <f t="array" ref="I291">_xlfn.XLOOKUP(B291,Vendedores!$A$2:$A$41,Vendedores!$D$2:$D$41,"No hay datos")</f>
        <v>No hay datos</v>
      </c>
      <c r="J291" s="2" t="str">
        <f t="array" ref="J291">_xlfn.XLOOKUP(A291,Productos!$A$2:$A$61,Productos!$B$2:$F$61)</f>
        <v>#N/A</v>
      </c>
    </row>
    <row r="292">
      <c r="A292" s="2" t="str">
        <f>IFERROR(__xludf.DUMMYFUNCTION("""COMPUTED_VALUE"""),"PR020")</f>
        <v>PR020</v>
      </c>
      <c r="B292" s="2" t="str">
        <f>IFERROR(__xludf.DUMMYFUNCTION("""COMPUTED_VALUE"""),"VD032")</f>
        <v>VD032</v>
      </c>
      <c r="C292" s="2">
        <f>IFERROR(__xludf.DUMMYFUNCTION("""COMPUTED_VALUE"""),18.0)</f>
        <v>18</v>
      </c>
      <c r="D292" s="6">
        <f>IFERROR(__xludf.DUMMYFUNCTION("""COMPUTED_VALUE"""),5668.11)</f>
        <v>5668.11</v>
      </c>
      <c r="E292" s="6">
        <f>IFERROR(__xludf.DUMMYFUNCTION("GOOGLEFINANCE(""Currency:BRLMXN"")*D292"),19254.569669999997)</f>
        <v>19254.56967</v>
      </c>
      <c r="F292" s="6">
        <f>IFERROR(__xludf.DUMMYFUNCTION("GOOGLEFINANCE(""Currency:BRLPEN"")*D292"),3716.0129159999997)</f>
        <v>3716.012916</v>
      </c>
      <c r="G292" s="2" t="str">
        <f t="array" ref="G292">_xlfn.XLOOKUP(B292,Vendedores!$A$2:$A$41,Vendedores!$B$2:$B$41,"No hay datos")</f>
        <v>No hay datos</v>
      </c>
      <c r="H292" s="2" t="str">
        <f t="array" ref="H292">_xlfn.XLOOKUP(B292,Vendedores!$A$2:$A$41,Vendedores!$C$2:$C$41,"No hay datos")</f>
        <v>No hay datos</v>
      </c>
      <c r="I292" s="2" t="str">
        <f t="array" ref="I292">_xlfn.XLOOKUP(B292,Vendedores!$A$2:$A$41,Vendedores!$D$2:$D$41,"No hay datos")</f>
        <v>No hay datos</v>
      </c>
      <c r="J292" s="2" t="str">
        <f t="array" ref="J292">_xlfn.XLOOKUP(A292,Productos!$A$2:$A$61,Productos!$B$2:$F$61)</f>
        <v>#N/A</v>
      </c>
    </row>
    <row r="293">
      <c r="A293" s="2" t="str">
        <f>IFERROR(__xludf.DUMMYFUNCTION("""COMPUTED_VALUE"""),"PR016")</f>
        <v>PR016</v>
      </c>
      <c r="B293" s="2" t="str">
        <f>IFERROR(__xludf.DUMMYFUNCTION("""COMPUTED_VALUE"""),"VD032")</f>
        <v>VD032</v>
      </c>
      <c r="C293" s="2">
        <f>IFERROR(__xludf.DUMMYFUNCTION("""COMPUTED_VALUE"""),12.0)</f>
        <v>12</v>
      </c>
      <c r="D293" s="6">
        <f>IFERROR(__xludf.DUMMYFUNCTION("""COMPUTED_VALUE"""),320.12)</f>
        <v>320.12</v>
      </c>
      <c r="E293" s="6">
        <f>IFERROR(__xludf.DUMMYFUNCTION("GOOGLEFINANCE(""Currency:BRLMXN"")*D293"),1087.4476399999999)</f>
        <v>1087.44764</v>
      </c>
      <c r="F293" s="6">
        <f>IFERROR(__xludf.DUMMYFUNCTION("GOOGLEFINANCE(""Currency:BRLPEN"")*D293"),209.87067199999998)</f>
        <v>209.870672</v>
      </c>
      <c r="G293" s="2" t="str">
        <f t="array" ref="G293">_xlfn.XLOOKUP(B293,Vendedores!$A$2:$A$41,Vendedores!$B$2:$B$41,"No hay datos")</f>
        <v>No hay datos</v>
      </c>
      <c r="H293" s="2" t="str">
        <f t="array" ref="H293">_xlfn.XLOOKUP(B293,Vendedores!$A$2:$A$41,Vendedores!$C$2:$C$41,"No hay datos")</f>
        <v>No hay datos</v>
      </c>
      <c r="I293" s="2" t="str">
        <f t="array" ref="I293">_xlfn.XLOOKUP(B293,Vendedores!$A$2:$A$41,Vendedores!$D$2:$D$41,"No hay datos")</f>
        <v>No hay datos</v>
      </c>
      <c r="J293" s="2" t="str">
        <f t="array" ref="J293">_xlfn.XLOOKUP(A293,Productos!$A$2:$A$61,Productos!$B$2:$F$61)</f>
        <v>#N/A</v>
      </c>
    </row>
    <row r="294">
      <c r="A294" s="2" t="str">
        <f>IFERROR(__xludf.DUMMYFUNCTION("""COMPUTED_VALUE"""),"PR056")</f>
        <v>PR056</v>
      </c>
      <c r="B294" s="2" t="str">
        <f>IFERROR(__xludf.DUMMYFUNCTION("""COMPUTED_VALUE"""),"VD015")</f>
        <v>VD015</v>
      </c>
      <c r="C294" s="2">
        <f>IFERROR(__xludf.DUMMYFUNCTION("""COMPUTED_VALUE"""),1.0)</f>
        <v>1</v>
      </c>
      <c r="D294" s="6">
        <f>IFERROR(__xludf.DUMMYFUNCTION("""COMPUTED_VALUE"""),96.19)</f>
        <v>96.19</v>
      </c>
      <c r="E294" s="6">
        <f>IFERROR(__xludf.DUMMYFUNCTION("GOOGLEFINANCE(""Currency:BRLMXN"")*D294"),326.75743)</f>
        <v>326.75743</v>
      </c>
      <c r="F294" s="6">
        <f>IFERROR(__xludf.DUMMYFUNCTION("GOOGLEFINANCE(""Currency:BRLPEN"")*D294"),63.062163999999996)</f>
        <v>63.062164</v>
      </c>
      <c r="G294" s="2" t="str">
        <f t="array" ref="G294">_xlfn.XLOOKUP(B294,Vendedores!$A$2:$A$41,Vendedores!$B$2:$B$41,"No hay datos")</f>
        <v>No hay datos</v>
      </c>
      <c r="H294" s="2" t="str">
        <f t="array" ref="H294">_xlfn.XLOOKUP(B294,Vendedores!$A$2:$A$41,Vendedores!$C$2:$C$41,"No hay datos")</f>
        <v>No hay datos</v>
      </c>
      <c r="I294" s="2" t="str">
        <f t="array" ref="I294">_xlfn.XLOOKUP(B294,Vendedores!$A$2:$A$41,Vendedores!$D$2:$D$41,"No hay datos")</f>
        <v>No hay datos</v>
      </c>
      <c r="J294" s="2" t="str">
        <f t="array" ref="J294">_xlfn.XLOOKUP(A294,Productos!$A$2:$A$61,Productos!$B$2:$F$61)</f>
        <v>#N/A</v>
      </c>
    </row>
    <row r="295">
      <c r="A295" s="2" t="str">
        <f>IFERROR(__xludf.DUMMYFUNCTION("""COMPUTED_VALUE"""),"PR017")</f>
        <v>PR017</v>
      </c>
      <c r="B295" s="2" t="str">
        <f>IFERROR(__xludf.DUMMYFUNCTION("""COMPUTED_VALUE"""),"VD016")</f>
        <v>VD016</v>
      </c>
      <c r="C295" s="2">
        <f>IFERROR(__xludf.DUMMYFUNCTION("""COMPUTED_VALUE"""),8.0)</f>
        <v>8</v>
      </c>
      <c r="D295" s="6">
        <f>IFERROR(__xludf.DUMMYFUNCTION("""COMPUTED_VALUE"""),241.59)</f>
        <v>241.59</v>
      </c>
      <c r="E295" s="6">
        <f>IFERROR(__xludf.DUMMYFUNCTION("GOOGLEFINANCE(""Currency:BRLMXN"")*D295"),820.6812299999999)</f>
        <v>820.68123</v>
      </c>
      <c r="F295" s="6">
        <f>IFERROR(__xludf.DUMMYFUNCTION("GOOGLEFINANCE(""Currency:BRLPEN"")*D295"),158.386404)</f>
        <v>158.386404</v>
      </c>
      <c r="G295" s="2" t="str">
        <f t="array" ref="G295">_xlfn.XLOOKUP(B295,Vendedores!$A$2:$A$41,Vendedores!$B$2:$B$41,"No hay datos")</f>
        <v>No hay datos</v>
      </c>
      <c r="H295" s="2" t="str">
        <f t="array" ref="H295">_xlfn.XLOOKUP(B295,Vendedores!$A$2:$A$41,Vendedores!$C$2:$C$41,"No hay datos")</f>
        <v>No hay datos</v>
      </c>
      <c r="I295" s="2" t="str">
        <f t="array" ref="I295">_xlfn.XLOOKUP(B295,Vendedores!$A$2:$A$41,Vendedores!$D$2:$D$41,"No hay datos")</f>
        <v>No hay datos</v>
      </c>
      <c r="J295" s="2" t="str">
        <f t="array" ref="J295">_xlfn.XLOOKUP(A295,Productos!$A$2:$A$61,Productos!$B$2:$F$61)</f>
        <v>#N/A</v>
      </c>
    </row>
    <row r="296">
      <c r="A296" s="2" t="str">
        <f>IFERROR(__xludf.DUMMYFUNCTION("""COMPUTED_VALUE"""),"PR001")</f>
        <v>PR001</v>
      </c>
      <c r="B296" s="2" t="str">
        <f>IFERROR(__xludf.DUMMYFUNCTION("""COMPUTED_VALUE"""),"VD044")</f>
        <v>VD044</v>
      </c>
      <c r="C296" s="2">
        <f>IFERROR(__xludf.DUMMYFUNCTION("""COMPUTED_VALUE"""),6.0)</f>
        <v>6</v>
      </c>
      <c r="D296" s="6">
        <f>IFERROR(__xludf.DUMMYFUNCTION("""COMPUTED_VALUE"""),403.31)</f>
        <v>403.31</v>
      </c>
      <c r="E296" s="6">
        <f>IFERROR(__xludf.DUMMYFUNCTION("GOOGLEFINANCE(""Currency:BRLMXN"")*D296"),1370.04407)</f>
        <v>1370.04407</v>
      </c>
      <c r="F296" s="6">
        <f>IFERROR(__xludf.DUMMYFUNCTION("GOOGLEFINANCE(""Currency:BRLPEN"")*D296"),264.410036)</f>
        <v>264.410036</v>
      </c>
      <c r="G296" s="2" t="str">
        <f t="array" ref="G296">_xlfn.XLOOKUP(B296,Vendedores!$A$2:$A$41,Vendedores!$B$2:$B$41,"No hay datos")</f>
        <v>No hay datos</v>
      </c>
      <c r="H296" s="2" t="str">
        <f t="array" ref="H296">_xlfn.XLOOKUP(B296,Vendedores!$A$2:$A$41,Vendedores!$C$2:$C$41,"No hay datos")</f>
        <v>No hay datos</v>
      </c>
      <c r="I296" s="2" t="str">
        <f t="array" ref="I296">_xlfn.XLOOKUP(B296,Vendedores!$A$2:$A$41,Vendedores!$D$2:$D$41,"No hay datos")</f>
        <v>No hay datos</v>
      </c>
      <c r="J296" s="2" t="str">
        <f t="array" ref="J296">_xlfn.XLOOKUP(A296,Productos!$A$2:$A$61,Productos!$B$2:$F$61)</f>
        <v>#N/A</v>
      </c>
    </row>
    <row r="297">
      <c r="A297" s="2" t="str">
        <f>IFERROR(__xludf.DUMMYFUNCTION("""COMPUTED_VALUE"""),"PR059")</f>
        <v>PR059</v>
      </c>
      <c r="B297" s="2" t="str">
        <f>IFERROR(__xludf.DUMMYFUNCTION("""COMPUTED_VALUE"""),"VD042")</f>
        <v>VD042</v>
      </c>
      <c r="C297" s="2">
        <f>IFERROR(__xludf.DUMMYFUNCTION("""COMPUTED_VALUE"""),21.0)</f>
        <v>21</v>
      </c>
      <c r="D297" s="6">
        <f>IFERROR(__xludf.DUMMYFUNCTION("""COMPUTED_VALUE"""),3817.8)</f>
        <v>3817.8</v>
      </c>
      <c r="E297" s="6">
        <f>IFERROR(__xludf.DUMMYFUNCTION("GOOGLEFINANCE(""Currency:BRLMXN"")*D297"),12969.0666)</f>
        <v>12969.0666</v>
      </c>
      <c r="F297" s="6">
        <f>IFERROR(__xludf.DUMMYFUNCTION("GOOGLEFINANCE(""Currency:BRLPEN"")*D297"),2502.94968)</f>
        <v>2502.94968</v>
      </c>
      <c r="G297" s="2" t="str">
        <f t="array" ref="G297">_xlfn.XLOOKUP(B297,Vendedores!$A$2:$A$41,Vendedores!$B$2:$B$41,"No hay datos")</f>
        <v>No hay datos</v>
      </c>
      <c r="H297" s="2" t="str">
        <f t="array" ref="H297">_xlfn.XLOOKUP(B297,Vendedores!$A$2:$A$41,Vendedores!$C$2:$C$41,"No hay datos")</f>
        <v>No hay datos</v>
      </c>
      <c r="I297" s="2" t="str">
        <f t="array" ref="I297">_xlfn.XLOOKUP(B297,Vendedores!$A$2:$A$41,Vendedores!$D$2:$D$41,"No hay datos")</f>
        <v>No hay datos</v>
      </c>
      <c r="J297" s="2" t="str">
        <f t="array" ref="J297">_xlfn.XLOOKUP(A297,Productos!$A$2:$A$61,Productos!$B$2:$F$61)</f>
        <v>#N/A</v>
      </c>
    </row>
    <row r="298">
      <c r="A298" s="2" t="str">
        <f>IFERROR(__xludf.DUMMYFUNCTION("""COMPUTED_VALUE"""),"PR039")</f>
        <v>PR039</v>
      </c>
      <c r="B298" s="2" t="str">
        <f>IFERROR(__xludf.DUMMYFUNCTION("""COMPUTED_VALUE"""),"VD013")</f>
        <v>VD013</v>
      </c>
      <c r="C298" s="2">
        <f>IFERROR(__xludf.DUMMYFUNCTION("""COMPUTED_VALUE"""),3.0)</f>
        <v>3</v>
      </c>
      <c r="D298" s="6">
        <f>IFERROR(__xludf.DUMMYFUNCTION("""COMPUTED_VALUE"""),438.0)</f>
        <v>438</v>
      </c>
      <c r="E298" s="6">
        <f>IFERROR(__xludf.DUMMYFUNCTION("GOOGLEFINANCE(""Currency:BRLMXN"")*D298"),1487.886)</f>
        <v>1487.886</v>
      </c>
      <c r="F298" s="6">
        <f>IFERROR(__xludf.DUMMYFUNCTION("GOOGLEFINANCE(""Currency:BRLPEN"")*D298"),287.15279999999996)</f>
        <v>287.1528</v>
      </c>
      <c r="G298" s="2" t="str">
        <f t="array" ref="G298">_xlfn.XLOOKUP(B298,Vendedores!$A$2:$A$41,Vendedores!$B$2:$B$41,"No hay datos")</f>
        <v>No hay datos</v>
      </c>
      <c r="H298" s="2" t="str">
        <f t="array" ref="H298">_xlfn.XLOOKUP(B298,Vendedores!$A$2:$A$41,Vendedores!$C$2:$C$41,"No hay datos")</f>
        <v>No hay datos</v>
      </c>
      <c r="I298" s="2" t="str">
        <f t="array" ref="I298">_xlfn.XLOOKUP(B298,Vendedores!$A$2:$A$41,Vendedores!$D$2:$D$41,"No hay datos")</f>
        <v>No hay datos</v>
      </c>
      <c r="J298" s="2" t="str">
        <f t="array" ref="J298">_xlfn.XLOOKUP(A298,Productos!$A$2:$A$61,Productos!$B$2:$F$61)</f>
        <v>#N/A</v>
      </c>
    </row>
    <row r="299">
      <c r="A299" s="2" t="str">
        <f>IFERROR(__xludf.DUMMYFUNCTION("""COMPUTED_VALUE"""),"PR035")</f>
        <v>PR035</v>
      </c>
      <c r="B299" s="2" t="str">
        <f>IFERROR(__xludf.DUMMYFUNCTION("""COMPUTED_VALUE"""),"VD011")</f>
        <v>VD011</v>
      </c>
      <c r="C299" s="2">
        <f>IFERROR(__xludf.DUMMYFUNCTION("""COMPUTED_VALUE"""),4.0)</f>
        <v>4</v>
      </c>
      <c r="D299" s="6">
        <f>IFERROR(__xludf.DUMMYFUNCTION("""COMPUTED_VALUE"""),383.88)</f>
        <v>383.88</v>
      </c>
      <c r="E299" s="6">
        <f>IFERROR(__xludf.DUMMYFUNCTION("GOOGLEFINANCE(""Currency:BRLMXN"")*D299"),1304.04036)</f>
        <v>1304.04036</v>
      </c>
      <c r="F299" s="6">
        <f>IFERROR(__xludf.DUMMYFUNCTION("GOOGLEFINANCE(""Currency:BRLPEN"")*D299"),251.67172799999997)</f>
        <v>251.671728</v>
      </c>
      <c r="G299" s="2" t="str">
        <f t="array" ref="G299">_xlfn.XLOOKUP(B299,Vendedores!$A$2:$A$41,Vendedores!$B$2:$B$41,"No hay datos")</f>
        <v>No hay datos</v>
      </c>
      <c r="H299" s="2" t="str">
        <f t="array" ref="H299">_xlfn.XLOOKUP(B299,Vendedores!$A$2:$A$41,Vendedores!$C$2:$C$41,"No hay datos")</f>
        <v>No hay datos</v>
      </c>
      <c r="I299" s="2" t="str">
        <f t="array" ref="I299">_xlfn.XLOOKUP(B299,Vendedores!$A$2:$A$41,Vendedores!$D$2:$D$41,"No hay datos")</f>
        <v>No hay datos</v>
      </c>
      <c r="J299" s="2" t="str">
        <f t="array" ref="J299">_xlfn.XLOOKUP(A299,Productos!$A$2:$A$61,Productos!$B$2:$F$61)</f>
        <v>#N/A</v>
      </c>
    </row>
    <row r="300">
      <c r="A300" s="2" t="str">
        <f>IFERROR(__xludf.DUMMYFUNCTION("""COMPUTED_VALUE"""),"PR051")</f>
        <v>PR051</v>
      </c>
      <c r="B300" s="2" t="str">
        <f>IFERROR(__xludf.DUMMYFUNCTION("""COMPUTED_VALUE"""),"VD041")</f>
        <v>VD041</v>
      </c>
      <c r="C300" s="2">
        <f>IFERROR(__xludf.DUMMYFUNCTION("""COMPUTED_VALUE"""),30.0)</f>
        <v>30</v>
      </c>
      <c r="D300" s="6">
        <f>IFERROR(__xludf.DUMMYFUNCTION("""COMPUTED_VALUE"""),1026.48)</f>
        <v>1026.48</v>
      </c>
      <c r="E300" s="6">
        <f>IFERROR(__xludf.DUMMYFUNCTION("GOOGLEFINANCE(""Currency:BRLMXN"")*D300"),3486.9525599999997)</f>
        <v>3486.95256</v>
      </c>
      <c r="F300" s="6">
        <f>IFERROR(__xludf.DUMMYFUNCTION("GOOGLEFINANCE(""Currency:BRLPEN"")*D300"),672.960288)</f>
        <v>672.960288</v>
      </c>
      <c r="G300" s="2" t="str">
        <f t="array" ref="G300">_xlfn.XLOOKUP(B300,Vendedores!$A$2:$A$41,Vendedores!$B$2:$B$41,"No hay datos")</f>
        <v>No hay datos</v>
      </c>
      <c r="H300" s="2" t="str">
        <f t="array" ref="H300">_xlfn.XLOOKUP(B300,Vendedores!$A$2:$A$41,Vendedores!$C$2:$C$41,"No hay datos")</f>
        <v>No hay datos</v>
      </c>
      <c r="I300" s="2" t="str">
        <f t="array" ref="I300">_xlfn.XLOOKUP(B300,Vendedores!$A$2:$A$41,Vendedores!$D$2:$D$41,"No hay datos")</f>
        <v>No hay datos</v>
      </c>
      <c r="J300" s="2" t="str">
        <f t="array" ref="J300">_xlfn.XLOOKUP(A300,Productos!$A$2:$A$61,Productos!$B$2:$F$61)</f>
        <v>#N/A</v>
      </c>
    </row>
    <row r="301">
      <c r="A301" s="2" t="str">
        <f>IFERROR(__xludf.DUMMYFUNCTION("""COMPUTED_VALUE"""),"PR047")</f>
        <v>PR047</v>
      </c>
      <c r="B301" s="2" t="str">
        <f>IFERROR(__xludf.DUMMYFUNCTION("""COMPUTED_VALUE"""),"VD034")</f>
        <v>VD034</v>
      </c>
      <c r="C301" s="2">
        <f>IFERROR(__xludf.DUMMYFUNCTION("""COMPUTED_VALUE"""),6.0)</f>
        <v>6</v>
      </c>
      <c r="D301" s="6">
        <f>IFERROR(__xludf.DUMMYFUNCTION("""COMPUTED_VALUE"""),1774.19)</f>
        <v>1774.19</v>
      </c>
      <c r="E301" s="6">
        <f>IFERROR(__xludf.DUMMYFUNCTION("GOOGLEFINANCE(""Currency:BRLMXN"")*D301"),6026.92343)</f>
        <v>6026.92343</v>
      </c>
      <c r="F301" s="6">
        <f>IFERROR(__xludf.DUMMYFUNCTION("GOOGLEFINANCE(""Currency:BRLPEN"")*D301"),1163.158964)</f>
        <v>1163.158964</v>
      </c>
      <c r="G301" s="2" t="str">
        <f t="array" ref="G301">_xlfn.XLOOKUP(B301,Vendedores!$A$2:$A$41,Vendedores!$B$2:$B$41,"No hay datos")</f>
        <v>No hay datos</v>
      </c>
      <c r="H301" s="2" t="str">
        <f t="array" ref="H301">_xlfn.XLOOKUP(B301,Vendedores!$A$2:$A$41,Vendedores!$C$2:$C$41,"No hay datos")</f>
        <v>No hay datos</v>
      </c>
      <c r="I301" s="2" t="str">
        <f t="array" ref="I301">_xlfn.XLOOKUP(B301,Vendedores!$A$2:$A$41,Vendedores!$D$2:$D$41,"No hay datos")</f>
        <v>No hay datos</v>
      </c>
      <c r="J301" s="2" t="str">
        <f t="array" ref="J301">_xlfn.XLOOKUP(A301,Productos!$A$2:$A$61,Productos!$B$2:$F$61)</f>
        <v>#N/A</v>
      </c>
    </row>
    <row r="302">
      <c r="A302" s="2" t="str">
        <f>IFERROR(__xludf.DUMMYFUNCTION("""COMPUTED_VALUE"""),"PR008")</f>
        <v>PR008</v>
      </c>
      <c r="B302" s="2" t="str">
        <f>IFERROR(__xludf.DUMMYFUNCTION("""COMPUTED_VALUE"""),"VD025")</f>
        <v>VD025</v>
      </c>
      <c r="C302" s="2">
        <f>IFERROR(__xludf.DUMMYFUNCTION("""COMPUTED_VALUE"""),12.0)</f>
        <v>12</v>
      </c>
      <c r="D302" s="6">
        <f>IFERROR(__xludf.DUMMYFUNCTION("""COMPUTED_VALUE"""),1121.95)</f>
        <v>1121.95</v>
      </c>
      <c r="E302" s="6">
        <f>IFERROR(__xludf.DUMMYFUNCTION("GOOGLEFINANCE(""Currency:BRLMXN"")*D302"),3811.26415)</f>
        <v>3811.26415</v>
      </c>
      <c r="F302" s="6">
        <f>IFERROR(__xludf.DUMMYFUNCTION("GOOGLEFINANCE(""Currency:BRLPEN"")*D302"),735.55042)</f>
        <v>735.55042</v>
      </c>
      <c r="G302" s="2" t="str">
        <f t="array" ref="G302">_xlfn.XLOOKUP(B302,Vendedores!$A$2:$A$41,Vendedores!$B$2:$B$41,"No hay datos")</f>
        <v>No hay datos</v>
      </c>
      <c r="H302" s="2" t="str">
        <f t="array" ref="H302">_xlfn.XLOOKUP(B302,Vendedores!$A$2:$A$41,Vendedores!$C$2:$C$41,"No hay datos")</f>
        <v>No hay datos</v>
      </c>
      <c r="I302" s="2" t="str">
        <f t="array" ref="I302">_xlfn.XLOOKUP(B302,Vendedores!$A$2:$A$41,Vendedores!$D$2:$D$41,"No hay datos")</f>
        <v>No hay datos</v>
      </c>
      <c r="J302" s="2" t="str">
        <f t="array" ref="J302">_xlfn.XLOOKUP(A302,Productos!$A$2:$A$61,Productos!$B$2:$F$61)</f>
        <v>#N/A</v>
      </c>
    </row>
    <row r="303">
      <c r="A303" s="2" t="str">
        <f>IFERROR(__xludf.DUMMYFUNCTION("""COMPUTED_VALUE"""),"PR045")</f>
        <v>PR045</v>
      </c>
      <c r="B303" s="2" t="str">
        <f>IFERROR(__xludf.DUMMYFUNCTION("""COMPUTED_VALUE"""),"VD035")</f>
        <v>VD035</v>
      </c>
      <c r="C303" s="2">
        <f>IFERROR(__xludf.DUMMYFUNCTION("""COMPUTED_VALUE"""),8.0)</f>
        <v>8</v>
      </c>
      <c r="D303" s="6">
        <f>IFERROR(__xludf.DUMMYFUNCTION("""COMPUTED_VALUE"""),609.0)</f>
        <v>609</v>
      </c>
      <c r="E303" s="6">
        <f>IFERROR(__xludf.DUMMYFUNCTION("GOOGLEFINANCE(""Currency:BRLMXN"")*D303"),2068.7729999999997)</f>
        <v>2068.773</v>
      </c>
      <c r="F303" s="6">
        <f>IFERROR(__xludf.DUMMYFUNCTION("GOOGLEFINANCE(""Currency:BRLPEN"")*D303"),399.2604)</f>
        <v>399.2604</v>
      </c>
      <c r="G303" s="2" t="str">
        <f t="array" ref="G303">_xlfn.XLOOKUP(B303,Vendedores!$A$2:$A$41,Vendedores!$B$2:$B$41,"No hay datos")</f>
        <v>No hay datos</v>
      </c>
      <c r="H303" s="2" t="str">
        <f t="array" ref="H303">_xlfn.XLOOKUP(B303,Vendedores!$A$2:$A$41,Vendedores!$C$2:$C$41,"No hay datos")</f>
        <v>No hay datos</v>
      </c>
      <c r="I303" s="2" t="str">
        <f t="array" ref="I303">_xlfn.XLOOKUP(B303,Vendedores!$A$2:$A$41,Vendedores!$D$2:$D$41,"No hay datos")</f>
        <v>No hay datos</v>
      </c>
      <c r="J303" s="2" t="str">
        <f t="array" ref="J303">_xlfn.XLOOKUP(A303,Productos!$A$2:$A$61,Productos!$B$2:$F$61)</f>
        <v>#N/A</v>
      </c>
    </row>
    <row r="304">
      <c r="A304" s="2" t="str">
        <f>IFERROR(__xludf.DUMMYFUNCTION("""COMPUTED_VALUE"""),"PR029")</f>
        <v>PR029</v>
      </c>
      <c r="B304" s="2" t="str">
        <f>IFERROR(__xludf.DUMMYFUNCTION("""COMPUTED_VALUE"""),"VD043")</f>
        <v>VD043</v>
      </c>
      <c r="C304" s="2">
        <f>IFERROR(__xludf.DUMMYFUNCTION("""COMPUTED_VALUE"""),21.0)</f>
        <v>21</v>
      </c>
      <c r="D304" s="6">
        <f>IFERROR(__xludf.DUMMYFUNCTION("""COMPUTED_VALUE"""),5462.1)</f>
        <v>5462.1</v>
      </c>
      <c r="E304" s="6">
        <f>IFERROR(__xludf.DUMMYFUNCTION("GOOGLEFINANCE(""Currency:BRLMXN"")*D304"),18554.7537)</f>
        <v>18554.7537</v>
      </c>
      <c r="F304" s="6">
        <f>IFERROR(__xludf.DUMMYFUNCTION("GOOGLEFINANCE(""Currency:BRLPEN"")*D304"),3580.95276)</f>
        <v>3580.95276</v>
      </c>
      <c r="G304" s="2" t="str">
        <f t="array" ref="G304">_xlfn.XLOOKUP(B304,Vendedores!$A$2:$A$41,Vendedores!$B$2:$B$41,"No hay datos")</f>
        <v>No hay datos</v>
      </c>
      <c r="H304" s="2" t="str">
        <f t="array" ref="H304">_xlfn.XLOOKUP(B304,Vendedores!$A$2:$A$41,Vendedores!$C$2:$C$41,"No hay datos")</f>
        <v>No hay datos</v>
      </c>
      <c r="I304" s="2" t="str">
        <f t="array" ref="I304">_xlfn.XLOOKUP(B304,Vendedores!$A$2:$A$41,Vendedores!$D$2:$D$41,"No hay datos")</f>
        <v>No hay datos</v>
      </c>
      <c r="J304" s="2" t="str">
        <f t="array" ref="J304">_xlfn.XLOOKUP(A304,Productos!$A$2:$A$61,Productos!$B$2:$F$61)</f>
        <v>#N/A</v>
      </c>
    </row>
    <row r="305">
      <c r="A305" s="2" t="str">
        <f>IFERROR(__xludf.DUMMYFUNCTION("""COMPUTED_VALUE"""),"PR054")</f>
        <v>PR054</v>
      </c>
      <c r="B305" s="2" t="str">
        <f>IFERROR(__xludf.DUMMYFUNCTION("""COMPUTED_VALUE"""),"VD015")</f>
        <v>VD015</v>
      </c>
      <c r="C305" s="2">
        <f>IFERROR(__xludf.DUMMYFUNCTION("""COMPUTED_VALUE"""),2.0)</f>
        <v>2</v>
      </c>
      <c r="D305" s="6">
        <f>IFERROR(__xludf.DUMMYFUNCTION("""COMPUTED_VALUE"""),105.79)</f>
        <v>105.79</v>
      </c>
      <c r="E305" s="6">
        <f>IFERROR(__xludf.DUMMYFUNCTION("GOOGLEFINANCE(""Currency:BRLMXN"")*D305"),359.36863)</f>
        <v>359.36863</v>
      </c>
      <c r="F305" s="6">
        <f>IFERROR(__xludf.DUMMYFUNCTION("GOOGLEFINANCE(""Currency:BRLPEN"")*D305"),69.355924)</f>
        <v>69.355924</v>
      </c>
      <c r="G305" s="2" t="str">
        <f t="array" ref="G305">_xlfn.XLOOKUP(B305,Vendedores!$A$2:$A$41,Vendedores!$B$2:$B$41,"No hay datos")</f>
        <v>No hay datos</v>
      </c>
      <c r="H305" s="2" t="str">
        <f t="array" ref="H305">_xlfn.XLOOKUP(B305,Vendedores!$A$2:$A$41,Vendedores!$C$2:$C$41,"No hay datos")</f>
        <v>No hay datos</v>
      </c>
      <c r="I305" s="2" t="str">
        <f t="array" ref="I305">_xlfn.XLOOKUP(B305,Vendedores!$A$2:$A$41,Vendedores!$D$2:$D$41,"No hay datos")</f>
        <v>No hay datos</v>
      </c>
      <c r="J305" s="2" t="str">
        <f t="array" ref="J305">_xlfn.XLOOKUP(A305,Productos!$A$2:$A$61,Productos!$B$2:$F$61)</f>
        <v>#N/A</v>
      </c>
    </row>
    <row r="306">
      <c r="A306" s="2" t="str">
        <f>IFERROR(__xludf.DUMMYFUNCTION("""COMPUTED_VALUE"""),"PR033")</f>
        <v>PR033</v>
      </c>
      <c r="B306" s="2" t="str">
        <f>IFERROR(__xludf.DUMMYFUNCTION("""COMPUTED_VALUE"""),"VD025")</f>
        <v>VD025</v>
      </c>
      <c r="C306" s="2">
        <f>IFERROR(__xludf.DUMMYFUNCTION("""COMPUTED_VALUE"""),4.0)</f>
        <v>4</v>
      </c>
      <c r="D306" s="6">
        <f>IFERROR(__xludf.DUMMYFUNCTION("""COMPUTED_VALUE"""),1133.16)</f>
        <v>1133.16</v>
      </c>
      <c r="E306" s="6">
        <f>IFERROR(__xludf.DUMMYFUNCTION("GOOGLEFINANCE(""Currency:BRLMXN"")*D306"),3849.34452)</f>
        <v>3849.34452</v>
      </c>
      <c r="F306" s="6">
        <f>IFERROR(__xludf.DUMMYFUNCTION("GOOGLEFINANCE(""Currency:BRLPEN"")*D306"),742.8996960000001)</f>
        <v>742.899696</v>
      </c>
      <c r="G306" s="2" t="str">
        <f t="array" ref="G306">_xlfn.XLOOKUP(B306,Vendedores!$A$2:$A$41,Vendedores!$B$2:$B$41,"No hay datos")</f>
        <v>No hay datos</v>
      </c>
      <c r="H306" s="2" t="str">
        <f t="array" ref="H306">_xlfn.XLOOKUP(B306,Vendedores!$A$2:$A$41,Vendedores!$C$2:$C$41,"No hay datos")</f>
        <v>No hay datos</v>
      </c>
      <c r="I306" s="2" t="str">
        <f t="array" ref="I306">_xlfn.XLOOKUP(B306,Vendedores!$A$2:$A$41,Vendedores!$D$2:$D$41,"No hay datos")</f>
        <v>No hay datos</v>
      </c>
      <c r="J306" s="2" t="str">
        <f t="array" ref="J306">_xlfn.XLOOKUP(A306,Productos!$A$2:$A$61,Productos!$B$2:$F$61)</f>
        <v>#N/A</v>
      </c>
    </row>
    <row r="307">
      <c r="A307" s="2" t="str">
        <f>IFERROR(__xludf.DUMMYFUNCTION("""COMPUTED_VALUE"""),"PR001")</f>
        <v>PR001</v>
      </c>
      <c r="B307" s="2" t="str">
        <f>IFERROR(__xludf.DUMMYFUNCTION("""COMPUTED_VALUE"""),"VD021")</f>
        <v>VD021</v>
      </c>
      <c r="C307" s="2">
        <f>IFERROR(__xludf.DUMMYFUNCTION("""COMPUTED_VALUE"""),6.0)</f>
        <v>6</v>
      </c>
      <c r="D307" s="6">
        <f>IFERROR(__xludf.DUMMYFUNCTION("""COMPUTED_VALUE"""),430.99)</f>
        <v>430.99</v>
      </c>
      <c r="E307" s="6">
        <f>IFERROR(__xludf.DUMMYFUNCTION("GOOGLEFINANCE(""Currency:BRLMXN"")*D307"),1464.07303)</f>
        <v>1464.07303</v>
      </c>
      <c r="F307" s="6">
        <f>IFERROR(__xludf.DUMMYFUNCTION("GOOGLEFINANCE(""Currency:BRLPEN"")*D307"),282.55704399999996)</f>
        <v>282.557044</v>
      </c>
      <c r="G307" s="2" t="str">
        <f t="array" ref="G307">_xlfn.XLOOKUP(B307,Vendedores!$A$2:$A$41,Vendedores!$B$2:$B$41,"No hay datos")</f>
        <v>No hay datos</v>
      </c>
      <c r="H307" s="2" t="str">
        <f t="array" ref="H307">_xlfn.XLOOKUP(B307,Vendedores!$A$2:$A$41,Vendedores!$C$2:$C$41,"No hay datos")</f>
        <v>No hay datos</v>
      </c>
      <c r="I307" s="2" t="str">
        <f t="array" ref="I307">_xlfn.XLOOKUP(B307,Vendedores!$A$2:$A$41,Vendedores!$D$2:$D$41,"No hay datos")</f>
        <v>No hay datos</v>
      </c>
      <c r="J307" s="2" t="str">
        <f t="array" ref="J307">_xlfn.XLOOKUP(A307,Productos!$A$2:$A$61,Productos!$B$2:$F$61)</f>
        <v>#N/A</v>
      </c>
    </row>
    <row r="308">
      <c r="A308" s="2" t="str">
        <f>IFERROR(__xludf.DUMMYFUNCTION("""COMPUTED_VALUE"""),"PR010")</f>
        <v>PR010</v>
      </c>
      <c r="B308" s="2" t="str">
        <f>IFERROR(__xludf.DUMMYFUNCTION("""COMPUTED_VALUE"""),"VD029")</f>
        <v>VD029</v>
      </c>
      <c r="C308" s="2">
        <f>IFERROR(__xludf.DUMMYFUNCTION("""COMPUTED_VALUE"""),3.0)</f>
        <v>3</v>
      </c>
      <c r="D308" s="6">
        <f>IFERROR(__xludf.DUMMYFUNCTION("""COMPUTED_VALUE"""),134.7)</f>
        <v>134.7</v>
      </c>
      <c r="E308" s="6">
        <f>IFERROR(__xludf.DUMMYFUNCTION("GOOGLEFINANCE(""Currency:BRLMXN"")*D308"),457.57589999999993)</f>
        <v>457.5759</v>
      </c>
      <c r="F308" s="6">
        <f>IFERROR(__xludf.DUMMYFUNCTION("GOOGLEFINANCE(""Currency:BRLPEN"")*D308"),88.30931999999999)</f>
        <v>88.30932</v>
      </c>
      <c r="G308" s="2" t="str">
        <f t="array" ref="G308">_xlfn.XLOOKUP(B308,Vendedores!$A$2:$A$41,Vendedores!$B$2:$B$41,"No hay datos")</f>
        <v>No hay datos</v>
      </c>
      <c r="H308" s="2" t="str">
        <f t="array" ref="H308">_xlfn.XLOOKUP(B308,Vendedores!$A$2:$A$41,Vendedores!$C$2:$C$41,"No hay datos")</f>
        <v>No hay datos</v>
      </c>
      <c r="I308" s="2" t="str">
        <f t="array" ref="I308">_xlfn.XLOOKUP(B308,Vendedores!$A$2:$A$41,Vendedores!$D$2:$D$41,"No hay datos")</f>
        <v>No hay datos</v>
      </c>
      <c r="J308" s="2" t="str">
        <f t="array" ref="J308">_xlfn.XLOOKUP(A308,Productos!$A$2:$A$61,Productos!$B$2:$F$61)</f>
        <v>#N/A</v>
      </c>
    </row>
    <row r="309">
      <c r="A309" s="2" t="str">
        <f>IFERROR(__xludf.DUMMYFUNCTION("""COMPUTED_VALUE"""),"PR005")</f>
        <v>PR005</v>
      </c>
      <c r="B309" s="2" t="str">
        <f>IFERROR(__xludf.DUMMYFUNCTION("""COMPUTED_VALUE"""),"VD038")</f>
        <v>VD038</v>
      </c>
      <c r="C309" s="2">
        <f>IFERROR(__xludf.DUMMYFUNCTION("""COMPUTED_VALUE"""),10.0)</f>
        <v>10</v>
      </c>
      <c r="D309" s="6">
        <f>IFERROR(__xludf.DUMMYFUNCTION("""COMPUTED_VALUE"""),2728.95)</f>
        <v>2728.95</v>
      </c>
      <c r="E309" s="6">
        <f>IFERROR(__xludf.DUMMYFUNCTION("GOOGLEFINANCE(""Currency:BRLMXN"")*D309"),9270.243149999998)</f>
        <v>9270.24315</v>
      </c>
      <c r="F309" s="6">
        <f>IFERROR(__xludf.DUMMYFUNCTION("GOOGLEFINANCE(""Currency:BRLPEN"")*D309"),1789.0996199999997)</f>
        <v>1789.09962</v>
      </c>
      <c r="G309" s="2" t="str">
        <f t="array" ref="G309">_xlfn.XLOOKUP(B309,Vendedores!$A$2:$A$41,Vendedores!$B$2:$B$41,"No hay datos")</f>
        <v>No hay datos</v>
      </c>
      <c r="H309" s="2" t="str">
        <f t="array" ref="H309">_xlfn.XLOOKUP(B309,Vendedores!$A$2:$A$41,Vendedores!$C$2:$C$41,"No hay datos")</f>
        <v>No hay datos</v>
      </c>
      <c r="I309" s="2" t="str">
        <f t="array" ref="I309">_xlfn.XLOOKUP(B309,Vendedores!$A$2:$A$41,Vendedores!$D$2:$D$41,"No hay datos")</f>
        <v>No hay datos</v>
      </c>
      <c r="J309" s="2" t="str">
        <f t="array" ref="J309">_xlfn.XLOOKUP(A309,Productos!$A$2:$A$61,Productos!$B$2:$F$61)</f>
        <v>#N/A</v>
      </c>
    </row>
    <row r="310">
      <c r="A310" s="2" t="str">
        <f>IFERROR(__xludf.DUMMYFUNCTION("""COMPUTED_VALUE"""),"PR040")</f>
        <v>PR040</v>
      </c>
      <c r="B310" s="2" t="str">
        <f>IFERROR(__xludf.DUMMYFUNCTION("""COMPUTED_VALUE"""),"VD045")</f>
        <v>VD045</v>
      </c>
      <c r="C310" s="2">
        <f>IFERROR(__xludf.DUMMYFUNCTION("""COMPUTED_VALUE"""),21.0)</f>
        <v>21</v>
      </c>
      <c r="D310" s="6">
        <f>IFERROR(__xludf.DUMMYFUNCTION("""COMPUTED_VALUE"""),1543.5)</f>
        <v>1543.5</v>
      </c>
      <c r="E310" s="6">
        <f>IFERROR(__xludf.DUMMYFUNCTION("GOOGLEFINANCE(""Currency:BRLMXN"")*D310"),5243.269499999999)</f>
        <v>5243.2695</v>
      </c>
      <c r="F310" s="6">
        <f>IFERROR(__xludf.DUMMYFUNCTION("GOOGLEFINANCE(""Currency:BRLPEN"")*D310"),1011.9186)</f>
        <v>1011.9186</v>
      </c>
      <c r="G310" s="2" t="str">
        <f t="array" ref="G310">_xlfn.XLOOKUP(B310,Vendedores!$A$2:$A$41,Vendedores!$B$2:$B$41,"No hay datos")</f>
        <v>No hay datos</v>
      </c>
      <c r="H310" s="2" t="str">
        <f t="array" ref="H310">_xlfn.XLOOKUP(B310,Vendedores!$A$2:$A$41,Vendedores!$C$2:$C$41,"No hay datos")</f>
        <v>No hay datos</v>
      </c>
      <c r="I310" s="2" t="str">
        <f t="array" ref="I310">_xlfn.XLOOKUP(B310,Vendedores!$A$2:$A$41,Vendedores!$D$2:$D$41,"No hay datos")</f>
        <v>No hay datos</v>
      </c>
      <c r="J310" s="2" t="str">
        <f t="array" ref="J310">_xlfn.XLOOKUP(A310,Productos!$A$2:$A$61,Productos!$B$2:$F$61)</f>
        <v>#N/A</v>
      </c>
    </row>
    <row r="311">
      <c r="A311" s="2" t="str">
        <f>IFERROR(__xludf.DUMMYFUNCTION("""COMPUTED_VALUE"""),"PR017")</f>
        <v>PR017</v>
      </c>
      <c r="B311" s="2" t="str">
        <f>IFERROR(__xludf.DUMMYFUNCTION("""COMPUTED_VALUE"""),"VD029")</f>
        <v>VD029</v>
      </c>
      <c r="C311" s="2">
        <f>IFERROR(__xludf.DUMMYFUNCTION("""COMPUTED_VALUE"""),27.0)</f>
        <v>27</v>
      </c>
      <c r="D311" s="6">
        <f>IFERROR(__xludf.DUMMYFUNCTION("""COMPUTED_VALUE"""),815.37)</f>
        <v>815.37</v>
      </c>
      <c r="E311" s="6">
        <f>IFERROR(__xludf.DUMMYFUNCTION("GOOGLEFINANCE(""Currency:BRLMXN"")*D311"),2769.81189)</f>
        <v>2769.81189</v>
      </c>
      <c r="F311" s="6">
        <f>IFERROR(__xludf.DUMMYFUNCTION("GOOGLEFINANCE(""Currency:BRLPEN"")*D311"),534.556572)</f>
        <v>534.556572</v>
      </c>
      <c r="G311" s="2" t="str">
        <f t="array" ref="G311">_xlfn.XLOOKUP(B311,Vendedores!$A$2:$A$41,Vendedores!$B$2:$B$41,"No hay datos")</f>
        <v>No hay datos</v>
      </c>
      <c r="H311" s="2" t="str">
        <f t="array" ref="H311">_xlfn.XLOOKUP(B311,Vendedores!$A$2:$A$41,Vendedores!$C$2:$C$41,"No hay datos")</f>
        <v>No hay datos</v>
      </c>
      <c r="I311" s="2" t="str">
        <f t="array" ref="I311">_xlfn.XLOOKUP(B311,Vendedores!$A$2:$A$41,Vendedores!$D$2:$D$41,"No hay datos")</f>
        <v>No hay datos</v>
      </c>
      <c r="J311" s="2" t="str">
        <f t="array" ref="J311">_xlfn.XLOOKUP(A311,Productos!$A$2:$A$61,Productos!$B$2:$F$61)</f>
        <v>#N/A</v>
      </c>
    </row>
    <row r="312">
      <c r="A312" s="2" t="str">
        <f>IFERROR(__xludf.DUMMYFUNCTION("""COMPUTED_VALUE"""),"PR045")</f>
        <v>PR045</v>
      </c>
      <c r="B312" s="2" t="str">
        <f>IFERROR(__xludf.DUMMYFUNCTION("""COMPUTED_VALUE"""),"VD041")</f>
        <v>VD041</v>
      </c>
      <c r="C312" s="2">
        <f>IFERROR(__xludf.DUMMYFUNCTION("""COMPUTED_VALUE"""),10.0)</f>
        <v>10</v>
      </c>
      <c r="D312" s="6">
        <f>IFERROR(__xludf.DUMMYFUNCTION("""COMPUTED_VALUE"""),768.5)</f>
        <v>768.5</v>
      </c>
      <c r="E312" s="6">
        <f>IFERROR(__xludf.DUMMYFUNCTION("GOOGLEFINANCE(""Currency:BRLMXN"")*D312"),2610.5944999999997)</f>
        <v>2610.5945</v>
      </c>
      <c r="F312" s="6">
        <f>IFERROR(__xludf.DUMMYFUNCTION("GOOGLEFINANCE(""Currency:BRLPEN"")*D312"),503.8286)</f>
        <v>503.8286</v>
      </c>
      <c r="G312" s="2" t="str">
        <f t="array" ref="G312">_xlfn.XLOOKUP(B312,Vendedores!$A$2:$A$41,Vendedores!$B$2:$B$41,"No hay datos")</f>
        <v>No hay datos</v>
      </c>
      <c r="H312" s="2" t="str">
        <f t="array" ref="H312">_xlfn.XLOOKUP(B312,Vendedores!$A$2:$A$41,Vendedores!$C$2:$C$41,"No hay datos")</f>
        <v>No hay datos</v>
      </c>
      <c r="I312" s="2" t="str">
        <f t="array" ref="I312">_xlfn.XLOOKUP(B312,Vendedores!$A$2:$A$41,Vendedores!$D$2:$D$41,"No hay datos")</f>
        <v>No hay datos</v>
      </c>
      <c r="J312" s="2" t="str">
        <f t="array" ref="J312">_xlfn.XLOOKUP(A312,Productos!$A$2:$A$61,Productos!$B$2:$F$61)</f>
        <v>#N/A</v>
      </c>
    </row>
    <row r="313">
      <c r="A313" s="2" t="str">
        <f>IFERROR(__xludf.DUMMYFUNCTION("""COMPUTED_VALUE"""),"PR014")</f>
        <v>PR014</v>
      </c>
      <c r="B313" s="2" t="str">
        <f>IFERROR(__xludf.DUMMYFUNCTION("""COMPUTED_VALUE"""),"VD018")</f>
        <v>VD018</v>
      </c>
      <c r="C313" s="2">
        <f>IFERROR(__xludf.DUMMYFUNCTION("""COMPUTED_VALUE"""),27.0)</f>
        <v>27</v>
      </c>
      <c r="D313" s="6">
        <f>IFERROR(__xludf.DUMMYFUNCTION("""COMPUTED_VALUE"""),1141.94)</f>
        <v>1141.94</v>
      </c>
      <c r="E313" s="6">
        <f>IFERROR(__xludf.DUMMYFUNCTION("GOOGLEFINANCE(""Currency:BRLMXN"")*D313"),3879.17018)</f>
        <v>3879.17018</v>
      </c>
      <c r="F313" s="6">
        <f>IFERROR(__xludf.DUMMYFUNCTION("GOOGLEFINANCE(""Currency:BRLPEN"")*D313"),748.655864)</f>
        <v>748.655864</v>
      </c>
      <c r="G313" s="2" t="str">
        <f t="array" ref="G313">_xlfn.XLOOKUP(B313,Vendedores!$A$2:$A$41,Vendedores!$B$2:$B$41,"No hay datos")</f>
        <v>No hay datos</v>
      </c>
      <c r="H313" s="2" t="str">
        <f t="array" ref="H313">_xlfn.XLOOKUP(B313,Vendedores!$A$2:$A$41,Vendedores!$C$2:$C$41,"No hay datos")</f>
        <v>No hay datos</v>
      </c>
      <c r="I313" s="2" t="str">
        <f t="array" ref="I313">_xlfn.XLOOKUP(B313,Vendedores!$A$2:$A$41,Vendedores!$D$2:$D$41,"No hay datos")</f>
        <v>No hay datos</v>
      </c>
      <c r="J313" s="2" t="str">
        <f t="array" ref="J313">_xlfn.XLOOKUP(A313,Productos!$A$2:$A$61,Productos!$B$2:$F$61)</f>
        <v>#N/A</v>
      </c>
    </row>
    <row r="314">
      <c r="A314" s="2" t="str">
        <f>IFERROR(__xludf.DUMMYFUNCTION("""COMPUTED_VALUE"""),"PR028")</f>
        <v>PR028</v>
      </c>
      <c r="B314" s="2" t="str">
        <f>IFERROR(__xludf.DUMMYFUNCTION("""COMPUTED_VALUE"""),"VD015")</f>
        <v>VD015</v>
      </c>
      <c r="C314" s="2">
        <f>IFERROR(__xludf.DUMMYFUNCTION("""COMPUTED_VALUE"""),15.0)</f>
        <v>15</v>
      </c>
      <c r="D314" s="6">
        <f>IFERROR(__xludf.DUMMYFUNCTION("""COMPUTED_VALUE"""),3785.99)</f>
        <v>3785.99</v>
      </c>
      <c r="E314" s="6">
        <f>IFERROR(__xludf.DUMMYFUNCTION("GOOGLEFINANCE(""Currency:BRLMXN"")*D314"),12861.008029999999)</f>
        <v>12861.00803</v>
      </c>
      <c r="F314" s="6">
        <f>IFERROR(__xludf.DUMMYFUNCTION("GOOGLEFINANCE(""Currency:BRLPEN"")*D314"),2482.0950439999997)</f>
        <v>2482.095044</v>
      </c>
      <c r="G314" s="2" t="str">
        <f t="array" ref="G314">_xlfn.XLOOKUP(B314,Vendedores!$A$2:$A$41,Vendedores!$B$2:$B$41,"No hay datos")</f>
        <v>No hay datos</v>
      </c>
      <c r="H314" s="2" t="str">
        <f t="array" ref="H314">_xlfn.XLOOKUP(B314,Vendedores!$A$2:$A$41,Vendedores!$C$2:$C$41,"No hay datos")</f>
        <v>No hay datos</v>
      </c>
      <c r="I314" s="2" t="str">
        <f t="array" ref="I314">_xlfn.XLOOKUP(B314,Vendedores!$A$2:$A$41,Vendedores!$D$2:$D$41,"No hay datos")</f>
        <v>No hay datos</v>
      </c>
      <c r="J314" s="2" t="str">
        <f t="array" ref="J314">_xlfn.XLOOKUP(A314,Productos!$A$2:$A$61,Productos!$B$2:$F$61)</f>
        <v>#N/A</v>
      </c>
    </row>
    <row r="315">
      <c r="A315" s="2" t="str">
        <f>IFERROR(__xludf.DUMMYFUNCTION("""COMPUTED_VALUE"""),"PR046")</f>
        <v>PR046</v>
      </c>
      <c r="B315" s="2" t="str">
        <f>IFERROR(__xludf.DUMMYFUNCTION("""COMPUTED_VALUE"""),"VD021")</f>
        <v>VD021</v>
      </c>
      <c r="C315" s="2">
        <f>IFERROR(__xludf.DUMMYFUNCTION("""COMPUTED_VALUE"""),14.0)</f>
        <v>14</v>
      </c>
      <c r="D315" s="6">
        <f>IFERROR(__xludf.DUMMYFUNCTION("""COMPUTED_VALUE"""),4180.36)</f>
        <v>4180.36</v>
      </c>
      <c r="E315" s="6">
        <f>IFERROR(__xludf.DUMMYFUNCTION("GOOGLEFINANCE(""Currency:BRLMXN"")*D315"),14200.682919999997)</f>
        <v>14200.68292</v>
      </c>
      <c r="F315" s="6">
        <f>IFERROR(__xludf.DUMMYFUNCTION("GOOGLEFINANCE(""Currency:BRLPEN"")*D315"),2740.6440159999997)</f>
        <v>2740.644016</v>
      </c>
      <c r="G315" s="2" t="str">
        <f t="array" ref="G315">_xlfn.XLOOKUP(B315,Vendedores!$A$2:$A$41,Vendedores!$B$2:$B$41,"No hay datos")</f>
        <v>No hay datos</v>
      </c>
      <c r="H315" s="2" t="str">
        <f t="array" ref="H315">_xlfn.XLOOKUP(B315,Vendedores!$A$2:$A$41,Vendedores!$C$2:$C$41,"No hay datos")</f>
        <v>No hay datos</v>
      </c>
      <c r="I315" s="2" t="str">
        <f t="array" ref="I315">_xlfn.XLOOKUP(B315,Vendedores!$A$2:$A$41,Vendedores!$D$2:$D$41,"No hay datos")</f>
        <v>No hay datos</v>
      </c>
      <c r="J315" s="2" t="str">
        <f t="array" ref="J315">_xlfn.XLOOKUP(A315,Productos!$A$2:$A$61,Productos!$B$2:$F$61)</f>
        <v>#N/A</v>
      </c>
    </row>
    <row r="316">
      <c r="A316" s="2" t="str">
        <f>IFERROR(__xludf.DUMMYFUNCTION("""COMPUTED_VALUE"""),"PR043")</f>
        <v>PR043</v>
      </c>
      <c r="B316" s="2" t="str">
        <f>IFERROR(__xludf.DUMMYFUNCTION("""COMPUTED_VALUE"""),"VD015")</f>
        <v>VD015</v>
      </c>
      <c r="C316" s="2">
        <f>IFERROR(__xludf.DUMMYFUNCTION("""COMPUTED_VALUE"""),20.0)</f>
        <v>20</v>
      </c>
      <c r="D316" s="6">
        <f>IFERROR(__xludf.DUMMYFUNCTION("""COMPUTED_VALUE"""),1595.0)</f>
        <v>1595</v>
      </c>
      <c r="E316" s="6">
        <f>IFERROR(__xludf.DUMMYFUNCTION("GOOGLEFINANCE(""Currency:BRLMXN"")*D316"),5418.214999999999)</f>
        <v>5418.215</v>
      </c>
      <c r="F316" s="6">
        <f>IFERROR(__xludf.DUMMYFUNCTION("GOOGLEFINANCE(""Currency:BRLPEN"")*D316"),1045.682)</f>
        <v>1045.682</v>
      </c>
      <c r="G316" s="2" t="str">
        <f t="array" ref="G316">_xlfn.XLOOKUP(B316,Vendedores!$A$2:$A$41,Vendedores!$B$2:$B$41,"No hay datos")</f>
        <v>No hay datos</v>
      </c>
      <c r="H316" s="2" t="str">
        <f t="array" ref="H316">_xlfn.XLOOKUP(B316,Vendedores!$A$2:$A$41,Vendedores!$C$2:$C$41,"No hay datos")</f>
        <v>No hay datos</v>
      </c>
      <c r="I316" s="2" t="str">
        <f t="array" ref="I316">_xlfn.XLOOKUP(B316,Vendedores!$A$2:$A$41,Vendedores!$D$2:$D$41,"No hay datos")</f>
        <v>No hay datos</v>
      </c>
      <c r="J316" s="2" t="str">
        <f t="array" ref="J316">_xlfn.XLOOKUP(A316,Productos!$A$2:$A$61,Productos!$B$2:$F$61)</f>
        <v>#N/A</v>
      </c>
    </row>
    <row r="317">
      <c r="A317" s="2" t="str">
        <f>IFERROR(__xludf.DUMMYFUNCTION("""COMPUTED_VALUE"""),"PR030")</f>
        <v>PR030</v>
      </c>
      <c r="B317" s="2" t="str">
        <f>IFERROR(__xludf.DUMMYFUNCTION("""COMPUTED_VALUE"""),"VD017")</f>
        <v>VD017</v>
      </c>
      <c r="C317" s="2">
        <f>IFERROR(__xludf.DUMMYFUNCTION("""COMPUTED_VALUE"""),18.0)</f>
        <v>18</v>
      </c>
      <c r="D317" s="6">
        <f>IFERROR(__xludf.DUMMYFUNCTION("""COMPUTED_VALUE"""),4865.33)</f>
        <v>4865.33</v>
      </c>
      <c r="E317" s="6">
        <f>IFERROR(__xludf.DUMMYFUNCTION("GOOGLEFINANCE(""Currency:BRLMXN"")*D317"),16527.526009999998)</f>
        <v>16527.52601</v>
      </c>
      <c r="F317" s="6">
        <f>IFERROR(__xludf.DUMMYFUNCTION("GOOGLEFINANCE(""Currency:BRLPEN"")*D317"),3189.7103479999996)</f>
        <v>3189.710348</v>
      </c>
      <c r="G317" s="2" t="str">
        <f t="array" ref="G317">_xlfn.XLOOKUP(B317,Vendedores!$A$2:$A$41,Vendedores!$B$2:$B$41,"No hay datos")</f>
        <v>No hay datos</v>
      </c>
      <c r="H317" s="2" t="str">
        <f t="array" ref="H317">_xlfn.XLOOKUP(B317,Vendedores!$A$2:$A$41,Vendedores!$C$2:$C$41,"No hay datos")</f>
        <v>No hay datos</v>
      </c>
      <c r="I317" s="2" t="str">
        <f t="array" ref="I317">_xlfn.XLOOKUP(B317,Vendedores!$A$2:$A$41,Vendedores!$D$2:$D$41,"No hay datos")</f>
        <v>No hay datos</v>
      </c>
      <c r="J317" s="2" t="str">
        <f t="array" ref="J317">_xlfn.XLOOKUP(A317,Productos!$A$2:$A$61,Productos!$B$2:$F$61)</f>
        <v>#N/A</v>
      </c>
    </row>
    <row r="318">
      <c r="A318" s="2" t="str">
        <f>IFERROR(__xludf.DUMMYFUNCTION("""COMPUTED_VALUE"""),"PR047")</f>
        <v>PR047</v>
      </c>
      <c r="B318" s="2" t="str">
        <f>IFERROR(__xludf.DUMMYFUNCTION("""COMPUTED_VALUE"""),"VD024")</f>
        <v>VD024</v>
      </c>
      <c r="C318" s="2">
        <f>IFERROR(__xludf.DUMMYFUNCTION("""COMPUTED_VALUE"""),24.0)</f>
        <v>24</v>
      </c>
      <c r="D318" s="6">
        <f>IFERROR(__xludf.DUMMYFUNCTION("""COMPUTED_VALUE"""),7027.18)</f>
        <v>7027.18</v>
      </c>
      <c r="E318" s="6">
        <f>IFERROR(__xludf.DUMMYFUNCTION("GOOGLEFINANCE(""Currency:BRLMXN"")*D318"),23871.33046)</f>
        <v>23871.33046</v>
      </c>
      <c r="F318" s="6">
        <f>IFERROR(__xludf.DUMMYFUNCTION("GOOGLEFINANCE(""Currency:BRLPEN"")*D318"),4607.019208)</f>
        <v>4607.019208</v>
      </c>
      <c r="G318" s="2" t="str">
        <f t="array" ref="G318">_xlfn.XLOOKUP(B318,Vendedores!$A$2:$A$41,Vendedores!$B$2:$B$41,"No hay datos")</f>
        <v>No hay datos</v>
      </c>
      <c r="H318" s="2" t="str">
        <f t="array" ref="H318">_xlfn.XLOOKUP(B318,Vendedores!$A$2:$A$41,Vendedores!$C$2:$C$41,"No hay datos")</f>
        <v>No hay datos</v>
      </c>
      <c r="I318" s="2" t="str">
        <f t="array" ref="I318">_xlfn.XLOOKUP(B318,Vendedores!$A$2:$A$41,Vendedores!$D$2:$D$41,"No hay datos")</f>
        <v>No hay datos</v>
      </c>
      <c r="J318" s="2" t="str">
        <f t="array" ref="J318">_xlfn.XLOOKUP(A318,Productos!$A$2:$A$61,Productos!$B$2:$F$61)</f>
        <v>#N/A</v>
      </c>
    </row>
    <row r="319">
      <c r="A319" s="2" t="str">
        <f>IFERROR(__xludf.DUMMYFUNCTION("""COMPUTED_VALUE"""),"PR010")</f>
        <v>PR010</v>
      </c>
      <c r="B319" s="2" t="str">
        <f>IFERROR(__xludf.DUMMYFUNCTION("""COMPUTED_VALUE"""),"VD028")</f>
        <v>VD028</v>
      </c>
      <c r="C319" s="2">
        <f>IFERROR(__xludf.DUMMYFUNCTION("""COMPUTED_VALUE"""),2.0)</f>
        <v>2</v>
      </c>
      <c r="D319" s="6">
        <f>IFERROR(__xludf.DUMMYFUNCTION("""COMPUTED_VALUE"""),95.19)</f>
        <v>95.19</v>
      </c>
      <c r="E319" s="6">
        <f>IFERROR(__xludf.DUMMYFUNCTION("GOOGLEFINANCE(""Currency:BRLMXN"")*D319"),323.36042999999995)</f>
        <v>323.36043</v>
      </c>
      <c r="F319" s="6">
        <f>IFERROR(__xludf.DUMMYFUNCTION("GOOGLEFINANCE(""Currency:BRLPEN"")*D319"),62.406563999999996)</f>
        <v>62.406564</v>
      </c>
      <c r="G319" s="2" t="str">
        <f t="array" ref="G319">_xlfn.XLOOKUP(B319,Vendedores!$A$2:$A$41,Vendedores!$B$2:$B$41,"No hay datos")</f>
        <v>No hay datos</v>
      </c>
      <c r="H319" s="2" t="str">
        <f t="array" ref="H319">_xlfn.XLOOKUP(B319,Vendedores!$A$2:$A$41,Vendedores!$C$2:$C$41,"No hay datos")</f>
        <v>No hay datos</v>
      </c>
      <c r="I319" s="2" t="str">
        <f t="array" ref="I319">_xlfn.XLOOKUP(B319,Vendedores!$A$2:$A$41,Vendedores!$D$2:$D$41,"No hay datos")</f>
        <v>No hay datos</v>
      </c>
      <c r="J319" s="2" t="str">
        <f t="array" ref="J319">_xlfn.XLOOKUP(A319,Productos!$A$2:$A$61,Productos!$B$2:$F$61)</f>
        <v>#N/A</v>
      </c>
    </row>
    <row r="320">
      <c r="A320" s="2" t="str">
        <f>IFERROR(__xludf.DUMMYFUNCTION("""COMPUTED_VALUE"""),"PR001")</f>
        <v>PR001</v>
      </c>
      <c r="B320" s="2" t="str">
        <f>IFERROR(__xludf.DUMMYFUNCTION("""COMPUTED_VALUE"""),"VD035")</f>
        <v>VD035</v>
      </c>
      <c r="C320" s="2">
        <f>IFERROR(__xludf.DUMMYFUNCTION("""COMPUTED_VALUE"""),1.0)</f>
        <v>1</v>
      </c>
      <c r="D320" s="6">
        <f>IFERROR(__xludf.DUMMYFUNCTION("""COMPUTED_VALUE"""),72.49)</f>
        <v>72.49</v>
      </c>
      <c r="E320" s="6">
        <f>IFERROR(__xludf.DUMMYFUNCTION("GOOGLEFINANCE(""Currency:BRLMXN"")*D320"),246.24852999999996)</f>
        <v>246.24853</v>
      </c>
      <c r="F320" s="6">
        <f>IFERROR(__xludf.DUMMYFUNCTION("GOOGLEFINANCE(""Currency:BRLPEN"")*D320"),47.524443999999995)</f>
        <v>47.524444</v>
      </c>
      <c r="G320" s="2" t="str">
        <f t="array" ref="G320">_xlfn.XLOOKUP(B320,Vendedores!$A$2:$A$41,Vendedores!$B$2:$B$41,"No hay datos")</f>
        <v>No hay datos</v>
      </c>
      <c r="H320" s="2" t="str">
        <f t="array" ref="H320">_xlfn.XLOOKUP(B320,Vendedores!$A$2:$A$41,Vendedores!$C$2:$C$41,"No hay datos")</f>
        <v>No hay datos</v>
      </c>
      <c r="I320" s="2" t="str">
        <f t="array" ref="I320">_xlfn.XLOOKUP(B320,Vendedores!$A$2:$A$41,Vendedores!$D$2:$D$41,"No hay datos")</f>
        <v>No hay datos</v>
      </c>
      <c r="J320" s="2" t="str">
        <f t="array" ref="J320">_xlfn.XLOOKUP(A320,Productos!$A$2:$A$61,Productos!$B$2:$F$61)</f>
        <v>#N/A</v>
      </c>
    </row>
    <row r="321">
      <c r="A321" s="2" t="str">
        <f>IFERROR(__xludf.DUMMYFUNCTION("""COMPUTED_VALUE"""),"PR014")</f>
        <v>PR014</v>
      </c>
      <c r="B321" s="2" t="str">
        <f>IFERROR(__xludf.DUMMYFUNCTION("""COMPUTED_VALUE"""),"VD030")</f>
        <v>VD030</v>
      </c>
      <c r="C321" s="2">
        <f>IFERROR(__xludf.DUMMYFUNCTION("""COMPUTED_VALUE"""),9.0)</f>
        <v>9</v>
      </c>
      <c r="D321" s="6">
        <f>IFERROR(__xludf.DUMMYFUNCTION("""COMPUTED_VALUE"""),377.06)</f>
        <v>377.06</v>
      </c>
      <c r="E321" s="6">
        <f>IFERROR(__xludf.DUMMYFUNCTION("GOOGLEFINANCE(""Currency:BRLMXN"")*D321"),1280.8728199999998)</f>
        <v>1280.87282</v>
      </c>
      <c r="F321" s="6">
        <f>IFERROR(__xludf.DUMMYFUNCTION("GOOGLEFINANCE(""Currency:BRLPEN"")*D321"),247.200536)</f>
        <v>247.200536</v>
      </c>
      <c r="G321" s="2" t="str">
        <f t="array" ref="G321">_xlfn.XLOOKUP(B321,Vendedores!$A$2:$A$41,Vendedores!$B$2:$B$41,"No hay datos")</f>
        <v>No hay datos</v>
      </c>
      <c r="H321" s="2" t="str">
        <f t="array" ref="H321">_xlfn.XLOOKUP(B321,Vendedores!$A$2:$A$41,Vendedores!$C$2:$C$41,"No hay datos")</f>
        <v>No hay datos</v>
      </c>
      <c r="I321" s="2" t="str">
        <f t="array" ref="I321">_xlfn.XLOOKUP(B321,Vendedores!$A$2:$A$41,Vendedores!$D$2:$D$41,"No hay datos")</f>
        <v>No hay datos</v>
      </c>
      <c r="J321" s="2" t="str">
        <f t="array" ref="J321">_xlfn.XLOOKUP(A321,Productos!$A$2:$A$61,Productos!$B$2:$F$61)</f>
        <v>#N/A</v>
      </c>
    </row>
    <row r="322">
      <c r="A322" s="2" t="str">
        <f>IFERROR(__xludf.DUMMYFUNCTION("""COMPUTED_VALUE"""),"PR041")</f>
        <v>PR041</v>
      </c>
      <c r="B322" s="2" t="str">
        <f>IFERROR(__xludf.DUMMYFUNCTION("""COMPUTED_VALUE"""),"VD042")</f>
        <v>VD042</v>
      </c>
      <c r="C322" s="2">
        <f>IFERROR(__xludf.DUMMYFUNCTION("""COMPUTED_VALUE"""),2.0)</f>
        <v>2</v>
      </c>
      <c r="D322" s="6">
        <f>IFERROR(__xludf.DUMMYFUNCTION("""COMPUTED_VALUE"""),109.8)</f>
        <v>109.8</v>
      </c>
      <c r="E322" s="6">
        <f>IFERROR(__xludf.DUMMYFUNCTION("GOOGLEFINANCE(""Currency:BRLMXN"")*D322"),372.9906)</f>
        <v>372.9906</v>
      </c>
      <c r="F322" s="6">
        <f>IFERROR(__xludf.DUMMYFUNCTION("GOOGLEFINANCE(""Currency:BRLPEN"")*D322"),71.98487999999999)</f>
        <v>71.98488</v>
      </c>
      <c r="G322" s="2" t="str">
        <f t="array" ref="G322">_xlfn.XLOOKUP(B322,Vendedores!$A$2:$A$41,Vendedores!$B$2:$B$41,"No hay datos")</f>
        <v>No hay datos</v>
      </c>
      <c r="H322" s="2" t="str">
        <f t="array" ref="H322">_xlfn.XLOOKUP(B322,Vendedores!$A$2:$A$41,Vendedores!$C$2:$C$41,"No hay datos")</f>
        <v>No hay datos</v>
      </c>
      <c r="I322" s="2" t="str">
        <f t="array" ref="I322">_xlfn.XLOOKUP(B322,Vendedores!$A$2:$A$41,Vendedores!$D$2:$D$41,"No hay datos")</f>
        <v>No hay datos</v>
      </c>
      <c r="J322" s="2" t="str">
        <f t="array" ref="J322">_xlfn.XLOOKUP(A322,Productos!$A$2:$A$61,Productos!$B$2:$F$61)</f>
        <v>#N/A</v>
      </c>
    </row>
    <row r="323">
      <c r="A323" s="2" t="str">
        <f>IFERROR(__xludf.DUMMYFUNCTION("""COMPUTED_VALUE"""),"PR037")</f>
        <v>PR037</v>
      </c>
      <c r="B323" s="2" t="str">
        <f>IFERROR(__xludf.DUMMYFUNCTION("""COMPUTED_VALUE"""),"VD028")</f>
        <v>VD028</v>
      </c>
      <c r="C323" s="2">
        <f>IFERROR(__xludf.DUMMYFUNCTION("""COMPUTED_VALUE"""),8.0)</f>
        <v>8</v>
      </c>
      <c r="D323" s="6">
        <f>IFERROR(__xludf.DUMMYFUNCTION("""COMPUTED_VALUE"""),1187.2)</f>
        <v>1187.2</v>
      </c>
      <c r="E323" s="6">
        <f>IFERROR(__xludf.DUMMYFUNCTION("GOOGLEFINANCE(""Currency:BRLMXN"")*D323"),4032.9184)</f>
        <v>4032.9184</v>
      </c>
      <c r="F323" s="6">
        <f>IFERROR(__xludf.DUMMYFUNCTION("GOOGLEFINANCE(""Currency:BRLPEN"")*D323"),778.32832)</f>
        <v>778.32832</v>
      </c>
      <c r="G323" s="2" t="str">
        <f t="array" ref="G323">_xlfn.XLOOKUP(B323,Vendedores!$A$2:$A$41,Vendedores!$B$2:$B$41,"No hay datos")</f>
        <v>No hay datos</v>
      </c>
      <c r="H323" s="2" t="str">
        <f t="array" ref="H323">_xlfn.XLOOKUP(B323,Vendedores!$A$2:$A$41,Vendedores!$C$2:$C$41,"No hay datos")</f>
        <v>No hay datos</v>
      </c>
      <c r="I323" s="2" t="str">
        <f t="array" ref="I323">_xlfn.XLOOKUP(B323,Vendedores!$A$2:$A$41,Vendedores!$D$2:$D$41,"No hay datos")</f>
        <v>No hay datos</v>
      </c>
      <c r="J323" s="2" t="str">
        <f t="array" ref="J323">_xlfn.XLOOKUP(A323,Productos!$A$2:$A$61,Productos!$B$2:$F$61)</f>
        <v>#N/A</v>
      </c>
    </row>
    <row r="324">
      <c r="A324" s="2" t="str">
        <f>IFERROR(__xludf.DUMMYFUNCTION("""COMPUTED_VALUE"""),"PR003")</f>
        <v>PR003</v>
      </c>
      <c r="B324" s="2" t="str">
        <f>IFERROR(__xludf.DUMMYFUNCTION("""COMPUTED_VALUE"""),"VD048")</f>
        <v>VD048</v>
      </c>
      <c r="C324" s="2">
        <f>IFERROR(__xludf.DUMMYFUNCTION("""COMPUTED_VALUE"""),3.0)</f>
        <v>3</v>
      </c>
      <c r="D324" s="6">
        <f>IFERROR(__xludf.DUMMYFUNCTION("""COMPUTED_VALUE"""),227.59)</f>
        <v>227.59</v>
      </c>
      <c r="E324" s="6">
        <f>IFERROR(__xludf.DUMMYFUNCTION("GOOGLEFINANCE(""Currency:BRLMXN"")*D324"),773.1232299999999)</f>
        <v>773.12323</v>
      </c>
      <c r="F324" s="6">
        <f>IFERROR(__xludf.DUMMYFUNCTION("GOOGLEFINANCE(""Currency:BRLPEN"")*D324"),149.208004)</f>
        <v>149.208004</v>
      </c>
      <c r="G324" s="2" t="str">
        <f t="array" ref="G324">_xlfn.XLOOKUP(B324,Vendedores!$A$2:$A$41,Vendedores!$B$2:$B$41,"No hay datos")</f>
        <v>No hay datos</v>
      </c>
      <c r="H324" s="2" t="str">
        <f t="array" ref="H324">_xlfn.XLOOKUP(B324,Vendedores!$A$2:$A$41,Vendedores!$C$2:$C$41,"No hay datos")</f>
        <v>No hay datos</v>
      </c>
      <c r="I324" s="2" t="str">
        <f t="array" ref="I324">_xlfn.XLOOKUP(B324,Vendedores!$A$2:$A$41,Vendedores!$D$2:$D$41,"No hay datos")</f>
        <v>No hay datos</v>
      </c>
      <c r="J324" s="2" t="str">
        <f t="array" ref="J324">_xlfn.XLOOKUP(A324,Productos!$A$2:$A$61,Productos!$B$2:$F$61)</f>
        <v>#N/A</v>
      </c>
    </row>
    <row r="325">
      <c r="A325" s="2" t="str">
        <f>IFERROR(__xludf.DUMMYFUNCTION("""COMPUTED_VALUE"""),"PR006")</f>
        <v>PR006</v>
      </c>
      <c r="B325" s="2" t="str">
        <f>IFERROR(__xludf.DUMMYFUNCTION("""COMPUTED_VALUE"""),"VD012")</f>
        <v>VD012</v>
      </c>
      <c r="C325" s="2">
        <f>IFERROR(__xludf.DUMMYFUNCTION("""COMPUTED_VALUE"""),3.0)</f>
        <v>3</v>
      </c>
      <c r="D325" s="6">
        <f>IFERROR(__xludf.DUMMYFUNCTION("""COMPUTED_VALUE"""),122.09)</f>
        <v>122.09</v>
      </c>
      <c r="E325" s="6">
        <f>IFERROR(__xludf.DUMMYFUNCTION("GOOGLEFINANCE(""Currency:BRLMXN"")*D325"),414.73973)</f>
        <v>414.73973</v>
      </c>
      <c r="F325" s="6">
        <f>IFERROR(__xludf.DUMMYFUNCTION("GOOGLEFINANCE(""Currency:BRLPEN"")*D325"),80.042204)</f>
        <v>80.042204</v>
      </c>
      <c r="G325" s="2" t="str">
        <f t="array" ref="G325">_xlfn.XLOOKUP(B325,Vendedores!$A$2:$A$41,Vendedores!$B$2:$B$41,"No hay datos")</f>
        <v>No hay datos</v>
      </c>
      <c r="H325" s="2" t="str">
        <f t="array" ref="H325">_xlfn.XLOOKUP(B325,Vendedores!$A$2:$A$41,Vendedores!$C$2:$C$41,"No hay datos")</f>
        <v>No hay datos</v>
      </c>
      <c r="I325" s="2" t="str">
        <f t="array" ref="I325">_xlfn.XLOOKUP(B325,Vendedores!$A$2:$A$41,Vendedores!$D$2:$D$41,"No hay datos")</f>
        <v>No hay datos</v>
      </c>
      <c r="J325" s="2" t="str">
        <f t="array" ref="J325">_xlfn.XLOOKUP(A325,Productos!$A$2:$A$61,Productos!$B$2:$F$61)</f>
        <v>#N/A</v>
      </c>
    </row>
    <row r="326">
      <c r="A326" s="2" t="str">
        <f>IFERROR(__xludf.DUMMYFUNCTION("""COMPUTED_VALUE"""),"PR012")</f>
        <v>PR012</v>
      </c>
      <c r="B326" s="2" t="str">
        <f>IFERROR(__xludf.DUMMYFUNCTION("""COMPUTED_VALUE"""),"VD023")</f>
        <v>VD023</v>
      </c>
      <c r="C326" s="2">
        <f>IFERROR(__xludf.DUMMYFUNCTION("""COMPUTED_VALUE"""),16.0)</f>
        <v>16</v>
      </c>
      <c r="D326" s="6">
        <f>IFERROR(__xludf.DUMMYFUNCTION("""COMPUTED_VALUE"""),805.87)</f>
        <v>805.87</v>
      </c>
      <c r="E326" s="6">
        <f>IFERROR(__xludf.DUMMYFUNCTION("GOOGLEFINANCE(""Currency:BRLMXN"")*D326"),2737.5403899999997)</f>
        <v>2737.54039</v>
      </c>
      <c r="F326" s="6">
        <f>IFERROR(__xludf.DUMMYFUNCTION("GOOGLEFINANCE(""Currency:BRLPEN"")*D326"),528.328372)</f>
        <v>528.328372</v>
      </c>
      <c r="G326" s="2" t="str">
        <f t="array" ref="G326">_xlfn.XLOOKUP(B326,Vendedores!$A$2:$A$41,Vendedores!$B$2:$B$41,"No hay datos")</f>
        <v>No hay datos</v>
      </c>
      <c r="H326" s="2" t="str">
        <f t="array" ref="H326">_xlfn.XLOOKUP(B326,Vendedores!$A$2:$A$41,Vendedores!$C$2:$C$41,"No hay datos")</f>
        <v>No hay datos</v>
      </c>
      <c r="I326" s="2" t="str">
        <f t="array" ref="I326">_xlfn.XLOOKUP(B326,Vendedores!$A$2:$A$41,Vendedores!$D$2:$D$41,"No hay datos")</f>
        <v>No hay datos</v>
      </c>
      <c r="J326" s="2" t="str">
        <f t="array" ref="J326">_xlfn.XLOOKUP(A326,Productos!$A$2:$A$61,Productos!$B$2:$F$61)</f>
        <v>#N/A</v>
      </c>
    </row>
    <row r="327">
      <c r="A327" s="2" t="str">
        <f>IFERROR(__xludf.DUMMYFUNCTION("""COMPUTED_VALUE"""),"PR028")</f>
        <v>PR028</v>
      </c>
      <c r="B327" s="2" t="str">
        <f>IFERROR(__xludf.DUMMYFUNCTION("""COMPUTED_VALUE"""),"VD015")</f>
        <v>VD015</v>
      </c>
      <c r="C327" s="2">
        <f>IFERROR(__xludf.DUMMYFUNCTION("""COMPUTED_VALUE"""),2.0)</f>
        <v>2</v>
      </c>
      <c r="D327" s="6">
        <f>IFERROR(__xludf.DUMMYFUNCTION("""COMPUTED_VALUE"""),549.78)</f>
        <v>549.78</v>
      </c>
      <c r="E327" s="6">
        <f>IFERROR(__xludf.DUMMYFUNCTION("GOOGLEFINANCE(""Currency:BRLMXN"")*D327"),1867.6026599999998)</f>
        <v>1867.60266</v>
      </c>
      <c r="F327" s="6">
        <f>IFERROR(__xludf.DUMMYFUNCTION("GOOGLEFINANCE(""Currency:BRLPEN"")*D327"),360.43576799999994)</f>
        <v>360.435768</v>
      </c>
      <c r="G327" s="2" t="str">
        <f t="array" ref="G327">_xlfn.XLOOKUP(B327,Vendedores!$A$2:$A$41,Vendedores!$B$2:$B$41,"No hay datos")</f>
        <v>No hay datos</v>
      </c>
      <c r="H327" s="2" t="str">
        <f t="array" ref="H327">_xlfn.XLOOKUP(B327,Vendedores!$A$2:$A$41,Vendedores!$C$2:$C$41,"No hay datos")</f>
        <v>No hay datos</v>
      </c>
      <c r="I327" s="2" t="str">
        <f t="array" ref="I327">_xlfn.XLOOKUP(B327,Vendedores!$A$2:$A$41,Vendedores!$D$2:$D$41,"No hay datos")</f>
        <v>No hay datos</v>
      </c>
      <c r="J327" s="2" t="str">
        <f t="array" ref="J327">_xlfn.XLOOKUP(A327,Productos!$A$2:$A$61,Productos!$B$2:$F$61)</f>
        <v>#N/A</v>
      </c>
    </row>
    <row r="328">
      <c r="A328" s="2" t="str">
        <f>IFERROR(__xludf.DUMMYFUNCTION("""COMPUTED_VALUE"""),"PR043")</f>
        <v>PR043</v>
      </c>
      <c r="B328" s="2" t="str">
        <f>IFERROR(__xludf.DUMMYFUNCTION("""COMPUTED_VALUE"""),"VD031")</f>
        <v>VD031</v>
      </c>
      <c r="C328" s="2">
        <f>IFERROR(__xludf.DUMMYFUNCTION("""COMPUTED_VALUE"""),6.0)</f>
        <v>6</v>
      </c>
      <c r="D328" s="6">
        <f>IFERROR(__xludf.DUMMYFUNCTION("""COMPUTED_VALUE"""),443.7)</f>
        <v>443.7</v>
      </c>
      <c r="E328" s="6">
        <f>IFERROR(__xludf.DUMMYFUNCTION("GOOGLEFINANCE(""Currency:BRLMXN"")*D328"),1507.2488999999998)</f>
        <v>1507.2489</v>
      </c>
      <c r="F328" s="6">
        <f>IFERROR(__xludf.DUMMYFUNCTION("GOOGLEFINANCE(""Currency:BRLPEN"")*D328"),290.88971999999995)</f>
        <v>290.88972</v>
      </c>
      <c r="G328" s="2" t="str">
        <f t="array" ref="G328">_xlfn.XLOOKUP(B328,Vendedores!$A$2:$A$41,Vendedores!$B$2:$B$41,"No hay datos")</f>
        <v>No hay datos</v>
      </c>
      <c r="H328" s="2" t="str">
        <f t="array" ref="H328">_xlfn.XLOOKUP(B328,Vendedores!$A$2:$A$41,Vendedores!$C$2:$C$41,"No hay datos")</f>
        <v>No hay datos</v>
      </c>
      <c r="I328" s="2" t="str">
        <f t="array" ref="I328">_xlfn.XLOOKUP(B328,Vendedores!$A$2:$A$41,Vendedores!$D$2:$D$41,"No hay datos")</f>
        <v>No hay datos</v>
      </c>
      <c r="J328" s="2" t="str">
        <f t="array" ref="J328">_xlfn.XLOOKUP(A328,Productos!$A$2:$A$61,Productos!$B$2:$F$61)</f>
        <v>#N/A</v>
      </c>
    </row>
    <row r="329">
      <c r="A329" s="2" t="str">
        <f>IFERROR(__xludf.DUMMYFUNCTION("""COMPUTED_VALUE"""),"PR031")</f>
        <v>PR031</v>
      </c>
      <c r="B329" s="2" t="str">
        <f>IFERROR(__xludf.DUMMYFUNCTION("""COMPUTED_VALUE"""),"VD023")</f>
        <v>VD023</v>
      </c>
      <c r="C329" s="2">
        <f>IFERROR(__xludf.DUMMYFUNCTION("""COMPUTED_VALUE"""),8.0)</f>
        <v>8</v>
      </c>
      <c r="D329" s="6">
        <f>IFERROR(__xludf.DUMMYFUNCTION("""COMPUTED_VALUE"""),1999.2)</f>
        <v>1999.2</v>
      </c>
      <c r="E329" s="6">
        <f>IFERROR(__xludf.DUMMYFUNCTION("GOOGLEFINANCE(""Currency:BRLMXN"")*D329"),6791.2824)</f>
        <v>6791.2824</v>
      </c>
      <c r="F329" s="6">
        <f>IFERROR(__xludf.DUMMYFUNCTION("GOOGLEFINANCE(""Currency:BRLPEN"")*D329"),1310.67552)</f>
        <v>1310.67552</v>
      </c>
      <c r="G329" s="2" t="str">
        <f t="array" ref="G329">_xlfn.XLOOKUP(B329,Vendedores!$A$2:$A$41,Vendedores!$B$2:$B$41,"No hay datos")</f>
        <v>No hay datos</v>
      </c>
      <c r="H329" s="2" t="str">
        <f t="array" ref="H329">_xlfn.XLOOKUP(B329,Vendedores!$A$2:$A$41,Vendedores!$C$2:$C$41,"No hay datos")</f>
        <v>No hay datos</v>
      </c>
      <c r="I329" s="2" t="str">
        <f t="array" ref="I329">_xlfn.XLOOKUP(B329,Vendedores!$A$2:$A$41,Vendedores!$D$2:$D$41,"No hay datos")</f>
        <v>No hay datos</v>
      </c>
      <c r="J329" s="2" t="str">
        <f t="array" ref="J329">_xlfn.XLOOKUP(A329,Productos!$A$2:$A$61,Productos!$B$2:$F$61)</f>
        <v>#N/A</v>
      </c>
    </row>
    <row r="330">
      <c r="A330" s="2" t="str">
        <f>IFERROR(__xludf.DUMMYFUNCTION("""COMPUTED_VALUE"""),"PR005")</f>
        <v>PR005</v>
      </c>
      <c r="B330" s="2" t="str">
        <f>IFERROR(__xludf.DUMMYFUNCTION("""COMPUTED_VALUE"""),"VD030")</f>
        <v>VD030</v>
      </c>
      <c r="C330" s="2">
        <f>IFERROR(__xludf.DUMMYFUNCTION("""COMPUTED_VALUE"""),15.0)</f>
        <v>15</v>
      </c>
      <c r="D330" s="6">
        <f>IFERROR(__xludf.DUMMYFUNCTION("""COMPUTED_VALUE"""),4210.38)</f>
        <v>4210.38</v>
      </c>
      <c r="E330" s="6">
        <f>IFERROR(__xludf.DUMMYFUNCTION("GOOGLEFINANCE(""Currency:BRLMXN"")*D330"),14302.66086)</f>
        <v>14302.66086</v>
      </c>
      <c r="F330" s="6">
        <f>IFERROR(__xludf.DUMMYFUNCTION("GOOGLEFINANCE(""Currency:BRLPEN"")*D330"),2760.325128)</f>
        <v>2760.325128</v>
      </c>
      <c r="G330" s="2" t="str">
        <f t="array" ref="G330">_xlfn.XLOOKUP(B330,Vendedores!$A$2:$A$41,Vendedores!$B$2:$B$41,"No hay datos")</f>
        <v>No hay datos</v>
      </c>
      <c r="H330" s="2" t="str">
        <f t="array" ref="H330">_xlfn.XLOOKUP(B330,Vendedores!$A$2:$A$41,Vendedores!$C$2:$C$41,"No hay datos")</f>
        <v>No hay datos</v>
      </c>
      <c r="I330" s="2" t="str">
        <f t="array" ref="I330">_xlfn.XLOOKUP(B330,Vendedores!$A$2:$A$41,Vendedores!$D$2:$D$41,"No hay datos")</f>
        <v>No hay datos</v>
      </c>
      <c r="J330" s="2" t="str">
        <f t="array" ref="J330">_xlfn.XLOOKUP(A330,Productos!$A$2:$A$61,Productos!$B$2:$F$61)</f>
        <v>#N/A</v>
      </c>
    </row>
    <row r="331">
      <c r="A331" s="2" t="str">
        <f>IFERROR(__xludf.DUMMYFUNCTION("""COMPUTED_VALUE"""),"PR051")</f>
        <v>PR051</v>
      </c>
      <c r="B331" s="2" t="str">
        <f>IFERROR(__xludf.DUMMYFUNCTION("""COMPUTED_VALUE"""),"VD041")</f>
        <v>VD041</v>
      </c>
      <c r="C331" s="2">
        <f>IFERROR(__xludf.DUMMYFUNCTION("""COMPUTED_VALUE"""),5.0)</f>
        <v>5</v>
      </c>
      <c r="D331" s="6">
        <f>IFERROR(__xludf.DUMMYFUNCTION("""COMPUTED_VALUE"""),171.08)</f>
        <v>171.08</v>
      </c>
      <c r="E331" s="6">
        <f>IFERROR(__xludf.DUMMYFUNCTION("GOOGLEFINANCE(""Currency:BRLMXN"")*D331"),581.15876)</f>
        <v>581.15876</v>
      </c>
      <c r="F331" s="6">
        <f>IFERROR(__xludf.DUMMYFUNCTION("GOOGLEFINANCE(""Currency:BRLPEN"")*D331"),112.160048)</f>
        <v>112.160048</v>
      </c>
      <c r="G331" s="2" t="str">
        <f t="array" ref="G331">_xlfn.XLOOKUP(B331,Vendedores!$A$2:$A$41,Vendedores!$B$2:$B$41,"No hay datos")</f>
        <v>No hay datos</v>
      </c>
      <c r="H331" s="2" t="str">
        <f t="array" ref="H331">_xlfn.XLOOKUP(B331,Vendedores!$A$2:$A$41,Vendedores!$C$2:$C$41,"No hay datos")</f>
        <v>No hay datos</v>
      </c>
      <c r="I331" s="2" t="str">
        <f t="array" ref="I331">_xlfn.XLOOKUP(B331,Vendedores!$A$2:$A$41,Vendedores!$D$2:$D$41,"No hay datos")</f>
        <v>No hay datos</v>
      </c>
      <c r="J331" s="2" t="str">
        <f t="array" ref="J331">_xlfn.XLOOKUP(A331,Productos!$A$2:$A$61,Productos!$B$2:$F$61)</f>
        <v>#N/A</v>
      </c>
    </row>
    <row r="332">
      <c r="A332" s="2" t="str">
        <f>IFERROR(__xludf.DUMMYFUNCTION("""COMPUTED_VALUE"""),"PR018")</f>
        <v>PR018</v>
      </c>
      <c r="B332" s="2" t="str">
        <f>IFERROR(__xludf.DUMMYFUNCTION("""COMPUTED_VALUE"""),"VD028")</f>
        <v>VD028</v>
      </c>
      <c r="C332" s="2">
        <f>IFERROR(__xludf.DUMMYFUNCTION("""COMPUTED_VALUE"""),12.0)</f>
        <v>12</v>
      </c>
      <c r="D332" s="6">
        <f>IFERROR(__xludf.DUMMYFUNCTION("""COMPUTED_VALUE"""),430.33)</f>
        <v>430.33</v>
      </c>
      <c r="E332" s="6">
        <f>IFERROR(__xludf.DUMMYFUNCTION("GOOGLEFINANCE(""Currency:BRLMXN"")*D332"),1461.8310099999999)</f>
        <v>1461.83101</v>
      </c>
      <c r="F332" s="6">
        <f>IFERROR(__xludf.DUMMYFUNCTION("GOOGLEFINANCE(""Currency:BRLPEN"")*D332"),282.124348)</f>
        <v>282.124348</v>
      </c>
      <c r="G332" s="2" t="str">
        <f t="array" ref="G332">_xlfn.XLOOKUP(B332,Vendedores!$A$2:$A$41,Vendedores!$B$2:$B$41,"No hay datos")</f>
        <v>No hay datos</v>
      </c>
      <c r="H332" s="2" t="str">
        <f t="array" ref="H332">_xlfn.XLOOKUP(B332,Vendedores!$A$2:$A$41,Vendedores!$C$2:$C$41,"No hay datos")</f>
        <v>No hay datos</v>
      </c>
      <c r="I332" s="2" t="str">
        <f t="array" ref="I332">_xlfn.XLOOKUP(B332,Vendedores!$A$2:$A$41,Vendedores!$D$2:$D$41,"No hay datos")</f>
        <v>No hay datos</v>
      </c>
      <c r="J332" s="2" t="str">
        <f t="array" ref="J332">_xlfn.XLOOKUP(A332,Productos!$A$2:$A$61,Productos!$B$2:$F$61)</f>
        <v>#N/A</v>
      </c>
    </row>
    <row r="333">
      <c r="A333" s="2" t="str">
        <f>IFERROR(__xludf.DUMMYFUNCTION("""COMPUTED_VALUE"""),"PR016")</f>
        <v>PR016</v>
      </c>
      <c r="B333" s="2" t="str">
        <f>IFERROR(__xludf.DUMMYFUNCTION("""COMPUTED_VALUE"""),"VD042")</f>
        <v>VD042</v>
      </c>
      <c r="C333" s="2">
        <f>IFERROR(__xludf.DUMMYFUNCTION("""COMPUTED_VALUE"""),5.0)</f>
        <v>5</v>
      </c>
      <c r="D333" s="6">
        <f>IFERROR(__xludf.DUMMYFUNCTION("""COMPUTED_VALUE"""),138.57)</f>
        <v>138.57</v>
      </c>
      <c r="E333" s="6">
        <f>IFERROR(__xludf.DUMMYFUNCTION("GOOGLEFINANCE(""Currency:BRLMXN"")*D333"),470.72228999999993)</f>
        <v>470.72229</v>
      </c>
      <c r="F333" s="6">
        <f>IFERROR(__xludf.DUMMYFUNCTION("GOOGLEFINANCE(""Currency:BRLPEN"")*D333"),90.84649199999998)</f>
        <v>90.846492</v>
      </c>
      <c r="G333" s="2" t="str">
        <f t="array" ref="G333">_xlfn.XLOOKUP(B333,Vendedores!$A$2:$A$41,Vendedores!$B$2:$B$41,"No hay datos")</f>
        <v>No hay datos</v>
      </c>
      <c r="H333" s="2" t="str">
        <f t="array" ref="H333">_xlfn.XLOOKUP(B333,Vendedores!$A$2:$A$41,Vendedores!$C$2:$C$41,"No hay datos")</f>
        <v>No hay datos</v>
      </c>
      <c r="I333" s="2" t="str">
        <f t="array" ref="I333">_xlfn.XLOOKUP(B333,Vendedores!$A$2:$A$41,Vendedores!$D$2:$D$41,"No hay datos")</f>
        <v>No hay datos</v>
      </c>
      <c r="J333" s="2" t="str">
        <f t="array" ref="J333">_xlfn.XLOOKUP(A333,Productos!$A$2:$A$61,Productos!$B$2:$F$61)</f>
        <v>#N/A</v>
      </c>
    </row>
    <row r="334">
      <c r="A334" s="2" t="str">
        <f>IFERROR(__xludf.DUMMYFUNCTION("""COMPUTED_VALUE"""),"PR048")</f>
        <v>PR048</v>
      </c>
      <c r="B334" s="2" t="str">
        <f>IFERROR(__xludf.DUMMYFUNCTION("""COMPUTED_VALUE"""),"VD019")</f>
        <v>VD019</v>
      </c>
      <c r="C334" s="2">
        <f>IFERROR(__xludf.DUMMYFUNCTION("""COMPUTED_VALUE"""),2.0)</f>
        <v>2</v>
      </c>
      <c r="D334" s="6">
        <f>IFERROR(__xludf.DUMMYFUNCTION("""COMPUTED_VALUE"""),614.59)</f>
        <v>614.59</v>
      </c>
      <c r="E334" s="6">
        <f>IFERROR(__xludf.DUMMYFUNCTION("GOOGLEFINANCE(""Currency:BRLMXN"")*D334"),2087.76223)</f>
        <v>2087.76223</v>
      </c>
      <c r="F334" s="6">
        <f>IFERROR(__xludf.DUMMYFUNCTION("GOOGLEFINANCE(""Currency:BRLPEN"")*D334"),402.925204)</f>
        <v>402.925204</v>
      </c>
      <c r="G334" s="2" t="str">
        <f t="array" ref="G334">_xlfn.XLOOKUP(B334,Vendedores!$A$2:$A$41,Vendedores!$B$2:$B$41,"No hay datos")</f>
        <v>No hay datos</v>
      </c>
      <c r="H334" s="2" t="str">
        <f t="array" ref="H334">_xlfn.XLOOKUP(B334,Vendedores!$A$2:$A$41,Vendedores!$C$2:$C$41,"No hay datos")</f>
        <v>No hay datos</v>
      </c>
      <c r="I334" s="2" t="str">
        <f t="array" ref="I334">_xlfn.XLOOKUP(B334,Vendedores!$A$2:$A$41,Vendedores!$D$2:$D$41,"No hay datos")</f>
        <v>No hay datos</v>
      </c>
      <c r="J334" s="2" t="str">
        <f t="array" ref="J334">_xlfn.XLOOKUP(A334,Productos!$A$2:$A$61,Productos!$B$2:$F$61)</f>
        <v>#N/A</v>
      </c>
    </row>
    <row r="335">
      <c r="A335" s="2" t="str">
        <f>IFERROR(__xludf.DUMMYFUNCTION("""COMPUTED_VALUE"""),"PR036")</f>
        <v>PR036</v>
      </c>
      <c r="B335" s="2" t="str">
        <f>IFERROR(__xludf.DUMMYFUNCTION("""COMPUTED_VALUE"""),"VD036")</f>
        <v>VD036</v>
      </c>
      <c r="C335" s="2">
        <f>IFERROR(__xludf.DUMMYFUNCTION("""COMPUTED_VALUE"""),16.0)</f>
        <v>16</v>
      </c>
      <c r="D335" s="6">
        <f>IFERROR(__xludf.DUMMYFUNCTION("""COMPUTED_VALUE"""),1630.64)</f>
        <v>1630.64</v>
      </c>
      <c r="E335" s="6">
        <f>IFERROR(__xludf.DUMMYFUNCTION("GOOGLEFINANCE(""Currency:BRLMXN"")*D335"),5539.28408)</f>
        <v>5539.28408</v>
      </c>
      <c r="F335" s="6">
        <f>IFERROR(__xludf.DUMMYFUNCTION("GOOGLEFINANCE(""Currency:BRLPEN"")*D335"),1069.047584)</f>
        <v>1069.047584</v>
      </c>
      <c r="G335" s="2" t="str">
        <f t="array" ref="G335">_xlfn.XLOOKUP(B335,Vendedores!$A$2:$A$41,Vendedores!$B$2:$B$41,"No hay datos")</f>
        <v>No hay datos</v>
      </c>
      <c r="H335" s="2" t="str">
        <f t="array" ref="H335">_xlfn.XLOOKUP(B335,Vendedores!$A$2:$A$41,Vendedores!$C$2:$C$41,"No hay datos")</f>
        <v>No hay datos</v>
      </c>
      <c r="I335" s="2" t="str">
        <f t="array" ref="I335">_xlfn.XLOOKUP(B335,Vendedores!$A$2:$A$41,Vendedores!$D$2:$D$41,"No hay datos")</f>
        <v>No hay datos</v>
      </c>
      <c r="J335" s="2" t="str">
        <f t="array" ref="J335">_xlfn.XLOOKUP(A335,Productos!$A$2:$A$61,Productos!$B$2:$F$61)</f>
        <v>#N/A</v>
      </c>
    </row>
    <row r="336">
      <c r="A336" s="2" t="str">
        <f>IFERROR(__xludf.DUMMYFUNCTION("""COMPUTED_VALUE"""),"PR023")</f>
        <v>PR023</v>
      </c>
      <c r="B336" s="2" t="str">
        <f>IFERROR(__xludf.DUMMYFUNCTION("""COMPUTED_VALUE"""),"VD032")</f>
        <v>VD032</v>
      </c>
      <c r="C336" s="2">
        <f>IFERROR(__xludf.DUMMYFUNCTION("""COMPUTED_VALUE"""),8.0)</f>
        <v>8</v>
      </c>
      <c r="D336" s="6">
        <f>IFERROR(__xludf.DUMMYFUNCTION("""COMPUTED_VALUE"""),2199.12)</f>
        <v>2199.12</v>
      </c>
      <c r="E336" s="6">
        <f>IFERROR(__xludf.DUMMYFUNCTION("GOOGLEFINANCE(""Currency:BRLMXN"")*D336"),7470.410639999999)</f>
        <v>7470.41064</v>
      </c>
      <c r="F336" s="6">
        <f>IFERROR(__xludf.DUMMYFUNCTION("GOOGLEFINANCE(""Currency:BRLPEN"")*D336"),1441.7430719999998)</f>
        <v>1441.743072</v>
      </c>
      <c r="G336" s="2" t="str">
        <f t="array" ref="G336">_xlfn.XLOOKUP(B336,Vendedores!$A$2:$A$41,Vendedores!$B$2:$B$41,"No hay datos")</f>
        <v>No hay datos</v>
      </c>
      <c r="H336" s="2" t="str">
        <f t="array" ref="H336">_xlfn.XLOOKUP(B336,Vendedores!$A$2:$A$41,Vendedores!$C$2:$C$41,"No hay datos")</f>
        <v>No hay datos</v>
      </c>
      <c r="I336" s="2" t="str">
        <f t="array" ref="I336">_xlfn.XLOOKUP(B336,Vendedores!$A$2:$A$41,Vendedores!$D$2:$D$41,"No hay datos")</f>
        <v>No hay datos</v>
      </c>
      <c r="J336" s="2" t="str">
        <f t="array" ref="J336">_xlfn.XLOOKUP(A336,Productos!$A$2:$A$61,Productos!$B$2:$F$61)</f>
        <v>#N/A</v>
      </c>
    </row>
    <row r="337">
      <c r="A337" s="2" t="str">
        <f>IFERROR(__xludf.DUMMYFUNCTION("""COMPUTED_VALUE"""),"PR038")</f>
        <v>PR038</v>
      </c>
      <c r="B337" s="2" t="str">
        <f>IFERROR(__xludf.DUMMYFUNCTION("""COMPUTED_VALUE"""),"VD032")</f>
        <v>VD032</v>
      </c>
      <c r="C337" s="2">
        <f>IFERROR(__xludf.DUMMYFUNCTION("""COMPUTED_VALUE"""),15.0)</f>
        <v>15</v>
      </c>
      <c r="D337" s="6">
        <f>IFERROR(__xludf.DUMMYFUNCTION("""COMPUTED_VALUE"""),2357.85)</f>
        <v>2357.85</v>
      </c>
      <c r="E337" s="6">
        <f>IFERROR(__xludf.DUMMYFUNCTION("GOOGLEFINANCE(""Currency:BRLMXN"")*D337"),8009.6164499999995)</f>
        <v>8009.61645</v>
      </c>
      <c r="F337" s="6">
        <f>IFERROR(__xludf.DUMMYFUNCTION("GOOGLEFINANCE(""Currency:BRLPEN"")*D337"),1545.8064599999998)</f>
        <v>1545.80646</v>
      </c>
      <c r="G337" s="2" t="str">
        <f t="array" ref="G337">_xlfn.XLOOKUP(B337,Vendedores!$A$2:$A$41,Vendedores!$B$2:$B$41,"No hay datos")</f>
        <v>No hay datos</v>
      </c>
      <c r="H337" s="2" t="str">
        <f t="array" ref="H337">_xlfn.XLOOKUP(B337,Vendedores!$A$2:$A$41,Vendedores!$C$2:$C$41,"No hay datos")</f>
        <v>No hay datos</v>
      </c>
      <c r="I337" s="2" t="str">
        <f t="array" ref="I337">_xlfn.XLOOKUP(B337,Vendedores!$A$2:$A$41,Vendedores!$D$2:$D$41,"No hay datos")</f>
        <v>No hay datos</v>
      </c>
      <c r="J337" s="2" t="str">
        <f t="array" ref="J337">_xlfn.XLOOKUP(A337,Productos!$A$2:$A$61,Productos!$B$2:$F$61)</f>
        <v>#N/A</v>
      </c>
    </row>
    <row r="338">
      <c r="A338" s="2" t="str">
        <f>IFERROR(__xludf.DUMMYFUNCTION("""COMPUTED_VALUE"""),"PR037")</f>
        <v>PR037</v>
      </c>
      <c r="B338" s="2" t="str">
        <f>IFERROR(__xludf.DUMMYFUNCTION("""COMPUTED_VALUE"""),"VD025")</f>
        <v>VD025</v>
      </c>
      <c r="C338" s="2">
        <f>IFERROR(__xludf.DUMMYFUNCTION("""COMPUTED_VALUE"""),27.0)</f>
        <v>27</v>
      </c>
      <c r="D338" s="6">
        <f>IFERROR(__xludf.DUMMYFUNCTION("""COMPUTED_VALUE"""),3780.0)</f>
        <v>3780</v>
      </c>
      <c r="E338" s="6">
        <f>IFERROR(__xludf.DUMMYFUNCTION("GOOGLEFINANCE(""Currency:BRLMXN"")*D338"),12840.66)</f>
        <v>12840.66</v>
      </c>
      <c r="F338" s="6">
        <f>IFERROR(__xludf.DUMMYFUNCTION("GOOGLEFINANCE(""Currency:BRLPEN"")*D338"),2478.1679999999997)</f>
        <v>2478.168</v>
      </c>
      <c r="G338" s="2" t="str">
        <f t="array" ref="G338">_xlfn.XLOOKUP(B338,Vendedores!$A$2:$A$41,Vendedores!$B$2:$B$41,"No hay datos")</f>
        <v>No hay datos</v>
      </c>
      <c r="H338" s="2" t="str">
        <f t="array" ref="H338">_xlfn.XLOOKUP(B338,Vendedores!$A$2:$A$41,Vendedores!$C$2:$C$41,"No hay datos")</f>
        <v>No hay datos</v>
      </c>
      <c r="I338" s="2" t="str">
        <f t="array" ref="I338">_xlfn.XLOOKUP(B338,Vendedores!$A$2:$A$41,Vendedores!$D$2:$D$41,"No hay datos")</f>
        <v>No hay datos</v>
      </c>
      <c r="J338" s="2" t="str">
        <f t="array" ref="J338">_xlfn.XLOOKUP(A338,Productos!$A$2:$A$61,Productos!$B$2:$F$61)</f>
        <v>#N/A</v>
      </c>
    </row>
    <row r="339">
      <c r="A339" s="2" t="str">
        <f>IFERROR(__xludf.DUMMYFUNCTION("""COMPUTED_VALUE"""),"PR020")</f>
        <v>PR020</v>
      </c>
      <c r="B339" s="2" t="str">
        <f>IFERROR(__xludf.DUMMYFUNCTION("""COMPUTED_VALUE"""),"VD016")</f>
        <v>VD016</v>
      </c>
      <c r="C339" s="2">
        <f>IFERROR(__xludf.DUMMYFUNCTION("""COMPUTED_VALUE"""),12.0)</f>
        <v>12</v>
      </c>
      <c r="D339" s="6">
        <f>IFERROR(__xludf.DUMMYFUNCTION("""COMPUTED_VALUE"""),3778.74)</f>
        <v>3778.74</v>
      </c>
      <c r="E339" s="6">
        <f>IFERROR(__xludf.DUMMYFUNCTION("GOOGLEFINANCE(""Currency:BRLMXN"")*D339"),12836.37978)</f>
        <v>12836.37978</v>
      </c>
      <c r="F339" s="6">
        <f>IFERROR(__xludf.DUMMYFUNCTION("GOOGLEFINANCE(""Currency:BRLPEN"")*D339"),2477.341944)</f>
        <v>2477.341944</v>
      </c>
      <c r="G339" s="2" t="str">
        <f t="array" ref="G339">_xlfn.XLOOKUP(B339,Vendedores!$A$2:$A$41,Vendedores!$B$2:$B$41,"No hay datos")</f>
        <v>No hay datos</v>
      </c>
      <c r="H339" s="2" t="str">
        <f t="array" ref="H339">_xlfn.XLOOKUP(B339,Vendedores!$A$2:$A$41,Vendedores!$C$2:$C$41,"No hay datos")</f>
        <v>No hay datos</v>
      </c>
      <c r="I339" s="2" t="str">
        <f t="array" ref="I339">_xlfn.XLOOKUP(B339,Vendedores!$A$2:$A$41,Vendedores!$D$2:$D$41,"No hay datos")</f>
        <v>No hay datos</v>
      </c>
      <c r="J339" s="2" t="str">
        <f t="array" ref="J339">_xlfn.XLOOKUP(A339,Productos!$A$2:$A$61,Productos!$B$2:$F$61)</f>
        <v>#N/A</v>
      </c>
    </row>
    <row r="340">
      <c r="A340" s="2" t="str">
        <f>IFERROR(__xludf.DUMMYFUNCTION("""COMPUTED_VALUE"""),"PR049")</f>
        <v>PR049</v>
      </c>
      <c r="B340" s="2" t="str">
        <f>IFERROR(__xludf.DUMMYFUNCTION("""COMPUTED_VALUE"""),"VD017")</f>
        <v>VD017</v>
      </c>
      <c r="C340" s="2">
        <f>IFERROR(__xludf.DUMMYFUNCTION("""COMPUTED_VALUE"""),21.0)</f>
        <v>21</v>
      </c>
      <c r="D340" s="6">
        <f>IFERROR(__xludf.DUMMYFUNCTION("""COMPUTED_VALUE"""),753.08)</f>
        <v>753.08</v>
      </c>
      <c r="E340" s="6">
        <f>IFERROR(__xludf.DUMMYFUNCTION("GOOGLEFINANCE(""Currency:BRLMXN"")*D340"),2558.21276)</f>
        <v>2558.21276</v>
      </c>
      <c r="F340" s="6">
        <f>IFERROR(__xludf.DUMMYFUNCTION("GOOGLEFINANCE(""Currency:BRLPEN"")*D340"),493.719248)</f>
        <v>493.719248</v>
      </c>
      <c r="G340" s="2" t="str">
        <f t="array" ref="G340">_xlfn.XLOOKUP(B340,Vendedores!$A$2:$A$41,Vendedores!$B$2:$B$41,"No hay datos")</f>
        <v>No hay datos</v>
      </c>
      <c r="H340" s="2" t="str">
        <f t="array" ref="H340">_xlfn.XLOOKUP(B340,Vendedores!$A$2:$A$41,Vendedores!$C$2:$C$41,"No hay datos")</f>
        <v>No hay datos</v>
      </c>
      <c r="I340" s="2" t="str">
        <f t="array" ref="I340">_xlfn.XLOOKUP(B340,Vendedores!$A$2:$A$41,Vendedores!$D$2:$D$41,"No hay datos")</f>
        <v>No hay datos</v>
      </c>
      <c r="J340" s="2" t="str">
        <f t="array" ref="J340">_xlfn.XLOOKUP(A340,Productos!$A$2:$A$61,Productos!$B$2:$F$61)</f>
        <v>#N/A</v>
      </c>
    </row>
    <row r="341">
      <c r="A341" s="2" t="str">
        <f>IFERROR(__xludf.DUMMYFUNCTION("""COMPUTED_VALUE"""),"PR007")</f>
        <v>PR007</v>
      </c>
      <c r="B341" s="2" t="str">
        <f>IFERROR(__xludf.DUMMYFUNCTION("""COMPUTED_VALUE"""),"VD029")</f>
        <v>VD029</v>
      </c>
      <c r="C341" s="2">
        <f>IFERROR(__xludf.DUMMYFUNCTION("""COMPUTED_VALUE"""),18.0)</f>
        <v>18</v>
      </c>
      <c r="D341" s="6">
        <f>IFERROR(__xludf.DUMMYFUNCTION("""COMPUTED_VALUE"""),1561.66)</f>
        <v>1561.66</v>
      </c>
      <c r="E341" s="6">
        <f>IFERROR(__xludf.DUMMYFUNCTION("GOOGLEFINANCE(""Currency:BRLMXN"")*D341"),5304.95902)</f>
        <v>5304.95902</v>
      </c>
      <c r="F341" s="6">
        <f>IFERROR(__xludf.DUMMYFUNCTION("GOOGLEFINANCE(""Currency:BRLPEN"")*D341"),1023.824296)</f>
        <v>1023.824296</v>
      </c>
      <c r="G341" s="2" t="str">
        <f t="array" ref="G341">_xlfn.XLOOKUP(B341,Vendedores!$A$2:$A$41,Vendedores!$B$2:$B$41,"No hay datos")</f>
        <v>No hay datos</v>
      </c>
      <c r="H341" s="2" t="str">
        <f t="array" ref="H341">_xlfn.XLOOKUP(B341,Vendedores!$A$2:$A$41,Vendedores!$C$2:$C$41,"No hay datos")</f>
        <v>No hay datos</v>
      </c>
      <c r="I341" s="2" t="str">
        <f t="array" ref="I341">_xlfn.XLOOKUP(B341,Vendedores!$A$2:$A$41,Vendedores!$D$2:$D$41,"No hay datos")</f>
        <v>No hay datos</v>
      </c>
      <c r="J341" s="2" t="str">
        <f t="array" ref="J341">_xlfn.XLOOKUP(A341,Productos!$A$2:$A$61,Productos!$B$2:$F$61)</f>
        <v>#N/A</v>
      </c>
    </row>
    <row r="342">
      <c r="A342" s="2" t="str">
        <f>IFERROR(__xludf.DUMMYFUNCTION("""COMPUTED_VALUE"""),"PR056")</f>
        <v>PR056</v>
      </c>
      <c r="B342" s="2" t="str">
        <f>IFERROR(__xludf.DUMMYFUNCTION("""COMPUTED_VALUE"""),"VD043")</f>
        <v>VD043</v>
      </c>
      <c r="C342" s="2">
        <f>IFERROR(__xludf.DUMMYFUNCTION("""COMPUTED_VALUE"""),3.0)</f>
        <v>3</v>
      </c>
      <c r="D342" s="6">
        <f>IFERROR(__xludf.DUMMYFUNCTION("""COMPUTED_VALUE"""),272.4)</f>
        <v>272.4</v>
      </c>
      <c r="E342" s="6">
        <f>IFERROR(__xludf.DUMMYFUNCTION("GOOGLEFINANCE(""Currency:BRLMXN"")*D342"),925.3427999999999)</f>
        <v>925.3428</v>
      </c>
      <c r="F342" s="6">
        <f>IFERROR(__xludf.DUMMYFUNCTION("GOOGLEFINANCE(""Currency:BRLPEN"")*D342"),178.58543999999998)</f>
        <v>178.58544</v>
      </c>
      <c r="G342" s="2" t="str">
        <f t="array" ref="G342">_xlfn.XLOOKUP(B342,Vendedores!$A$2:$A$41,Vendedores!$B$2:$B$41,"No hay datos")</f>
        <v>No hay datos</v>
      </c>
      <c r="H342" s="2" t="str">
        <f t="array" ref="H342">_xlfn.XLOOKUP(B342,Vendedores!$A$2:$A$41,Vendedores!$C$2:$C$41,"No hay datos")</f>
        <v>No hay datos</v>
      </c>
      <c r="I342" s="2" t="str">
        <f t="array" ref="I342">_xlfn.XLOOKUP(B342,Vendedores!$A$2:$A$41,Vendedores!$D$2:$D$41,"No hay datos")</f>
        <v>No hay datos</v>
      </c>
      <c r="J342" s="2" t="str">
        <f t="array" ref="J342">_xlfn.XLOOKUP(A342,Productos!$A$2:$A$61,Productos!$B$2:$F$61)</f>
        <v>#N/A</v>
      </c>
    </row>
    <row r="343">
      <c r="A343" s="2" t="str">
        <f>IFERROR(__xludf.DUMMYFUNCTION("""COMPUTED_VALUE"""),"PR019")</f>
        <v>PR019</v>
      </c>
      <c r="B343" s="2" t="str">
        <f>IFERROR(__xludf.DUMMYFUNCTION("""COMPUTED_VALUE"""),"VD039")</f>
        <v>VD039</v>
      </c>
      <c r="C343" s="2">
        <f>IFERROR(__xludf.DUMMYFUNCTION("""COMPUTED_VALUE"""),20.0)</f>
        <v>20</v>
      </c>
      <c r="D343" s="6">
        <f>IFERROR(__xludf.DUMMYFUNCTION("""COMPUTED_VALUE"""),1057.88)</f>
        <v>1057.88</v>
      </c>
      <c r="E343" s="6">
        <f>IFERROR(__xludf.DUMMYFUNCTION("GOOGLEFINANCE(""Currency:BRLMXN"")*D343"),3593.61836)</f>
        <v>3593.61836</v>
      </c>
      <c r="F343" s="6">
        <f>IFERROR(__xludf.DUMMYFUNCTION("GOOGLEFINANCE(""Currency:BRLPEN"")*D343"),693.5461280000001)</f>
        <v>693.546128</v>
      </c>
      <c r="G343" s="2" t="str">
        <f t="array" ref="G343">_xlfn.XLOOKUP(B343,Vendedores!$A$2:$A$41,Vendedores!$B$2:$B$41,"No hay datos")</f>
        <v>No hay datos</v>
      </c>
      <c r="H343" s="2" t="str">
        <f t="array" ref="H343">_xlfn.XLOOKUP(B343,Vendedores!$A$2:$A$41,Vendedores!$C$2:$C$41,"No hay datos")</f>
        <v>No hay datos</v>
      </c>
      <c r="I343" s="2" t="str">
        <f t="array" ref="I343">_xlfn.XLOOKUP(B343,Vendedores!$A$2:$A$41,Vendedores!$D$2:$D$41,"No hay datos")</f>
        <v>No hay datos</v>
      </c>
      <c r="J343" s="2" t="str">
        <f t="array" ref="J343">_xlfn.XLOOKUP(A343,Productos!$A$2:$A$61,Productos!$B$2:$F$61)</f>
        <v>#N/A</v>
      </c>
    </row>
    <row r="344">
      <c r="A344" s="2" t="str">
        <f>IFERROR(__xludf.DUMMYFUNCTION("""COMPUTED_VALUE"""),"PR015")</f>
        <v>PR015</v>
      </c>
      <c r="B344" s="2" t="str">
        <f>IFERROR(__xludf.DUMMYFUNCTION("""COMPUTED_VALUE"""),"VD046")</f>
        <v>VD046</v>
      </c>
      <c r="C344" s="2">
        <f>IFERROR(__xludf.DUMMYFUNCTION("""COMPUTED_VALUE"""),3.0)</f>
        <v>3</v>
      </c>
      <c r="D344" s="6">
        <f>IFERROR(__xludf.DUMMYFUNCTION("""COMPUTED_VALUE"""),135.15)</f>
        <v>135.15</v>
      </c>
      <c r="E344" s="6">
        <f>IFERROR(__xludf.DUMMYFUNCTION("GOOGLEFINANCE(""Currency:BRLMXN"")*D344"),459.10455)</f>
        <v>459.10455</v>
      </c>
      <c r="F344" s="6">
        <f>IFERROR(__xludf.DUMMYFUNCTION("GOOGLEFINANCE(""Currency:BRLPEN"")*D344"),88.60434)</f>
        <v>88.60434</v>
      </c>
      <c r="G344" s="2" t="str">
        <f t="array" ref="G344">_xlfn.XLOOKUP(B344,Vendedores!$A$2:$A$41,Vendedores!$B$2:$B$41,"No hay datos")</f>
        <v>No hay datos</v>
      </c>
      <c r="H344" s="2" t="str">
        <f t="array" ref="H344">_xlfn.XLOOKUP(B344,Vendedores!$A$2:$A$41,Vendedores!$C$2:$C$41,"No hay datos")</f>
        <v>No hay datos</v>
      </c>
      <c r="I344" s="2" t="str">
        <f t="array" ref="I344">_xlfn.XLOOKUP(B344,Vendedores!$A$2:$A$41,Vendedores!$D$2:$D$41,"No hay datos")</f>
        <v>No hay datos</v>
      </c>
      <c r="J344" s="2" t="str">
        <f t="array" ref="J344">_xlfn.XLOOKUP(A344,Productos!$A$2:$A$61,Productos!$B$2:$F$61)</f>
        <v>#N/A</v>
      </c>
    </row>
    <row r="345">
      <c r="A345" s="2" t="str">
        <f>IFERROR(__xludf.DUMMYFUNCTION("""COMPUTED_VALUE"""),"PR019")</f>
        <v>PR019</v>
      </c>
      <c r="B345" s="2" t="str">
        <f>IFERROR(__xludf.DUMMYFUNCTION("""COMPUTED_VALUE"""),"VD043")</f>
        <v>VD043</v>
      </c>
      <c r="C345" s="2">
        <f>IFERROR(__xludf.DUMMYFUNCTION("""COMPUTED_VALUE"""),21.0)</f>
        <v>21</v>
      </c>
      <c r="D345" s="6">
        <f>IFERROR(__xludf.DUMMYFUNCTION("""COMPUTED_VALUE"""),1100.3)</f>
        <v>1100.3</v>
      </c>
      <c r="E345" s="6">
        <f>IFERROR(__xludf.DUMMYFUNCTION("GOOGLEFINANCE(""Currency:BRLMXN"")*D345"),3737.7191)</f>
        <v>3737.7191</v>
      </c>
      <c r="F345" s="6">
        <f>IFERROR(__xludf.DUMMYFUNCTION("GOOGLEFINANCE(""Currency:BRLPEN"")*D345"),721.35668)</f>
        <v>721.35668</v>
      </c>
      <c r="G345" s="2" t="str">
        <f t="array" ref="G345">_xlfn.XLOOKUP(B345,Vendedores!$A$2:$A$41,Vendedores!$B$2:$B$41,"No hay datos")</f>
        <v>No hay datos</v>
      </c>
      <c r="H345" s="2" t="str">
        <f t="array" ref="H345">_xlfn.XLOOKUP(B345,Vendedores!$A$2:$A$41,Vendedores!$C$2:$C$41,"No hay datos")</f>
        <v>No hay datos</v>
      </c>
      <c r="I345" s="2" t="str">
        <f t="array" ref="I345">_xlfn.XLOOKUP(B345,Vendedores!$A$2:$A$41,Vendedores!$D$2:$D$41,"No hay datos")</f>
        <v>No hay datos</v>
      </c>
      <c r="J345" s="2" t="str">
        <f t="array" ref="J345">_xlfn.XLOOKUP(A345,Productos!$A$2:$A$61,Productos!$B$2:$F$61)</f>
        <v>#N/A</v>
      </c>
    </row>
    <row r="346">
      <c r="A346" s="2" t="str">
        <f>IFERROR(__xludf.DUMMYFUNCTION("""COMPUTED_VALUE"""),"PR043")</f>
        <v>PR043</v>
      </c>
      <c r="B346" s="2" t="str">
        <f>IFERROR(__xludf.DUMMYFUNCTION("""COMPUTED_VALUE"""),"VD031")</f>
        <v>VD031</v>
      </c>
      <c r="C346" s="2">
        <f>IFERROR(__xludf.DUMMYFUNCTION("""COMPUTED_VALUE"""),9.0)</f>
        <v>9</v>
      </c>
      <c r="D346" s="6">
        <f>IFERROR(__xludf.DUMMYFUNCTION("""COMPUTED_VALUE"""),698.18)</f>
        <v>698.18</v>
      </c>
      <c r="E346" s="6">
        <f>IFERROR(__xludf.DUMMYFUNCTION("GOOGLEFINANCE(""Currency:BRLMXN"")*D346"),2371.71746)</f>
        <v>2371.71746</v>
      </c>
      <c r="F346" s="6">
        <f>IFERROR(__xludf.DUMMYFUNCTION("GOOGLEFINANCE(""Currency:BRLPEN"")*D346"),457.72680799999995)</f>
        <v>457.726808</v>
      </c>
      <c r="G346" s="2" t="str">
        <f t="array" ref="G346">_xlfn.XLOOKUP(B346,Vendedores!$A$2:$A$41,Vendedores!$B$2:$B$41,"No hay datos")</f>
        <v>No hay datos</v>
      </c>
      <c r="H346" s="2" t="str">
        <f t="array" ref="H346">_xlfn.XLOOKUP(B346,Vendedores!$A$2:$A$41,Vendedores!$C$2:$C$41,"No hay datos")</f>
        <v>No hay datos</v>
      </c>
      <c r="I346" s="2" t="str">
        <f t="array" ref="I346">_xlfn.XLOOKUP(B346,Vendedores!$A$2:$A$41,Vendedores!$D$2:$D$41,"No hay datos")</f>
        <v>No hay datos</v>
      </c>
      <c r="J346" s="2" t="str">
        <f t="array" ref="J346">_xlfn.XLOOKUP(A346,Productos!$A$2:$A$61,Productos!$B$2:$F$61)</f>
        <v>#N/A</v>
      </c>
    </row>
    <row r="347">
      <c r="A347" s="2" t="str">
        <f>IFERROR(__xludf.DUMMYFUNCTION("""COMPUTED_VALUE"""),"PR038")</f>
        <v>PR038</v>
      </c>
      <c r="B347" s="2" t="str">
        <f>IFERROR(__xludf.DUMMYFUNCTION("""COMPUTED_VALUE"""),"VD015")</f>
        <v>VD015</v>
      </c>
      <c r="C347" s="2">
        <f>IFERROR(__xludf.DUMMYFUNCTION("""COMPUTED_VALUE"""),12.0)</f>
        <v>12</v>
      </c>
      <c r="D347" s="6">
        <f>IFERROR(__xludf.DUMMYFUNCTION("""COMPUTED_VALUE"""),1869.13)</f>
        <v>1869.13</v>
      </c>
      <c r="E347" s="6">
        <f>IFERROR(__xludf.DUMMYFUNCTION("GOOGLEFINANCE(""Currency:BRLMXN"")*D347"),6349.43461)</f>
        <v>6349.43461</v>
      </c>
      <c r="F347" s="6">
        <f>IFERROR(__xludf.DUMMYFUNCTION("GOOGLEFINANCE(""Currency:BRLPEN"")*D347"),1225.401628)</f>
        <v>1225.401628</v>
      </c>
      <c r="G347" s="2" t="str">
        <f t="array" ref="G347">_xlfn.XLOOKUP(B347,Vendedores!$A$2:$A$41,Vendedores!$B$2:$B$41,"No hay datos")</f>
        <v>No hay datos</v>
      </c>
      <c r="H347" s="2" t="str">
        <f t="array" ref="H347">_xlfn.XLOOKUP(B347,Vendedores!$A$2:$A$41,Vendedores!$C$2:$C$41,"No hay datos")</f>
        <v>No hay datos</v>
      </c>
      <c r="I347" s="2" t="str">
        <f t="array" ref="I347">_xlfn.XLOOKUP(B347,Vendedores!$A$2:$A$41,Vendedores!$D$2:$D$41,"No hay datos")</f>
        <v>No hay datos</v>
      </c>
      <c r="J347" s="2" t="str">
        <f t="array" ref="J347">_xlfn.XLOOKUP(A347,Productos!$A$2:$A$61,Productos!$B$2:$F$61)</f>
        <v>#N/A</v>
      </c>
    </row>
    <row r="348">
      <c r="A348" s="2" t="str">
        <f>IFERROR(__xludf.DUMMYFUNCTION("""COMPUTED_VALUE"""),"PR050")</f>
        <v>PR050</v>
      </c>
      <c r="B348" s="2" t="str">
        <f>IFERROR(__xludf.DUMMYFUNCTION("""COMPUTED_VALUE"""),"VD042")</f>
        <v>VD042</v>
      </c>
      <c r="C348" s="2">
        <f>IFERROR(__xludf.DUMMYFUNCTION("""COMPUTED_VALUE"""),1.0)</f>
        <v>1</v>
      </c>
      <c r="D348" s="6">
        <f>IFERROR(__xludf.DUMMYFUNCTION("""COMPUTED_VALUE"""),33.89)</f>
        <v>33.89</v>
      </c>
      <c r="E348" s="6">
        <f>IFERROR(__xludf.DUMMYFUNCTION("GOOGLEFINANCE(""Currency:BRLMXN"")*D348"),115.12433)</f>
        <v>115.12433</v>
      </c>
      <c r="F348" s="6">
        <f>IFERROR(__xludf.DUMMYFUNCTION("GOOGLEFINANCE(""Currency:BRLPEN"")*D348"),22.218284)</f>
        <v>22.218284</v>
      </c>
      <c r="G348" s="2" t="str">
        <f t="array" ref="G348">_xlfn.XLOOKUP(B348,Vendedores!$A$2:$A$41,Vendedores!$B$2:$B$41,"No hay datos")</f>
        <v>No hay datos</v>
      </c>
      <c r="H348" s="2" t="str">
        <f t="array" ref="H348">_xlfn.XLOOKUP(B348,Vendedores!$A$2:$A$41,Vendedores!$C$2:$C$41,"No hay datos")</f>
        <v>No hay datos</v>
      </c>
      <c r="I348" s="2" t="str">
        <f t="array" ref="I348">_xlfn.XLOOKUP(B348,Vendedores!$A$2:$A$41,Vendedores!$D$2:$D$41,"No hay datos")</f>
        <v>No hay datos</v>
      </c>
      <c r="J348" s="2" t="str">
        <f t="array" ref="J348">_xlfn.XLOOKUP(A348,Productos!$A$2:$A$61,Productos!$B$2:$F$61)</f>
        <v>#N/A</v>
      </c>
    </row>
    <row r="349">
      <c r="A349" s="2" t="str">
        <f>IFERROR(__xludf.DUMMYFUNCTION("""COMPUTED_VALUE"""),"PR005")</f>
        <v>PR005</v>
      </c>
      <c r="B349" s="2" t="str">
        <f>IFERROR(__xludf.DUMMYFUNCTION("""COMPUTED_VALUE"""),"VD022")</f>
        <v>VD022</v>
      </c>
      <c r="C349" s="2">
        <f>IFERROR(__xludf.DUMMYFUNCTION("""COMPUTED_VALUE"""),6.0)</f>
        <v>6</v>
      </c>
      <c r="D349" s="6">
        <f>IFERROR(__xludf.DUMMYFUNCTION("""COMPUTED_VALUE"""),1574.99)</f>
        <v>1574.99</v>
      </c>
      <c r="E349" s="6">
        <f>IFERROR(__xludf.DUMMYFUNCTION("GOOGLEFINANCE(""Currency:BRLMXN"")*D349"),5350.24103)</f>
        <v>5350.24103</v>
      </c>
      <c r="F349" s="6">
        <f>IFERROR(__xludf.DUMMYFUNCTION("GOOGLEFINANCE(""Currency:BRLPEN"")*D349"),1032.563444)</f>
        <v>1032.563444</v>
      </c>
      <c r="G349" s="2" t="str">
        <f t="array" ref="G349">_xlfn.XLOOKUP(B349,Vendedores!$A$2:$A$41,Vendedores!$B$2:$B$41,"No hay datos")</f>
        <v>No hay datos</v>
      </c>
      <c r="H349" s="2" t="str">
        <f t="array" ref="H349">_xlfn.XLOOKUP(B349,Vendedores!$A$2:$A$41,Vendedores!$C$2:$C$41,"No hay datos")</f>
        <v>No hay datos</v>
      </c>
      <c r="I349" s="2" t="str">
        <f t="array" ref="I349">_xlfn.XLOOKUP(B349,Vendedores!$A$2:$A$41,Vendedores!$D$2:$D$41,"No hay datos")</f>
        <v>No hay datos</v>
      </c>
      <c r="J349" s="2" t="str">
        <f t="array" ref="J349">_xlfn.XLOOKUP(A349,Productos!$A$2:$A$61,Productos!$B$2:$F$61)</f>
        <v>#N/A</v>
      </c>
    </row>
    <row r="350">
      <c r="A350" s="2" t="str">
        <f>IFERROR(__xludf.DUMMYFUNCTION("""COMPUTED_VALUE"""),"PR018")</f>
        <v>PR018</v>
      </c>
      <c r="B350" s="2" t="str">
        <f>IFERROR(__xludf.DUMMYFUNCTION("""COMPUTED_VALUE"""),"VD047")</f>
        <v>VD047</v>
      </c>
      <c r="C350" s="2">
        <f>IFERROR(__xludf.DUMMYFUNCTION("""COMPUTED_VALUE"""),6.0)</f>
        <v>6</v>
      </c>
      <c r="D350" s="6">
        <f>IFERROR(__xludf.DUMMYFUNCTION("""COMPUTED_VALUE"""),197.4)</f>
        <v>197.4</v>
      </c>
      <c r="E350" s="6">
        <f>IFERROR(__xludf.DUMMYFUNCTION("GOOGLEFINANCE(""Currency:BRLMXN"")*D350"),670.5678)</f>
        <v>670.5678</v>
      </c>
      <c r="F350" s="6">
        <f>IFERROR(__xludf.DUMMYFUNCTION("GOOGLEFINANCE(""Currency:BRLPEN"")*D350"),129.41544)</f>
        <v>129.41544</v>
      </c>
      <c r="G350" s="2" t="str">
        <f t="array" ref="G350">_xlfn.XLOOKUP(B350,Vendedores!$A$2:$A$41,Vendedores!$B$2:$B$41,"No hay datos")</f>
        <v>No hay datos</v>
      </c>
      <c r="H350" s="2" t="str">
        <f t="array" ref="H350">_xlfn.XLOOKUP(B350,Vendedores!$A$2:$A$41,Vendedores!$C$2:$C$41,"No hay datos")</f>
        <v>No hay datos</v>
      </c>
      <c r="I350" s="2" t="str">
        <f t="array" ref="I350">_xlfn.XLOOKUP(B350,Vendedores!$A$2:$A$41,Vendedores!$D$2:$D$41,"No hay datos")</f>
        <v>No hay datos</v>
      </c>
      <c r="J350" s="2" t="str">
        <f t="array" ref="J350">_xlfn.XLOOKUP(A350,Productos!$A$2:$A$61,Productos!$B$2:$F$61)</f>
        <v>#N/A</v>
      </c>
    </row>
    <row r="351">
      <c r="A351" s="2" t="str">
        <f>IFERROR(__xludf.DUMMYFUNCTION("""COMPUTED_VALUE"""),"PR057")</f>
        <v>PR057</v>
      </c>
      <c r="B351" s="2" t="str">
        <f>IFERROR(__xludf.DUMMYFUNCTION("""COMPUTED_VALUE"""),"VD043")</f>
        <v>VD043</v>
      </c>
      <c r="C351" s="2">
        <f>IFERROR(__xludf.DUMMYFUNCTION("""COMPUTED_VALUE"""),1.0)</f>
        <v>1</v>
      </c>
      <c r="D351" s="6">
        <f>IFERROR(__xludf.DUMMYFUNCTION("""COMPUTED_VALUE"""),96.19)</f>
        <v>96.19</v>
      </c>
      <c r="E351" s="6">
        <f>IFERROR(__xludf.DUMMYFUNCTION("GOOGLEFINANCE(""Currency:BRLMXN"")*D351"),326.75743)</f>
        <v>326.75743</v>
      </c>
      <c r="F351" s="6">
        <f>IFERROR(__xludf.DUMMYFUNCTION("GOOGLEFINANCE(""Currency:BRLPEN"")*D351"),63.062163999999996)</f>
        <v>63.062164</v>
      </c>
      <c r="G351" s="2" t="str">
        <f t="array" ref="G351">_xlfn.XLOOKUP(B351,Vendedores!$A$2:$A$41,Vendedores!$B$2:$B$41,"No hay datos")</f>
        <v>No hay datos</v>
      </c>
      <c r="H351" s="2" t="str">
        <f t="array" ref="H351">_xlfn.XLOOKUP(B351,Vendedores!$A$2:$A$41,Vendedores!$C$2:$C$41,"No hay datos")</f>
        <v>No hay datos</v>
      </c>
      <c r="I351" s="2" t="str">
        <f t="array" ref="I351">_xlfn.XLOOKUP(B351,Vendedores!$A$2:$A$41,Vendedores!$D$2:$D$41,"No hay datos")</f>
        <v>No hay datos</v>
      </c>
      <c r="J351" s="2" t="str">
        <f t="array" ref="J351">_xlfn.XLOOKUP(A351,Productos!$A$2:$A$61,Productos!$B$2:$F$61)</f>
        <v>#N/A</v>
      </c>
    </row>
    <row r="352">
      <c r="A352" s="2" t="str">
        <f>IFERROR(__xludf.DUMMYFUNCTION("""COMPUTED_VALUE"""),"PR010")</f>
        <v>PR010</v>
      </c>
      <c r="B352" s="2" t="str">
        <f>IFERROR(__xludf.DUMMYFUNCTION("""COMPUTED_VALUE"""),"VD042")</f>
        <v>VD042</v>
      </c>
      <c r="C352" s="2">
        <f>IFERROR(__xludf.DUMMYFUNCTION("""COMPUTED_VALUE"""),16.0)</f>
        <v>16</v>
      </c>
      <c r="D352" s="6">
        <f>IFERROR(__xludf.DUMMYFUNCTION("""COMPUTED_VALUE"""),732.77)</f>
        <v>732.77</v>
      </c>
      <c r="E352" s="6">
        <f>IFERROR(__xludf.DUMMYFUNCTION("GOOGLEFINANCE(""Currency:BRLMXN"")*D352"),2489.21969)</f>
        <v>2489.21969</v>
      </c>
      <c r="F352" s="6">
        <f>IFERROR(__xludf.DUMMYFUNCTION("GOOGLEFINANCE(""Currency:BRLPEN"")*D352"),480.40401199999997)</f>
        <v>480.404012</v>
      </c>
      <c r="G352" s="2" t="str">
        <f t="array" ref="G352">_xlfn.XLOOKUP(B352,Vendedores!$A$2:$A$41,Vendedores!$B$2:$B$41,"No hay datos")</f>
        <v>No hay datos</v>
      </c>
      <c r="H352" s="2" t="str">
        <f t="array" ref="H352">_xlfn.XLOOKUP(B352,Vendedores!$A$2:$A$41,Vendedores!$C$2:$C$41,"No hay datos")</f>
        <v>No hay datos</v>
      </c>
      <c r="I352" s="2" t="str">
        <f t="array" ref="I352">_xlfn.XLOOKUP(B352,Vendedores!$A$2:$A$41,Vendedores!$D$2:$D$41,"No hay datos")</f>
        <v>No hay datos</v>
      </c>
      <c r="J352" s="2" t="str">
        <f t="array" ref="J352">_xlfn.XLOOKUP(A352,Productos!$A$2:$A$61,Productos!$B$2:$F$61)</f>
        <v>#N/A</v>
      </c>
    </row>
    <row r="353">
      <c r="A353" s="2" t="str">
        <f>IFERROR(__xludf.DUMMYFUNCTION("""COMPUTED_VALUE"""),"PR001")</f>
        <v>PR001</v>
      </c>
      <c r="B353" s="2" t="str">
        <f>IFERROR(__xludf.DUMMYFUNCTION("""COMPUTED_VALUE"""),"VD034")</f>
        <v>VD034</v>
      </c>
      <c r="C353" s="2">
        <f>IFERROR(__xludf.DUMMYFUNCTION("""COMPUTED_VALUE"""),6.0)</f>
        <v>6</v>
      </c>
      <c r="D353" s="6">
        <f>IFERROR(__xludf.DUMMYFUNCTION("""COMPUTED_VALUE"""),419.12)</f>
        <v>419.12</v>
      </c>
      <c r="E353" s="6">
        <f>IFERROR(__xludf.DUMMYFUNCTION("GOOGLEFINANCE(""Currency:BRLMXN"")*D353"),1423.75064)</f>
        <v>1423.75064</v>
      </c>
      <c r="F353" s="6">
        <f>IFERROR(__xludf.DUMMYFUNCTION("GOOGLEFINANCE(""Currency:BRLPEN"")*D353"),274.77507199999997)</f>
        <v>274.775072</v>
      </c>
      <c r="G353" s="2" t="str">
        <f t="array" ref="G353">_xlfn.XLOOKUP(B353,Vendedores!$A$2:$A$41,Vendedores!$B$2:$B$41,"No hay datos")</f>
        <v>No hay datos</v>
      </c>
      <c r="H353" s="2" t="str">
        <f t="array" ref="H353">_xlfn.XLOOKUP(B353,Vendedores!$A$2:$A$41,Vendedores!$C$2:$C$41,"No hay datos")</f>
        <v>No hay datos</v>
      </c>
      <c r="I353" s="2" t="str">
        <f t="array" ref="I353">_xlfn.XLOOKUP(B353,Vendedores!$A$2:$A$41,Vendedores!$D$2:$D$41,"No hay datos")</f>
        <v>No hay datos</v>
      </c>
      <c r="J353" s="2" t="str">
        <f t="array" ref="J353">_xlfn.XLOOKUP(A353,Productos!$A$2:$A$61,Productos!$B$2:$F$61)</f>
        <v>#N/A</v>
      </c>
    </row>
    <row r="354">
      <c r="A354" s="2" t="str">
        <f>IFERROR(__xludf.DUMMYFUNCTION("""COMPUTED_VALUE"""),"PR036")</f>
        <v>PR036</v>
      </c>
      <c r="B354" s="2" t="str">
        <f>IFERROR(__xludf.DUMMYFUNCTION("""COMPUTED_VALUE"""),"VD046")</f>
        <v>VD046</v>
      </c>
      <c r="C354" s="2">
        <f>IFERROR(__xludf.DUMMYFUNCTION("""COMPUTED_VALUE"""),7.0)</f>
        <v>7</v>
      </c>
      <c r="D354" s="6">
        <f>IFERROR(__xludf.DUMMYFUNCTION("""COMPUTED_VALUE"""),706.86)</f>
        <v>706.86</v>
      </c>
      <c r="E354" s="6">
        <f>IFERROR(__xludf.DUMMYFUNCTION("GOOGLEFINANCE(""Currency:BRLMXN"")*D354"),2401.20342)</f>
        <v>2401.20342</v>
      </c>
      <c r="F354" s="6">
        <f>IFERROR(__xludf.DUMMYFUNCTION("GOOGLEFINANCE(""Currency:BRLPEN"")*D354"),463.417416)</f>
        <v>463.417416</v>
      </c>
      <c r="G354" s="2" t="str">
        <f t="array" ref="G354">_xlfn.XLOOKUP(B354,Vendedores!$A$2:$A$41,Vendedores!$B$2:$B$41,"No hay datos")</f>
        <v>No hay datos</v>
      </c>
      <c r="H354" s="2" t="str">
        <f t="array" ref="H354">_xlfn.XLOOKUP(B354,Vendedores!$A$2:$A$41,Vendedores!$C$2:$C$41,"No hay datos")</f>
        <v>No hay datos</v>
      </c>
      <c r="I354" s="2" t="str">
        <f t="array" ref="I354">_xlfn.XLOOKUP(B354,Vendedores!$A$2:$A$41,Vendedores!$D$2:$D$41,"No hay datos")</f>
        <v>No hay datos</v>
      </c>
      <c r="J354" s="2" t="str">
        <f t="array" ref="J354">_xlfn.XLOOKUP(A354,Productos!$A$2:$A$61,Productos!$B$2:$F$61)</f>
        <v>#N/A</v>
      </c>
    </row>
    <row r="355">
      <c r="A355" s="2" t="str">
        <f>IFERROR(__xludf.DUMMYFUNCTION("""COMPUTED_VALUE"""),"PR051")</f>
        <v>PR051</v>
      </c>
      <c r="B355" s="2" t="str">
        <f>IFERROR(__xludf.DUMMYFUNCTION("""COMPUTED_VALUE"""),"VD026")</f>
        <v>VD026</v>
      </c>
      <c r="C355" s="2">
        <f>IFERROR(__xludf.DUMMYFUNCTION("""COMPUTED_VALUE"""),20.0)</f>
        <v>20</v>
      </c>
      <c r="D355" s="6">
        <f>IFERROR(__xludf.DUMMYFUNCTION("""COMPUTED_VALUE"""),704.06)</f>
        <v>704.06</v>
      </c>
      <c r="E355" s="6">
        <f>IFERROR(__xludf.DUMMYFUNCTION("GOOGLEFINANCE(""Currency:BRLMXN"")*D355"),2391.6918199999996)</f>
        <v>2391.69182</v>
      </c>
      <c r="F355" s="6">
        <f>IFERROR(__xludf.DUMMYFUNCTION("GOOGLEFINANCE(""Currency:BRLPEN"")*D355"),461.5817359999999)</f>
        <v>461.581736</v>
      </c>
      <c r="G355" s="2" t="str">
        <f t="array" ref="G355">_xlfn.XLOOKUP(B355,Vendedores!$A$2:$A$41,Vendedores!$B$2:$B$41,"No hay datos")</f>
        <v>No hay datos</v>
      </c>
      <c r="H355" s="2" t="str">
        <f t="array" ref="H355">_xlfn.XLOOKUP(B355,Vendedores!$A$2:$A$41,Vendedores!$C$2:$C$41,"No hay datos")</f>
        <v>No hay datos</v>
      </c>
      <c r="I355" s="2" t="str">
        <f t="array" ref="I355">_xlfn.XLOOKUP(B355,Vendedores!$A$2:$A$41,Vendedores!$D$2:$D$41,"No hay datos")</f>
        <v>No hay datos</v>
      </c>
      <c r="J355" s="2" t="str">
        <f t="array" ref="J355">_xlfn.XLOOKUP(A355,Productos!$A$2:$A$61,Productos!$B$2:$F$61)</f>
        <v>#N/A</v>
      </c>
    </row>
    <row r="356">
      <c r="A356" s="2" t="str">
        <f>IFERROR(__xludf.DUMMYFUNCTION("""COMPUTED_VALUE"""),"PR030")</f>
        <v>PR030</v>
      </c>
      <c r="B356" s="2" t="str">
        <f>IFERROR(__xludf.DUMMYFUNCTION("""COMPUTED_VALUE"""),"VD036")</f>
        <v>VD036</v>
      </c>
      <c r="C356" s="2">
        <f>IFERROR(__xludf.DUMMYFUNCTION("""COMPUTED_VALUE"""),21.0)</f>
        <v>21</v>
      </c>
      <c r="D356" s="6">
        <f>IFERROR(__xludf.DUMMYFUNCTION("""COMPUTED_VALUE"""),5457.9)</f>
        <v>5457.9</v>
      </c>
      <c r="E356" s="6">
        <f>IFERROR(__xludf.DUMMYFUNCTION("GOOGLEFINANCE(""Currency:BRLMXN"")*D356"),18540.486299999997)</f>
        <v>18540.4863</v>
      </c>
      <c r="F356" s="6">
        <f>IFERROR(__xludf.DUMMYFUNCTION("GOOGLEFINANCE(""Currency:BRLPEN"")*D356"),3578.1992399999995)</f>
        <v>3578.19924</v>
      </c>
      <c r="G356" s="2" t="str">
        <f t="array" ref="G356">_xlfn.XLOOKUP(B356,Vendedores!$A$2:$A$41,Vendedores!$B$2:$B$41,"No hay datos")</f>
        <v>No hay datos</v>
      </c>
      <c r="H356" s="2" t="str">
        <f t="array" ref="H356">_xlfn.XLOOKUP(B356,Vendedores!$A$2:$A$41,Vendedores!$C$2:$C$41,"No hay datos")</f>
        <v>No hay datos</v>
      </c>
      <c r="I356" s="2" t="str">
        <f t="array" ref="I356">_xlfn.XLOOKUP(B356,Vendedores!$A$2:$A$41,Vendedores!$D$2:$D$41,"No hay datos")</f>
        <v>No hay datos</v>
      </c>
      <c r="J356" s="2" t="str">
        <f t="array" ref="J356">_xlfn.XLOOKUP(A356,Productos!$A$2:$A$61,Productos!$B$2:$F$61)</f>
        <v>#N/A</v>
      </c>
    </row>
    <row r="357">
      <c r="A357" s="2" t="str">
        <f>IFERROR(__xludf.DUMMYFUNCTION("""COMPUTED_VALUE"""),"PR045")</f>
        <v>PR045</v>
      </c>
      <c r="B357" s="2" t="str">
        <f>IFERROR(__xludf.DUMMYFUNCTION("""COMPUTED_VALUE"""),"VD039")</f>
        <v>VD039</v>
      </c>
      <c r="C357" s="2">
        <f>IFERROR(__xludf.DUMMYFUNCTION("""COMPUTED_VALUE"""),18.0)</f>
        <v>18</v>
      </c>
      <c r="D357" s="6">
        <f>IFERROR(__xludf.DUMMYFUNCTION("""COMPUTED_VALUE"""),1409.4)</f>
        <v>1409.4</v>
      </c>
      <c r="E357" s="6">
        <f>IFERROR(__xludf.DUMMYFUNCTION("GOOGLEFINANCE(""Currency:BRLMXN"")*D357"),4787.7318000000005)</f>
        <v>4787.7318</v>
      </c>
      <c r="F357" s="6">
        <f>IFERROR(__xludf.DUMMYFUNCTION("GOOGLEFINANCE(""Currency:BRLPEN"")*D357"),924.00264)</f>
        <v>924.00264</v>
      </c>
      <c r="G357" s="2" t="str">
        <f t="array" ref="G357">_xlfn.XLOOKUP(B357,Vendedores!$A$2:$A$41,Vendedores!$B$2:$B$41,"No hay datos")</f>
        <v>No hay datos</v>
      </c>
      <c r="H357" s="2" t="str">
        <f t="array" ref="H357">_xlfn.XLOOKUP(B357,Vendedores!$A$2:$A$41,Vendedores!$C$2:$C$41,"No hay datos")</f>
        <v>No hay datos</v>
      </c>
      <c r="I357" s="2" t="str">
        <f t="array" ref="I357">_xlfn.XLOOKUP(B357,Vendedores!$A$2:$A$41,Vendedores!$D$2:$D$41,"No hay datos")</f>
        <v>No hay datos</v>
      </c>
      <c r="J357" s="2" t="str">
        <f t="array" ref="J357">_xlfn.XLOOKUP(A357,Productos!$A$2:$A$61,Productos!$B$2:$F$61)</f>
        <v>#N/A</v>
      </c>
    </row>
    <row r="358">
      <c r="A358" s="2" t="str">
        <f>IFERROR(__xludf.DUMMYFUNCTION("""COMPUTED_VALUE"""),"PR025")</f>
        <v>PR025</v>
      </c>
      <c r="B358" s="2" t="str">
        <f>IFERROR(__xludf.DUMMYFUNCTION("""COMPUTED_VALUE"""),"VD013")</f>
        <v>VD013</v>
      </c>
      <c r="C358" s="2">
        <f>IFERROR(__xludf.DUMMYFUNCTION("""COMPUTED_VALUE"""),6.0)</f>
        <v>6</v>
      </c>
      <c r="D358" s="6">
        <f>IFERROR(__xludf.DUMMYFUNCTION("""COMPUTED_VALUE"""),1817.39)</f>
        <v>1817.39</v>
      </c>
      <c r="E358" s="6">
        <f>IFERROR(__xludf.DUMMYFUNCTION("GOOGLEFINANCE(""Currency:BRLMXN"")*D358"),6173.67383)</f>
        <v>6173.67383</v>
      </c>
      <c r="F358" s="6">
        <f>IFERROR(__xludf.DUMMYFUNCTION("GOOGLEFINANCE(""Currency:BRLPEN"")*D358"),1191.480884)</f>
        <v>1191.480884</v>
      </c>
      <c r="G358" s="2" t="str">
        <f t="array" ref="G358">_xlfn.XLOOKUP(B358,Vendedores!$A$2:$A$41,Vendedores!$B$2:$B$41,"No hay datos")</f>
        <v>No hay datos</v>
      </c>
      <c r="H358" s="2" t="str">
        <f t="array" ref="H358">_xlfn.XLOOKUP(B358,Vendedores!$A$2:$A$41,Vendedores!$C$2:$C$41,"No hay datos")</f>
        <v>No hay datos</v>
      </c>
      <c r="I358" s="2" t="str">
        <f t="array" ref="I358">_xlfn.XLOOKUP(B358,Vendedores!$A$2:$A$41,Vendedores!$D$2:$D$41,"No hay datos")</f>
        <v>No hay datos</v>
      </c>
      <c r="J358" s="2" t="str">
        <f t="array" ref="J358">_xlfn.XLOOKUP(A358,Productos!$A$2:$A$61,Productos!$B$2:$F$61)</f>
        <v>#N/A</v>
      </c>
    </row>
    <row r="359">
      <c r="A359" s="2" t="str">
        <f>IFERROR(__xludf.DUMMYFUNCTION("""COMPUTED_VALUE"""),"PR025")</f>
        <v>PR025</v>
      </c>
      <c r="B359" s="2" t="str">
        <f>IFERROR(__xludf.DUMMYFUNCTION("""COMPUTED_VALUE"""),"VD043")</f>
        <v>VD043</v>
      </c>
      <c r="C359" s="2">
        <f>IFERROR(__xludf.DUMMYFUNCTION("""COMPUTED_VALUE"""),16.0)</f>
        <v>16</v>
      </c>
      <c r="D359" s="6">
        <f>IFERROR(__xludf.DUMMYFUNCTION("""COMPUTED_VALUE"""),4990.34)</f>
        <v>4990.34</v>
      </c>
      <c r="E359" s="6">
        <f>IFERROR(__xludf.DUMMYFUNCTION("GOOGLEFINANCE(""Currency:BRLMXN"")*D359"),16952.184979999998)</f>
        <v>16952.18498</v>
      </c>
      <c r="F359" s="6">
        <f>IFERROR(__xludf.DUMMYFUNCTION("GOOGLEFINANCE(""Currency:BRLPEN"")*D359"),3271.6669039999997)</f>
        <v>3271.666904</v>
      </c>
      <c r="G359" s="2" t="str">
        <f t="array" ref="G359">_xlfn.XLOOKUP(B359,Vendedores!$A$2:$A$41,Vendedores!$B$2:$B$41,"No hay datos")</f>
        <v>No hay datos</v>
      </c>
      <c r="H359" s="2" t="str">
        <f t="array" ref="H359">_xlfn.XLOOKUP(B359,Vendedores!$A$2:$A$41,Vendedores!$C$2:$C$41,"No hay datos")</f>
        <v>No hay datos</v>
      </c>
      <c r="I359" s="2" t="str">
        <f t="array" ref="I359">_xlfn.XLOOKUP(B359,Vendedores!$A$2:$A$41,Vendedores!$D$2:$D$41,"No hay datos")</f>
        <v>No hay datos</v>
      </c>
      <c r="J359" s="2" t="str">
        <f t="array" ref="J359">_xlfn.XLOOKUP(A359,Productos!$A$2:$A$61,Productos!$B$2:$F$61)</f>
        <v>#N/A</v>
      </c>
    </row>
    <row r="360">
      <c r="A360" s="2" t="str">
        <f>IFERROR(__xludf.DUMMYFUNCTION("""COMPUTED_VALUE"""),"PR047")</f>
        <v>PR047</v>
      </c>
      <c r="B360" s="2" t="str">
        <f>IFERROR(__xludf.DUMMYFUNCTION("""COMPUTED_VALUE"""),"VD011")</f>
        <v>VD011</v>
      </c>
      <c r="C360" s="2">
        <f>IFERROR(__xludf.DUMMYFUNCTION("""COMPUTED_VALUE"""),3.0)</f>
        <v>3</v>
      </c>
      <c r="D360" s="6">
        <f>IFERROR(__xludf.DUMMYFUNCTION("""COMPUTED_VALUE"""),913.19)</f>
        <v>913.19</v>
      </c>
      <c r="E360" s="6">
        <f>IFERROR(__xludf.DUMMYFUNCTION("GOOGLEFINANCE(""Currency:BRLMXN"")*D360"),3102.10643)</f>
        <v>3102.10643</v>
      </c>
      <c r="F360" s="6">
        <f>IFERROR(__xludf.DUMMYFUNCTION("GOOGLEFINANCE(""Currency:BRLPEN"")*D360"),598.687364)</f>
        <v>598.687364</v>
      </c>
      <c r="G360" s="2" t="str">
        <f t="array" ref="G360">_xlfn.XLOOKUP(B360,Vendedores!$A$2:$A$41,Vendedores!$B$2:$B$41,"No hay datos")</f>
        <v>No hay datos</v>
      </c>
      <c r="H360" s="2" t="str">
        <f t="array" ref="H360">_xlfn.XLOOKUP(B360,Vendedores!$A$2:$A$41,Vendedores!$C$2:$C$41,"No hay datos")</f>
        <v>No hay datos</v>
      </c>
      <c r="I360" s="2" t="str">
        <f t="array" ref="I360">_xlfn.XLOOKUP(B360,Vendedores!$A$2:$A$41,Vendedores!$D$2:$D$41,"No hay datos")</f>
        <v>No hay datos</v>
      </c>
      <c r="J360" s="2" t="str">
        <f t="array" ref="J360">_xlfn.XLOOKUP(A360,Productos!$A$2:$A$61,Productos!$B$2:$F$61)</f>
        <v>#N/A</v>
      </c>
    </row>
    <row r="361">
      <c r="A361" s="2" t="str">
        <f>IFERROR(__xludf.DUMMYFUNCTION("""COMPUTED_VALUE"""),"PR060")</f>
        <v>PR060</v>
      </c>
      <c r="B361" s="2" t="str">
        <f>IFERROR(__xludf.DUMMYFUNCTION("""COMPUTED_VALUE"""),"VD044")</f>
        <v>VD044</v>
      </c>
      <c r="C361" s="2">
        <f>IFERROR(__xludf.DUMMYFUNCTION("""COMPUTED_VALUE"""),6.0)</f>
        <v>6</v>
      </c>
      <c r="D361" s="6">
        <f>IFERROR(__xludf.DUMMYFUNCTION("""COMPUTED_VALUE"""),1101.6)</f>
        <v>1101.6</v>
      </c>
      <c r="E361" s="6">
        <f>IFERROR(__xludf.DUMMYFUNCTION("GOOGLEFINANCE(""Currency:BRLMXN"")*D361"),3742.1351999999993)</f>
        <v>3742.1352</v>
      </c>
      <c r="F361" s="6">
        <f>IFERROR(__xludf.DUMMYFUNCTION("GOOGLEFINANCE(""Currency:BRLPEN"")*D361"),722.2089599999999)</f>
        <v>722.20896</v>
      </c>
      <c r="G361" s="2" t="str">
        <f t="array" ref="G361">_xlfn.XLOOKUP(B361,Vendedores!$A$2:$A$41,Vendedores!$B$2:$B$41,"No hay datos")</f>
        <v>No hay datos</v>
      </c>
      <c r="H361" s="2" t="str">
        <f t="array" ref="H361">_xlfn.XLOOKUP(B361,Vendedores!$A$2:$A$41,Vendedores!$C$2:$C$41,"No hay datos")</f>
        <v>No hay datos</v>
      </c>
      <c r="I361" s="2" t="str">
        <f t="array" ref="I361">_xlfn.XLOOKUP(B361,Vendedores!$A$2:$A$41,Vendedores!$D$2:$D$41,"No hay datos")</f>
        <v>No hay datos</v>
      </c>
      <c r="J361" s="2" t="str">
        <f t="array" ref="J361">_xlfn.XLOOKUP(A361,Productos!$A$2:$A$61,Productos!$B$2:$F$61)</f>
        <v>#N/A</v>
      </c>
    </row>
    <row r="362">
      <c r="A362" s="2" t="str">
        <f>IFERROR(__xludf.DUMMYFUNCTION("""COMPUTED_VALUE"""),"PR012")</f>
        <v>PR012</v>
      </c>
      <c r="B362" s="2" t="str">
        <f>IFERROR(__xludf.DUMMYFUNCTION("""COMPUTED_VALUE"""),"VD022")</f>
        <v>VD022</v>
      </c>
      <c r="C362" s="2">
        <f>IFERROR(__xludf.DUMMYFUNCTION("""COMPUTED_VALUE"""),27.0)</f>
        <v>27</v>
      </c>
      <c r="D362" s="6">
        <f>IFERROR(__xludf.DUMMYFUNCTION("""COMPUTED_VALUE"""),1333.5)</f>
        <v>1333.5</v>
      </c>
      <c r="E362" s="6">
        <f>IFERROR(__xludf.DUMMYFUNCTION("GOOGLEFINANCE(""Currency:BRLMXN"")*D362"),4529.8994999999995)</f>
        <v>4529.8995</v>
      </c>
      <c r="F362" s="6">
        <f>IFERROR(__xludf.DUMMYFUNCTION("GOOGLEFINANCE(""Currency:BRLPEN"")*D362"),874.2425999999999)</f>
        <v>874.2426</v>
      </c>
      <c r="G362" s="2" t="str">
        <f t="array" ref="G362">_xlfn.XLOOKUP(B362,Vendedores!$A$2:$A$41,Vendedores!$B$2:$B$41,"No hay datos")</f>
        <v>No hay datos</v>
      </c>
      <c r="H362" s="2" t="str">
        <f t="array" ref="H362">_xlfn.XLOOKUP(B362,Vendedores!$A$2:$A$41,Vendedores!$C$2:$C$41,"No hay datos")</f>
        <v>No hay datos</v>
      </c>
      <c r="I362" s="2" t="str">
        <f t="array" ref="I362">_xlfn.XLOOKUP(B362,Vendedores!$A$2:$A$41,Vendedores!$D$2:$D$41,"No hay datos")</f>
        <v>No hay datos</v>
      </c>
      <c r="J362" s="2" t="str">
        <f t="array" ref="J362">_xlfn.XLOOKUP(A362,Productos!$A$2:$A$61,Productos!$B$2:$F$61)</f>
        <v>#N/A</v>
      </c>
    </row>
    <row r="363">
      <c r="A363" s="2" t="str">
        <f>IFERROR(__xludf.DUMMYFUNCTION("""COMPUTED_VALUE"""),"PR009")</f>
        <v>PR009</v>
      </c>
      <c r="B363" s="2" t="str">
        <f>IFERROR(__xludf.DUMMYFUNCTION("""COMPUTED_VALUE"""),"VD019")</f>
        <v>VD019</v>
      </c>
      <c r="C363" s="2">
        <f>IFERROR(__xludf.DUMMYFUNCTION("""COMPUTED_VALUE"""),2.0)</f>
        <v>2</v>
      </c>
      <c r="D363" s="6">
        <f>IFERROR(__xludf.DUMMYFUNCTION("""COMPUTED_VALUE"""),185.8)</f>
        <v>185.8</v>
      </c>
      <c r="E363" s="6">
        <f>IFERROR(__xludf.DUMMYFUNCTION("GOOGLEFINANCE(""Currency:BRLMXN"")*D363"),631.1626)</f>
        <v>631.1626</v>
      </c>
      <c r="F363" s="6">
        <f>IFERROR(__xludf.DUMMYFUNCTION("GOOGLEFINANCE(""Currency:BRLPEN"")*D363"),121.81048)</f>
        <v>121.81048</v>
      </c>
      <c r="G363" s="2" t="str">
        <f t="array" ref="G363">_xlfn.XLOOKUP(B363,Vendedores!$A$2:$A$41,Vendedores!$B$2:$B$41,"No hay datos")</f>
        <v>No hay datos</v>
      </c>
      <c r="H363" s="2" t="str">
        <f t="array" ref="H363">_xlfn.XLOOKUP(B363,Vendedores!$A$2:$A$41,Vendedores!$C$2:$C$41,"No hay datos")</f>
        <v>No hay datos</v>
      </c>
      <c r="I363" s="2" t="str">
        <f t="array" ref="I363">_xlfn.XLOOKUP(B363,Vendedores!$A$2:$A$41,Vendedores!$D$2:$D$41,"No hay datos")</f>
        <v>No hay datos</v>
      </c>
      <c r="J363" s="2" t="str">
        <f t="array" ref="J363">_xlfn.XLOOKUP(A363,Productos!$A$2:$A$61,Productos!$B$2:$F$61)</f>
        <v>#N/A</v>
      </c>
    </row>
    <row r="364">
      <c r="A364" s="2" t="str">
        <f>IFERROR(__xludf.DUMMYFUNCTION("""COMPUTED_VALUE"""),"PR010")</f>
        <v>PR010</v>
      </c>
      <c r="B364" s="2" t="str">
        <f>IFERROR(__xludf.DUMMYFUNCTION("""COMPUTED_VALUE"""),"VD041")</f>
        <v>VD041</v>
      </c>
      <c r="C364" s="2">
        <f>IFERROR(__xludf.DUMMYFUNCTION("""COMPUTED_VALUE"""),5.0)</f>
        <v>5</v>
      </c>
      <c r="D364" s="6">
        <f>IFERROR(__xludf.DUMMYFUNCTION("""COMPUTED_VALUE"""),237.97)</f>
        <v>237.97</v>
      </c>
      <c r="E364" s="6">
        <f>IFERROR(__xludf.DUMMYFUNCTION("GOOGLEFINANCE(""Currency:BRLMXN"")*D364"),808.3840899999999)</f>
        <v>808.38409</v>
      </c>
      <c r="F364" s="6">
        <f>IFERROR(__xludf.DUMMYFUNCTION("GOOGLEFINANCE(""Currency:BRLPEN"")*D364"),156.01313199999998)</f>
        <v>156.013132</v>
      </c>
      <c r="G364" s="2" t="str">
        <f t="array" ref="G364">_xlfn.XLOOKUP(B364,Vendedores!$A$2:$A$41,Vendedores!$B$2:$B$41,"No hay datos")</f>
        <v>No hay datos</v>
      </c>
      <c r="H364" s="2" t="str">
        <f t="array" ref="H364">_xlfn.XLOOKUP(B364,Vendedores!$A$2:$A$41,Vendedores!$C$2:$C$41,"No hay datos")</f>
        <v>No hay datos</v>
      </c>
      <c r="I364" s="2" t="str">
        <f t="array" ref="I364">_xlfn.XLOOKUP(B364,Vendedores!$A$2:$A$41,Vendedores!$D$2:$D$41,"No hay datos")</f>
        <v>No hay datos</v>
      </c>
      <c r="J364" s="2" t="str">
        <f t="array" ref="J364">_xlfn.XLOOKUP(A364,Productos!$A$2:$A$61,Productos!$B$2:$F$61)</f>
        <v>#N/A</v>
      </c>
    </row>
    <row r="365">
      <c r="A365" s="2" t="str">
        <f>IFERROR(__xludf.DUMMYFUNCTION("""COMPUTED_VALUE"""),"PR049")</f>
        <v>PR049</v>
      </c>
      <c r="B365" s="2" t="str">
        <f>IFERROR(__xludf.DUMMYFUNCTION("""COMPUTED_VALUE"""),"VD049")</f>
        <v>VD049</v>
      </c>
      <c r="C365" s="2">
        <f>IFERROR(__xludf.DUMMYFUNCTION("""COMPUTED_VALUE"""),4.0)</f>
        <v>4</v>
      </c>
      <c r="D365" s="6">
        <f>IFERROR(__xludf.DUMMYFUNCTION("""COMPUTED_VALUE"""),143.44)</f>
        <v>143.44</v>
      </c>
      <c r="E365" s="6">
        <f>IFERROR(__xludf.DUMMYFUNCTION("GOOGLEFINANCE(""Currency:BRLMXN"")*D365"),487.26568)</f>
        <v>487.26568</v>
      </c>
      <c r="F365" s="6">
        <f>IFERROR(__xludf.DUMMYFUNCTION("GOOGLEFINANCE(""Currency:BRLPEN"")*D365"),94.03926399999999)</f>
        <v>94.039264</v>
      </c>
      <c r="G365" s="2" t="str">
        <f t="array" ref="G365">_xlfn.XLOOKUP(B365,Vendedores!$A$2:$A$41,Vendedores!$B$2:$B$41,"No hay datos")</f>
        <v>No hay datos</v>
      </c>
      <c r="H365" s="2" t="str">
        <f t="array" ref="H365">_xlfn.XLOOKUP(B365,Vendedores!$A$2:$A$41,Vendedores!$C$2:$C$41,"No hay datos")</f>
        <v>No hay datos</v>
      </c>
      <c r="I365" s="2" t="str">
        <f t="array" ref="I365">_xlfn.XLOOKUP(B365,Vendedores!$A$2:$A$41,Vendedores!$D$2:$D$41,"No hay datos")</f>
        <v>No hay datos</v>
      </c>
      <c r="J365" s="2" t="str">
        <f t="array" ref="J365">_xlfn.XLOOKUP(A365,Productos!$A$2:$A$61,Productos!$B$2:$F$61)</f>
        <v>#N/A</v>
      </c>
    </row>
    <row r="366">
      <c r="A366" s="2" t="str">
        <f>IFERROR(__xludf.DUMMYFUNCTION("""COMPUTED_VALUE"""),"PR016")</f>
        <v>PR016</v>
      </c>
      <c r="B366" s="2" t="str">
        <f>IFERROR(__xludf.DUMMYFUNCTION("""COMPUTED_VALUE"""),"VD044")</f>
        <v>VD044</v>
      </c>
      <c r="C366" s="2">
        <f>IFERROR(__xludf.DUMMYFUNCTION("""COMPUTED_VALUE"""),6.0)</f>
        <v>6</v>
      </c>
      <c r="D366" s="6">
        <f>IFERROR(__xludf.DUMMYFUNCTION("""COMPUTED_VALUE"""),161.62)</f>
        <v>161.62</v>
      </c>
      <c r="E366" s="6">
        <f>IFERROR(__xludf.DUMMYFUNCTION("GOOGLEFINANCE(""Currency:BRLMXN"")*D366"),549.02314)</f>
        <v>549.02314</v>
      </c>
      <c r="F366" s="6">
        <f>IFERROR(__xludf.DUMMYFUNCTION("GOOGLEFINANCE(""Currency:BRLPEN"")*D366"),105.958072)</f>
        <v>105.958072</v>
      </c>
      <c r="G366" s="2" t="str">
        <f t="array" ref="G366">_xlfn.XLOOKUP(B366,Vendedores!$A$2:$A$41,Vendedores!$B$2:$B$41,"No hay datos")</f>
        <v>No hay datos</v>
      </c>
      <c r="H366" s="2" t="str">
        <f t="array" ref="H366">_xlfn.XLOOKUP(B366,Vendedores!$A$2:$A$41,Vendedores!$C$2:$C$41,"No hay datos")</f>
        <v>No hay datos</v>
      </c>
      <c r="I366" s="2" t="str">
        <f t="array" ref="I366">_xlfn.XLOOKUP(B366,Vendedores!$A$2:$A$41,Vendedores!$D$2:$D$41,"No hay datos")</f>
        <v>No hay datos</v>
      </c>
      <c r="J366" s="2" t="str">
        <f t="array" ref="J366">_xlfn.XLOOKUP(A366,Productos!$A$2:$A$61,Productos!$B$2:$F$61)</f>
        <v>#N/A</v>
      </c>
    </row>
    <row r="367">
      <c r="A367" s="2" t="str">
        <f>IFERROR(__xludf.DUMMYFUNCTION("""COMPUTED_VALUE"""),"PR008")</f>
        <v>PR008</v>
      </c>
      <c r="B367" s="2" t="str">
        <f>IFERROR(__xludf.DUMMYFUNCTION("""COMPUTED_VALUE"""),"VD033")</f>
        <v>VD033</v>
      </c>
      <c r="C367" s="2">
        <f>IFERROR(__xludf.DUMMYFUNCTION("""COMPUTED_VALUE"""),27.0)</f>
        <v>27</v>
      </c>
      <c r="D367" s="6">
        <f>IFERROR(__xludf.DUMMYFUNCTION("""COMPUTED_VALUE"""),2548.67)</f>
        <v>2548.67</v>
      </c>
      <c r="E367" s="6">
        <f>IFERROR(__xludf.DUMMYFUNCTION("GOOGLEFINANCE(""Currency:BRLMXN"")*D367"),8657.83199)</f>
        <v>8657.83199</v>
      </c>
      <c r="F367" s="6">
        <f>IFERROR(__xludf.DUMMYFUNCTION("GOOGLEFINANCE(""Currency:BRLPEN"")*D367"),1670.908052)</f>
        <v>1670.908052</v>
      </c>
      <c r="G367" s="2" t="str">
        <f t="array" ref="G367">_xlfn.XLOOKUP(B367,Vendedores!$A$2:$A$41,Vendedores!$B$2:$B$41,"No hay datos")</f>
        <v>No hay datos</v>
      </c>
      <c r="H367" s="2" t="str">
        <f t="array" ref="H367">_xlfn.XLOOKUP(B367,Vendedores!$A$2:$A$41,Vendedores!$C$2:$C$41,"No hay datos")</f>
        <v>No hay datos</v>
      </c>
      <c r="I367" s="2" t="str">
        <f t="array" ref="I367">_xlfn.XLOOKUP(B367,Vendedores!$A$2:$A$41,Vendedores!$D$2:$D$41,"No hay datos")</f>
        <v>No hay datos</v>
      </c>
      <c r="J367" s="2" t="str">
        <f t="array" ref="J367">_xlfn.XLOOKUP(A367,Productos!$A$2:$A$61,Productos!$B$2:$F$61)</f>
        <v>#N/A</v>
      </c>
    </row>
    <row r="368">
      <c r="A368" s="2" t="str">
        <f>IFERROR(__xludf.DUMMYFUNCTION("""COMPUTED_VALUE"""),"PR018")</f>
        <v>PR018</v>
      </c>
      <c r="B368" s="2" t="str">
        <f>IFERROR(__xludf.DUMMYFUNCTION("""COMPUTED_VALUE"""),"VD033")</f>
        <v>VD033</v>
      </c>
      <c r="C368" s="2">
        <f>IFERROR(__xludf.DUMMYFUNCTION("""COMPUTED_VALUE"""),1.0)</f>
        <v>1</v>
      </c>
      <c r="D368" s="6">
        <f>IFERROR(__xludf.DUMMYFUNCTION("""COMPUTED_VALUE"""),34.87)</f>
        <v>34.87</v>
      </c>
      <c r="E368" s="6">
        <f>IFERROR(__xludf.DUMMYFUNCTION("GOOGLEFINANCE(""Currency:BRLMXN"")*D368"),118.45338999999998)</f>
        <v>118.45339</v>
      </c>
      <c r="F368" s="6">
        <f>IFERROR(__xludf.DUMMYFUNCTION("GOOGLEFINANCE(""Currency:BRLPEN"")*D368"),22.860771999999997)</f>
        <v>22.860772</v>
      </c>
      <c r="G368" s="2" t="str">
        <f t="array" ref="G368">_xlfn.XLOOKUP(B368,Vendedores!$A$2:$A$41,Vendedores!$B$2:$B$41,"No hay datos")</f>
        <v>No hay datos</v>
      </c>
      <c r="H368" s="2" t="str">
        <f t="array" ref="H368">_xlfn.XLOOKUP(B368,Vendedores!$A$2:$A$41,Vendedores!$C$2:$C$41,"No hay datos")</f>
        <v>No hay datos</v>
      </c>
      <c r="I368" s="2" t="str">
        <f t="array" ref="I368">_xlfn.XLOOKUP(B368,Vendedores!$A$2:$A$41,Vendedores!$D$2:$D$41,"No hay datos")</f>
        <v>No hay datos</v>
      </c>
      <c r="J368" s="2" t="str">
        <f t="array" ref="J368">_xlfn.XLOOKUP(A368,Productos!$A$2:$A$61,Productos!$B$2:$F$61)</f>
        <v>#N/A</v>
      </c>
    </row>
    <row r="369">
      <c r="A369" s="2" t="str">
        <f>IFERROR(__xludf.DUMMYFUNCTION("""COMPUTED_VALUE"""),"PR017")</f>
        <v>PR017</v>
      </c>
      <c r="B369" s="2" t="str">
        <f>IFERROR(__xludf.DUMMYFUNCTION("""COMPUTED_VALUE"""),"VD013")</f>
        <v>VD013</v>
      </c>
      <c r="C369" s="2">
        <f>IFERROR(__xludf.DUMMYFUNCTION("""COMPUTED_VALUE"""),9.0)</f>
        <v>9</v>
      </c>
      <c r="D369" s="6">
        <f>IFERROR(__xludf.DUMMYFUNCTION("""COMPUTED_VALUE"""),293.32)</f>
        <v>293.32</v>
      </c>
      <c r="E369" s="6">
        <f>IFERROR(__xludf.DUMMYFUNCTION("GOOGLEFINANCE(""Currency:BRLMXN"")*D369"),996.4080399999999)</f>
        <v>996.40804</v>
      </c>
      <c r="F369" s="6">
        <f>IFERROR(__xludf.DUMMYFUNCTION("GOOGLEFINANCE(""Currency:BRLPEN"")*D369"),192.300592)</f>
        <v>192.300592</v>
      </c>
      <c r="G369" s="2" t="str">
        <f t="array" ref="G369">_xlfn.XLOOKUP(B369,Vendedores!$A$2:$A$41,Vendedores!$B$2:$B$41,"No hay datos")</f>
        <v>No hay datos</v>
      </c>
      <c r="H369" s="2" t="str">
        <f t="array" ref="H369">_xlfn.XLOOKUP(B369,Vendedores!$A$2:$A$41,Vendedores!$C$2:$C$41,"No hay datos")</f>
        <v>No hay datos</v>
      </c>
      <c r="I369" s="2" t="str">
        <f t="array" ref="I369">_xlfn.XLOOKUP(B369,Vendedores!$A$2:$A$41,Vendedores!$D$2:$D$41,"No hay datos")</f>
        <v>No hay datos</v>
      </c>
      <c r="J369" s="2" t="str">
        <f t="array" ref="J369">_xlfn.XLOOKUP(A369,Productos!$A$2:$A$61,Productos!$B$2:$F$61)</f>
        <v>#N/A</v>
      </c>
    </row>
    <row r="370">
      <c r="A370" s="2" t="str">
        <f>IFERROR(__xludf.DUMMYFUNCTION("""COMPUTED_VALUE"""),"PR050")</f>
        <v>PR050</v>
      </c>
      <c r="B370" s="2" t="str">
        <f>IFERROR(__xludf.DUMMYFUNCTION("""COMPUTED_VALUE"""),"VD030")</f>
        <v>VD030</v>
      </c>
      <c r="C370" s="2">
        <f>IFERROR(__xludf.DUMMYFUNCTION("""COMPUTED_VALUE"""),6.0)</f>
        <v>6</v>
      </c>
      <c r="D370" s="6">
        <f>IFERROR(__xludf.DUMMYFUNCTION("""COMPUTED_VALUE"""),205.3)</f>
        <v>205.3</v>
      </c>
      <c r="E370" s="6">
        <f>IFERROR(__xludf.DUMMYFUNCTION("GOOGLEFINANCE(""Currency:BRLMXN"")*D370"),697.4041)</f>
        <v>697.4041</v>
      </c>
      <c r="F370" s="6">
        <f>IFERROR(__xludf.DUMMYFUNCTION("GOOGLEFINANCE(""Currency:BRLPEN"")*D370"),134.59468)</f>
        <v>134.59468</v>
      </c>
      <c r="G370" s="2" t="str">
        <f t="array" ref="G370">_xlfn.XLOOKUP(B370,Vendedores!$A$2:$A$41,Vendedores!$B$2:$B$41,"No hay datos")</f>
        <v>No hay datos</v>
      </c>
      <c r="H370" s="2" t="str">
        <f t="array" ref="H370">_xlfn.XLOOKUP(B370,Vendedores!$A$2:$A$41,Vendedores!$C$2:$C$41,"No hay datos")</f>
        <v>No hay datos</v>
      </c>
      <c r="I370" s="2" t="str">
        <f t="array" ref="I370">_xlfn.XLOOKUP(B370,Vendedores!$A$2:$A$41,Vendedores!$D$2:$D$41,"No hay datos")</f>
        <v>No hay datos</v>
      </c>
      <c r="J370" s="2" t="str">
        <f t="array" ref="J370">_xlfn.XLOOKUP(A370,Productos!$A$2:$A$61,Productos!$B$2:$F$61)</f>
        <v>#N/A</v>
      </c>
    </row>
    <row r="371">
      <c r="A371" s="2" t="str">
        <f>IFERROR(__xludf.DUMMYFUNCTION("""COMPUTED_VALUE"""),"PR018")</f>
        <v>PR018</v>
      </c>
      <c r="B371" s="2" t="str">
        <f>IFERROR(__xludf.DUMMYFUNCTION("""COMPUTED_VALUE"""),"VD040")</f>
        <v>VD040</v>
      </c>
      <c r="C371" s="2">
        <f>IFERROR(__xludf.DUMMYFUNCTION("""COMPUTED_VALUE"""),20.0)</f>
        <v>20</v>
      </c>
      <c r="D371" s="6">
        <f>IFERROR(__xludf.DUMMYFUNCTION("""COMPUTED_VALUE"""),671.16)</f>
        <v>671.16</v>
      </c>
      <c r="E371" s="6">
        <f>IFERROR(__xludf.DUMMYFUNCTION("GOOGLEFINANCE(""Currency:BRLMXN"")*D371"),2279.93052)</f>
        <v>2279.93052</v>
      </c>
      <c r="F371" s="6">
        <f>IFERROR(__xludf.DUMMYFUNCTION("GOOGLEFINANCE(""Currency:BRLPEN"")*D371"),440.01249599999994)</f>
        <v>440.012496</v>
      </c>
      <c r="G371" s="2" t="str">
        <f t="array" ref="G371">_xlfn.XLOOKUP(B371,Vendedores!$A$2:$A$41,Vendedores!$B$2:$B$41,"No hay datos")</f>
        <v>No hay datos</v>
      </c>
      <c r="H371" s="2" t="str">
        <f t="array" ref="H371">_xlfn.XLOOKUP(B371,Vendedores!$A$2:$A$41,Vendedores!$C$2:$C$41,"No hay datos")</f>
        <v>No hay datos</v>
      </c>
      <c r="I371" s="2" t="str">
        <f t="array" ref="I371">_xlfn.XLOOKUP(B371,Vendedores!$A$2:$A$41,Vendedores!$D$2:$D$41,"No hay datos")</f>
        <v>No hay datos</v>
      </c>
      <c r="J371" s="2" t="str">
        <f t="array" ref="J371">_xlfn.XLOOKUP(A371,Productos!$A$2:$A$61,Productos!$B$2:$F$61)</f>
        <v>#N/A</v>
      </c>
    </row>
    <row r="372">
      <c r="A372" s="2" t="str">
        <f>IFERROR(__xludf.DUMMYFUNCTION("""COMPUTED_VALUE"""),"PR001")</f>
        <v>PR001</v>
      </c>
      <c r="B372" s="2" t="str">
        <f>IFERROR(__xludf.DUMMYFUNCTION("""COMPUTED_VALUE"""),"VD045")</f>
        <v>VD045</v>
      </c>
      <c r="C372" s="2">
        <f>IFERROR(__xludf.DUMMYFUNCTION("""COMPUTED_VALUE"""),9.0)</f>
        <v>9</v>
      </c>
      <c r="D372" s="6">
        <f>IFERROR(__xludf.DUMMYFUNCTION("""COMPUTED_VALUE"""),634.62)</f>
        <v>634.62</v>
      </c>
      <c r="E372" s="6">
        <f>IFERROR(__xludf.DUMMYFUNCTION("GOOGLEFINANCE(""Currency:BRLMXN"")*D372"),2155.8041399999997)</f>
        <v>2155.80414</v>
      </c>
      <c r="F372" s="6">
        <f>IFERROR(__xludf.DUMMYFUNCTION("GOOGLEFINANCE(""Currency:BRLPEN"")*D372"),416.056872)</f>
        <v>416.056872</v>
      </c>
      <c r="G372" s="2" t="str">
        <f t="array" ref="G372">_xlfn.XLOOKUP(B372,Vendedores!$A$2:$A$41,Vendedores!$B$2:$B$41,"No hay datos")</f>
        <v>No hay datos</v>
      </c>
      <c r="H372" s="2" t="str">
        <f t="array" ref="H372">_xlfn.XLOOKUP(B372,Vendedores!$A$2:$A$41,Vendedores!$C$2:$C$41,"No hay datos")</f>
        <v>No hay datos</v>
      </c>
      <c r="I372" s="2" t="str">
        <f t="array" ref="I372">_xlfn.XLOOKUP(B372,Vendedores!$A$2:$A$41,Vendedores!$D$2:$D$41,"No hay datos")</f>
        <v>No hay datos</v>
      </c>
      <c r="J372" s="2" t="str">
        <f t="array" ref="J372">_xlfn.XLOOKUP(A372,Productos!$A$2:$A$61,Productos!$B$2:$F$61)</f>
        <v>#N/A</v>
      </c>
    </row>
    <row r="373">
      <c r="A373" s="2" t="str">
        <f>IFERROR(__xludf.DUMMYFUNCTION("""COMPUTED_VALUE"""),"PR053")</f>
        <v>PR053</v>
      </c>
      <c r="B373" s="2" t="str">
        <f>IFERROR(__xludf.DUMMYFUNCTION("""COMPUTED_VALUE"""),"VD033")</f>
        <v>VD033</v>
      </c>
      <c r="C373" s="2">
        <f>IFERROR(__xludf.DUMMYFUNCTION("""COMPUTED_VALUE"""),6.0)</f>
        <v>6</v>
      </c>
      <c r="D373" s="6">
        <f>IFERROR(__xludf.DUMMYFUNCTION("""COMPUTED_VALUE"""),314.37)</f>
        <v>314.37</v>
      </c>
      <c r="E373" s="6">
        <f>IFERROR(__xludf.DUMMYFUNCTION("GOOGLEFINANCE(""Currency:BRLMXN"")*D373"),1067.91489)</f>
        <v>1067.91489</v>
      </c>
      <c r="F373" s="6">
        <f>IFERROR(__xludf.DUMMYFUNCTION("GOOGLEFINANCE(""Currency:BRLPEN"")*D373"),206.10097199999998)</f>
        <v>206.100972</v>
      </c>
      <c r="G373" s="2" t="str">
        <f t="array" ref="G373">_xlfn.XLOOKUP(B373,Vendedores!$A$2:$A$41,Vendedores!$B$2:$B$41,"No hay datos")</f>
        <v>No hay datos</v>
      </c>
      <c r="H373" s="2" t="str">
        <f t="array" ref="H373">_xlfn.XLOOKUP(B373,Vendedores!$A$2:$A$41,Vendedores!$C$2:$C$41,"No hay datos")</f>
        <v>No hay datos</v>
      </c>
      <c r="I373" s="2" t="str">
        <f t="array" ref="I373">_xlfn.XLOOKUP(B373,Vendedores!$A$2:$A$41,Vendedores!$D$2:$D$41,"No hay datos")</f>
        <v>No hay datos</v>
      </c>
      <c r="J373" s="2" t="str">
        <f t="array" ref="J373">_xlfn.XLOOKUP(A373,Productos!$A$2:$A$61,Productos!$B$2:$F$61)</f>
        <v>#N/A</v>
      </c>
    </row>
    <row r="374">
      <c r="A374" s="2" t="str">
        <f>IFERROR(__xludf.DUMMYFUNCTION("""COMPUTED_VALUE"""),"PR011")</f>
        <v>PR011</v>
      </c>
      <c r="B374" s="2" t="str">
        <f>IFERROR(__xludf.DUMMYFUNCTION("""COMPUTED_VALUE"""),"VD046")</f>
        <v>VD046</v>
      </c>
      <c r="C374" s="2">
        <f>IFERROR(__xludf.DUMMYFUNCTION("""COMPUTED_VALUE"""),8.0)</f>
        <v>8</v>
      </c>
      <c r="D374" s="6">
        <f>IFERROR(__xludf.DUMMYFUNCTION("""COMPUTED_VALUE"""),375.2)</f>
        <v>375.2</v>
      </c>
      <c r="E374" s="6">
        <f>IFERROR(__xludf.DUMMYFUNCTION("GOOGLEFINANCE(""Currency:BRLMXN"")*D374"),1274.5544)</f>
        <v>1274.5544</v>
      </c>
      <c r="F374" s="6">
        <f>IFERROR(__xludf.DUMMYFUNCTION("GOOGLEFINANCE(""Currency:BRLPEN"")*D374"),245.98111999999998)</f>
        <v>245.98112</v>
      </c>
      <c r="G374" s="2" t="str">
        <f t="array" ref="G374">_xlfn.XLOOKUP(B374,Vendedores!$A$2:$A$41,Vendedores!$B$2:$B$41,"No hay datos")</f>
        <v>No hay datos</v>
      </c>
      <c r="H374" s="2" t="str">
        <f t="array" ref="H374">_xlfn.XLOOKUP(B374,Vendedores!$A$2:$A$41,Vendedores!$C$2:$C$41,"No hay datos")</f>
        <v>No hay datos</v>
      </c>
      <c r="I374" s="2" t="str">
        <f t="array" ref="I374">_xlfn.XLOOKUP(B374,Vendedores!$A$2:$A$41,Vendedores!$D$2:$D$41,"No hay datos")</f>
        <v>No hay datos</v>
      </c>
      <c r="J374" s="2" t="str">
        <f t="array" ref="J374">_xlfn.XLOOKUP(A374,Productos!$A$2:$A$61,Productos!$B$2:$F$61)</f>
        <v>#N/A</v>
      </c>
    </row>
    <row r="375">
      <c r="A375" s="2" t="str">
        <f>IFERROR(__xludf.DUMMYFUNCTION("""COMPUTED_VALUE"""),"PR036")</f>
        <v>PR036</v>
      </c>
      <c r="B375" s="2" t="str">
        <f>IFERROR(__xludf.DUMMYFUNCTION("""COMPUTED_VALUE"""),"VD044")</f>
        <v>VD044</v>
      </c>
      <c r="C375" s="2">
        <f>IFERROR(__xludf.DUMMYFUNCTION("""COMPUTED_VALUE"""),9.0)</f>
        <v>9</v>
      </c>
      <c r="D375" s="6">
        <f>IFERROR(__xludf.DUMMYFUNCTION("""COMPUTED_VALUE"""),849.92)</f>
        <v>849.92</v>
      </c>
      <c r="E375" s="6">
        <f>IFERROR(__xludf.DUMMYFUNCTION("GOOGLEFINANCE(""Currency:BRLMXN"")*D375"),2887.1782399999997)</f>
        <v>2887.17824</v>
      </c>
      <c r="F375" s="6">
        <f>IFERROR(__xludf.DUMMYFUNCTION("GOOGLEFINANCE(""Currency:BRLPEN"")*D375"),557.207552)</f>
        <v>557.207552</v>
      </c>
      <c r="G375" s="2" t="str">
        <f t="array" ref="G375">_xlfn.XLOOKUP(B375,Vendedores!$A$2:$A$41,Vendedores!$B$2:$B$41,"No hay datos")</f>
        <v>No hay datos</v>
      </c>
      <c r="H375" s="2" t="str">
        <f t="array" ref="H375">_xlfn.XLOOKUP(B375,Vendedores!$A$2:$A$41,Vendedores!$C$2:$C$41,"No hay datos")</f>
        <v>No hay datos</v>
      </c>
      <c r="I375" s="2" t="str">
        <f t="array" ref="I375">_xlfn.XLOOKUP(B375,Vendedores!$A$2:$A$41,Vendedores!$D$2:$D$41,"No hay datos")</f>
        <v>No hay datos</v>
      </c>
      <c r="J375" s="2" t="str">
        <f t="array" ref="J375">_xlfn.XLOOKUP(A375,Productos!$A$2:$A$61,Productos!$B$2:$F$61)</f>
        <v>#N/A</v>
      </c>
    </row>
    <row r="376">
      <c r="A376" s="2" t="str">
        <f>IFERROR(__xludf.DUMMYFUNCTION("""COMPUTED_VALUE"""),"PR007")</f>
        <v>PR007</v>
      </c>
      <c r="B376" s="2" t="str">
        <f>IFERROR(__xludf.DUMMYFUNCTION("""COMPUTED_VALUE"""),"VD035")</f>
        <v>VD035</v>
      </c>
      <c r="C376" s="2">
        <f>IFERROR(__xludf.DUMMYFUNCTION("""COMPUTED_VALUE"""),8.0)</f>
        <v>8</v>
      </c>
      <c r="D376" s="6">
        <f>IFERROR(__xludf.DUMMYFUNCTION("""COMPUTED_VALUE"""),700.94)</f>
        <v>700.94</v>
      </c>
      <c r="E376" s="6">
        <f>IFERROR(__xludf.DUMMYFUNCTION("GOOGLEFINANCE(""Currency:BRLMXN"")*D376"),2381.09318)</f>
        <v>2381.09318</v>
      </c>
      <c r="F376" s="6">
        <f>IFERROR(__xludf.DUMMYFUNCTION("GOOGLEFINANCE(""Currency:BRLPEN"")*D376"),459.536264)</f>
        <v>459.536264</v>
      </c>
      <c r="G376" s="2" t="str">
        <f t="array" ref="G376">_xlfn.XLOOKUP(B376,Vendedores!$A$2:$A$41,Vendedores!$B$2:$B$41,"No hay datos")</f>
        <v>No hay datos</v>
      </c>
      <c r="H376" s="2" t="str">
        <f t="array" ref="H376">_xlfn.XLOOKUP(B376,Vendedores!$A$2:$A$41,Vendedores!$C$2:$C$41,"No hay datos")</f>
        <v>No hay datos</v>
      </c>
      <c r="I376" s="2" t="str">
        <f t="array" ref="I376">_xlfn.XLOOKUP(B376,Vendedores!$A$2:$A$41,Vendedores!$D$2:$D$41,"No hay datos")</f>
        <v>No hay datos</v>
      </c>
      <c r="J376" s="2" t="str">
        <f t="array" ref="J376">_xlfn.XLOOKUP(A376,Productos!$A$2:$A$61,Productos!$B$2:$F$61)</f>
        <v>#N/A</v>
      </c>
    </row>
    <row r="377">
      <c r="A377" s="2" t="str">
        <f>IFERROR(__xludf.DUMMYFUNCTION("""COMPUTED_VALUE"""),"PR017")</f>
        <v>PR017</v>
      </c>
      <c r="B377" s="2" t="str">
        <f>IFERROR(__xludf.DUMMYFUNCTION("""COMPUTED_VALUE"""),"VD013")</f>
        <v>VD013</v>
      </c>
      <c r="C377" s="2">
        <f>IFERROR(__xludf.DUMMYFUNCTION("""COMPUTED_VALUE"""),2.0)</f>
        <v>2</v>
      </c>
      <c r="D377" s="6">
        <f>IFERROR(__xludf.DUMMYFUNCTION("""COMPUTED_VALUE"""),62.79)</f>
        <v>62.79</v>
      </c>
      <c r="E377" s="6">
        <f>IFERROR(__xludf.DUMMYFUNCTION("GOOGLEFINANCE(""Currency:BRLMXN"")*D377"),213.29763)</f>
        <v>213.29763</v>
      </c>
      <c r="F377" s="6">
        <f>IFERROR(__xludf.DUMMYFUNCTION("GOOGLEFINANCE(""Currency:BRLPEN"")*D377"),41.165124)</f>
        <v>41.165124</v>
      </c>
      <c r="G377" s="2" t="str">
        <f t="array" ref="G377">_xlfn.XLOOKUP(B377,Vendedores!$A$2:$A$41,Vendedores!$B$2:$B$41,"No hay datos")</f>
        <v>No hay datos</v>
      </c>
      <c r="H377" s="2" t="str">
        <f t="array" ref="H377">_xlfn.XLOOKUP(B377,Vendedores!$A$2:$A$41,Vendedores!$C$2:$C$41,"No hay datos")</f>
        <v>No hay datos</v>
      </c>
      <c r="I377" s="2" t="str">
        <f t="array" ref="I377">_xlfn.XLOOKUP(B377,Vendedores!$A$2:$A$41,Vendedores!$D$2:$D$41,"No hay datos")</f>
        <v>No hay datos</v>
      </c>
      <c r="J377" s="2" t="str">
        <f t="array" ref="J377">_xlfn.XLOOKUP(A377,Productos!$A$2:$A$61,Productos!$B$2:$F$61)</f>
        <v>#N/A</v>
      </c>
    </row>
    <row r="378">
      <c r="A378" s="2" t="str">
        <f>IFERROR(__xludf.DUMMYFUNCTION("""COMPUTED_VALUE"""),"PR029")</f>
        <v>PR029</v>
      </c>
      <c r="B378" s="2" t="str">
        <f>IFERROR(__xludf.DUMMYFUNCTION("""COMPUTED_VALUE"""),"VD022")</f>
        <v>VD022</v>
      </c>
      <c r="C378" s="2">
        <f>IFERROR(__xludf.DUMMYFUNCTION("""COMPUTED_VALUE"""),24.0)</f>
        <v>24</v>
      </c>
      <c r="D378" s="6">
        <f>IFERROR(__xludf.DUMMYFUNCTION("""COMPUTED_VALUE"""),6364.8)</f>
        <v>6364.8</v>
      </c>
      <c r="E378" s="6">
        <f>IFERROR(__xludf.DUMMYFUNCTION("GOOGLEFINANCE(""Currency:BRLMXN"")*D378"),21621.225599999998)</f>
        <v>21621.2256</v>
      </c>
      <c r="F378" s="6">
        <f>IFERROR(__xludf.DUMMYFUNCTION("GOOGLEFINANCE(""Currency:BRLPEN"")*D378"),4172.76288)</f>
        <v>4172.76288</v>
      </c>
      <c r="G378" s="2" t="str">
        <f t="array" ref="G378">_xlfn.XLOOKUP(B378,Vendedores!$A$2:$A$41,Vendedores!$B$2:$B$41,"No hay datos")</f>
        <v>No hay datos</v>
      </c>
      <c r="H378" s="2" t="str">
        <f t="array" ref="H378">_xlfn.XLOOKUP(B378,Vendedores!$A$2:$A$41,Vendedores!$C$2:$C$41,"No hay datos")</f>
        <v>No hay datos</v>
      </c>
      <c r="I378" s="2" t="str">
        <f t="array" ref="I378">_xlfn.XLOOKUP(B378,Vendedores!$A$2:$A$41,Vendedores!$D$2:$D$41,"No hay datos")</f>
        <v>No hay datos</v>
      </c>
      <c r="J378" s="2" t="str">
        <f t="array" ref="J378">_xlfn.XLOOKUP(A378,Productos!$A$2:$A$61,Productos!$B$2:$F$61)</f>
        <v>#N/A</v>
      </c>
    </row>
    <row r="379">
      <c r="A379" s="2" t="str">
        <f>IFERROR(__xludf.DUMMYFUNCTION("""COMPUTED_VALUE"""),"PR049")</f>
        <v>PR049</v>
      </c>
      <c r="B379" s="2" t="str">
        <f>IFERROR(__xludf.DUMMYFUNCTION("""COMPUTED_VALUE"""),"VD046")</f>
        <v>VD046</v>
      </c>
      <c r="C379" s="2">
        <f>IFERROR(__xludf.DUMMYFUNCTION("""COMPUTED_VALUE"""),2.0)</f>
        <v>2</v>
      </c>
      <c r="D379" s="6">
        <f>IFERROR(__xludf.DUMMYFUNCTION("""COMPUTED_VALUE"""),71.72)</f>
        <v>71.72</v>
      </c>
      <c r="E379" s="6">
        <f>IFERROR(__xludf.DUMMYFUNCTION("GOOGLEFINANCE(""Currency:BRLMXN"")*D379"),243.63284)</f>
        <v>243.63284</v>
      </c>
      <c r="F379" s="6">
        <f>IFERROR(__xludf.DUMMYFUNCTION("GOOGLEFINANCE(""Currency:BRLPEN"")*D379"),47.019631999999994)</f>
        <v>47.019632</v>
      </c>
      <c r="G379" s="2" t="str">
        <f t="array" ref="G379">_xlfn.XLOOKUP(B379,Vendedores!$A$2:$A$41,Vendedores!$B$2:$B$41,"No hay datos")</f>
        <v>No hay datos</v>
      </c>
      <c r="H379" s="2" t="str">
        <f t="array" ref="H379">_xlfn.XLOOKUP(B379,Vendedores!$A$2:$A$41,Vendedores!$C$2:$C$41,"No hay datos")</f>
        <v>No hay datos</v>
      </c>
      <c r="I379" s="2" t="str">
        <f t="array" ref="I379">_xlfn.XLOOKUP(B379,Vendedores!$A$2:$A$41,Vendedores!$D$2:$D$41,"No hay datos")</f>
        <v>No hay datos</v>
      </c>
      <c r="J379" s="2" t="str">
        <f t="array" ref="J379">_xlfn.XLOOKUP(A379,Productos!$A$2:$A$61,Productos!$B$2:$F$61)</f>
        <v>#N/A</v>
      </c>
    </row>
    <row r="380">
      <c r="A380" s="2" t="str">
        <f>IFERROR(__xludf.DUMMYFUNCTION("""COMPUTED_VALUE"""),"PR036")</f>
        <v>PR036</v>
      </c>
      <c r="B380" s="2" t="str">
        <f>IFERROR(__xludf.DUMMYFUNCTION("""COMPUTED_VALUE"""),"VD035")</f>
        <v>VD035</v>
      </c>
      <c r="C380" s="2">
        <f>IFERROR(__xludf.DUMMYFUNCTION("""COMPUTED_VALUE"""),18.0)</f>
        <v>18</v>
      </c>
      <c r="D380" s="6">
        <f>IFERROR(__xludf.DUMMYFUNCTION("""COMPUTED_VALUE"""),1783.98)</f>
        <v>1783.98</v>
      </c>
      <c r="E380" s="6">
        <f>IFERROR(__xludf.DUMMYFUNCTION("GOOGLEFINANCE(""Currency:BRLMXN"")*D380"),6060.18006)</f>
        <v>6060.18006</v>
      </c>
      <c r="F380" s="6">
        <f>IFERROR(__xludf.DUMMYFUNCTION("GOOGLEFINANCE(""Currency:BRLPEN"")*D380"),1169.577288)</f>
        <v>1169.577288</v>
      </c>
      <c r="G380" s="2" t="str">
        <f t="array" ref="G380">_xlfn.XLOOKUP(B380,Vendedores!$A$2:$A$41,Vendedores!$B$2:$B$41,"No hay datos")</f>
        <v>No hay datos</v>
      </c>
      <c r="H380" s="2" t="str">
        <f t="array" ref="H380">_xlfn.XLOOKUP(B380,Vendedores!$A$2:$A$41,Vendedores!$C$2:$C$41,"No hay datos")</f>
        <v>No hay datos</v>
      </c>
      <c r="I380" s="2" t="str">
        <f t="array" ref="I380">_xlfn.XLOOKUP(B380,Vendedores!$A$2:$A$41,Vendedores!$D$2:$D$41,"No hay datos")</f>
        <v>No hay datos</v>
      </c>
      <c r="J380" s="2" t="str">
        <f t="array" ref="J380">_xlfn.XLOOKUP(A380,Productos!$A$2:$A$61,Productos!$B$2:$F$61)</f>
        <v>#N/A</v>
      </c>
    </row>
    <row r="381">
      <c r="A381" s="2" t="str">
        <f>IFERROR(__xludf.DUMMYFUNCTION("""COMPUTED_VALUE"""),"PR039")</f>
        <v>PR039</v>
      </c>
      <c r="B381" s="2" t="str">
        <f>IFERROR(__xludf.DUMMYFUNCTION("""COMPUTED_VALUE"""),"VD047")</f>
        <v>VD047</v>
      </c>
      <c r="C381" s="2">
        <f>IFERROR(__xludf.DUMMYFUNCTION("""COMPUTED_VALUE"""),14.0)</f>
        <v>14</v>
      </c>
      <c r="D381" s="6">
        <f>IFERROR(__xludf.DUMMYFUNCTION("""COMPUTED_VALUE"""),2227.96)</f>
        <v>2227.96</v>
      </c>
      <c r="E381" s="6">
        <f>IFERROR(__xludf.DUMMYFUNCTION("GOOGLEFINANCE(""Currency:BRLMXN"")*D381"),7568.38012)</f>
        <v>7568.38012</v>
      </c>
      <c r="F381" s="6">
        <f>IFERROR(__xludf.DUMMYFUNCTION("GOOGLEFINANCE(""Currency:BRLPEN"")*D381"),1460.650576)</f>
        <v>1460.650576</v>
      </c>
      <c r="G381" s="2" t="str">
        <f t="array" ref="G381">_xlfn.XLOOKUP(B381,Vendedores!$A$2:$A$41,Vendedores!$B$2:$B$41,"No hay datos")</f>
        <v>No hay datos</v>
      </c>
      <c r="H381" s="2" t="str">
        <f t="array" ref="H381">_xlfn.XLOOKUP(B381,Vendedores!$A$2:$A$41,Vendedores!$C$2:$C$41,"No hay datos")</f>
        <v>No hay datos</v>
      </c>
      <c r="I381" s="2" t="str">
        <f t="array" ref="I381">_xlfn.XLOOKUP(B381,Vendedores!$A$2:$A$41,Vendedores!$D$2:$D$41,"No hay datos")</f>
        <v>No hay datos</v>
      </c>
      <c r="J381" s="2" t="str">
        <f t="array" ref="J381">_xlfn.XLOOKUP(A381,Productos!$A$2:$A$61,Productos!$B$2:$F$61)</f>
        <v>#N/A</v>
      </c>
    </row>
    <row r="382">
      <c r="A382" s="2" t="str">
        <f>IFERROR(__xludf.DUMMYFUNCTION("""COMPUTED_VALUE"""),"PR043")</f>
        <v>PR043</v>
      </c>
      <c r="B382" s="2" t="str">
        <f>IFERROR(__xludf.DUMMYFUNCTION("""COMPUTED_VALUE"""),"VD049")</f>
        <v>VD049</v>
      </c>
      <c r="C382" s="2">
        <f>IFERROR(__xludf.DUMMYFUNCTION("""COMPUTED_VALUE"""),8.0)</f>
        <v>8</v>
      </c>
      <c r="D382" s="6">
        <f>IFERROR(__xludf.DUMMYFUNCTION("""COMPUTED_VALUE"""),585.8)</f>
        <v>585.8</v>
      </c>
      <c r="E382" s="6">
        <f>IFERROR(__xludf.DUMMYFUNCTION("GOOGLEFINANCE(""Currency:BRLMXN"")*D382"),1989.9625999999998)</f>
        <v>1989.9626</v>
      </c>
      <c r="F382" s="6">
        <f>IFERROR(__xludf.DUMMYFUNCTION("GOOGLEFINANCE(""Currency:BRLPEN"")*D382"),384.05047999999994)</f>
        <v>384.05048</v>
      </c>
      <c r="G382" s="2" t="str">
        <f t="array" ref="G382">_xlfn.XLOOKUP(B382,Vendedores!$A$2:$A$41,Vendedores!$B$2:$B$41,"No hay datos")</f>
        <v>No hay datos</v>
      </c>
      <c r="H382" s="2" t="str">
        <f t="array" ref="H382">_xlfn.XLOOKUP(B382,Vendedores!$A$2:$A$41,Vendedores!$C$2:$C$41,"No hay datos")</f>
        <v>No hay datos</v>
      </c>
      <c r="I382" s="2" t="str">
        <f t="array" ref="I382">_xlfn.XLOOKUP(B382,Vendedores!$A$2:$A$41,Vendedores!$D$2:$D$41,"No hay datos")</f>
        <v>No hay datos</v>
      </c>
      <c r="J382" s="2" t="str">
        <f t="array" ref="J382">_xlfn.XLOOKUP(A382,Productos!$A$2:$A$61,Productos!$B$2:$F$61)</f>
        <v>#N/A</v>
      </c>
    </row>
    <row r="383">
      <c r="A383" s="2" t="str">
        <f>IFERROR(__xludf.DUMMYFUNCTION("""COMPUTED_VALUE"""),"PR039")</f>
        <v>PR039</v>
      </c>
      <c r="B383" s="2" t="str">
        <f>IFERROR(__xludf.DUMMYFUNCTION("""COMPUTED_VALUE"""),"VD036")</f>
        <v>VD036</v>
      </c>
      <c r="C383" s="2">
        <f>IFERROR(__xludf.DUMMYFUNCTION("""COMPUTED_VALUE"""),7.0)</f>
        <v>7</v>
      </c>
      <c r="D383" s="6">
        <f>IFERROR(__xludf.DUMMYFUNCTION("""COMPUTED_VALUE"""),1124.2)</f>
        <v>1124.2</v>
      </c>
      <c r="E383" s="6">
        <f>IFERROR(__xludf.DUMMYFUNCTION("GOOGLEFINANCE(""Currency:BRLMXN"")*D383"),3818.9074)</f>
        <v>3818.9074</v>
      </c>
      <c r="F383" s="6">
        <f>IFERROR(__xludf.DUMMYFUNCTION("GOOGLEFINANCE(""Currency:BRLPEN"")*D383"),737.02552)</f>
        <v>737.02552</v>
      </c>
      <c r="G383" s="2" t="str">
        <f t="array" ref="G383">_xlfn.XLOOKUP(B383,Vendedores!$A$2:$A$41,Vendedores!$B$2:$B$41,"No hay datos")</f>
        <v>No hay datos</v>
      </c>
      <c r="H383" s="2" t="str">
        <f t="array" ref="H383">_xlfn.XLOOKUP(B383,Vendedores!$A$2:$A$41,Vendedores!$C$2:$C$41,"No hay datos")</f>
        <v>No hay datos</v>
      </c>
      <c r="I383" s="2" t="str">
        <f t="array" ref="I383">_xlfn.XLOOKUP(B383,Vendedores!$A$2:$A$41,Vendedores!$D$2:$D$41,"No hay datos")</f>
        <v>No hay datos</v>
      </c>
      <c r="J383" s="2" t="str">
        <f t="array" ref="J383">_xlfn.XLOOKUP(A383,Productos!$A$2:$A$61,Productos!$B$2:$F$61)</f>
        <v>#N/A</v>
      </c>
    </row>
    <row r="384">
      <c r="A384" s="2" t="str">
        <f>IFERROR(__xludf.DUMMYFUNCTION("""COMPUTED_VALUE"""),"PR039")</f>
        <v>PR039</v>
      </c>
      <c r="B384" s="2" t="str">
        <f>IFERROR(__xludf.DUMMYFUNCTION("""COMPUTED_VALUE"""),"VD032")</f>
        <v>VD032</v>
      </c>
      <c r="C384" s="2">
        <f>IFERROR(__xludf.DUMMYFUNCTION("""COMPUTED_VALUE"""),2.0)</f>
        <v>2</v>
      </c>
      <c r="D384" s="6">
        <f>IFERROR(__xludf.DUMMYFUNCTION("""COMPUTED_VALUE"""),312.44)</f>
        <v>312.44</v>
      </c>
      <c r="E384" s="6">
        <f>IFERROR(__xludf.DUMMYFUNCTION("GOOGLEFINANCE(""Currency:BRLMXN"")*D384"),1061.3586799999998)</f>
        <v>1061.35868</v>
      </c>
      <c r="F384" s="6">
        <f>IFERROR(__xludf.DUMMYFUNCTION("GOOGLEFINANCE(""Currency:BRLPEN"")*D384"),204.83566399999998)</f>
        <v>204.835664</v>
      </c>
      <c r="G384" s="2" t="str">
        <f t="array" ref="G384">_xlfn.XLOOKUP(B384,Vendedores!$A$2:$A$41,Vendedores!$B$2:$B$41,"No hay datos")</f>
        <v>No hay datos</v>
      </c>
      <c r="H384" s="2" t="str">
        <f t="array" ref="H384">_xlfn.XLOOKUP(B384,Vendedores!$A$2:$A$41,Vendedores!$C$2:$C$41,"No hay datos")</f>
        <v>No hay datos</v>
      </c>
      <c r="I384" s="2" t="str">
        <f t="array" ref="I384">_xlfn.XLOOKUP(B384,Vendedores!$A$2:$A$41,Vendedores!$D$2:$D$41,"No hay datos")</f>
        <v>No hay datos</v>
      </c>
      <c r="J384" s="2" t="str">
        <f t="array" ref="J384">_xlfn.XLOOKUP(A384,Productos!$A$2:$A$61,Productos!$B$2:$F$61)</f>
        <v>#N/A</v>
      </c>
    </row>
    <row r="385">
      <c r="A385" s="2" t="str">
        <f>IFERROR(__xludf.DUMMYFUNCTION("""COMPUTED_VALUE"""),"PR043")</f>
        <v>PR043</v>
      </c>
      <c r="B385" s="2" t="str">
        <f>IFERROR(__xludf.DUMMYFUNCTION("""COMPUTED_VALUE"""),"VD038")</f>
        <v>VD038</v>
      </c>
      <c r="C385" s="2">
        <f>IFERROR(__xludf.DUMMYFUNCTION("""COMPUTED_VALUE"""),3.0)</f>
        <v>3</v>
      </c>
      <c r="D385" s="6">
        <f>IFERROR(__xludf.DUMMYFUNCTION("""COMPUTED_VALUE"""),221.85)</f>
        <v>221.85</v>
      </c>
      <c r="E385" s="6">
        <f>IFERROR(__xludf.DUMMYFUNCTION("GOOGLEFINANCE(""Currency:BRLMXN"")*D385"),753.6244499999999)</f>
        <v>753.62445</v>
      </c>
      <c r="F385" s="6">
        <f>IFERROR(__xludf.DUMMYFUNCTION("GOOGLEFINANCE(""Currency:BRLPEN"")*D385"),145.44485999999998)</f>
        <v>145.44486</v>
      </c>
      <c r="G385" s="2" t="str">
        <f t="array" ref="G385">_xlfn.XLOOKUP(B385,Vendedores!$A$2:$A$41,Vendedores!$B$2:$B$41,"No hay datos")</f>
        <v>No hay datos</v>
      </c>
      <c r="H385" s="2" t="str">
        <f t="array" ref="H385">_xlfn.XLOOKUP(B385,Vendedores!$A$2:$A$41,Vendedores!$C$2:$C$41,"No hay datos")</f>
        <v>No hay datos</v>
      </c>
      <c r="I385" s="2" t="str">
        <f t="array" ref="I385">_xlfn.XLOOKUP(B385,Vendedores!$A$2:$A$41,Vendedores!$D$2:$D$41,"No hay datos")</f>
        <v>No hay datos</v>
      </c>
      <c r="J385" s="2" t="str">
        <f t="array" ref="J385">_xlfn.XLOOKUP(A385,Productos!$A$2:$A$61,Productos!$B$2:$F$61)</f>
        <v>#N/A</v>
      </c>
    </row>
    <row r="386">
      <c r="A386" s="2" t="str">
        <f>IFERROR(__xludf.DUMMYFUNCTION("""COMPUTED_VALUE"""),"PR005")</f>
        <v>PR005</v>
      </c>
      <c r="B386" s="2" t="str">
        <f>IFERROR(__xludf.DUMMYFUNCTION("""COMPUTED_VALUE"""),"VD021")</f>
        <v>VD021</v>
      </c>
      <c r="C386" s="2">
        <f>IFERROR(__xludf.DUMMYFUNCTION("""COMPUTED_VALUE"""),14.0)</f>
        <v>14</v>
      </c>
      <c r="D386" s="6">
        <f>IFERROR(__xludf.DUMMYFUNCTION("""COMPUTED_VALUE"""),3893.3)</f>
        <v>3893.3</v>
      </c>
      <c r="E386" s="6">
        <f>IFERROR(__xludf.DUMMYFUNCTION("GOOGLEFINANCE(""Currency:BRLMXN"")*D386"),13225.5401)</f>
        <v>13225.5401</v>
      </c>
      <c r="F386" s="6">
        <f>IFERROR(__xludf.DUMMYFUNCTION("GOOGLEFINANCE(""Currency:BRLPEN"")*D386"),2552.44748)</f>
        <v>2552.44748</v>
      </c>
      <c r="G386" s="2" t="str">
        <f t="array" ref="G386">_xlfn.XLOOKUP(B386,Vendedores!$A$2:$A$41,Vendedores!$B$2:$B$41,"No hay datos")</f>
        <v>No hay datos</v>
      </c>
      <c r="H386" s="2" t="str">
        <f t="array" ref="H386">_xlfn.XLOOKUP(B386,Vendedores!$A$2:$A$41,Vendedores!$C$2:$C$41,"No hay datos")</f>
        <v>No hay datos</v>
      </c>
      <c r="I386" s="2" t="str">
        <f t="array" ref="I386">_xlfn.XLOOKUP(B386,Vendedores!$A$2:$A$41,Vendedores!$D$2:$D$41,"No hay datos")</f>
        <v>No hay datos</v>
      </c>
      <c r="J386" s="2" t="str">
        <f t="array" ref="J386">_xlfn.XLOOKUP(A386,Productos!$A$2:$A$61,Productos!$B$2:$F$61)</f>
        <v>#N/A</v>
      </c>
    </row>
    <row r="387">
      <c r="A387" s="2" t="str">
        <f>IFERROR(__xludf.DUMMYFUNCTION("""COMPUTED_VALUE"""),"PR012")</f>
        <v>PR012</v>
      </c>
      <c r="B387" s="2" t="str">
        <f>IFERROR(__xludf.DUMMYFUNCTION("""COMPUTED_VALUE"""),"VD047")</f>
        <v>VD047</v>
      </c>
      <c r="C387" s="2">
        <f>IFERROR(__xludf.DUMMYFUNCTION("""COMPUTED_VALUE"""),2.0)</f>
        <v>2</v>
      </c>
      <c r="D387" s="6">
        <f>IFERROR(__xludf.DUMMYFUNCTION("""COMPUTED_VALUE"""),101.71)</f>
        <v>101.71</v>
      </c>
      <c r="E387" s="6">
        <f>IFERROR(__xludf.DUMMYFUNCTION("GOOGLEFINANCE(""Currency:BRLMXN"")*D387"),345.50886999999994)</f>
        <v>345.50887</v>
      </c>
      <c r="F387" s="6">
        <f>IFERROR(__xludf.DUMMYFUNCTION("GOOGLEFINANCE(""Currency:BRLPEN"")*D387"),66.68107599999999)</f>
        <v>66.681076</v>
      </c>
      <c r="G387" s="2" t="str">
        <f t="array" ref="G387">_xlfn.XLOOKUP(B387,Vendedores!$A$2:$A$41,Vendedores!$B$2:$B$41,"No hay datos")</f>
        <v>No hay datos</v>
      </c>
      <c r="H387" s="2" t="str">
        <f t="array" ref="H387">_xlfn.XLOOKUP(B387,Vendedores!$A$2:$A$41,Vendedores!$C$2:$C$41,"No hay datos")</f>
        <v>No hay datos</v>
      </c>
      <c r="I387" s="2" t="str">
        <f t="array" ref="I387">_xlfn.XLOOKUP(B387,Vendedores!$A$2:$A$41,Vendedores!$D$2:$D$41,"No hay datos")</f>
        <v>No hay datos</v>
      </c>
      <c r="J387" s="2" t="str">
        <f t="array" ref="J387">_xlfn.XLOOKUP(A387,Productos!$A$2:$A$61,Productos!$B$2:$F$61)</f>
        <v>#N/A</v>
      </c>
    </row>
    <row r="388">
      <c r="A388" s="2" t="str">
        <f>IFERROR(__xludf.DUMMYFUNCTION("""COMPUTED_VALUE"""),"PR039")</f>
        <v>PR039</v>
      </c>
      <c r="B388" s="2" t="str">
        <f>IFERROR(__xludf.DUMMYFUNCTION("""COMPUTED_VALUE"""),"VD042")</f>
        <v>VD042</v>
      </c>
      <c r="C388" s="2">
        <f>IFERROR(__xludf.DUMMYFUNCTION("""COMPUTED_VALUE"""),2.0)</f>
        <v>2</v>
      </c>
      <c r="D388" s="6">
        <f>IFERROR(__xludf.DUMMYFUNCTION("""COMPUTED_VALUE"""),292.0)</f>
        <v>292</v>
      </c>
      <c r="E388" s="6">
        <f>IFERROR(__xludf.DUMMYFUNCTION("GOOGLEFINANCE(""Currency:BRLMXN"")*D388"),991.924)</f>
        <v>991.924</v>
      </c>
      <c r="F388" s="6">
        <f>IFERROR(__xludf.DUMMYFUNCTION("GOOGLEFINANCE(""Currency:BRLPEN"")*D388"),191.43519999999998)</f>
        <v>191.4352</v>
      </c>
      <c r="G388" s="2" t="str">
        <f t="array" ref="G388">_xlfn.XLOOKUP(B388,Vendedores!$A$2:$A$41,Vendedores!$B$2:$B$41,"No hay datos")</f>
        <v>No hay datos</v>
      </c>
      <c r="H388" s="2" t="str">
        <f t="array" ref="H388">_xlfn.XLOOKUP(B388,Vendedores!$A$2:$A$41,Vendedores!$C$2:$C$41,"No hay datos")</f>
        <v>No hay datos</v>
      </c>
      <c r="I388" s="2" t="str">
        <f t="array" ref="I388">_xlfn.XLOOKUP(B388,Vendedores!$A$2:$A$41,Vendedores!$D$2:$D$41,"No hay datos")</f>
        <v>No hay datos</v>
      </c>
      <c r="J388" s="2" t="str">
        <f t="array" ref="J388">_xlfn.XLOOKUP(A388,Productos!$A$2:$A$61,Productos!$B$2:$F$61)</f>
        <v>#N/A</v>
      </c>
    </row>
    <row r="389">
      <c r="A389" s="2" t="str">
        <f>IFERROR(__xludf.DUMMYFUNCTION("""COMPUTED_VALUE"""),"PR040")</f>
        <v>PR040</v>
      </c>
      <c r="B389" s="2" t="str">
        <f>IFERROR(__xludf.DUMMYFUNCTION("""COMPUTED_VALUE"""),"VD038")</f>
        <v>VD038</v>
      </c>
      <c r="C389" s="2">
        <f>IFERROR(__xludf.DUMMYFUNCTION("""COMPUTED_VALUE"""),2.0)</f>
        <v>2</v>
      </c>
      <c r="D389" s="6">
        <f>IFERROR(__xludf.DUMMYFUNCTION("""COMPUTED_VALUE"""),145.6)</f>
        <v>145.6</v>
      </c>
      <c r="E389" s="6">
        <f>IFERROR(__xludf.DUMMYFUNCTION("GOOGLEFINANCE(""Currency:BRLMXN"")*D389"),494.60319999999996)</f>
        <v>494.6032</v>
      </c>
      <c r="F389" s="6">
        <f>IFERROR(__xludf.DUMMYFUNCTION("GOOGLEFINANCE(""Currency:BRLPEN"")*D389"),95.45535999999998)</f>
        <v>95.45536</v>
      </c>
      <c r="G389" s="2" t="str">
        <f t="array" ref="G389">_xlfn.XLOOKUP(B389,Vendedores!$A$2:$A$41,Vendedores!$B$2:$B$41,"No hay datos")</f>
        <v>No hay datos</v>
      </c>
      <c r="H389" s="2" t="str">
        <f t="array" ref="H389">_xlfn.XLOOKUP(B389,Vendedores!$A$2:$A$41,Vendedores!$C$2:$C$41,"No hay datos")</f>
        <v>No hay datos</v>
      </c>
      <c r="I389" s="2" t="str">
        <f t="array" ref="I389">_xlfn.XLOOKUP(B389,Vendedores!$A$2:$A$41,Vendedores!$D$2:$D$41,"No hay datos")</f>
        <v>No hay datos</v>
      </c>
      <c r="J389" s="2" t="str">
        <f t="array" ref="J389">_xlfn.XLOOKUP(A389,Productos!$A$2:$A$61,Productos!$B$2:$F$61)</f>
        <v>#N/A</v>
      </c>
    </row>
    <row r="390">
      <c r="A390" s="2" t="str">
        <f>IFERROR(__xludf.DUMMYFUNCTION("""COMPUTED_VALUE"""),"PR053")</f>
        <v>PR053</v>
      </c>
      <c r="B390" s="2" t="str">
        <f>IFERROR(__xludf.DUMMYFUNCTION("""COMPUTED_VALUE"""),"VD031")</f>
        <v>VD031</v>
      </c>
      <c r="C390" s="2">
        <f>IFERROR(__xludf.DUMMYFUNCTION("""COMPUTED_VALUE"""),10.0)</f>
        <v>10</v>
      </c>
      <c r="D390" s="6">
        <f>IFERROR(__xludf.DUMMYFUNCTION("""COMPUTED_VALUE"""),523.95)</f>
        <v>523.95</v>
      </c>
      <c r="E390" s="6">
        <f>IFERROR(__xludf.DUMMYFUNCTION("GOOGLEFINANCE(""Currency:BRLMXN"")*D390"),1779.85815)</f>
        <v>1779.85815</v>
      </c>
      <c r="F390" s="6">
        <f>IFERROR(__xludf.DUMMYFUNCTION("GOOGLEFINANCE(""Currency:BRLPEN"")*D390"),343.50162)</f>
        <v>343.50162</v>
      </c>
      <c r="G390" s="2" t="str">
        <f t="array" ref="G390">_xlfn.XLOOKUP(B390,Vendedores!$A$2:$A$41,Vendedores!$B$2:$B$41,"No hay datos")</f>
        <v>No hay datos</v>
      </c>
      <c r="H390" s="2" t="str">
        <f t="array" ref="H390">_xlfn.XLOOKUP(B390,Vendedores!$A$2:$A$41,Vendedores!$C$2:$C$41,"No hay datos")</f>
        <v>No hay datos</v>
      </c>
      <c r="I390" s="2" t="str">
        <f t="array" ref="I390">_xlfn.XLOOKUP(B390,Vendedores!$A$2:$A$41,Vendedores!$D$2:$D$41,"No hay datos")</f>
        <v>No hay datos</v>
      </c>
      <c r="J390" s="2" t="str">
        <f t="array" ref="J390">_xlfn.XLOOKUP(A390,Productos!$A$2:$A$61,Productos!$B$2:$F$61)</f>
        <v>#N/A</v>
      </c>
    </row>
    <row r="391">
      <c r="A391" s="2" t="str">
        <f>IFERROR(__xludf.DUMMYFUNCTION("""COMPUTED_VALUE"""),"PR033")</f>
        <v>PR033</v>
      </c>
      <c r="B391" s="2" t="str">
        <f>IFERROR(__xludf.DUMMYFUNCTION("""COMPUTED_VALUE"""),"VD030")</f>
        <v>VD030</v>
      </c>
      <c r="C391" s="2">
        <f>IFERROR(__xludf.DUMMYFUNCTION("""COMPUTED_VALUE"""),10.0)</f>
        <v>10</v>
      </c>
      <c r="D391" s="6">
        <f>IFERROR(__xludf.DUMMYFUNCTION("""COMPUTED_VALUE"""),2858.9)</f>
        <v>2858.9</v>
      </c>
      <c r="E391" s="6">
        <f>IFERROR(__xludf.DUMMYFUNCTION("GOOGLEFINANCE(""Currency:BRLMXN"")*D391"),9711.6833)</f>
        <v>9711.6833</v>
      </c>
      <c r="F391" s="6">
        <f>IFERROR(__xludf.DUMMYFUNCTION("GOOGLEFINANCE(""Currency:BRLPEN"")*D391"),1874.29484)</f>
        <v>1874.29484</v>
      </c>
      <c r="G391" s="2" t="str">
        <f t="array" ref="G391">_xlfn.XLOOKUP(B391,Vendedores!$A$2:$A$41,Vendedores!$B$2:$B$41,"No hay datos")</f>
        <v>No hay datos</v>
      </c>
      <c r="H391" s="2" t="str">
        <f t="array" ref="H391">_xlfn.XLOOKUP(B391,Vendedores!$A$2:$A$41,Vendedores!$C$2:$C$41,"No hay datos")</f>
        <v>No hay datos</v>
      </c>
      <c r="I391" s="2" t="str">
        <f t="array" ref="I391">_xlfn.XLOOKUP(B391,Vendedores!$A$2:$A$41,Vendedores!$D$2:$D$41,"No hay datos")</f>
        <v>No hay datos</v>
      </c>
      <c r="J391" s="2" t="str">
        <f t="array" ref="J391">_xlfn.XLOOKUP(A391,Productos!$A$2:$A$61,Productos!$B$2:$F$61)</f>
        <v>#N/A</v>
      </c>
    </row>
    <row r="392">
      <c r="A392" s="2" t="str">
        <f>IFERROR(__xludf.DUMMYFUNCTION("""COMPUTED_VALUE"""),"PR045")</f>
        <v>PR045</v>
      </c>
      <c r="B392" s="2" t="str">
        <f>IFERROR(__xludf.DUMMYFUNCTION("""COMPUTED_VALUE"""),"VD026")</f>
        <v>VD026</v>
      </c>
      <c r="C392" s="2">
        <f>IFERROR(__xludf.DUMMYFUNCTION("""COMPUTED_VALUE"""),12.0)</f>
        <v>12</v>
      </c>
      <c r="D392" s="6">
        <f>IFERROR(__xludf.DUMMYFUNCTION("""COMPUTED_VALUE"""),913.5)</f>
        <v>913.5</v>
      </c>
      <c r="E392" s="6">
        <f>IFERROR(__xludf.DUMMYFUNCTION("GOOGLEFINANCE(""Currency:BRLMXN"")*D392"),3103.1594999999998)</f>
        <v>3103.1595</v>
      </c>
      <c r="F392" s="6">
        <f>IFERROR(__xludf.DUMMYFUNCTION("GOOGLEFINANCE(""Currency:BRLPEN"")*D392"),598.8906)</f>
        <v>598.8906</v>
      </c>
      <c r="G392" s="2" t="str">
        <f t="array" ref="G392">_xlfn.XLOOKUP(B392,Vendedores!$A$2:$A$41,Vendedores!$B$2:$B$41,"No hay datos")</f>
        <v>No hay datos</v>
      </c>
      <c r="H392" s="2" t="str">
        <f t="array" ref="H392">_xlfn.XLOOKUP(B392,Vendedores!$A$2:$A$41,Vendedores!$C$2:$C$41,"No hay datos")</f>
        <v>No hay datos</v>
      </c>
      <c r="I392" s="2" t="str">
        <f t="array" ref="I392">_xlfn.XLOOKUP(B392,Vendedores!$A$2:$A$41,Vendedores!$D$2:$D$41,"No hay datos")</f>
        <v>No hay datos</v>
      </c>
      <c r="J392" s="2" t="str">
        <f t="array" ref="J392">_xlfn.XLOOKUP(A392,Productos!$A$2:$A$61,Productos!$B$2:$F$61)</f>
        <v>#N/A</v>
      </c>
    </row>
    <row r="393">
      <c r="A393" s="2" t="str">
        <f>IFERROR(__xludf.DUMMYFUNCTION("""COMPUTED_VALUE"""),"PR012")</f>
        <v>PR012</v>
      </c>
      <c r="B393" s="2" t="str">
        <f>IFERROR(__xludf.DUMMYFUNCTION("""COMPUTED_VALUE"""),"VD042")</f>
        <v>VD042</v>
      </c>
      <c r="C393" s="2">
        <f>IFERROR(__xludf.DUMMYFUNCTION("""COMPUTED_VALUE"""),10.0)</f>
        <v>10</v>
      </c>
      <c r="D393" s="6">
        <f>IFERROR(__xludf.DUMMYFUNCTION("""COMPUTED_VALUE"""),498.78)</f>
        <v>498.78</v>
      </c>
      <c r="E393" s="6">
        <f>IFERROR(__xludf.DUMMYFUNCTION("GOOGLEFINANCE(""Currency:BRLMXN"")*D393"),1694.3556599999997)</f>
        <v>1694.35566</v>
      </c>
      <c r="F393" s="6">
        <f>IFERROR(__xludf.DUMMYFUNCTION("GOOGLEFINANCE(""Currency:BRLPEN"")*D393"),327.000168)</f>
        <v>327.000168</v>
      </c>
      <c r="G393" s="2" t="str">
        <f t="array" ref="G393">_xlfn.XLOOKUP(B393,Vendedores!$A$2:$A$41,Vendedores!$B$2:$B$41,"No hay datos")</f>
        <v>No hay datos</v>
      </c>
      <c r="H393" s="2" t="str">
        <f t="array" ref="H393">_xlfn.XLOOKUP(B393,Vendedores!$A$2:$A$41,Vendedores!$C$2:$C$41,"No hay datos")</f>
        <v>No hay datos</v>
      </c>
      <c r="I393" s="2" t="str">
        <f t="array" ref="I393">_xlfn.XLOOKUP(B393,Vendedores!$A$2:$A$41,Vendedores!$D$2:$D$41,"No hay datos")</f>
        <v>No hay datos</v>
      </c>
      <c r="J393" s="2" t="str">
        <f t="array" ref="J393">_xlfn.XLOOKUP(A393,Productos!$A$2:$A$61,Productos!$B$2:$F$61)</f>
        <v>#N/A</v>
      </c>
    </row>
    <row r="394">
      <c r="A394" s="2" t="str">
        <f>IFERROR(__xludf.DUMMYFUNCTION("""COMPUTED_VALUE"""),"PR002")</f>
        <v>PR002</v>
      </c>
      <c r="B394" s="2" t="str">
        <f>IFERROR(__xludf.DUMMYFUNCTION("""COMPUTED_VALUE"""),"VD037")</f>
        <v>VD037</v>
      </c>
      <c r="C394" s="2">
        <f>IFERROR(__xludf.DUMMYFUNCTION("""COMPUTED_VALUE"""),3.0)</f>
        <v>3</v>
      </c>
      <c r="D394" s="6">
        <f>IFERROR(__xludf.DUMMYFUNCTION("""COMPUTED_VALUE"""),215.99)</f>
        <v>215.99</v>
      </c>
      <c r="E394" s="6">
        <f>IFERROR(__xludf.DUMMYFUNCTION("GOOGLEFINANCE(""Currency:BRLMXN"")*D394"),733.71803)</f>
        <v>733.71803</v>
      </c>
      <c r="F394" s="6">
        <f>IFERROR(__xludf.DUMMYFUNCTION("GOOGLEFINANCE(""Currency:BRLPEN"")*D394"),141.603044)</f>
        <v>141.603044</v>
      </c>
      <c r="G394" s="2" t="str">
        <f t="array" ref="G394">_xlfn.XLOOKUP(B394,Vendedores!$A$2:$A$41,Vendedores!$B$2:$B$41,"No hay datos")</f>
        <v>No hay datos</v>
      </c>
      <c r="H394" s="2" t="str">
        <f t="array" ref="H394">_xlfn.XLOOKUP(B394,Vendedores!$A$2:$A$41,Vendedores!$C$2:$C$41,"No hay datos")</f>
        <v>No hay datos</v>
      </c>
      <c r="I394" s="2" t="str">
        <f t="array" ref="I394">_xlfn.XLOOKUP(B394,Vendedores!$A$2:$A$41,Vendedores!$D$2:$D$41,"No hay datos")</f>
        <v>No hay datos</v>
      </c>
      <c r="J394" s="2" t="str">
        <f t="array" ref="J394">_xlfn.XLOOKUP(A394,Productos!$A$2:$A$61,Productos!$B$2:$F$61)</f>
        <v>#N/A</v>
      </c>
    </row>
    <row r="395">
      <c r="A395" s="2" t="str">
        <f>IFERROR(__xludf.DUMMYFUNCTION("""COMPUTED_VALUE"""),"PR024")</f>
        <v>PR024</v>
      </c>
      <c r="B395" s="2" t="str">
        <f>IFERROR(__xludf.DUMMYFUNCTION("""COMPUTED_VALUE"""),"VD023")</f>
        <v>VD023</v>
      </c>
      <c r="C395" s="2">
        <f>IFERROR(__xludf.DUMMYFUNCTION("""COMPUTED_VALUE"""),9.0)</f>
        <v>9</v>
      </c>
      <c r="D395" s="6">
        <f>IFERROR(__xludf.DUMMYFUNCTION("""COMPUTED_VALUE"""),2549.62)</f>
        <v>2549.62</v>
      </c>
      <c r="E395" s="6">
        <f>IFERROR(__xludf.DUMMYFUNCTION("GOOGLEFINANCE(""Currency:BRLMXN"")*D395"),8661.05914)</f>
        <v>8661.05914</v>
      </c>
      <c r="F395" s="6">
        <f>IFERROR(__xludf.DUMMYFUNCTION("GOOGLEFINANCE(""Currency:BRLPEN"")*D395"),1671.5308719999998)</f>
        <v>1671.530872</v>
      </c>
      <c r="G395" s="2" t="str">
        <f t="array" ref="G395">_xlfn.XLOOKUP(B395,Vendedores!$A$2:$A$41,Vendedores!$B$2:$B$41,"No hay datos")</f>
        <v>No hay datos</v>
      </c>
      <c r="H395" s="2" t="str">
        <f t="array" ref="H395">_xlfn.XLOOKUP(B395,Vendedores!$A$2:$A$41,Vendedores!$C$2:$C$41,"No hay datos")</f>
        <v>No hay datos</v>
      </c>
      <c r="I395" s="2" t="str">
        <f t="array" ref="I395">_xlfn.XLOOKUP(B395,Vendedores!$A$2:$A$41,Vendedores!$D$2:$D$41,"No hay datos")</f>
        <v>No hay datos</v>
      </c>
      <c r="J395" s="2" t="str">
        <f t="array" ref="J395">_xlfn.XLOOKUP(A395,Productos!$A$2:$A$61,Productos!$B$2:$F$61)</f>
        <v>#N/A</v>
      </c>
    </row>
    <row r="396">
      <c r="A396" s="2" t="str">
        <f>IFERROR(__xludf.DUMMYFUNCTION("""COMPUTED_VALUE"""),"PR039")</f>
        <v>PR039</v>
      </c>
      <c r="B396" s="2" t="str">
        <f>IFERROR(__xludf.DUMMYFUNCTION("""COMPUTED_VALUE"""),"VD028")</f>
        <v>VD028</v>
      </c>
      <c r="C396" s="2">
        <f>IFERROR(__xludf.DUMMYFUNCTION("""COMPUTED_VALUE"""),4.0)</f>
        <v>4</v>
      </c>
      <c r="D396" s="6">
        <f>IFERROR(__xludf.DUMMYFUNCTION("""COMPUTED_VALUE"""),601.52)</f>
        <v>601.52</v>
      </c>
      <c r="E396" s="6">
        <f>IFERROR(__xludf.DUMMYFUNCTION("GOOGLEFINANCE(""Currency:BRLMXN"")*D396"),2043.3634399999999)</f>
        <v>2043.36344</v>
      </c>
      <c r="F396" s="6">
        <f>IFERROR(__xludf.DUMMYFUNCTION("GOOGLEFINANCE(""Currency:BRLPEN"")*D396"),394.35651199999995)</f>
        <v>394.356512</v>
      </c>
      <c r="G396" s="2" t="str">
        <f t="array" ref="G396">_xlfn.XLOOKUP(B396,Vendedores!$A$2:$A$41,Vendedores!$B$2:$B$41,"No hay datos")</f>
        <v>No hay datos</v>
      </c>
      <c r="H396" s="2" t="str">
        <f t="array" ref="H396">_xlfn.XLOOKUP(B396,Vendedores!$A$2:$A$41,Vendedores!$C$2:$C$41,"No hay datos")</f>
        <v>No hay datos</v>
      </c>
      <c r="I396" s="2" t="str">
        <f t="array" ref="I396">_xlfn.XLOOKUP(B396,Vendedores!$A$2:$A$41,Vendedores!$D$2:$D$41,"No hay datos")</f>
        <v>No hay datos</v>
      </c>
      <c r="J396" s="2" t="str">
        <f t="array" ref="J396">_xlfn.XLOOKUP(A396,Productos!$A$2:$A$61,Productos!$B$2:$F$61)</f>
        <v>#N/A</v>
      </c>
    </row>
    <row r="397">
      <c r="A397" s="2" t="str">
        <f>IFERROR(__xludf.DUMMYFUNCTION("""COMPUTED_VALUE"""),"PR058")</f>
        <v>PR058</v>
      </c>
      <c r="B397" s="2" t="str">
        <f>IFERROR(__xludf.DUMMYFUNCTION("""COMPUTED_VALUE"""),"VD028")</f>
        <v>VD028</v>
      </c>
      <c r="C397" s="2">
        <f>IFERROR(__xludf.DUMMYFUNCTION("""COMPUTED_VALUE"""),3.0)</f>
        <v>3</v>
      </c>
      <c r="D397" s="6">
        <f>IFERROR(__xludf.DUMMYFUNCTION("""COMPUTED_VALUE"""),594.0)</f>
        <v>594</v>
      </c>
      <c r="E397" s="6">
        <f>IFERROR(__xludf.DUMMYFUNCTION("GOOGLEFINANCE(""Currency:BRLMXN"")*D397"),2017.818)</f>
        <v>2017.818</v>
      </c>
      <c r="F397" s="6">
        <f>IFERROR(__xludf.DUMMYFUNCTION("GOOGLEFINANCE(""Currency:BRLPEN"")*D397"),389.4264)</f>
        <v>389.4264</v>
      </c>
      <c r="G397" s="2" t="str">
        <f t="array" ref="G397">_xlfn.XLOOKUP(B397,Vendedores!$A$2:$A$41,Vendedores!$B$2:$B$41,"No hay datos")</f>
        <v>No hay datos</v>
      </c>
      <c r="H397" s="2" t="str">
        <f t="array" ref="H397">_xlfn.XLOOKUP(B397,Vendedores!$A$2:$A$41,Vendedores!$C$2:$C$41,"No hay datos")</f>
        <v>No hay datos</v>
      </c>
      <c r="I397" s="2" t="str">
        <f t="array" ref="I397">_xlfn.XLOOKUP(B397,Vendedores!$A$2:$A$41,Vendedores!$D$2:$D$41,"No hay datos")</f>
        <v>No hay datos</v>
      </c>
      <c r="J397" s="2" t="str">
        <f t="array" ref="J397">_xlfn.XLOOKUP(A397,Productos!$A$2:$A$61,Productos!$B$2:$F$61)</f>
        <v>#N/A</v>
      </c>
    </row>
    <row r="398">
      <c r="A398" s="2" t="str">
        <f>IFERROR(__xludf.DUMMYFUNCTION("""COMPUTED_VALUE"""),"PR027")</f>
        <v>PR027</v>
      </c>
      <c r="B398" s="2" t="str">
        <f>IFERROR(__xludf.DUMMYFUNCTION("""COMPUTED_VALUE"""),"VD040")</f>
        <v>VD040</v>
      </c>
      <c r="C398" s="2">
        <f>IFERROR(__xludf.DUMMYFUNCTION("""COMPUTED_VALUE"""),14.0)</f>
        <v>14</v>
      </c>
      <c r="D398" s="6">
        <f>IFERROR(__xludf.DUMMYFUNCTION("""COMPUTED_VALUE"""),1730.4)</f>
        <v>1730.4</v>
      </c>
      <c r="E398" s="6">
        <f>IFERROR(__xludf.DUMMYFUNCTION("GOOGLEFINANCE(""Currency:BRLMXN"")*D398"),5878.1688)</f>
        <v>5878.1688</v>
      </c>
      <c r="F398" s="6">
        <f>IFERROR(__xludf.DUMMYFUNCTION("GOOGLEFINANCE(""Currency:BRLPEN"")*D398"),1134.45024)</f>
        <v>1134.45024</v>
      </c>
      <c r="G398" s="2" t="str">
        <f t="array" ref="G398">_xlfn.XLOOKUP(B398,Vendedores!$A$2:$A$41,Vendedores!$B$2:$B$41,"No hay datos")</f>
        <v>No hay datos</v>
      </c>
      <c r="H398" s="2" t="str">
        <f t="array" ref="H398">_xlfn.XLOOKUP(B398,Vendedores!$A$2:$A$41,Vendedores!$C$2:$C$41,"No hay datos")</f>
        <v>No hay datos</v>
      </c>
      <c r="I398" s="2" t="str">
        <f t="array" ref="I398">_xlfn.XLOOKUP(B398,Vendedores!$A$2:$A$41,Vendedores!$D$2:$D$41,"No hay datos")</f>
        <v>No hay datos</v>
      </c>
      <c r="J398" s="2" t="str">
        <f t="array" ref="J398">_xlfn.XLOOKUP(A398,Productos!$A$2:$A$61,Productos!$B$2:$F$61)</f>
        <v>#N/A</v>
      </c>
    </row>
    <row r="399">
      <c r="A399" s="2" t="str">
        <f>IFERROR(__xludf.DUMMYFUNCTION("""COMPUTED_VALUE"""),"PR003")</f>
        <v>PR003</v>
      </c>
      <c r="B399" s="2" t="str">
        <f>IFERROR(__xludf.DUMMYFUNCTION("""COMPUTED_VALUE"""),"VD029")</f>
        <v>VD029</v>
      </c>
      <c r="C399" s="2">
        <f>IFERROR(__xludf.DUMMYFUNCTION("""COMPUTED_VALUE"""),24.0)</f>
        <v>24</v>
      </c>
      <c r="D399" s="6">
        <f>IFERROR(__xludf.DUMMYFUNCTION("""COMPUTED_VALUE"""),1769.66)</f>
        <v>1769.66</v>
      </c>
      <c r="E399" s="6">
        <f>IFERROR(__xludf.DUMMYFUNCTION("GOOGLEFINANCE(""Currency:BRLMXN"")*D399"),6011.53502)</f>
        <v>6011.53502</v>
      </c>
      <c r="F399" s="6">
        <f>IFERROR(__xludf.DUMMYFUNCTION("GOOGLEFINANCE(""Currency:BRLPEN"")*D399"),1160.189096)</f>
        <v>1160.189096</v>
      </c>
      <c r="G399" s="2" t="str">
        <f t="array" ref="G399">_xlfn.XLOOKUP(B399,Vendedores!$A$2:$A$41,Vendedores!$B$2:$B$41,"No hay datos")</f>
        <v>No hay datos</v>
      </c>
      <c r="H399" s="2" t="str">
        <f t="array" ref="H399">_xlfn.XLOOKUP(B399,Vendedores!$A$2:$A$41,Vendedores!$C$2:$C$41,"No hay datos")</f>
        <v>No hay datos</v>
      </c>
      <c r="I399" s="2" t="str">
        <f t="array" ref="I399">_xlfn.XLOOKUP(B399,Vendedores!$A$2:$A$41,Vendedores!$D$2:$D$41,"No hay datos")</f>
        <v>No hay datos</v>
      </c>
      <c r="J399" s="2" t="str">
        <f t="array" ref="J399">_xlfn.XLOOKUP(A399,Productos!$A$2:$A$61,Productos!$B$2:$F$61)</f>
        <v>#N/A</v>
      </c>
    </row>
    <row r="400">
      <c r="A400" s="2" t="str">
        <f>IFERROR(__xludf.DUMMYFUNCTION("""COMPUTED_VALUE"""),"PR032")</f>
        <v>PR032</v>
      </c>
      <c r="B400" s="2" t="str">
        <f>IFERROR(__xludf.DUMMYFUNCTION("""COMPUTED_VALUE"""),"VD016")</f>
        <v>VD016</v>
      </c>
      <c r="C400" s="2">
        <f>IFERROR(__xludf.DUMMYFUNCTION("""COMPUTED_VALUE"""),4.0)</f>
        <v>4</v>
      </c>
      <c r="D400" s="6">
        <f>IFERROR(__xludf.DUMMYFUNCTION("""COMPUTED_VALUE"""),1060.0)</f>
        <v>1060</v>
      </c>
      <c r="E400" s="6">
        <f>IFERROR(__xludf.DUMMYFUNCTION("GOOGLEFINANCE(""Currency:BRLMXN"")*D400"),3600.8199999999997)</f>
        <v>3600.82</v>
      </c>
      <c r="F400" s="6">
        <f>IFERROR(__xludf.DUMMYFUNCTION("GOOGLEFINANCE(""Currency:BRLPEN"")*D400"),694.9359999999999)</f>
        <v>694.936</v>
      </c>
      <c r="G400" s="2" t="str">
        <f t="array" ref="G400">_xlfn.XLOOKUP(B400,Vendedores!$A$2:$A$41,Vendedores!$B$2:$B$41,"No hay datos")</f>
        <v>No hay datos</v>
      </c>
      <c r="H400" s="2" t="str">
        <f t="array" ref="H400">_xlfn.XLOOKUP(B400,Vendedores!$A$2:$A$41,Vendedores!$C$2:$C$41,"No hay datos")</f>
        <v>No hay datos</v>
      </c>
      <c r="I400" s="2" t="str">
        <f t="array" ref="I400">_xlfn.XLOOKUP(B400,Vendedores!$A$2:$A$41,Vendedores!$D$2:$D$41,"No hay datos")</f>
        <v>No hay datos</v>
      </c>
      <c r="J400" s="2" t="str">
        <f t="array" ref="J400">_xlfn.XLOOKUP(A400,Productos!$A$2:$A$61,Productos!$B$2:$F$61)</f>
        <v>#N/A</v>
      </c>
    </row>
    <row r="401">
      <c r="A401" s="2" t="str">
        <f>IFERROR(__xludf.DUMMYFUNCTION("""COMPUTED_VALUE"""),"PR049")</f>
        <v>PR049</v>
      </c>
      <c r="B401" s="2" t="str">
        <f>IFERROR(__xludf.DUMMYFUNCTION("""COMPUTED_VALUE"""),"VD015")</f>
        <v>VD015</v>
      </c>
      <c r="C401" s="2">
        <f>IFERROR(__xludf.DUMMYFUNCTION("""COMPUTED_VALUE"""),12.0)</f>
        <v>12</v>
      </c>
      <c r="D401" s="6">
        <f>IFERROR(__xludf.DUMMYFUNCTION("""COMPUTED_VALUE"""),406.64)</f>
        <v>406.64</v>
      </c>
      <c r="E401" s="6">
        <f>IFERROR(__xludf.DUMMYFUNCTION("GOOGLEFINANCE(""Currency:BRLMXN"")*D401"),1381.3560799999998)</f>
        <v>1381.35608</v>
      </c>
      <c r="F401" s="6">
        <f>IFERROR(__xludf.DUMMYFUNCTION("GOOGLEFINANCE(""Currency:BRLPEN"")*D401"),266.59318399999995)</f>
        <v>266.593184</v>
      </c>
      <c r="G401" s="2" t="str">
        <f t="array" ref="G401">_xlfn.XLOOKUP(B401,Vendedores!$A$2:$A$41,Vendedores!$B$2:$B$41,"No hay datos")</f>
        <v>No hay datos</v>
      </c>
      <c r="H401" s="2" t="str">
        <f t="array" ref="H401">_xlfn.XLOOKUP(B401,Vendedores!$A$2:$A$41,Vendedores!$C$2:$C$41,"No hay datos")</f>
        <v>No hay datos</v>
      </c>
      <c r="I401" s="2" t="str">
        <f t="array" ref="I401">_xlfn.XLOOKUP(B401,Vendedores!$A$2:$A$41,Vendedores!$D$2:$D$41,"No hay datos")</f>
        <v>No hay datos</v>
      </c>
      <c r="J401" s="2" t="str">
        <f t="array" ref="J401">_xlfn.XLOOKUP(A401,Productos!$A$2:$A$61,Productos!$B$2:$F$61)</f>
        <v>#N/A</v>
      </c>
    </row>
    <row r="402">
      <c r="A402" s="2" t="str">
        <f>IFERROR(__xludf.DUMMYFUNCTION("""COMPUTED_VALUE"""),"PR011")</f>
        <v>PR011</v>
      </c>
      <c r="B402" s="2" t="str">
        <f>IFERROR(__xludf.DUMMYFUNCTION("""COMPUTED_VALUE"""),"VD016")</f>
        <v>VD016</v>
      </c>
      <c r="C402" s="2">
        <f>IFERROR(__xludf.DUMMYFUNCTION("""COMPUTED_VALUE"""),18.0)</f>
        <v>18</v>
      </c>
      <c r="D402" s="6">
        <f>IFERROR(__xludf.DUMMYFUNCTION("""COMPUTED_VALUE"""),903.29)</f>
        <v>903.29</v>
      </c>
      <c r="E402" s="6">
        <f>IFERROR(__xludf.DUMMYFUNCTION("GOOGLEFINANCE(""Currency:BRLMXN"")*D402"),3068.4761299999996)</f>
        <v>3068.47613</v>
      </c>
      <c r="F402" s="6">
        <f>IFERROR(__xludf.DUMMYFUNCTION("GOOGLEFINANCE(""Currency:BRLPEN"")*D402"),592.196924)</f>
        <v>592.196924</v>
      </c>
      <c r="G402" s="2" t="str">
        <f t="array" ref="G402">_xlfn.XLOOKUP(B402,Vendedores!$A$2:$A$41,Vendedores!$B$2:$B$41,"No hay datos")</f>
        <v>No hay datos</v>
      </c>
      <c r="H402" s="2" t="str">
        <f t="array" ref="H402">_xlfn.XLOOKUP(B402,Vendedores!$A$2:$A$41,Vendedores!$C$2:$C$41,"No hay datos")</f>
        <v>No hay datos</v>
      </c>
      <c r="I402" s="2" t="str">
        <f t="array" ref="I402">_xlfn.XLOOKUP(B402,Vendedores!$A$2:$A$41,Vendedores!$D$2:$D$41,"No hay datos")</f>
        <v>No hay datos</v>
      </c>
      <c r="J402" s="2" t="str">
        <f t="array" ref="J402">_xlfn.XLOOKUP(A402,Productos!$A$2:$A$61,Productos!$B$2:$F$61)</f>
        <v>#N/A</v>
      </c>
    </row>
    <row r="403">
      <c r="A403" s="2" t="str">
        <f>IFERROR(__xludf.DUMMYFUNCTION("""COMPUTED_VALUE"""),"PR015")</f>
        <v>PR015</v>
      </c>
      <c r="B403" s="2" t="str">
        <f>IFERROR(__xludf.DUMMYFUNCTION("""COMPUTED_VALUE"""),"VD028")</f>
        <v>VD028</v>
      </c>
      <c r="C403" s="2">
        <f>IFERROR(__xludf.DUMMYFUNCTION("""COMPUTED_VALUE"""),1.0)</f>
        <v>1</v>
      </c>
      <c r="D403" s="6">
        <f>IFERROR(__xludf.DUMMYFUNCTION("""COMPUTED_VALUE"""),42.93)</f>
        <v>42.93</v>
      </c>
      <c r="E403" s="6">
        <f>IFERROR(__xludf.DUMMYFUNCTION("GOOGLEFINANCE(""Currency:BRLMXN"")*D403"),145.83320999999998)</f>
        <v>145.83321</v>
      </c>
      <c r="F403" s="6">
        <f>IFERROR(__xludf.DUMMYFUNCTION("GOOGLEFINANCE(""Currency:BRLPEN"")*D403"),28.144907999999997)</f>
        <v>28.144908</v>
      </c>
      <c r="G403" s="2" t="str">
        <f t="array" ref="G403">_xlfn.XLOOKUP(B403,Vendedores!$A$2:$A$41,Vendedores!$B$2:$B$41,"No hay datos")</f>
        <v>No hay datos</v>
      </c>
      <c r="H403" s="2" t="str">
        <f t="array" ref="H403">_xlfn.XLOOKUP(B403,Vendedores!$A$2:$A$41,Vendedores!$C$2:$C$41,"No hay datos")</f>
        <v>No hay datos</v>
      </c>
      <c r="I403" s="2" t="str">
        <f t="array" ref="I403">_xlfn.XLOOKUP(B403,Vendedores!$A$2:$A$41,Vendedores!$D$2:$D$41,"No hay datos")</f>
        <v>No hay datos</v>
      </c>
      <c r="J403" s="2" t="str">
        <f t="array" ref="J403">_xlfn.XLOOKUP(A403,Productos!$A$2:$A$61,Productos!$B$2:$F$61)</f>
        <v>#N/A</v>
      </c>
    </row>
    <row r="404">
      <c r="A404" s="2" t="str">
        <f>IFERROR(__xludf.DUMMYFUNCTION("""COMPUTED_VALUE"""),"PR025")</f>
        <v>PR025</v>
      </c>
      <c r="B404" s="2" t="str">
        <f>IFERROR(__xludf.DUMMYFUNCTION("""COMPUTED_VALUE"""),"VD025")</f>
        <v>VD025</v>
      </c>
      <c r="C404" s="2">
        <f>IFERROR(__xludf.DUMMYFUNCTION("""COMPUTED_VALUE"""),16.0)</f>
        <v>16</v>
      </c>
      <c r="D404" s="6">
        <f>IFERROR(__xludf.DUMMYFUNCTION("""COMPUTED_VALUE"""),4942.35)</f>
        <v>4942.35</v>
      </c>
      <c r="E404" s="6">
        <f>IFERROR(__xludf.DUMMYFUNCTION("GOOGLEFINANCE(""Currency:BRLMXN"")*D404"),16789.16295)</f>
        <v>16789.16295</v>
      </c>
      <c r="F404" s="6">
        <f>IFERROR(__xludf.DUMMYFUNCTION("GOOGLEFINANCE(""Currency:BRLPEN"")*D404"),3240.20466)</f>
        <v>3240.20466</v>
      </c>
      <c r="G404" s="2" t="str">
        <f t="array" ref="G404">_xlfn.XLOOKUP(B404,Vendedores!$A$2:$A$41,Vendedores!$B$2:$B$41,"No hay datos")</f>
        <v>No hay datos</v>
      </c>
      <c r="H404" s="2" t="str">
        <f t="array" ref="H404">_xlfn.XLOOKUP(B404,Vendedores!$A$2:$A$41,Vendedores!$C$2:$C$41,"No hay datos")</f>
        <v>No hay datos</v>
      </c>
      <c r="I404" s="2" t="str">
        <f t="array" ref="I404">_xlfn.XLOOKUP(B404,Vendedores!$A$2:$A$41,Vendedores!$D$2:$D$41,"No hay datos")</f>
        <v>No hay datos</v>
      </c>
      <c r="J404" s="2" t="str">
        <f t="array" ref="J404">_xlfn.XLOOKUP(A404,Productos!$A$2:$A$61,Productos!$B$2:$F$61)</f>
        <v>#N/A</v>
      </c>
    </row>
    <row r="405">
      <c r="A405" s="2" t="str">
        <f>IFERROR(__xludf.DUMMYFUNCTION("""COMPUTED_VALUE"""),"PR023")</f>
        <v>PR023</v>
      </c>
      <c r="B405" s="2" t="str">
        <f>IFERROR(__xludf.DUMMYFUNCTION("""COMPUTED_VALUE"""),"VD047")</f>
        <v>VD047</v>
      </c>
      <c r="C405" s="2">
        <f>IFERROR(__xludf.DUMMYFUNCTION("""COMPUTED_VALUE"""),2.0)</f>
        <v>2</v>
      </c>
      <c r="D405" s="6">
        <f>IFERROR(__xludf.DUMMYFUNCTION("""COMPUTED_VALUE"""),539.78)</f>
        <v>539.78</v>
      </c>
      <c r="E405" s="6">
        <f>IFERROR(__xludf.DUMMYFUNCTION("GOOGLEFINANCE(""Currency:BRLMXN"")*D405"),1833.6326599999998)</f>
        <v>1833.63266</v>
      </c>
      <c r="F405" s="6">
        <f>IFERROR(__xludf.DUMMYFUNCTION("GOOGLEFINANCE(""Currency:BRLPEN"")*D405"),353.87976799999996)</f>
        <v>353.879768</v>
      </c>
      <c r="G405" s="2" t="str">
        <f t="array" ref="G405">_xlfn.XLOOKUP(B405,Vendedores!$A$2:$A$41,Vendedores!$B$2:$B$41,"No hay datos")</f>
        <v>No hay datos</v>
      </c>
      <c r="H405" s="2" t="str">
        <f t="array" ref="H405">_xlfn.XLOOKUP(B405,Vendedores!$A$2:$A$41,Vendedores!$C$2:$C$41,"No hay datos")</f>
        <v>No hay datos</v>
      </c>
      <c r="I405" s="2" t="str">
        <f t="array" ref="I405">_xlfn.XLOOKUP(B405,Vendedores!$A$2:$A$41,Vendedores!$D$2:$D$41,"No hay datos")</f>
        <v>No hay datos</v>
      </c>
      <c r="J405" s="2" t="str">
        <f t="array" ref="J405">_xlfn.XLOOKUP(A405,Productos!$A$2:$A$61,Productos!$B$2:$F$61)</f>
        <v>#N/A</v>
      </c>
    </row>
    <row r="406">
      <c r="A406" s="2" t="str">
        <f>IFERROR(__xludf.DUMMYFUNCTION("""COMPUTED_VALUE"""),"PR031")</f>
        <v>PR031</v>
      </c>
      <c r="B406" s="2" t="str">
        <f>IFERROR(__xludf.DUMMYFUNCTION("""COMPUTED_VALUE"""),"VD035")</f>
        <v>VD035</v>
      </c>
      <c r="C406" s="2">
        <f>IFERROR(__xludf.DUMMYFUNCTION("""COMPUTED_VALUE"""),9.0)</f>
        <v>9</v>
      </c>
      <c r="D406" s="6">
        <f>IFERROR(__xludf.DUMMYFUNCTION("""COMPUTED_VALUE"""),2337.3)</f>
        <v>2337.3</v>
      </c>
      <c r="E406" s="6">
        <f>IFERROR(__xludf.DUMMYFUNCTION("GOOGLEFINANCE(""Currency:BRLMXN"")*D406"),7939.8081)</f>
        <v>7939.8081</v>
      </c>
      <c r="F406" s="6">
        <f>IFERROR(__xludf.DUMMYFUNCTION("GOOGLEFINANCE(""Currency:BRLPEN"")*D406"),1532.3338800000001)</f>
        <v>1532.33388</v>
      </c>
      <c r="G406" s="2" t="str">
        <f t="array" ref="G406">_xlfn.XLOOKUP(B406,Vendedores!$A$2:$A$41,Vendedores!$B$2:$B$41,"No hay datos")</f>
        <v>No hay datos</v>
      </c>
      <c r="H406" s="2" t="str">
        <f t="array" ref="H406">_xlfn.XLOOKUP(B406,Vendedores!$A$2:$A$41,Vendedores!$C$2:$C$41,"No hay datos")</f>
        <v>No hay datos</v>
      </c>
      <c r="I406" s="2" t="str">
        <f t="array" ref="I406">_xlfn.XLOOKUP(B406,Vendedores!$A$2:$A$41,Vendedores!$D$2:$D$41,"No hay datos")</f>
        <v>No hay datos</v>
      </c>
      <c r="J406" s="2" t="str">
        <f t="array" ref="J406">_xlfn.XLOOKUP(A406,Productos!$A$2:$A$61,Productos!$B$2:$F$61)</f>
        <v>#N/A</v>
      </c>
    </row>
    <row r="407">
      <c r="A407" s="2" t="str">
        <f>IFERROR(__xludf.DUMMYFUNCTION("""COMPUTED_VALUE"""),"PR004")</f>
        <v>PR004</v>
      </c>
      <c r="B407" s="2" t="str">
        <f>IFERROR(__xludf.DUMMYFUNCTION("""COMPUTED_VALUE"""),"VD030")</f>
        <v>VD030</v>
      </c>
      <c r="C407" s="2">
        <f>IFERROR(__xludf.DUMMYFUNCTION("""COMPUTED_VALUE"""),5.0)</f>
        <v>5</v>
      </c>
      <c r="D407" s="6">
        <f>IFERROR(__xludf.DUMMYFUNCTION("""COMPUTED_VALUE"""),768.5)</f>
        <v>768.5</v>
      </c>
      <c r="E407" s="6">
        <f>IFERROR(__xludf.DUMMYFUNCTION("GOOGLEFINANCE(""Currency:BRLMXN"")*D407"),2610.5944999999997)</f>
        <v>2610.5945</v>
      </c>
      <c r="F407" s="6">
        <f>IFERROR(__xludf.DUMMYFUNCTION("GOOGLEFINANCE(""Currency:BRLPEN"")*D407"),503.8286)</f>
        <v>503.8286</v>
      </c>
      <c r="G407" s="2" t="str">
        <f t="array" ref="G407">_xlfn.XLOOKUP(B407,Vendedores!$A$2:$A$41,Vendedores!$B$2:$B$41,"No hay datos")</f>
        <v>No hay datos</v>
      </c>
      <c r="H407" s="2" t="str">
        <f t="array" ref="H407">_xlfn.XLOOKUP(B407,Vendedores!$A$2:$A$41,Vendedores!$C$2:$C$41,"No hay datos")</f>
        <v>No hay datos</v>
      </c>
      <c r="I407" s="2" t="str">
        <f t="array" ref="I407">_xlfn.XLOOKUP(B407,Vendedores!$A$2:$A$41,Vendedores!$D$2:$D$41,"No hay datos")</f>
        <v>No hay datos</v>
      </c>
      <c r="J407" s="2" t="str">
        <f t="array" ref="J407">_xlfn.XLOOKUP(A407,Productos!$A$2:$A$61,Productos!$B$2:$F$61)</f>
        <v>#N/A</v>
      </c>
    </row>
    <row r="408">
      <c r="A408" s="2" t="str">
        <f>IFERROR(__xludf.DUMMYFUNCTION("""COMPUTED_VALUE"""),"PR001")</f>
        <v>PR001</v>
      </c>
      <c r="B408" s="2" t="str">
        <f>IFERROR(__xludf.DUMMYFUNCTION("""COMPUTED_VALUE"""),"VD037")</f>
        <v>VD037</v>
      </c>
      <c r="C408" s="2">
        <f>IFERROR(__xludf.DUMMYFUNCTION("""COMPUTED_VALUE"""),4.0)</f>
        <v>4</v>
      </c>
      <c r="D408" s="6">
        <f>IFERROR(__xludf.DUMMYFUNCTION("""COMPUTED_VALUE"""),263.6)</f>
        <v>263.6</v>
      </c>
      <c r="E408" s="6">
        <f>IFERROR(__xludf.DUMMYFUNCTION("GOOGLEFINANCE(""Currency:BRLMXN"")*D408"),895.4492)</f>
        <v>895.4492</v>
      </c>
      <c r="F408" s="6">
        <f>IFERROR(__xludf.DUMMYFUNCTION("GOOGLEFINANCE(""Currency:BRLPEN"")*D408"),172.81616)</f>
        <v>172.81616</v>
      </c>
      <c r="G408" s="2" t="str">
        <f t="array" ref="G408">_xlfn.XLOOKUP(B408,Vendedores!$A$2:$A$41,Vendedores!$B$2:$B$41,"No hay datos")</f>
        <v>No hay datos</v>
      </c>
      <c r="H408" s="2" t="str">
        <f t="array" ref="H408">_xlfn.XLOOKUP(B408,Vendedores!$A$2:$A$41,Vendedores!$C$2:$C$41,"No hay datos")</f>
        <v>No hay datos</v>
      </c>
      <c r="I408" s="2" t="str">
        <f t="array" ref="I408">_xlfn.XLOOKUP(B408,Vendedores!$A$2:$A$41,Vendedores!$D$2:$D$41,"No hay datos")</f>
        <v>No hay datos</v>
      </c>
      <c r="J408" s="2" t="str">
        <f t="array" ref="J408">_xlfn.XLOOKUP(A408,Productos!$A$2:$A$61,Productos!$B$2:$F$61)</f>
        <v>#N/A</v>
      </c>
    </row>
    <row r="409">
      <c r="A409" s="2" t="str">
        <f>IFERROR(__xludf.DUMMYFUNCTION("""COMPUTED_VALUE"""),"PR006")</f>
        <v>PR006</v>
      </c>
      <c r="B409" s="2" t="str">
        <f>IFERROR(__xludf.DUMMYFUNCTION("""COMPUTED_VALUE"""),"VD025")</f>
        <v>VD025</v>
      </c>
      <c r="C409" s="2">
        <f>IFERROR(__xludf.DUMMYFUNCTION("""COMPUTED_VALUE"""),8.0)</f>
        <v>8</v>
      </c>
      <c r="D409" s="6">
        <f>IFERROR(__xludf.DUMMYFUNCTION("""COMPUTED_VALUE"""),328.78)</f>
        <v>328.78</v>
      </c>
      <c r="E409" s="6">
        <f>IFERROR(__xludf.DUMMYFUNCTION("GOOGLEFINANCE(""Currency:BRLMXN"")*D409"),1116.86566)</f>
        <v>1116.86566</v>
      </c>
      <c r="F409" s="6">
        <f>IFERROR(__xludf.DUMMYFUNCTION("GOOGLEFINANCE(""Currency:BRLPEN"")*D409"),215.54816799999998)</f>
        <v>215.548168</v>
      </c>
      <c r="G409" s="2" t="str">
        <f t="array" ref="G409">_xlfn.XLOOKUP(B409,Vendedores!$A$2:$A$41,Vendedores!$B$2:$B$41,"No hay datos")</f>
        <v>No hay datos</v>
      </c>
      <c r="H409" s="2" t="str">
        <f t="array" ref="H409">_xlfn.XLOOKUP(B409,Vendedores!$A$2:$A$41,Vendedores!$C$2:$C$41,"No hay datos")</f>
        <v>No hay datos</v>
      </c>
      <c r="I409" s="2" t="str">
        <f t="array" ref="I409">_xlfn.XLOOKUP(B409,Vendedores!$A$2:$A$41,Vendedores!$D$2:$D$41,"No hay datos")</f>
        <v>No hay datos</v>
      </c>
      <c r="J409" s="2" t="str">
        <f t="array" ref="J409">_xlfn.XLOOKUP(A409,Productos!$A$2:$A$61,Productos!$B$2:$F$61)</f>
        <v>#N/A</v>
      </c>
    </row>
    <row r="410">
      <c r="A410" s="2" t="str">
        <f>IFERROR(__xludf.DUMMYFUNCTION("""COMPUTED_VALUE"""),"PR019")</f>
        <v>PR019</v>
      </c>
      <c r="B410" s="2" t="str">
        <f>IFERROR(__xludf.DUMMYFUNCTION("""COMPUTED_VALUE"""),"VD030")</f>
        <v>VD030</v>
      </c>
      <c r="C410" s="2">
        <f>IFERROR(__xludf.DUMMYFUNCTION("""COMPUTED_VALUE"""),6.0)</f>
        <v>6</v>
      </c>
      <c r="D410" s="6">
        <f>IFERROR(__xludf.DUMMYFUNCTION("""COMPUTED_VALUE"""),299.4)</f>
        <v>299.4</v>
      </c>
      <c r="E410" s="6">
        <f>IFERROR(__xludf.DUMMYFUNCTION("GOOGLEFINANCE(""Currency:BRLMXN"")*D410"),1017.0617999999998)</f>
        <v>1017.0618</v>
      </c>
      <c r="F410" s="6">
        <f>IFERROR(__xludf.DUMMYFUNCTION("GOOGLEFINANCE(""Currency:BRLPEN"")*D410"),196.28663999999998)</f>
        <v>196.28664</v>
      </c>
      <c r="G410" s="2" t="str">
        <f t="array" ref="G410">_xlfn.XLOOKUP(B410,Vendedores!$A$2:$A$41,Vendedores!$B$2:$B$41,"No hay datos")</f>
        <v>No hay datos</v>
      </c>
      <c r="H410" s="2" t="str">
        <f t="array" ref="H410">_xlfn.XLOOKUP(B410,Vendedores!$A$2:$A$41,Vendedores!$C$2:$C$41,"No hay datos")</f>
        <v>No hay datos</v>
      </c>
      <c r="I410" s="2" t="str">
        <f t="array" ref="I410">_xlfn.XLOOKUP(B410,Vendedores!$A$2:$A$41,Vendedores!$D$2:$D$41,"No hay datos")</f>
        <v>No hay datos</v>
      </c>
      <c r="J410" s="2" t="str">
        <f t="array" ref="J410">_xlfn.XLOOKUP(A410,Productos!$A$2:$A$61,Productos!$B$2:$F$61)</f>
        <v>#N/A</v>
      </c>
    </row>
    <row r="411">
      <c r="A411" s="2" t="str">
        <f>IFERROR(__xludf.DUMMYFUNCTION("""COMPUTED_VALUE"""),"PR048")</f>
        <v>PR048</v>
      </c>
      <c r="B411" s="2" t="str">
        <f>IFERROR(__xludf.DUMMYFUNCTION("""COMPUTED_VALUE"""),"VD037")</f>
        <v>VD037</v>
      </c>
      <c r="C411" s="2">
        <f>IFERROR(__xludf.DUMMYFUNCTION("""COMPUTED_VALUE"""),6.0)</f>
        <v>6</v>
      </c>
      <c r="D411" s="6">
        <f>IFERROR(__xludf.DUMMYFUNCTION("""COMPUTED_VALUE"""),1861.16)</f>
        <v>1861.16</v>
      </c>
      <c r="E411" s="6">
        <f>IFERROR(__xludf.DUMMYFUNCTION("GOOGLEFINANCE(""Currency:BRLMXN"")*D411"),6322.36052)</f>
        <v>6322.36052</v>
      </c>
      <c r="F411" s="6">
        <f>IFERROR(__xludf.DUMMYFUNCTION("GOOGLEFINANCE(""Currency:BRLPEN"")*D411"),1220.176496)</f>
        <v>1220.176496</v>
      </c>
      <c r="G411" s="2" t="str">
        <f t="array" ref="G411">_xlfn.XLOOKUP(B411,Vendedores!$A$2:$A$41,Vendedores!$B$2:$B$41,"No hay datos")</f>
        <v>No hay datos</v>
      </c>
      <c r="H411" s="2" t="str">
        <f t="array" ref="H411">_xlfn.XLOOKUP(B411,Vendedores!$A$2:$A$41,Vendedores!$C$2:$C$41,"No hay datos")</f>
        <v>No hay datos</v>
      </c>
      <c r="I411" s="2" t="str">
        <f t="array" ref="I411">_xlfn.XLOOKUP(B411,Vendedores!$A$2:$A$41,Vendedores!$D$2:$D$41,"No hay datos")</f>
        <v>No hay datos</v>
      </c>
      <c r="J411" s="2" t="str">
        <f t="array" ref="J411">_xlfn.XLOOKUP(A411,Productos!$A$2:$A$61,Productos!$B$2:$F$61)</f>
        <v>#N/A</v>
      </c>
    </row>
    <row r="412">
      <c r="A412" s="2" t="str">
        <f>IFERROR(__xludf.DUMMYFUNCTION("""COMPUTED_VALUE"""),"PR060")</f>
        <v>PR060</v>
      </c>
      <c r="B412" s="2" t="str">
        <f>IFERROR(__xludf.DUMMYFUNCTION("""COMPUTED_VALUE"""),"VD032")</f>
        <v>VD032</v>
      </c>
      <c r="C412" s="2">
        <f>IFERROR(__xludf.DUMMYFUNCTION("""COMPUTED_VALUE"""),30.0)</f>
        <v>30</v>
      </c>
      <c r="D412" s="6">
        <f>IFERROR(__xludf.DUMMYFUNCTION("""COMPUTED_VALUE"""),5832.0)</f>
        <v>5832</v>
      </c>
      <c r="E412" s="6">
        <f>IFERROR(__xludf.DUMMYFUNCTION("GOOGLEFINANCE(""Currency:BRLMXN"")*D412"),19811.304)</f>
        <v>19811.304</v>
      </c>
      <c r="F412" s="6">
        <f>IFERROR(__xludf.DUMMYFUNCTION("GOOGLEFINANCE(""Currency:BRLPEN"")*D412"),3823.4592)</f>
        <v>3823.4592</v>
      </c>
      <c r="G412" s="2" t="str">
        <f t="array" ref="G412">_xlfn.XLOOKUP(B412,Vendedores!$A$2:$A$41,Vendedores!$B$2:$B$41,"No hay datos")</f>
        <v>No hay datos</v>
      </c>
      <c r="H412" s="2" t="str">
        <f t="array" ref="H412">_xlfn.XLOOKUP(B412,Vendedores!$A$2:$A$41,Vendedores!$C$2:$C$41,"No hay datos")</f>
        <v>No hay datos</v>
      </c>
      <c r="I412" s="2" t="str">
        <f t="array" ref="I412">_xlfn.XLOOKUP(B412,Vendedores!$A$2:$A$41,Vendedores!$D$2:$D$41,"No hay datos")</f>
        <v>No hay datos</v>
      </c>
      <c r="J412" s="2" t="str">
        <f t="array" ref="J412">_xlfn.XLOOKUP(A412,Productos!$A$2:$A$61,Productos!$B$2:$F$61)</f>
        <v>#N/A</v>
      </c>
    </row>
    <row r="413">
      <c r="A413" s="2" t="str">
        <f>IFERROR(__xludf.DUMMYFUNCTION("""COMPUTED_VALUE"""),"PR045")</f>
        <v>PR045</v>
      </c>
      <c r="B413" s="2" t="str">
        <f>IFERROR(__xludf.DUMMYFUNCTION("""COMPUTED_VALUE"""),"VD041")</f>
        <v>VD041</v>
      </c>
      <c r="C413" s="2">
        <f>IFERROR(__xludf.DUMMYFUNCTION("""COMPUTED_VALUE"""),7.0)</f>
        <v>7</v>
      </c>
      <c r="D413" s="6">
        <f>IFERROR(__xludf.DUMMYFUNCTION("""COMPUTED_VALUE"""),553.18)</f>
        <v>553.18</v>
      </c>
      <c r="E413" s="6">
        <f>IFERROR(__xludf.DUMMYFUNCTION("GOOGLEFINANCE(""Currency:BRLMXN"")*D413"),1879.1524599999998)</f>
        <v>1879.15246</v>
      </c>
      <c r="F413" s="6">
        <f>IFERROR(__xludf.DUMMYFUNCTION("GOOGLEFINANCE(""Currency:BRLPEN"")*D413"),362.66480799999994)</f>
        <v>362.664808</v>
      </c>
      <c r="G413" s="2" t="str">
        <f t="array" ref="G413">_xlfn.XLOOKUP(B413,Vendedores!$A$2:$A$41,Vendedores!$B$2:$B$41,"No hay datos")</f>
        <v>No hay datos</v>
      </c>
      <c r="H413" s="2" t="str">
        <f t="array" ref="H413">_xlfn.XLOOKUP(B413,Vendedores!$A$2:$A$41,Vendedores!$C$2:$C$41,"No hay datos")</f>
        <v>No hay datos</v>
      </c>
      <c r="I413" s="2" t="str">
        <f t="array" ref="I413">_xlfn.XLOOKUP(B413,Vendedores!$A$2:$A$41,Vendedores!$D$2:$D$41,"No hay datos")</f>
        <v>No hay datos</v>
      </c>
      <c r="J413" s="2" t="str">
        <f t="array" ref="J413">_xlfn.XLOOKUP(A413,Productos!$A$2:$A$61,Productos!$B$2:$F$61)</f>
        <v>#N/A</v>
      </c>
    </row>
    <row r="414">
      <c r="A414" s="2" t="str">
        <f>IFERROR(__xludf.DUMMYFUNCTION("""COMPUTED_VALUE"""),"PR003")</f>
        <v>PR003</v>
      </c>
      <c r="B414" s="2" t="str">
        <f>IFERROR(__xludf.DUMMYFUNCTION("""COMPUTED_VALUE"""),"VD012")</f>
        <v>VD012</v>
      </c>
      <c r="C414" s="2">
        <f>IFERROR(__xludf.DUMMYFUNCTION("""COMPUTED_VALUE"""),27.0)</f>
        <v>27</v>
      </c>
      <c r="D414" s="6">
        <f>IFERROR(__xludf.DUMMYFUNCTION("""COMPUTED_VALUE"""),1914.3)</f>
        <v>1914.3</v>
      </c>
      <c r="E414" s="6">
        <f>IFERROR(__xludf.DUMMYFUNCTION("GOOGLEFINANCE(""Currency:BRLMXN"")*D414"),6502.8771)</f>
        <v>6502.8771</v>
      </c>
      <c r="F414" s="6">
        <f>IFERROR(__xludf.DUMMYFUNCTION("GOOGLEFINANCE(""Currency:BRLPEN"")*D414"),1255.01508)</f>
        <v>1255.01508</v>
      </c>
      <c r="G414" s="2" t="str">
        <f t="array" ref="G414">_xlfn.XLOOKUP(B414,Vendedores!$A$2:$A$41,Vendedores!$B$2:$B$41,"No hay datos")</f>
        <v>No hay datos</v>
      </c>
      <c r="H414" s="2" t="str">
        <f t="array" ref="H414">_xlfn.XLOOKUP(B414,Vendedores!$A$2:$A$41,Vendedores!$C$2:$C$41,"No hay datos")</f>
        <v>No hay datos</v>
      </c>
      <c r="I414" s="2" t="str">
        <f t="array" ref="I414">_xlfn.XLOOKUP(B414,Vendedores!$A$2:$A$41,Vendedores!$D$2:$D$41,"No hay datos")</f>
        <v>No hay datos</v>
      </c>
      <c r="J414" s="2" t="str">
        <f t="array" ref="J414">_xlfn.XLOOKUP(A414,Productos!$A$2:$A$61,Productos!$B$2:$F$61)</f>
        <v>#N/A</v>
      </c>
    </row>
    <row r="415">
      <c r="A415" s="2" t="str">
        <f>IFERROR(__xludf.DUMMYFUNCTION("""COMPUTED_VALUE"""),"PR056")</f>
        <v>PR056</v>
      </c>
      <c r="B415" s="2" t="str">
        <f>IFERROR(__xludf.DUMMYFUNCTION("""COMPUTED_VALUE"""),"VD030")</f>
        <v>VD030</v>
      </c>
      <c r="C415" s="2">
        <f>IFERROR(__xludf.DUMMYFUNCTION("""COMPUTED_VALUE"""),12.0)</f>
        <v>12</v>
      </c>
      <c r="D415" s="6">
        <f>IFERROR(__xludf.DUMMYFUNCTION("""COMPUTED_VALUE"""),1089.59)</f>
        <v>1089.59</v>
      </c>
      <c r="E415" s="6">
        <f>IFERROR(__xludf.DUMMYFUNCTION("GOOGLEFINANCE(""Currency:BRLMXN"")*D415"),3701.3372299999996)</f>
        <v>3701.33723</v>
      </c>
      <c r="F415" s="6">
        <f>IFERROR(__xludf.DUMMYFUNCTION("GOOGLEFINANCE(""Currency:BRLPEN"")*D415"),714.3352039999999)</f>
        <v>714.335204</v>
      </c>
      <c r="G415" s="2" t="str">
        <f t="array" ref="G415">_xlfn.XLOOKUP(B415,Vendedores!$A$2:$A$41,Vendedores!$B$2:$B$41,"No hay datos")</f>
        <v>No hay datos</v>
      </c>
      <c r="H415" s="2" t="str">
        <f t="array" ref="H415">_xlfn.XLOOKUP(B415,Vendedores!$A$2:$A$41,Vendedores!$C$2:$C$41,"No hay datos")</f>
        <v>No hay datos</v>
      </c>
      <c r="I415" s="2" t="str">
        <f t="array" ref="I415">_xlfn.XLOOKUP(B415,Vendedores!$A$2:$A$41,Vendedores!$D$2:$D$41,"No hay datos")</f>
        <v>No hay datos</v>
      </c>
      <c r="J415" s="2" t="str">
        <f t="array" ref="J415">_xlfn.XLOOKUP(A415,Productos!$A$2:$A$61,Productos!$B$2:$F$61)</f>
        <v>#N/A</v>
      </c>
    </row>
    <row r="416">
      <c r="A416" s="2" t="str">
        <f>IFERROR(__xludf.DUMMYFUNCTION("""COMPUTED_VALUE"""),"PR033")</f>
        <v>PR033</v>
      </c>
      <c r="B416" s="2" t="str">
        <f>IFERROR(__xludf.DUMMYFUNCTION("""COMPUTED_VALUE"""),"VD014")</f>
        <v>VD014</v>
      </c>
      <c r="C416" s="2">
        <f>IFERROR(__xludf.DUMMYFUNCTION("""COMPUTED_VALUE"""),10.0)</f>
        <v>10</v>
      </c>
      <c r="D416" s="6">
        <f>IFERROR(__xludf.DUMMYFUNCTION("""COMPUTED_VALUE"""),2702.96)</f>
        <v>2702.96</v>
      </c>
      <c r="E416" s="6">
        <f>IFERROR(__xludf.DUMMYFUNCTION("GOOGLEFINANCE(""Currency:BRLMXN"")*D416"),9181.955119999999)</f>
        <v>9181.95512</v>
      </c>
      <c r="F416" s="6">
        <f>IFERROR(__xludf.DUMMYFUNCTION("GOOGLEFINANCE(""Currency:BRLPEN"")*D416"),1772.0605759999999)</f>
        <v>1772.060576</v>
      </c>
      <c r="G416" s="2" t="str">
        <f t="array" ref="G416">_xlfn.XLOOKUP(B416,Vendedores!$A$2:$A$41,Vendedores!$B$2:$B$41,"No hay datos")</f>
        <v>No hay datos</v>
      </c>
      <c r="H416" s="2" t="str">
        <f t="array" ref="H416">_xlfn.XLOOKUP(B416,Vendedores!$A$2:$A$41,Vendedores!$C$2:$C$41,"No hay datos")</f>
        <v>No hay datos</v>
      </c>
      <c r="I416" s="2" t="str">
        <f t="array" ref="I416">_xlfn.XLOOKUP(B416,Vendedores!$A$2:$A$41,Vendedores!$D$2:$D$41,"No hay datos")</f>
        <v>No hay datos</v>
      </c>
      <c r="J416" s="2" t="str">
        <f t="array" ref="J416">_xlfn.XLOOKUP(A416,Productos!$A$2:$A$61,Productos!$B$2:$F$61)</f>
        <v>#N/A</v>
      </c>
    </row>
    <row r="417">
      <c r="A417" s="2" t="str">
        <f>IFERROR(__xludf.DUMMYFUNCTION("""COMPUTED_VALUE"""),"PR041")</f>
        <v>PR041</v>
      </c>
      <c r="B417" s="2" t="str">
        <f>IFERROR(__xludf.DUMMYFUNCTION("""COMPUTED_VALUE"""),"VD014")</f>
        <v>VD014</v>
      </c>
      <c r="C417" s="2">
        <f>IFERROR(__xludf.DUMMYFUNCTION("""COMPUTED_VALUE"""),20.0)</f>
        <v>20</v>
      </c>
      <c r="D417" s="6">
        <f>IFERROR(__xludf.DUMMYFUNCTION("""COMPUTED_VALUE"""),1108.98)</f>
        <v>1108.98</v>
      </c>
      <c r="E417" s="6">
        <f>IFERROR(__xludf.DUMMYFUNCTION("GOOGLEFINANCE(""Currency:BRLMXN"")*D417"),3767.20506)</f>
        <v>3767.20506</v>
      </c>
      <c r="F417" s="6">
        <f>IFERROR(__xludf.DUMMYFUNCTION("GOOGLEFINANCE(""Currency:BRLPEN"")*D417"),727.047288)</f>
        <v>727.047288</v>
      </c>
      <c r="G417" s="2" t="str">
        <f t="array" ref="G417">_xlfn.XLOOKUP(B417,Vendedores!$A$2:$A$41,Vendedores!$B$2:$B$41,"No hay datos")</f>
        <v>No hay datos</v>
      </c>
      <c r="H417" s="2" t="str">
        <f t="array" ref="H417">_xlfn.XLOOKUP(B417,Vendedores!$A$2:$A$41,Vendedores!$C$2:$C$41,"No hay datos")</f>
        <v>No hay datos</v>
      </c>
      <c r="I417" s="2" t="str">
        <f t="array" ref="I417">_xlfn.XLOOKUP(B417,Vendedores!$A$2:$A$41,Vendedores!$D$2:$D$41,"No hay datos")</f>
        <v>No hay datos</v>
      </c>
      <c r="J417" s="2" t="str">
        <f t="array" ref="J417">_xlfn.XLOOKUP(A417,Productos!$A$2:$A$61,Productos!$B$2:$F$61)</f>
        <v>#N/A</v>
      </c>
    </row>
    <row r="418">
      <c r="A418" s="2" t="str">
        <f>IFERROR(__xludf.DUMMYFUNCTION("""COMPUTED_VALUE"""),"PR004")</f>
        <v>PR004</v>
      </c>
      <c r="B418" s="2" t="str">
        <f>IFERROR(__xludf.DUMMYFUNCTION("""COMPUTED_VALUE"""),"VD011")</f>
        <v>VD011</v>
      </c>
      <c r="C418" s="2">
        <f>IFERROR(__xludf.DUMMYFUNCTION("""COMPUTED_VALUE"""),10.0)</f>
        <v>10</v>
      </c>
      <c r="D418" s="6">
        <f>IFERROR(__xludf.DUMMYFUNCTION("""COMPUTED_VALUE"""),1464.5)</f>
        <v>1464.5</v>
      </c>
      <c r="E418" s="6">
        <f>IFERROR(__xludf.DUMMYFUNCTION("GOOGLEFINANCE(""Currency:BRLMXN"")*D418"),4974.9065)</f>
        <v>4974.9065</v>
      </c>
      <c r="F418" s="6">
        <f>IFERROR(__xludf.DUMMYFUNCTION("GOOGLEFINANCE(""Currency:BRLPEN"")*D418"),960.1261999999999)</f>
        <v>960.1262</v>
      </c>
      <c r="G418" s="2" t="str">
        <f t="array" ref="G418">_xlfn.XLOOKUP(B418,Vendedores!$A$2:$A$41,Vendedores!$B$2:$B$41,"No hay datos")</f>
        <v>No hay datos</v>
      </c>
      <c r="H418" s="2" t="str">
        <f t="array" ref="H418">_xlfn.XLOOKUP(B418,Vendedores!$A$2:$A$41,Vendedores!$C$2:$C$41,"No hay datos")</f>
        <v>No hay datos</v>
      </c>
      <c r="I418" s="2" t="str">
        <f t="array" ref="I418">_xlfn.XLOOKUP(B418,Vendedores!$A$2:$A$41,Vendedores!$D$2:$D$41,"No hay datos")</f>
        <v>No hay datos</v>
      </c>
      <c r="J418" s="2" t="str">
        <f t="array" ref="J418">_xlfn.XLOOKUP(A418,Productos!$A$2:$A$61,Productos!$B$2:$F$61)</f>
        <v>#N/A</v>
      </c>
    </row>
    <row r="419">
      <c r="A419" s="2" t="str">
        <f>IFERROR(__xludf.DUMMYFUNCTION("""COMPUTED_VALUE"""),"PR007")</f>
        <v>PR007</v>
      </c>
      <c r="B419" s="2" t="str">
        <f>IFERROR(__xludf.DUMMYFUNCTION("""COMPUTED_VALUE"""),"VD020")</f>
        <v>VD020</v>
      </c>
      <c r="C419" s="2">
        <f>IFERROR(__xludf.DUMMYFUNCTION("""COMPUTED_VALUE"""),9.0)</f>
        <v>9</v>
      </c>
      <c r="D419" s="6">
        <f>IFERROR(__xludf.DUMMYFUNCTION("""COMPUTED_VALUE"""),850.41)</f>
        <v>850.41</v>
      </c>
      <c r="E419" s="6">
        <f>IFERROR(__xludf.DUMMYFUNCTION("GOOGLEFINANCE(""Currency:BRLMXN"")*D419"),2888.8427699999997)</f>
        <v>2888.84277</v>
      </c>
      <c r="F419" s="6">
        <f>IFERROR(__xludf.DUMMYFUNCTION("GOOGLEFINANCE(""Currency:BRLPEN"")*D419"),557.5287959999999)</f>
        <v>557.528796</v>
      </c>
      <c r="G419" s="2" t="str">
        <f t="array" ref="G419">_xlfn.XLOOKUP(B419,Vendedores!$A$2:$A$41,Vendedores!$B$2:$B$41,"No hay datos")</f>
        <v>No hay datos</v>
      </c>
      <c r="H419" s="2" t="str">
        <f t="array" ref="H419">_xlfn.XLOOKUP(B419,Vendedores!$A$2:$A$41,Vendedores!$C$2:$C$41,"No hay datos")</f>
        <v>No hay datos</v>
      </c>
      <c r="I419" s="2" t="str">
        <f t="array" ref="I419">_xlfn.XLOOKUP(B419,Vendedores!$A$2:$A$41,Vendedores!$D$2:$D$41,"No hay datos")</f>
        <v>No hay datos</v>
      </c>
      <c r="J419" s="2" t="str">
        <f t="array" ref="J419">_xlfn.XLOOKUP(A419,Productos!$A$2:$A$61,Productos!$B$2:$F$61)</f>
        <v>#N/A</v>
      </c>
    </row>
    <row r="420">
      <c r="A420" s="2" t="str">
        <f>IFERROR(__xludf.DUMMYFUNCTION("""COMPUTED_VALUE"""),"PR046")</f>
        <v>PR046</v>
      </c>
      <c r="B420" s="2" t="str">
        <f>IFERROR(__xludf.DUMMYFUNCTION("""COMPUTED_VALUE"""),"VD015")</f>
        <v>VD015</v>
      </c>
      <c r="C420" s="2">
        <f>IFERROR(__xludf.DUMMYFUNCTION("""COMPUTED_VALUE"""),9.0)</f>
        <v>9</v>
      </c>
      <c r="D420" s="6">
        <f>IFERROR(__xludf.DUMMYFUNCTION("""COMPUTED_VALUE"""),2713.46)</f>
        <v>2713.46</v>
      </c>
      <c r="E420" s="6">
        <f>IFERROR(__xludf.DUMMYFUNCTION("GOOGLEFINANCE(""Currency:BRLMXN"")*D420"),9217.62362)</f>
        <v>9217.62362</v>
      </c>
      <c r="F420" s="6">
        <f>IFERROR(__xludf.DUMMYFUNCTION("GOOGLEFINANCE(""Currency:BRLPEN"")*D420"),1778.944376)</f>
        <v>1778.944376</v>
      </c>
      <c r="G420" s="2" t="str">
        <f t="array" ref="G420">_xlfn.XLOOKUP(B420,Vendedores!$A$2:$A$41,Vendedores!$B$2:$B$41,"No hay datos")</f>
        <v>No hay datos</v>
      </c>
      <c r="H420" s="2" t="str">
        <f t="array" ref="H420">_xlfn.XLOOKUP(B420,Vendedores!$A$2:$A$41,Vendedores!$C$2:$C$41,"No hay datos")</f>
        <v>No hay datos</v>
      </c>
      <c r="I420" s="2" t="str">
        <f t="array" ref="I420">_xlfn.XLOOKUP(B420,Vendedores!$A$2:$A$41,Vendedores!$D$2:$D$41,"No hay datos")</f>
        <v>No hay datos</v>
      </c>
      <c r="J420" s="2" t="str">
        <f t="array" ref="J420">_xlfn.XLOOKUP(A420,Productos!$A$2:$A$61,Productos!$B$2:$F$61)</f>
        <v>#N/A</v>
      </c>
    </row>
    <row r="421">
      <c r="A421" s="2" t="str">
        <f>IFERROR(__xludf.DUMMYFUNCTION("""COMPUTED_VALUE"""),"PR024")</f>
        <v>PR024</v>
      </c>
      <c r="B421" s="2" t="str">
        <f>IFERROR(__xludf.DUMMYFUNCTION("""COMPUTED_VALUE"""),"VD011")</f>
        <v>VD011</v>
      </c>
      <c r="C421" s="2">
        <f>IFERROR(__xludf.DUMMYFUNCTION("""COMPUTED_VALUE"""),3.0)</f>
        <v>3</v>
      </c>
      <c r="D421" s="6">
        <f>IFERROR(__xludf.DUMMYFUNCTION("""COMPUTED_VALUE"""),834.28)</f>
        <v>834.28</v>
      </c>
      <c r="E421" s="6">
        <f>IFERROR(__xludf.DUMMYFUNCTION("GOOGLEFINANCE(""Currency:BRLMXN"")*D421"),2834.0491599999996)</f>
        <v>2834.04916</v>
      </c>
      <c r="F421" s="6">
        <f>IFERROR(__xludf.DUMMYFUNCTION("GOOGLEFINANCE(""Currency:BRLPEN"")*D421"),546.9539679999999)</f>
        <v>546.953968</v>
      </c>
      <c r="G421" s="2" t="str">
        <f t="array" ref="G421">_xlfn.XLOOKUP(B421,Vendedores!$A$2:$A$41,Vendedores!$B$2:$B$41,"No hay datos")</f>
        <v>No hay datos</v>
      </c>
      <c r="H421" s="2" t="str">
        <f t="array" ref="H421">_xlfn.XLOOKUP(B421,Vendedores!$A$2:$A$41,Vendedores!$C$2:$C$41,"No hay datos")</f>
        <v>No hay datos</v>
      </c>
      <c r="I421" s="2" t="str">
        <f t="array" ref="I421">_xlfn.XLOOKUP(B421,Vendedores!$A$2:$A$41,Vendedores!$D$2:$D$41,"No hay datos")</f>
        <v>No hay datos</v>
      </c>
      <c r="J421" s="2" t="str">
        <f t="array" ref="J421">_xlfn.XLOOKUP(A421,Productos!$A$2:$A$61,Productos!$B$2:$F$61)</f>
        <v>#N/A</v>
      </c>
    </row>
    <row r="422">
      <c r="A422" s="2" t="str">
        <f>IFERROR(__xludf.DUMMYFUNCTION("""COMPUTED_VALUE"""),"PR047")</f>
        <v>PR047</v>
      </c>
      <c r="B422" s="2" t="str">
        <f>IFERROR(__xludf.DUMMYFUNCTION("""COMPUTED_VALUE"""),"VD033")</f>
        <v>VD033</v>
      </c>
      <c r="C422" s="2">
        <f>IFERROR(__xludf.DUMMYFUNCTION("""COMPUTED_VALUE"""),1.0)</f>
        <v>1</v>
      </c>
      <c r="D422" s="6">
        <f>IFERROR(__xludf.DUMMYFUNCTION("""COMPUTED_VALUE"""),307.29)</f>
        <v>307.29</v>
      </c>
      <c r="E422" s="6">
        <f>IFERROR(__xludf.DUMMYFUNCTION("GOOGLEFINANCE(""Currency:BRLMXN"")*D422"),1043.86413)</f>
        <v>1043.86413</v>
      </c>
      <c r="F422" s="6">
        <f>IFERROR(__xludf.DUMMYFUNCTION("GOOGLEFINANCE(""Currency:BRLPEN"")*D422"),201.459324)</f>
        <v>201.459324</v>
      </c>
      <c r="G422" s="2" t="str">
        <f t="array" ref="G422">_xlfn.XLOOKUP(B422,Vendedores!$A$2:$A$41,Vendedores!$B$2:$B$41,"No hay datos")</f>
        <v>No hay datos</v>
      </c>
      <c r="H422" s="2" t="str">
        <f t="array" ref="H422">_xlfn.XLOOKUP(B422,Vendedores!$A$2:$A$41,Vendedores!$C$2:$C$41,"No hay datos")</f>
        <v>No hay datos</v>
      </c>
      <c r="I422" s="2" t="str">
        <f t="array" ref="I422">_xlfn.XLOOKUP(B422,Vendedores!$A$2:$A$41,Vendedores!$D$2:$D$41,"No hay datos")</f>
        <v>No hay datos</v>
      </c>
      <c r="J422" s="2" t="str">
        <f t="array" ref="J422">_xlfn.XLOOKUP(A422,Productos!$A$2:$A$61,Productos!$B$2:$F$61)</f>
        <v>#N/A</v>
      </c>
    </row>
    <row r="423">
      <c r="A423" s="2" t="str">
        <f>IFERROR(__xludf.DUMMYFUNCTION("""COMPUTED_VALUE"""),"PR032")</f>
        <v>PR032</v>
      </c>
      <c r="B423" s="2" t="str">
        <f>IFERROR(__xludf.DUMMYFUNCTION("""COMPUTED_VALUE"""),"VD025")</f>
        <v>VD025</v>
      </c>
      <c r="C423" s="2">
        <f>IFERROR(__xludf.DUMMYFUNCTION("""COMPUTED_VALUE"""),16.0)</f>
        <v>16</v>
      </c>
      <c r="D423" s="6">
        <f>IFERROR(__xludf.DUMMYFUNCTION("""COMPUTED_VALUE"""),4080.0)</f>
        <v>4080</v>
      </c>
      <c r="E423" s="6">
        <f>IFERROR(__xludf.DUMMYFUNCTION("GOOGLEFINANCE(""Currency:BRLMXN"")*D423"),13859.759999999998)</f>
        <v>13859.76</v>
      </c>
      <c r="F423" s="6">
        <f>IFERROR(__xludf.DUMMYFUNCTION("GOOGLEFINANCE(""Currency:BRLPEN"")*D423"),2674.848)</f>
        <v>2674.848</v>
      </c>
      <c r="G423" s="2" t="str">
        <f t="array" ref="G423">_xlfn.XLOOKUP(B423,Vendedores!$A$2:$A$41,Vendedores!$B$2:$B$41,"No hay datos")</f>
        <v>No hay datos</v>
      </c>
      <c r="H423" s="2" t="str">
        <f t="array" ref="H423">_xlfn.XLOOKUP(B423,Vendedores!$A$2:$A$41,Vendedores!$C$2:$C$41,"No hay datos")</f>
        <v>No hay datos</v>
      </c>
      <c r="I423" s="2" t="str">
        <f t="array" ref="I423">_xlfn.XLOOKUP(B423,Vendedores!$A$2:$A$41,Vendedores!$D$2:$D$41,"No hay datos")</f>
        <v>No hay datos</v>
      </c>
      <c r="J423" s="2" t="str">
        <f t="array" ref="J423">_xlfn.XLOOKUP(A423,Productos!$A$2:$A$61,Productos!$B$2:$F$61)</f>
        <v>#N/A</v>
      </c>
    </row>
    <row r="424">
      <c r="A424" s="2" t="str">
        <f>IFERROR(__xludf.DUMMYFUNCTION("""COMPUTED_VALUE"""),"PR020")</f>
        <v>PR020</v>
      </c>
      <c r="B424" s="2" t="str">
        <f>IFERROR(__xludf.DUMMYFUNCTION("""COMPUTED_VALUE"""),"VD015")</f>
        <v>VD015</v>
      </c>
      <c r="C424" s="2">
        <f>IFERROR(__xludf.DUMMYFUNCTION("""COMPUTED_VALUE"""),10.0)</f>
        <v>10</v>
      </c>
      <c r="D424" s="6">
        <f>IFERROR(__xludf.DUMMYFUNCTION("""COMPUTED_VALUE"""),3088.97)</f>
        <v>3088.97</v>
      </c>
      <c r="E424" s="6">
        <f>IFERROR(__xludf.DUMMYFUNCTION("GOOGLEFINANCE(""Currency:BRLMXN"")*D424"),10493.23109)</f>
        <v>10493.23109</v>
      </c>
      <c r="F424" s="6">
        <f>IFERROR(__xludf.DUMMYFUNCTION("GOOGLEFINANCE(""Currency:BRLPEN"")*D424"),2025.1287319999997)</f>
        <v>2025.128732</v>
      </c>
      <c r="G424" s="2" t="str">
        <f t="array" ref="G424">_xlfn.XLOOKUP(B424,Vendedores!$A$2:$A$41,Vendedores!$B$2:$B$41,"No hay datos")</f>
        <v>No hay datos</v>
      </c>
      <c r="H424" s="2" t="str">
        <f t="array" ref="H424">_xlfn.XLOOKUP(B424,Vendedores!$A$2:$A$41,Vendedores!$C$2:$C$41,"No hay datos")</f>
        <v>No hay datos</v>
      </c>
      <c r="I424" s="2" t="str">
        <f t="array" ref="I424">_xlfn.XLOOKUP(B424,Vendedores!$A$2:$A$41,Vendedores!$D$2:$D$41,"No hay datos")</f>
        <v>No hay datos</v>
      </c>
      <c r="J424" s="2" t="str">
        <f t="array" ref="J424">_xlfn.XLOOKUP(A424,Productos!$A$2:$A$61,Productos!$B$2:$F$61)</f>
        <v>#N/A</v>
      </c>
    </row>
    <row r="425">
      <c r="A425" s="2" t="str">
        <f>IFERROR(__xludf.DUMMYFUNCTION("""COMPUTED_VALUE"""),"PR006")</f>
        <v>PR006</v>
      </c>
      <c r="B425" s="2" t="str">
        <f>IFERROR(__xludf.DUMMYFUNCTION("""COMPUTED_VALUE"""),"VD012")</f>
        <v>VD012</v>
      </c>
      <c r="C425" s="2">
        <f>IFERROR(__xludf.DUMMYFUNCTION("""COMPUTED_VALUE"""),15.0)</f>
        <v>15</v>
      </c>
      <c r="D425" s="6">
        <f>IFERROR(__xludf.DUMMYFUNCTION("""COMPUTED_VALUE"""),634.41)</f>
        <v>634.41</v>
      </c>
      <c r="E425" s="6">
        <f>IFERROR(__xludf.DUMMYFUNCTION("GOOGLEFINANCE(""Currency:BRLMXN"")*D425"),2155.09077)</f>
        <v>2155.09077</v>
      </c>
      <c r="F425" s="6">
        <f>IFERROR(__xludf.DUMMYFUNCTION("GOOGLEFINANCE(""Currency:BRLPEN"")*D425"),415.91919599999994)</f>
        <v>415.919196</v>
      </c>
      <c r="G425" s="2" t="str">
        <f t="array" ref="G425">_xlfn.XLOOKUP(B425,Vendedores!$A$2:$A$41,Vendedores!$B$2:$B$41,"No hay datos")</f>
        <v>No hay datos</v>
      </c>
      <c r="H425" s="2" t="str">
        <f t="array" ref="H425">_xlfn.XLOOKUP(B425,Vendedores!$A$2:$A$41,Vendedores!$C$2:$C$41,"No hay datos")</f>
        <v>No hay datos</v>
      </c>
      <c r="I425" s="2" t="str">
        <f t="array" ref="I425">_xlfn.XLOOKUP(B425,Vendedores!$A$2:$A$41,Vendedores!$D$2:$D$41,"No hay datos")</f>
        <v>No hay datos</v>
      </c>
      <c r="J425" s="2" t="str">
        <f t="array" ref="J425">_xlfn.XLOOKUP(A425,Productos!$A$2:$A$61,Productos!$B$2:$F$61)</f>
        <v>#N/A</v>
      </c>
    </row>
    <row r="426">
      <c r="A426" s="2" t="str">
        <f>IFERROR(__xludf.DUMMYFUNCTION("""COMPUTED_VALUE"""),"PR031")</f>
        <v>PR031</v>
      </c>
      <c r="B426" s="2" t="str">
        <f>IFERROR(__xludf.DUMMYFUNCTION("""COMPUTED_VALUE"""),"VD034")</f>
        <v>VD034</v>
      </c>
      <c r="C426" s="2">
        <f>IFERROR(__xludf.DUMMYFUNCTION("""COMPUTED_VALUE"""),9.0)</f>
        <v>9</v>
      </c>
      <c r="D426" s="6">
        <f>IFERROR(__xludf.DUMMYFUNCTION("""COMPUTED_VALUE"""),2227.05)</f>
        <v>2227.05</v>
      </c>
      <c r="E426" s="6">
        <f>IFERROR(__xludf.DUMMYFUNCTION("GOOGLEFINANCE(""Currency:BRLMXN"")*D426"),7565.28885)</f>
        <v>7565.28885</v>
      </c>
      <c r="F426" s="6">
        <f>IFERROR(__xludf.DUMMYFUNCTION("GOOGLEFINANCE(""Currency:BRLPEN"")*D426"),1460.0539800000001)</f>
        <v>1460.05398</v>
      </c>
      <c r="G426" s="2" t="str">
        <f t="array" ref="G426">_xlfn.XLOOKUP(B426,Vendedores!$A$2:$A$41,Vendedores!$B$2:$B$41,"No hay datos")</f>
        <v>No hay datos</v>
      </c>
      <c r="H426" s="2" t="str">
        <f t="array" ref="H426">_xlfn.XLOOKUP(B426,Vendedores!$A$2:$A$41,Vendedores!$C$2:$C$41,"No hay datos")</f>
        <v>No hay datos</v>
      </c>
      <c r="I426" s="2" t="str">
        <f t="array" ref="I426">_xlfn.XLOOKUP(B426,Vendedores!$A$2:$A$41,Vendedores!$D$2:$D$41,"No hay datos")</f>
        <v>No hay datos</v>
      </c>
      <c r="J426" s="2" t="str">
        <f t="array" ref="J426">_xlfn.XLOOKUP(A426,Productos!$A$2:$A$61,Productos!$B$2:$F$61)</f>
        <v>#N/A</v>
      </c>
    </row>
    <row r="427">
      <c r="A427" s="2" t="str">
        <f>IFERROR(__xludf.DUMMYFUNCTION("""COMPUTED_VALUE"""),"PR052")</f>
        <v>PR052</v>
      </c>
      <c r="B427" s="2" t="str">
        <f>IFERROR(__xludf.DUMMYFUNCTION("""COMPUTED_VALUE"""),"VD044")</f>
        <v>VD044</v>
      </c>
      <c r="C427" s="2">
        <f>IFERROR(__xludf.DUMMYFUNCTION("""COMPUTED_VALUE"""),12.0)</f>
        <v>12</v>
      </c>
      <c r="D427" s="6">
        <f>IFERROR(__xludf.DUMMYFUNCTION("""COMPUTED_VALUE"""),658.68)</f>
        <v>658.68</v>
      </c>
      <c r="E427" s="6">
        <f>IFERROR(__xludf.DUMMYFUNCTION("GOOGLEFINANCE(""Currency:BRLMXN"")*D427"),2237.5359599999997)</f>
        <v>2237.53596</v>
      </c>
      <c r="F427" s="6">
        <f>IFERROR(__xludf.DUMMYFUNCTION("GOOGLEFINANCE(""Currency:BRLPEN"")*D427"),431.8306079999999)</f>
        <v>431.830608</v>
      </c>
      <c r="G427" s="2" t="str">
        <f t="array" ref="G427">_xlfn.XLOOKUP(B427,Vendedores!$A$2:$A$41,Vendedores!$B$2:$B$41,"No hay datos")</f>
        <v>No hay datos</v>
      </c>
      <c r="H427" s="2" t="str">
        <f t="array" ref="H427">_xlfn.XLOOKUP(B427,Vendedores!$A$2:$A$41,Vendedores!$C$2:$C$41,"No hay datos")</f>
        <v>No hay datos</v>
      </c>
      <c r="I427" s="2" t="str">
        <f t="array" ref="I427">_xlfn.XLOOKUP(B427,Vendedores!$A$2:$A$41,Vendedores!$D$2:$D$41,"No hay datos")</f>
        <v>No hay datos</v>
      </c>
      <c r="J427" s="2" t="str">
        <f t="array" ref="J427">_xlfn.XLOOKUP(A427,Productos!$A$2:$A$61,Productos!$B$2:$F$61)</f>
        <v>#N/A</v>
      </c>
    </row>
    <row r="428">
      <c r="A428" s="2" t="str">
        <f>IFERROR(__xludf.DUMMYFUNCTION("""COMPUTED_VALUE"""),"PR050")</f>
        <v>PR050</v>
      </c>
      <c r="B428" s="2" t="str">
        <f>IFERROR(__xludf.DUMMYFUNCTION("""COMPUTED_VALUE"""),"VD018")</f>
        <v>VD018</v>
      </c>
      <c r="C428" s="2">
        <f>IFERROR(__xludf.DUMMYFUNCTION("""COMPUTED_VALUE"""),14.0)</f>
        <v>14</v>
      </c>
      <c r="D428" s="6">
        <f>IFERROR(__xludf.DUMMYFUNCTION("""COMPUTED_VALUE"""),502.05)</f>
        <v>502.05</v>
      </c>
      <c r="E428" s="6">
        <f>IFERROR(__xludf.DUMMYFUNCTION("GOOGLEFINANCE(""Currency:BRLMXN"")*D428"),1705.4638499999999)</f>
        <v>1705.46385</v>
      </c>
      <c r="F428" s="6">
        <f>IFERROR(__xludf.DUMMYFUNCTION("GOOGLEFINANCE(""Currency:BRLPEN"")*D428"),329.14398)</f>
        <v>329.14398</v>
      </c>
      <c r="G428" s="2" t="str">
        <f t="array" ref="G428">_xlfn.XLOOKUP(B428,Vendedores!$A$2:$A$41,Vendedores!$B$2:$B$41,"No hay datos")</f>
        <v>No hay datos</v>
      </c>
      <c r="H428" s="2" t="str">
        <f t="array" ref="H428">_xlfn.XLOOKUP(B428,Vendedores!$A$2:$A$41,Vendedores!$C$2:$C$41,"No hay datos")</f>
        <v>No hay datos</v>
      </c>
      <c r="I428" s="2" t="str">
        <f t="array" ref="I428">_xlfn.XLOOKUP(B428,Vendedores!$A$2:$A$41,Vendedores!$D$2:$D$41,"No hay datos")</f>
        <v>No hay datos</v>
      </c>
      <c r="J428" s="2" t="str">
        <f t="array" ref="J428">_xlfn.XLOOKUP(A428,Productos!$A$2:$A$61,Productos!$B$2:$F$61)</f>
        <v>#N/A</v>
      </c>
    </row>
    <row r="429">
      <c r="A429" s="2" t="str">
        <f>IFERROR(__xludf.DUMMYFUNCTION("""COMPUTED_VALUE"""),"PR042")</f>
        <v>PR042</v>
      </c>
      <c r="B429" s="2" t="str">
        <f>IFERROR(__xludf.DUMMYFUNCTION("""COMPUTED_VALUE"""),"VD018")</f>
        <v>VD018</v>
      </c>
      <c r="C429" s="2">
        <f>IFERROR(__xludf.DUMMYFUNCTION("""COMPUTED_VALUE"""),4.0)</f>
        <v>4</v>
      </c>
      <c r="D429" s="6">
        <f>IFERROR(__xludf.DUMMYFUNCTION("""COMPUTED_VALUE"""),228.38)</f>
        <v>228.38</v>
      </c>
      <c r="E429" s="6">
        <f>IFERROR(__xludf.DUMMYFUNCTION("GOOGLEFINANCE(""Currency:BRLMXN"")*D429"),775.8068599999999)</f>
        <v>775.80686</v>
      </c>
      <c r="F429" s="6">
        <f>IFERROR(__xludf.DUMMYFUNCTION("GOOGLEFINANCE(""Currency:BRLPEN"")*D429"),149.72592799999998)</f>
        <v>149.725928</v>
      </c>
      <c r="G429" s="2" t="str">
        <f t="array" ref="G429">_xlfn.XLOOKUP(B429,Vendedores!$A$2:$A$41,Vendedores!$B$2:$B$41,"No hay datos")</f>
        <v>No hay datos</v>
      </c>
      <c r="H429" s="2" t="str">
        <f t="array" ref="H429">_xlfn.XLOOKUP(B429,Vendedores!$A$2:$A$41,Vendedores!$C$2:$C$41,"No hay datos")</f>
        <v>No hay datos</v>
      </c>
      <c r="I429" s="2" t="str">
        <f t="array" ref="I429">_xlfn.XLOOKUP(B429,Vendedores!$A$2:$A$41,Vendedores!$D$2:$D$41,"No hay datos")</f>
        <v>No hay datos</v>
      </c>
      <c r="J429" s="2" t="str">
        <f t="array" ref="J429">_xlfn.XLOOKUP(A429,Productos!$A$2:$A$61,Productos!$B$2:$F$61)</f>
        <v>#N/A</v>
      </c>
    </row>
    <row r="430">
      <c r="A430" s="2" t="str">
        <f>IFERROR(__xludf.DUMMYFUNCTION("""COMPUTED_VALUE"""),"PR006")</f>
        <v>PR006</v>
      </c>
      <c r="B430" s="2" t="str">
        <f>IFERROR(__xludf.DUMMYFUNCTION("""COMPUTED_VALUE"""),"VD021")</f>
        <v>VD021</v>
      </c>
      <c r="C430" s="2">
        <f>IFERROR(__xludf.DUMMYFUNCTION("""COMPUTED_VALUE"""),8.0)</f>
        <v>8</v>
      </c>
      <c r="D430" s="6">
        <f>IFERROR(__xludf.DUMMYFUNCTION("""COMPUTED_VALUE"""),347.93)</f>
        <v>347.93</v>
      </c>
      <c r="E430" s="6">
        <f>IFERROR(__xludf.DUMMYFUNCTION("GOOGLEFINANCE(""Currency:BRLMXN"")*D430"),1181.91821)</f>
        <v>1181.91821</v>
      </c>
      <c r="F430" s="6">
        <f>IFERROR(__xludf.DUMMYFUNCTION("GOOGLEFINANCE(""Currency:BRLPEN"")*D430"),228.10290799999999)</f>
        <v>228.102908</v>
      </c>
      <c r="G430" s="2" t="str">
        <f t="array" ref="G430">_xlfn.XLOOKUP(B430,Vendedores!$A$2:$A$41,Vendedores!$B$2:$B$41,"No hay datos")</f>
        <v>No hay datos</v>
      </c>
      <c r="H430" s="2" t="str">
        <f t="array" ref="H430">_xlfn.XLOOKUP(B430,Vendedores!$A$2:$A$41,Vendedores!$C$2:$C$41,"No hay datos")</f>
        <v>No hay datos</v>
      </c>
      <c r="I430" s="2" t="str">
        <f t="array" ref="I430">_xlfn.XLOOKUP(B430,Vendedores!$A$2:$A$41,Vendedores!$D$2:$D$41,"No hay datos")</f>
        <v>No hay datos</v>
      </c>
      <c r="J430" s="2" t="str">
        <f t="array" ref="J430">_xlfn.XLOOKUP(A430,Productos!$A$2:$A$61,Productos!$B$2:$F$61)</f>
        <v>#N/A</v>
      </c>
    </row>
    <row r="431">
      <c r="A431" s="2" t="str">
        <f>IFERROR(__xludf.DUMMYFUNCTION("""COMPUTED_VALUE"""),"PR016")</f>
        <v>PR016</v>
      </c>
      <c r="B431" s="2" t="str">
        <f>IFERROR(__xludf.DUMMYFUNCTION("""COMPUTED_VALUE"""),"VD017")</f>
        <v>VD017</v>
      </c>
      <c r="C431" s="2">
        <f>IFERROR(__xludf.DUMMYFUNCTION("""COMPUTED_VALUE"""),12.0)</f>
        <v>12</v>
      </c>
      <c r="D431" s="6">
        <f>IFERROR(__xludf.DUMMYFUNCTION("""COMPUTED_VALUE"""),341.88)</f>
        <v>341.88</v>
      </c>
      <c r="E431" s="6">
        <f>IFERROR(__xludf.DUMMYFUNCTION("GOOGLEFINANCE(""Currency:BRLMXN"")*D431"),1161.36636)</f>
        <v>1161.36636</v>
      </c>
      <c r="F431" s="6">
        <f>IFERROR(__xludf.DUMMYFUNCTION("GOOGLEFINANCE(""Currency:BRLPEN"")*D431"),224.13652799999997)</f>
        <v>224.136528</v>
      </c>
      <c r="G431" s="2" t="str">
        <f t="array" ref="G431">_xlfn.XLOOKUP(B431,Vendedores!$A$2:$A$41,Vendedores!$B$2:$B$41,"No hay datos")</f>
        <v>No hay datos</v>
      </c>
      <c r="H431" s="2" t="str">
        <f t="array" ref="H431">_xlfn.XLOOKUP(B431,Vendedores!$A$2:$A$41,Vendedores!$C$2:$C$41,"No hay datos")</f>
        <v>No hay datos</v>
      </c>
      <c r="I431" s="2" t="str">
        <f t="array" ref="I431">_xlfn.XLOOKUP(B431,Vendedores!$A$2:$A$41,Vendedores!$D$2:$D$41,"No hay datos")</f>
        <v>No hay datos</v>
      </c>
      <c r="J431" s="2" t="str">
        <f t="array" ref="J431">_xlfn.XLOOKUP(A431,Productos!$A$2:$A$61,Productos!$B$2:$F$61)</f>
        <v>#N/A</v>
      </c>
    </row>
    <row r="432">
      <c r="A432" s="2" t="str">
        <f>IFERROR(__xludf.DUMMYFUNCTION("""COMPUTED_VALUE"""),"PR015")</f>
        <v>PR015</v>
      </c>
      <c r="B432" s="2" t="str">
        <f>IFERROR(__xludf.DUMMYFUNCTION("""COMPUTED_VALUE"""),"VD034")</f>
        <v>VD034</v>
      </c>
      <c r="C432" s="2">
        <f>IFERROR(__xludf.DUMMYFUNCTION("""COMPUTED_VALUE"""),5.0)</f>
        <v>5</v>
      </c>
      <c r="D432" s="6">
        <f>IFERROR(__xludf.DUMMYFUNCTION("""COMPUTED_VALUE"""),233.75)</f>
        <v>233.75</v>
      </c>
      <c r="E432" s="6">
        <f>IFERROR(__xludf.DUMMYFUNCTION("GOOGLEFINANCE(""Currency:BRLMXN"")*D432"),794.0487499999999)</f>
        <v>794.04875</v>
      </c>
      <c r="F432" s="6">
        <f>IFERROR(__xludf.DUMMYFUNCTION("GOOGLEFINANCE(""Currency:BRLPEN"")*D432"),153.2465)</f>
        <v>153.2465</v>
      </c>
      <c r="G432" s="2" t="str">
        <f t="array" ref="G432">_xlfn.XLOOKUP(B432,Vendedores!$A$2:$A$41,Vendedores!$B$2:$B$41,"No hay datos")</f>
        <v>No hay datos</v>
      </c>
      <c r="H432" s="2" t="str">
        <f t="array" ref="H432">_xlfn.XLOOKUP(B432,Vendedores!$A$2:$A$41,Vendedores!$C$2:$C$41,"No hay datos")</f>
        <v>No hay datos</v>
      </c>
      <c r="I432" s="2" t="str">
        <f t="array" ref="I432">_xlfn.XLOOKUP(B432,Vendedores!$A$2:$A$41,Vendedores!$D$2:$D$41,"No hay datos")</f>
        <v>No hay datos</v>
      </c>
      <c r="J432" s="2" t="str">
        <f t="array" ref="J432">_xlfn.XLOOKUP(A432,Productos!$A$2:$A$61,Productos!$B$2:$F$61)</f>
        <v>#N/A</v>
      </c>
    </row>
    <row r="433">
      <c r="A433" s="2" t="str">
        <f>IFERROR(__xludf.DUMMYFUNCTION("""COMPUTED_VALUE"""),"PR003")</f>
        <v>PR003</v>
      </c>
      <c r="B433" s="2" t="str">
        <f>IFERROR(__xludf.DUMMYFUNCTION("""COMPUTED_VALUE"""),"VD041")</f>
        <v>VD041</v>
      </c>
      <c r="C433" s="2">
        <f>IFERROR(__xludf.DUMMYFUNCTION("""COMPUTED_VALUE"""),5.0)</f>
        <v>5</v>
      </c>
      <c r="D433" s="6">
        <f>IFERROR(__xludf.DUMMYFUNCTION("""COMPUTED_VALUE"""),361.59)</f>
        <v>361.59</v>
      </c>
      <c r="E433" s="6">
        <f>IFERROR(__xludf.DUMMYFUNCTION("GOOGLEFINANCE(""Currency:BRLMXN"")*D433"),1228.3212299999998)</f>
        <v>1228.32123</v>
      </c>
      <c r="F433" s="6">
        <f>IFERROR(__xludf.DUMMYFUNCTION("GOOGLEFINANCE(""Currency:BRLPEN"")*D433"),237.05840399999997)</f>
        <v>237.058404</v>
      </c>
      <c r="G433" s="2" t="str">
        <f t="array" ref="G433">_xlfn.XLOOKUP(B433,Vendedores!$A$2:$A$41,Vendedores!$B$2:$B$41,"No hay datos")</f>
        <v>No hay datos</v>
      </c>
      <c r="H433" s="2" t="str">
        <f t="array" ref="H433">_xlfn.XLOOKUP(B433,Vendedores!$A$2:$A$41,Vendedores!$C$2:$C$41,"No hay datos")</f>
        <v>No hay datos</v>
      </c>
      <c r="I433" s="2" t="str">
        <f t="array" ref="I433">_xlfn.XLOOKUP(B433,Vendedores!$A$2:$A$41,Vendedores!$D$2:$D$41,"No hay datos")</f>
        <v>No hay datos</v>
      </c>
      <c r="J433" s="2" t="str">
        <f t="array" ref="J433">_xlfn.XLOOKUP(A433,Productos!$A$2:$A$61,Productos!$B$2:$F$61)</f>
        <v>#N/A</v>
      </c>
    </row>
    <row r="434">
      <c r="A434" s="2" t="str">
        <f>IFERROR(__xludf.DUMMYFUNCTION("""COMPUTED_VALUE"""),"PR007")</f>
        <v>PR007</v>
      </c>
      <c r="B434" s="2" t="str">
        <f>IFERROR(__xludf.DUMMYFUNCTION("""COMPUTED_VALUE"""),"VD025")</f>
        <v>VD025</v>
      </c>
      <c r="C434" s="2">
        <f>IFERROR(__xludf.DUMMYFUNCTION("""COMPUTED_VALUE"""),1.0)</f>
        <v>1</v>
      </c>
      <c r="D434" s="6">
        <f>IFERROR(__xludf.DUMMYFUNCTION("""COMPUTED_VALUE"""),88.48)</f>
        <v>88.48</v>
      </c>
      <c r="E434" s="6">
        <f>IFERROR(__xludf.DUMMYFUNCTION("GOOGLEFINANCE(""Currency:BRLMXN"")*D434"),300.56656)</f>
        <v>300.56656</v>
      </c>
      <c r="F434" s="6">
        <f>IFERROR(__xludf.DUMMYFUNCTION("GOOGLEFINANCE(""Currency:BRLPEN"")*D434"),58.007488)</f>
        <v>58.007488</v>
      </c>
      <c r="G434" s="2" t="str">
        <f t="array" ref="G434">_xlfn.XLOOKUP(B434,Vendedores!$A$2:$A$41,Vendedores!$B$2:$B$41,"No hay datos")</f>
        <v>No hay datos</v>
      </c>
      <c r="H434" s="2" t="str">
        <f t="array" ref="H434">_xlfn.XLOOKUP(B434,Vendedores!$A$2:$A$41,Vendedores!$C$2:$C$41,"No hay datos")</f>
        <v>No hay datos</v>
      </c>
      <c r="I434" s="2" t="str">
        <f t="array" ref="I434">_xlfn.XLOOKUP(B434,Vendedores!$A$2:$A$41,Vendedores!$D$2:$D$41,"No hay datos")</f>
        <v>No hay datos</v>
      </c>
      <c r="J434" s="2" t="str">
        <f t="array" ref="J434">_xlfn.XLOOKUP(A434,Productos!$A$2:$A$61,Productos!$B$2:$F$61)</f>
        <v>#N/A</v>
      </c>
    </row>
    <row r="435">
      <c r="A435" s="2" t="str">
        <f>IFERROR(__xludf.DUMMYFUNCTION("""COMPUTED_VALUE"""),"PR031")</f>
        <v>PR031</v>
      </c>
      <c r="B435" s="2" t="str">
        <f>IFERROR(__xludf.DUMMYFUNCTION("""COMPUTED_VALUE"""),"VD046")</f>
        <v>VD046</v>
      </c>
      <c r="C435" s="2">
        <f>IFERROR(__xludf.DUMMYFUNCTION("""COMPUTED_VALUE"""),4.0)</f>
        <v>4</v>
      </c>
      <c r="D435" s="6">
        <f>IFERROR(__xludf.DUMMYFUNCTION("""COMPUTED_VALUE"""),1078.0)</f>
        <v>1078</v>
      </c>
      <c r="E435" s="6">
        <f>IFERROR(__xludf.DUMMYFUNCTION("GOOGLEFINANCE(""Currency:BRLMXN"")*D435"),3661.966)</f>
        <v>3661.966</v>
      </c>
      <c r="F435" s="6">
        <f>IFERROR(__xludf.DUMMYFUNCTION("GOOGLEFINANCE(""Currency:BRLPEN"")*D435"),706.7367999999999)</f>
        <v>706.7368</v>
      </c>
      <c r="G435" s="2" t="str">
        <f t="array" ref="G435">_xlfn.XLOOKUP(B435,Vendedores!$A$2:$A$41,Vendedores!$B$2:$B$41,"No hay datos")</f>
        <v>No hay datos</v>
      </c>
      <c r="H435" s="2" t="str">
        <f t="array" ref="H435">_xlfn.XLOOKUP(B435,Vendedores!$A$2:$A$41,Vendedores!$C$2:$C$41,"No hay datos")</f>
        <v>No hay datos</v>
      </c>
      <c r="I435" s="2" t="str">
        <f t="array" ref="I435">_xlfn.XLOOKUP(B435,Vendedores!$A$2:$A$41,Vendedores!$D$2:$D$41,"No hay datos")</f>
        <v>No hay datos</v>
      </c>
      <c r="J435" s="2" t="str">
        <f t="array" ref="J435">_xlfn.XLOOKUP(A435,Productos!$A$2:$A$61,Productos!$B$2:$F$61)</f>
        <v>#N/A</v>
      </c>
    </row>
    <row r="436">
      <c r="A436" s="2" t="str">
        <f>IFERROR(__xludf.DUMMYFUNCTION("""COMPUTED_VALUE"""),"PR037")</f>
        <v>PR037</v>
      </c>
      <c r="B436" s="2" t="str">
        <f>IFERROR(__xludf.DUMMYFUNCTION("""COMPUTED_VALUE"""),"VD021")</f>
        <v>VD021</v>
      </c>
      <c r="C436" s="2">
        <f>IFERROR(__xludf.DUMMYFUNCTION("""COMPUTED_VALUE"""),4.0)</f>
        <v>4</v>
      </c>
      <c r="D436" s="6">
        <f>IFERROR(__xludf.DUMMYFUNCTION("""COMPUTED_VALUE"""),604.8)</f>
        <v>604.8</v>
      </c>
      <c r="E436" s="6">
        <f>IFERROR(__xludf.DUMMYFUNCTION("GOOGLEFINANCE(""Currency:BRLMXN"")*D436"),2054.5055999999995)</f>
        <v>2054.5056</v>
      </c>
      <c r="F436" s="6">
        <f>IFERROR(__xludf.DUMMYFUNCTION("GOOGLEFINANCE(""Currency:BRLPEN"")*D436"),396.50687999999997)</f>
        <v>396.50688</v>
      </c>
      <c r="G436" s="2" t="str">
        <f t="array" ref="G436">_xlfn.XLOOKUP(B436,Vendedores!$A$2:$A$41,Vendedores!$B$2:$B$41,"No hay datos")</f>
        <v>No hay datos</v>
      </c>
      <c r="H436" s="2" t="str">
        <f t="array" ref="H436">_xlfn.XLOOKUP(B436,Vendedores!$A$2:$A$41,Vendedores!$C$2:$C$41,"No hay datos")</f>
        <v>No hay datos</v>
      </c>
      <c r="I436" s="2" t="str">
        <f t="array" ref="I436">_xlfn.XLOOKUP(B436,Vendedores!$A$2:$A$41,Vendedores!$D$2:$D$41,"No hay datos")</f>
        <v>No hay datos</v>
      </c>
      <c r="J436" s="2" t="str">
        <f t="array" ref="J436">_xlfn.XLOOKUP(A436,Productos!$A$2:$A$61,Productos!$B$2:$F$61)</f>
        <v>#N/A</v>
      </c>
    </row>
    <row r="437">
      <c r="A437" s="2" t="str">
        <f>IFERROR(__xludf.DUMMYFUNCTION("""COMPUTED_VALUE"""),"PR043")</f>
        <v>PR043</v>
      </c>
      <c r="B437" s="2" t="str">
        <f>IFERROR(__xludf.DUMMYFUNCTION("""COMPUTED_VALUE"""),"VD036")</f>
        <v>VD036</v>
      </c>
      <c r="C437" s="2">
        <f>IFERROR(__xludf.DUMMYFUNCTION("""COMPUTED_VALUE"""),27.0)</f>
        <v>27</v>
      </c>
      <c r="D437" s="6">
        <f>IFERROR(__xludf.DUMMYFUNCTION("""COMPUTED_VALUE"""),2074.95)</f>
        <v>2074.95</v>
      </c>
      <c r="E437" s="6">
        <f>IFERROR(__xludf.DUMMYFUNCTION("GOOGLEFINANCE(""Currency:BRLMXN"")*D437"),7048.605149999999)</f>
        <v>7048.60515</v>
      </c>
      <c r="F437" s="6">
        <f>IFERROR(__xludf.DUMMYFUNCTION("GOOGLEFINANCE(""Currency:BRLPEN"")*D437"),1360.33722)</f>
        <v>1360.33722</v>
      </c>
      <c r="G437" s="2" t="str">
        <f t="array" ref="G437">_xlfn.XLOOKUP(B437,Vendedores!$A$2:$A$41,Vendedores!$B$2:$B$41,"No hay datos")</f>
        <v>No hay datos</v>
      </c>
      <c r="H437" s="2" t="str">
        <f t="array" ref="H437">_xlfn.XLOOKUP(B437,Vendedores!$A$2:$A$41,Vendedores!$C$2:$C$41,"No hay datos")</f>
        <v>No hay datos</v>
      </c>
      <c r="I437" s="2" t="str">
        <f t="array" ref="I437">_xlfn.XLOOKUP(B437,Vendedores!$A$2:$A$41,Vendedores!$D$2:$D$41,"No hay datos")</f>
        <v>No hay datos</v>
      </c>
      <c r="J437" s="2" t="str">
        <f t="array" ref="J437">_xlfn.XLOOKUP(A437,Productos!$A$2:$A$61,Productos!$B$2:$F$61)</f>
        <v>#N/A</v>
      </c>
    </row>
    <row r="438">
      <c r="A438" s="2" t="str">
        <f>IFERROR(__xludf.DUMMYFUNCTION("""COMPUTED_VALUE"""),"PR038")</f>
        <v>PR038</v>
      </c>
      <c r="B438" s="2" t="str">
        <f>IFERROR(__xludf.DUMMYFUNCTION("""COMPUTED_VALUE"""),"VD036")</f>
        <v>VD036</v>
      </c>
      <c r="C438" s="2">
        <f>IFERROR(__xludf.DUMMYFUNCTION("""COMPUTED_VALUE"""),12.0)</f>
        <v>12</v>
      </c>
      <c r="D438" s="6">
        <f>IFERROR(__xludf.DUMMYFUNCTION("""COMPUTED_VALUE"""),1817.69)</f>
        <v>1817.69</v>
      </c>
      <c r="E438" s="6">
        <f>IFERROR(__xludf.DUMMYFUNCTION("GOOGLEFINANCE(""Currency:BRLMXN"")*D438"),6174.69293)</f>
        <v>6174.69293</v>
      </c>
      <c r="F438" s="6">
        <f>IFERROR(__xludf.DUMMYFUNCTION("GOOGLEFINANCE(""Currency:BRLPEN"")*D438"),1191.677564)</f>
        <v>1191.677564</v>
      </c>
      <c r="G438" s="2" t="str">
        <f t="array" ref="G438">_xlfn.XLOOKUP(B438,Vendedores!$A$2:$A$41,Vendedores!$B$2:$B$41,"No hay datos")</f>
        <v>No hay datos</v>
      </c>
      <c r="H438" s="2" t="str">
        <f t="array" ref="H438">_xlfn.XLOOKUP(B438,Vendedores!$A$2:$A$41,Vendedores!$C$2:$C$41,"No hay datos")</f>
        <v>No hay datos</v>
      </c>
      <c r="I438" s="2" t="str">
        <f t="array" ref="I438">_xlfn.XLOOKUP(B438,Vendedores!$A$2:$A$41,Vendedores!$D$2:$D$41,"No hay datos")</f>
        <v>No hay datos</v>
      </c>
      <c r="J438" s="2" t="str">
        <f t="array" ref="J438">_xlfn.XLOOKUP(A438,Productos!$A$2:$A$61,Productos!$B$2:$F$61)</f>
        <v>#N/A</v>
      </c>
    </row>
    <row r="439">
      <c r="A439" s="2" t="str">
        <f>IFERROR(__xludf.DUMMYFUNCTION("""COMPUTED_VALUE"""),"PR048")</f>
        <v>PR048</v>
      </c>
      <c r="B439" s="2" t="str">
        <f>IFERROR(__xludf.DUMMYFUNCTION("""COMPUTED_VALUE"""),"VD032")</f>
        <v>VD032</v>
      </c>
      <c r="C439" s="2">
        <f>IFERROR(__xludf.DUMMYFUNCTION("""COMPUTED_VALUE"""),9.0)</f>
        <v>9</v>
      </c>
      <c r="D439" s="6">
        <f>IFERROR(__xludf.DUMMYFUNCTION("""COMPUTED_VALUE"""),2817.83)</f>
        <v>2817.83</v>
      </c>
      <c r="E439" s="6">
        <f>IFERROR(__xludf.DUMMYFUNCTION("GOOGLEFINANCE(""Currency:BRLMXN"")*D439"),9572.16851)</f>
        <v>9572.16851</v>
      </c>
      <c r="F439" s="6">
        <f>IFERROR(__xludf.DUMMYFUNCTION("GOOGLEFINANCE(""Currency:BRLPEN"")*D439"),1847.369348)</f>
        <v>1847.369348</v>
      </c>
      <c r="G439" s="2" t="str">
        <f t="array" ref="G439">_xlfn.XLOOKUP(B439,Vendedores!$A$2:$A$41,Vendedores!$B$2:$B$41,"No hay datos")</f>
        <v>No hay datos</v>
      </c>
      <c r="H439" s="2" t="str">
        <f t="array" ref="H439">_xlfn.XLOOKUP(B439,Vendedores!$A$2:$A$41,Vendedores!$C$2:$C$41,"No hay datos")</f>
        <v>No hay datos</v>
      </c>
      <c r="I439" s="2" t="str">
        <f t="array" ref="I439">_xlfn.XLOOKUP(B439,Vendedores!$A$2:$A$41,Vendedores!$D$2:$D$41,"No hay datos")</f>
        <v>No hay datos</v>
      </c>
      <c r="J439" s="2" t="str">
        <f t="array" ref="J439">_xlfn.XLOOKUP(A439,Productos!$A$2:$A$61,Productos!$B$2:$F$61)</f>
        <v>#N/A</v>
      </c>
    </row>
    <row r="440">
      <c r="A440" s="2" t="str">
        <f>IFERROR(__xludf.DUMMYFUNCTION("""COMPUTED_VALUE"""),"PR051")</f>
        <v>PR051</v>
      </c>
      <c r="B440" s="2" t="str">
        <f>IFERROR(__xludf.DUMMYFUNCTION("""COMPUTED_VALUE"""),"VD039")</f>
        <v>VD039</v>
      </c>
      <c r="C440" s="2">
        <f>IFERROR(__xludf.DUMMYFUNCTION("""COMPUTED_VALUE"""),15.0)</f>
        <v>15</v>
      </c>
      <c r="D440" s="6">
        <f>IFERROR(__xludf.DUMMYFUNCTION("""COMPUTED_VALUE"""),537.92)</f>
        <v>537.92</v>
      </c>
      <c r="E440" s="6">
        <f>IFERROR(__xludf.DUMMYFUNCTION("GOOGLEFINANCE(""Currency:BRLMXN"")*D440"),1827.3142399999997)</f>
        <v>1827.31424</v>
      </c>
      <c r="F440" s="6">
        <f>IFERROR(__xludf.DUMMYFUNCTION("GOOGLEFINANCE(""Currency:BRLPEN"")*D440"),352.66035199999993)</f>
        <v>352.660352</v>
      </c>
      <c r="G440" s="2" t="str">
        <f t="array" ref="G440">_xlfn.XLOOKUP(B440,Vendedores!$A$2:$A$41,Vendedores!$B$2:$B$41,"No hay datos")</f>
        <v>No hay datos</v>
      </c>
      <c r="H440" s="2" t="str">
        <f t="array" ref="H440">_xlfn.XLOOKUP(B440,Vendedores!$A$2:$A$41,Vendedores!$C$2:$C$41,"No hay datos")</f>
        <v>No hay datos</v>
      </c>
      <c r="I440" s="2" t="str">
        <f t="array" ref="I440">_xlfn.XLOOKUP(B440,Vendedores!$A$2:$A$41,Vendedores!$D$2:$D$41,"No hay datos")</f>
        <v>No hay datos</v>
      </c>
      <c r="J440" s="2" t="str">
        <f t="array" ref="J440">_xlfn.XLOOKUP(A440,Productos!$A$2:$A$61,Productos!$B$2:$F$61)</f>
        <v>#N/A</v>
      </c>
    </row>
    <row r="441">
      <c r="A441" s="2" t="str">
        <f>IFERROR(__xludf.DUMMYFUNCTION("""COMPUTED_VALUE"""),"PR047")</f>
        <v>PR047</v>
      </c>
      <c r="B441" s="2" t="str">
        <f>IFERROR(__xludf.DUMMYFUNCTION("""COMPUTED_VALUE"""),"VD039")</f>
        <v>VD039</v>
      </c>
      <c r="C441" s="2">
        <f>IFERROR(__xludf.DUMMYFUNCTION("""COMPUTED_VALUE"""),8.0)</f>
        <v>8</v>
      </c>
      <c r="D441" s="6">
        <f>IFERROR(__xludf.DUMMYFUNCTION("""COMPUTED_VALUE"""),2504.74)</f>
        <v>2504.74</v>
      </c>
      <c r="E441" s="6">
        <f>IFERROR(__xludf.DUMMYFUNCTION("GOOGLEFINANCE(""Currency:BRLMXN"")*D441"),8508.601779999999)</f>
        <v>8508.60178</v>
      </c>
      <c r="F441" s="6">
        <f>IFERROR(__xludf.DUMMYFUNCTION("GOOGLEFINANCE(""Currency:BRLPEN"")*D441"),1642.1075439999997)</f>
        <v>1642.107544</v>
      </c>
      <c r="G441" s="2" t="str">
        <f t="array" ref="G441">_xlfn.XLOOKUP(B441,Vendedores!$A$2:$A$41,Vendedores!$B$2:$B$41,"No hay datos")</f>
        <v>No hay datos</v>
      </c>
      <c r="H441" s="2" t="str">
        <f t="array" ref="H441">_xlfn.XLOOKUP(B441,Vendedores!$A$2:$A$41,Vendedores!$C$2:$C$41,"No hay datos")</f>
        <v>No hay datos</v>
      </c>
      <c r="I441" s="2" t="str">
        <f t="array" ref="I441">_xlfn.XLOOKUP(B441,Vendedores!$A$2:$A$41,Vendedores!$D$2:$D$41,"No hay datos")</f>
        <v>No hay datos</v>
      </c>
      <c r="J441" s="2" t="str">
        <f t="array" ref="J441">_xlfn.XLOOKUP(A441,Productos!$A$2:$A$61,Productos!$B$2:$F$61)</f>
        <v>#N/A</v>
      </c>
    </row>
    <row r="442">
      <c r="A442" s="2" t="str">
        <f>IFERROR(__xludf.DUMMYFUNCTION("""COMPUTED_VALUE"""),"PR014")</f>
        <v>PR014</v>
      </c>
      <c r="B442" s="2" t="str">
        <f>IFERROR(__xludf.DUMMYFUNCTION("""COMPUTED_VALUE"""),"VD017")</f>
        <v>VD017</v>
      </c>
      <c r="C442" s="2">
        <f>IFERROR(__xludf.DUMMYFUNCTION("""COMPUTED_VALUE"""),5.0)</f>
        <v>5</v>
      </c>
      <c r="D442" s="6">
        <f>IFERROR(__xludf.DUMMYFUNCTION("""COMPUTED_VALUE"""),217.46)</f>
        <v>217.46</v>
      </c>
      <c r="E442" s="6">
        <f>IFERROR(__xludf.DUMMYFUNCTION("GOOGLEFINANCE(""Currency:BRLMXN"")*D442"),738.71162)</f>
        <v>738.71162</v>
      </c>
      <c r="F442" s="6">
        <f>IFERROR(__xludf.DUMMYFUNCTION("GOOGLEFINANCE(""Currency:BRLPEN"")*D442"),142.566776)</f>
        <v>142.566776</v>
      </c>
      <c r="G442" s="2" t="str">
        <f t="array" ref="G442">_xlfn.XLOOKUP(B442,Vendedores!$A$2:$A$41,Vendedores!$B$2:$B$41,"No hay datos")</f>
        <v>No hay datos</v>
      </c>
      <c r="H442" s="2" t="str">
        <f t="array" ref="H442">_xlfn.XLOOKUP(B442,Vendedores!$A$2:$A$41,Vendedores!$C$2:$C$41,"No hay datos")</f>
        <v>No hay datos</v>
      </c>
      <c r="I442" s="2" t="str">
        <f t="array" ref="I442">_xlfn.XLOOKUP(B442,Vendedores!$A$2:$A$41,Vendedores!$D$2:$D$41,"No hay datos")</f>
        <v>No hay datos</v>
      </c>
      <c r="J442" s="2" t="str">
        <f t="array" ref="J442">_xlfn.XLOOKUP(A442,Productos!$A$2:$A$61,Productos!$B$2:$F$61)</f>
        <v>#N/A</v>
      </c>
    </row>
    <row r="443">
      <c r="A443" s="2" t="str">
        <f>IFERROR(__xludf.DUMMYFUNCTION("""COMPUTED_VALUE"""),"PR009")</f>
        <v>PR009</v>
      </c>
      <c r="B443" s="2" t="str">
        <f>IFERROR(__xludf.DUMMYFUNCTION("""COMPUTED_VALUE"""),"VD010")</f>
        <v>VD010</v>
      </c>
      <c r="C443" s="2">
        <f>IFERROR(__xludf.DUMMYFUNCTION("""COMPUTED_VALUE"""),5.0)</f>
        <v>5</v>
      </c>
      <c r="D443" s="6">
        <f>IFERROR(__xludf.DUMMYFUNCTION("""COMPUTED_VALUE"""),478.44)</f>
        <v>478.44</v>
      </c>
      <c r="E443" s="6">
        <f>IFERROR(__xludf.DUMMYFUNCTION("GOOGLEFINANCE(""Currency:BRLMXN"")*D443"),1625.2606799999999)</f>
        <v>1625.26068</v>
      </c>
      <c r="F443" s="6">
        <f>IFERROR(__xludf.DUMMYFUNCTION("GOOGLEFINANCE(""Currency:BRLPEN"")*D443"),313.665264)</f>
        <v>313.665264</v>
      </c>
      <c r="G443" s="2" t="str">
        <f t="array" ref="G443">_xlfn.XLOOKUP(B443,Vendedores!$A$2:$A$41,Vendedores!$B$2:$B$41,"No hay datos")</f>
        <v>No hay datos</v>
      </c>
      <c r="H443" s="2" t="str">
        <f t="array" ref="H443">_xlfn.XLOOKUP(B443,Vendedores!$A$2:$A$41,Vendedores!$C$2:$C$41,"No hay datos")</f>
        <v>No hay datos</v>
      </c>
      <c r="I443" s="2" t="str">
        <f t="array" ref="I443">_xlfn.XLOOKUP(B443,Vendedores!$A$2:$A$41,Vendedores!$D$2:$D$41,"No hay datos")</f>
        <v>No hay datos</v>
      </c>
      <c r="J443" s="2" t="str">
        <f t="array" ref="J443">_xlfn.XLOOKUP(A443,Productos!$A$2:$A$61,Productos!$B$2:$F$61)</f>
        <v>#N/A</v>
      </c>
    </row>
    <row r="444">
      <c r="A444" s="2" t="str">
        <f>IFERROR(__xludf.DUMMYFUNCTION("""COMPUTED_VALUE"""),"PR029")</f>
        <v>PR029</v>
      </c>
      <c r="B444" s="2" t="str">
        <f>IFERROR(__xludf.DUMMYFUNCTION("""COMPUTED_VALUE"""),"VD014")</f>
        <v>VD014</v>
      </c>
      <c r="C444" s="2">
        <f>IFERROR(__xludf.DUMMYFUNCTION("""COMPUTED_VALUE"""),6.0)</f>
        <v>6</v>
      </c>
      <c r="D444" s="6">
        <f>IFERROR(__xludf.DUMMYFUNCTION("""COMPUTED_VALUE"""),1575.9)</f>
        <v>1575.9</v>
      </c>
      <c r="E444" s="6">
        <f>IFERROR(__xludf.DUMMYFUNCTION("GOOGLEFINANCE(""Currency:BRLMXN"")*D444"),5353.3323)</f>
        <v>5353.3323</v>
      </c>
      <c r="F444" s="6">
        <f>IFERROR(__xludf.DUMMYFUNCTION("GOOGLEFINANCE(""Currency:BRLPEN"")*D444"),1033.16004)</f>
        <v>1033.16004</v>
      </c>
      <c r="G444" s="2" t="str">
        <f t="array" ref="G444">_xlfn.XLOOKUP(B444,Vendedores!$A$2:$A$41,Vendedores!$B$2:$B$41,"No hay datos")</f>
        <v>No hay datos</v>
      </c>
      <c r="H444" s="2" t="str">
        <f t="array" ref="H444">_xlfn.XLOOKUP(B444,Vendedores!$A$2:$A$41,Vendedores!$C$2:$C$41,"No hay datos")</f>
        <v>No hay datos</v>
      </c>
      <c r="I444" s="2" t="str">
        <f t="array" ref="I444">_xlfn.XLOOKUP(B444,Vendedores!$A$2:$A$41,Vendedores!$D$2:$D$41,"No hay datos")</f>
        <v>No hay datos</v>
      </c>
      <c r="J444" s="2" t="str">
        <f t="array" ref="J444">_xlfn.XLOOKUP(A444,Productos!$A$2:$A$61,Productos!$B$2:$F$61)</f>
        <v>#N/A</v>
      </c>
    </row>
    <row r="445">
      <c r="A445" s="2" t="str">
        <f>IFERROR(__xludf.DUMMYFUNCTION("""COMPUTED_VALUE"""),"PR019")</f>
        <v>PR019</v>
      </c>
      <c r="B445" s="2" t="str">
        <f>IFERROR(__xludf.DUMMYFUNCTION("""COMPUTED_VALUE"""),"VD020")</f>
        <v>VD020</v>
      </c>
      <c r="C445" s="2">
        <f>IFERROR(__xludf.DUMMYFUNCTION("""COMPUTED_VALUE"""),6.0)</f>
        <v>6</v>
      </c>
      <c r="D445" s="6">
        <f>IFERROR(__xludf.DUMMYFUNCTION("""COMPUTED_VALUE"""),317.36)</f>
        <v>317.36</v>
      </c>
      <c r="E445" s="6">
        <f>IFERROR(__xludf.DUMMYFUNCTION("GOOGLEFINANCE(""Currency:BRLMXN"")*D445"),1078.07192)</f>
        <v>1078.07192</v>
      </c>
      <c r="F445" s="6">
        <f>IFERROR(__xludf.DUMMYFUNCTION("GOOGLEFINANCE(""Currency:BRLPEN"")*D445"),208.061216)</f>
        <v>208.061216</v>
      </c>
      <c r="G445" s="2" t="str">
        <f t="array" ref="G445">_xlfn.XLOOKUP(B445,Vendedores!$A$2:$A$41,Vendedores!$B$2:$B$41,"No hay datos")</f>
        <v>No hay datos</v>
      </c>
      <c r="H445" s="2" t="str">
        <f t="array" ref="H445">_xlfn.XLOOKUP(B445,Vendedores!$A$2:$A$41,Vendedores!$C$2:$C$41,"No hay datos")</f>
        <v>No hay datos</v>
      </c>
      <c r="I445" s="2" t="str">
        <f t="array" ref="I445">_xlfn.XLOOKUP(B445,Vendedores!$A$2:$A$41,Vendedores!$D$2:$D$41,"No hay datos")</f>
        <v>No hay datos</v>
      </c>
      <c r="J445" s="2" t="str">
        <f t="array" ref="J445">_xlfn.XLOOKUP(A445,Productos!$A$2:$A$61,Productos!$B$2:$F$61)</f>
        <v>#N/A</v>
      </c>
    </row>
    <row r="446">
      <c r="A446" s="2" t="str">
        <f>IFERROR(__xludf.DUMMYFUNCTION("""COMPUTED_VALUE"""),"PR007")</f>
        <v>PR007</v>
      </c>
      <c r="B446" s="2" t="str">
        <f>IFERROR(__xludf.DUMMYFUNCTION("""COMPUTED_VALUE"""),"VD028")</f>
        <v>VD028</v>
      </c>
      <c r="C446" s="2">
        <f>IFERROR(__xludf.DUMMYFUNCTION("""COMPUTED_VALUE"""),14.0)</f>
        <v>14</v>
      </c>
      <c r="D446" s="6">
        <f>IFERROR(__xludf.DUMMYFUNCTION("""COMPUTED_VALUE"""),1226.65)</f>
        <v>1226.65</v>
      </c>
      <c r="E446" s="6">
        <f>IFERROR(__xludf.DUMMYFUNCTION("GOOGLEFINANCE(""Currency:BRLMXN"")*D446"),4166.93005)</f>
        <v>4166.93005</v>
      </c>
      <c r="F446" s="6">
        <f>IFERROR(__xludf.DUMMYFUNCTION("GOOGLEFINANCE(""Currency:BRLPEN"")*D446"),804.19174)</f>
        <v>804.19174</v>
      </c>
      <c r="G446" s="2" t="str">
        <f t="array" ref="G446">_xlfn.XLOOKUP(B446,Vendedores!$A$2:$A$41,Vendedores!$B$2:$B$41,"No hay datos")</f>
        <v>No hay datos</v>
      </c>
      <c r="H446" s="2" t="str">
        <f t="array" ref="H446">_xlfn.XLOOKUP(B446,Vendedores!$A$2:$A$41,Vendedores!$C$2:$C$41,"No hay datos")</f>
        <v>No hay datos</v>
      </c>
      <c r="I446" s="2" t="str">
        <f t="array" ref="I446">_xlfn.XLOOKUP(B446,Vendedores!$A$2:$A$41,Vendedores!$D$2:$D$41,"No hay datos")</f>
        <v>No hay datos</v>
      </c>
      <c r="J446" s="2" t="str">
        <f t="array" ref="J446">_xlfn.XLOOKUP(A446,Productos!$A$2:$A$61,Productos!$B$2:$F$61)</f>
        <v>#N/A</v>
      </c>
    </row>
    <row r="447">
      <c r="A447" s="2" t="str">
        <f>IFERROR(__xludf.DUMMYFUNCTION("""COMPUTED_VALUE"""),"PR032")</f>
        <v>PR032</v>
      </c>
      <c r="B447" s="2" t="str">
        <f>IFERROR(__xludf.DUMMYFUNCTION("""COMPUTED_VALUE"""),"VD033")</f>
        <v>VD033</v>
      </c>
      <c r="C447" s="2">
        <f>IFERROR(__xludf.DUMMYFUNCTION("""COMPUTED_VALUE"""),30.0)</f>
        <v>30</v>
      </c>
      <c r="D447" s="6">
        <f>IFERROR(__xludf.DUMMYFUNCTION("""COMPUTED_VALUE"""),7950.0)</f>
        <v>7950</v>
      </c>
      <c r="E447" s="6">
        <f>IFERROR(__xludf.DUMMYFUNCTION("GOOGLEFINANCE(""Currency:BRLMXN"")*D447"),27006.149999999998)</f>
        <v>27006.15</v>
      </c>
      <c r="F447" s="6">
        <f>IFERROR(__xludf.DUMMYFUNCTION("GOOGLEFINANCE(""Currency:BRLPEN"")*D447"),5212.0199999999995)</f>
        <v>5212.02</v>
      </c>
      <c r="G447" s="2" t="str">
        <f t="array" ref="G447">_xlfn.XLOOKUP(B447,Vendedores!$A$2:$A$41,Vendedores!$B$2:$B$41,"No hay datos")</f>
        <v>No hay datos</v>
      </c>
      <c r="H447" s="2" t="str">
        <f t="array" ref="H447">_xlfn.XLOOKUP(B447,Vendedores!$A$2:$A$41,Vendedores!$C$2:$C$41,"No hay datos")</f>
        <v>No hay datos</v>
      </c>
      <c r="I447" s="2" t="str">
        <f t="array" ref="I447">_xlfn.XLOOKUP(B447,Vendedores!$A$2:$A$41,Vendedores!$D$2:$D$41,"No hay datos")</f>
        <v>No hay datos</v>
      </c>
      <c r="J447" s="2" t="str">
        <f t="array" ref="J447">_xlfn.XLOOKUP(A447,Productos!$A$2:$A$61,Productos!$B$2:$F$61)</f>
        <v>#N/A</v>
      </c>
    </row>
    <row r="448">
      <c r="A448" s="2" t="str">
        <f>IFERROR(__xludf.DUMMYFUNCTION("""COMPUTED_VALUE"""),"PR052")</f>
        <v>PR052</v>
      </c>
      <c r="B448" s="2" t="str">
        <f>IFERROR(__xludf.DUMMYFUNCTION("""COMPUTED_VALUE"""),"VD037")</f>
        <v>VD037</v>
      </c>
      <c r="C448" s="2">
        <f>IFERROR(__xludf.DUMMYFUNCTION("""COMPUTED_VALUE"""),16.0)</f>
        <v>16</v>
      </c>
      <c r="D448" s="6">
        <f>IFERROR(__xludf.DUMMYFUNCTION("""COMPUTED_VALUE"""),870.26)</f>
        <v>870.26</v>
      </c>
      <c r="E448" s="6">
        <f>IFERROR(__xludf.DUMMYFUNCTION("GOOGLEFINANCE(""Currency:BRLMXN"")*D448"),2956.2732199999996)</f>
        <v>2956.27322</v>
      </c>
      <c r="F448" s="6">
        <f>IFERROR(__xludf.DUMMYFUNCTION("GOOGLEFINANCE(""Currency:BRLPEN"")*D448"),570.542456)</f>
        <v>570.542456</v>
      </c>
      <c r="G448" s="2" t="str">
        <f t="array" ref="G448">_xlfn.XLOOKUP(B448,Vendedores!$A$2:$A$41,Vendedores!$B$2:$B$41,"No hay datos")</f>
        <v>No hay datos</v>
      </c>
      <c r="H448" s="2" t="str">
        <f t="array" ref="H448">_xlfn.XLOOKUP(B448,Vendedores!$A$2:$A$41,Vendedores!$C$2:$C$41,"No hay datos")</f>
        <v>No hay datos</v>
      </c>
      <c r="I448" s="2" t="str">
        <f t="array" ref="I448">_xlfn.XLOOKUP(B448,Vendedores!$A$2:$A$41,Vendedores!$D$2:$D$41,"No hay datos")</f>
        <v>No hay datos</v>
      </c>
      <c r="J448" s="2" t="str">
        <f t="array" ref="J448">_xlfn.XLOOKUP(A448,Productos!$A$2:$A$61,Productos!$B$2:$F$61)</f>
        <v>#N/A</v>
      </c>
    </row>
    <row r="449">
      <c r="A449" s="2" t="str">
        <f>IFERROR(__xludf.DUMMYFUNCTION("""COMPUTED_VALUE"""),"PR055")</f>
        <v>PR055</v>
      </c>
      <c r="B449" s="2" t="str">
        <f>IFERROR(__xludf.DUMMYFUNCTION("""COMPUTED_VALUE"""),"VD036")</f>
        <v>VD036</v>
      </c>
      <c r="C449" s="2">
        <f>IFERROR(__xludf.DUMMYFUNCTION("""COMPUTED_VALUE"""),1.0)</f>
        <v>1</v>
      </c>
      <c r="D449" s="6">
        <f>IFERROR(__xludf.DUMMYFUNCTION("""COMPUTED_VALUE"""),89.9)</f>
        <v>89.9</v>
      </c>
      <c r="E449" s="6">
        <f>IFERROR(__xludf.DUMMYFUNCTION("GOOGLEFINANCE(""Currency:BRLMXN"")*D449"),305.3903)</f>
        <v>305.3903</v>
      </c>
      <c r="F449" s="6">
        <f>IFERROR(__xludf.DUMMYFUNCTION("GOOGLEFINANCE(""Currency:BRLPEN"")*D449"),58.93844)</f>
        <v>58.93844</v>
      </c>
      <c r="G449" s="2" t="str">
        <f t="array" ref="G449">_xlfn.XLOOKUP(B449,Vendedores!$A$2:$A$41,Vendedores!$B$2:$B$41,"No hay datos")</f>
        <v>No hay datos</v>
      </c>
      <c r="H449" s="2" t="str">
        <f t="array" ref="H449">_xlfn.XLOOKUP(B449,Vendedores!$A$2:$A$41,Vendedores!$C$2:$C$41,"No hay datos")</f>
        <v>No hay datos</v>
      </c>
      <c r="I449" s="2" t="str">
        <f t="array" ref="I449">_xlfn.XLOOKUP(B449,Vendedores!$A$2:$A$41,Vendedores!$D$2:$D$41,"No hay datos")</f>
        <v>No hay datos</v>
      </c>
      <c r="J449" s="2" t="str">
        <f t="array" ref="J449">_xlfn.XLOOKUP(A449,Productos!$A$2:$A$61,Productos!$B$2:$F$61)</f>
        <v>#N/A</v>
      </c>
    </row>
    <row r="450">
      <c r="A450" s="2" t="str">
        <f>IFERROR(__xludf.DUMMYFUNCTION("""COMPUTED_VALUE"""),"PR027")</f>
        <v>PR027</v>
      </c>
      <c r="B450" s="2" t="str">
        <f>IFERROR(__xludf.DUMMYFUNCTION("""COMPUTED_VALUE"""),"VD019")</f>
        <v>VD019</v>
      </c>
      <c r="C450" s="2">
        <f>IFERROR(__xludf.DUMMYFUNCTION("""COMPUTED_VALUE"""),8.0)</f>
        <v>8</v>
      </c>
      <c r="D450" s="6">
        <f>IFERROR(__xludf.DUMMYFUNCTION("""COMPUTED_VALUE"""),988.8)</f>
        <v>988.8</v>
      </c>
      <c r="E450" s="6">
        <f>IFERROR(__xludf.DUMMYFUNCTION("GOOGLEFINANCE(""Currency:BRLMXN"")*D450"),3358.9536)</f>
        <v>3358.9536</v>
      </c>
      <c r="F450" s="6">
        <f>IFERROR(__xludf.DUMMYFUNCTION("GOOGLEFINANCE(""Currency:BRLPEN"")*D450"),648.2572799999999)</f>
        <v>648.25728</v>
      </c>
      <c r="G450" s="2" t="str">
        <f t="array" ref="G450">_xlfn.XLOOKUP(B450,Vendedores!$A$2:$A$41,Vendedores!$B$2:$B$41,"No hay datos")</f>
        <v>No hay datos</v>
      </c>
      <c r="H450" s="2" t="str">
        <f t="array" ref="H450">_xlfn.XLOOKUP(B450,Vendedores!$A$2:$A$41,Vendedores!$C$2:$C$41,"No hay datos")</f>
        <v>No hay datos</v>
      </c>
      <c r="I450" s="2" t="str">
        <f t="array" ref="I450">_xlfn.XLOOKUP(B450,Vendedores!$A$2:$A$41,Vendedores!$D$2:$D$41,"No hay datos")</f>
        <v>No hay datos</v>
      </c>
      <c r="J450" s="2" t="str">
        <f t="array" ref="J450">_xlfn.XLOOKUP(A450,Productos!$A$2:$A$61,Productos!$B$2:$F$61)</f>
        <v>#N/A</v>
      </c>
    </row>
    <row r="451">
      <c r="A451" s="2" t="str">
        <f>IFERROR(__xludf.DUMMYFUNCTION("""COMPUTED_VALUE"""),"PR034")</f>
        <v>PR034</v>
      </c>
      <c r="B451" s="2" t="str">
        <f>IFERROR(__xludf.DUMMYFUNCTION("""COMPUTED_VALUE"""),"VD048")</f>
        <v>VD048</v>
      </c>
      <c r="C451" s="2">
        <f>IFERROR(__xludf.DUMMYFUNCTION("""COMPUTED_VALUE"""),30.0)</f>
        <v>30</v>
      </c>
      <c r="D451" s="6">
        <f>IFERROR(__xludf.DUMMYFUNCTION("""COMPUTED_VALUE"""),2777.91)</f>
        <v>2777.91</v>
      </c>
      <c r="E451" s="6">
        <f>IFERROR(__xludf.DUMMYFUNCTION("GOOGLEFINANCE(""Currency:BRLMXN"")*D451"),9436.560269999998)</f>
        <v>9436.56027</v>
      </c>
      <c r="F451" s="6">
        <f>IFERROR(__xludf.DUMMYFUNCTION("GOOGLEFINANCE(""Currency:BRLPEN"")*D451"),1821.1977959999997)</f>
        <v>1821.197796</v>
      </c>
      <c r="G451" s="2" t="str">
        <f t="array" ref="G451">_xlfn.XLOOKUP(B451,Vendedores!$A$2:$A$41,Vendedores!$B$2:$B$41,"No hay datos")</f>
        <v>No hay datos</v>
      </c>
      <c r="H451" s="2" t="str">
        <f t="array" ref="H451">_xlfn.XLOOKUP(B451,Vendedores!$A$2:$A$41,Vendedores!$C$2:$C$41,"No hay datos")</f>
        <v>No hay datos</v>
      </c>
      <c r="I451" s="2" t="str">
        <f t="array" ref="I451">_xlfn.XLOOKUP(B451,Vendedores!$A$2:$A$41,Vendedores!$D$2:$D$41,"No hay datos")</f>
        <v>No hay datos</v>
      </c>
      <c r="J451" s="2" t="str">
        <f t="array" ref="J451">_xlfn.XLOOKUP(A451,Productos!$A$2:$A$61,Productos!$B$2:$F$61)</f>
        <v>#N/A</v>
      </c>
    </row>
    <row r="452">
      <c r="A452" s="2" t="str">
        <f>IFERROR(__xludf.DUMMYFUNCTION("""COMPUTED_VALUE"""),"PR028")</f>
        <v>PR028</v>
      </c>
      <c r="B452" s="2" t="str">
        <f>IFERROR(__xludf.DUMMYFUNCTION("""COMPUTED_VALUE"""),"VD042")</f>
        <v>VD042</v>
      </c>
      <c r="C452" s="2">
        <f>IFERROR(__xludf.DUMMYFUNCTION("""COMPUTED_VALUE"""),3.0)</f>
        <v>3</v>
      </c>
      <c r="D452" s="6">
        <f>IFERROR(__xludf.DUMMYFUNCTION("""COMPUTED_VALUE"""),749.7)</f>
        <v>749.7</v>
      </c>
      <c r="E452" s="6">
        <f>IFERROR(__xludf.DUMMYFUNCTION("GOOGLEFINANCE(""Currency:BRLMXN"")*D452"),2546.7309)</f>
        <v>2546.7309</v>
      </c>
      <c r="F452" s="6">
        <f>IFERROR(__xludf.DUMMYFUNCTION("GOOGLEFINANCE(""Currency:BRLPEN"")*D452"),491.50332)</f>
        <v>491.50332</v>
      </c>
      <c r="G452" s="2" t="str">
        <f t="array" ref="G452">_xlfn.XLOOKUP(B452,Vendedores!$A$2:$A$41,Vendedores!$B$2:$B$41,"No hay datos")</f>
        <v>No hay datos</v>
      </c>
      <c r="H452" s="2" t="str">
        <f t="array" ref="H452">_xlfn.XLOOKUP(B452,Vendedores!$A$2:$A$41,Vendedores!$C$2:$C$41,"No hay datos")</f>
        <v>No hay datos</v>
      </c>
      <c r="I452" s="2" t="str">
        <f t="array" ref="I452">_xlfn.XLOOKUP(B452,Vendedores!$A$2:$A$41,Vendedores!$D$2:$D$41,"No hay datos")</f>
        <v>No hay datos</v>
      </c>
      <c r="J452" s="2" t="str">
        <f t="array" ref="J452">_xlfn.XLOOKUP(A452,Productos!$A$2:$A$61,Productos!$B$2:$F$61)</f>
        <v>#N/A</v>
      </c>
    </row>
    <row r="453">
      <c r="A453" s="2" t="str">
        <f>IFERROR(__xludf.DUMMYFUNCTION("""COMPUTED_VALUE"""),"PR039")</f>
        <v>PR039</v>
      </c>
      <c r="B453" s="2" t="str">
        <f>IFERROR(__xludf.DUMMYFUNCTION("""COMPUTED_VALUE"""),"VD023")</f>
        <v>VD023</v>
      </c>
      <c r="C453" s="2">
        <f>IFERROR(__xludf.DUMMYFUNCTION("""COMPUTED_VALUE"""),9.0)</f>
        <v>9</v>
      </c>
      <c r="D453" s="6">
        <f>IFERROR(__xludf.DUMMYFUNCTION("""COMPUTED_VALUE"""),1445.4)</f>
        <v>1445.4</v>
      </c>
      <c r="E453" s="6">
        <f>IFERROR(__xludf.DUMMYFUNCTION("GOOGLEFINANCE(""Currency:BRLMXN"")*D453"),4910.0238)</f>
        <v>4910.0238</v>
      </c>
      <c r="F453" s="6">
        <f>IFERROR(__xludf.DUMMYFUNCTION("GOOGLEFINANCE(""Currency:BRLPEN"")*D453"),947.60424)</f>
        <v>947.60424</v>
      </c>
      <c r="G453" s="2" t="str">
        <f t="array" ref="G453">_xlfn.XLOOKUP(B453,Vendedores!$A$2:$A$41,Vendedores!$B$2:$B$41,"No hay datos")</f>
        <v>No hay datos</v>
      </c>
      <c r="H453" s="2" t="str">
        <f t="array" ref="H453">_xlfn.XLOOKUP(B453,Vendedores!$A$2:$A$41,Vendedores!$C$2:$C$41,"No hay datos")</f>
        <v>No hay datos</v>
      </c>
      <c r="I453" s="2" t="str">
        <f t="array" ref="I453">_xlfn.XLOOKUP(B453,Vendedores!$A$2:$A$41,Vendedores!$D$2:$D$41,"No hay datos")</f>
        <v>No hay datos</v>
      </c>
      <c r="J453" s="2" t="str">
        <f t="array" ref="J453">_xlfn.XLOOKUP(A453,Productos!$A$2:$A$61,Productos!$B$2:$F$61)</f>
        <v>#N/A</v>
      </c>
    </row>
    <row r="454">
      <c r="A454" s="2" t="str">
        <f>IFERROR(__xludf.DUMMYFUNCTION("""COMPUTED_VALUE"""),"PR053")</f>
        <v>PR053</v>
      </c>
      <c r="B454" s="2" t="str">
        <f>IFERROR(__xludf.DUMMYFUNCTION("""COMPUTED_VALUE"""),"VD024")</f>
        <v>VD024</v>
      </c>
      <c r="C454" s="2">
        <f>IFERROR(__xludf.DUMMYFUNCTION("""COMPUTED_VALUE"""),6.0)</f>
        <v>6</v>
      </c>
      <c r="D454" s="6">
        <f>IFERROR(__xludf.DUMMYFUNCTION("""COMPUTED_VALUE"""),308.38)</f>
        <v>308.38</v>
      </c>
      <c r="E454" s="6">
        <f>IFERROR(__xludf.DUMMYFUNCTION("GOOGLEFINANCE(""Currency:BRLMXN"")*D454"),1047.56686)</f>
        <v>1047.56686</v>
      </c>
      <c r="F454" s="6">
        <f>IFERROR(__xludf.DUMMYFUNCTION("GOOGLEFINANCE(""Currency:BRLPEN"")*D454"),202.173928)</f>
        <v>202.173928</v>
      </c>
      <c r="G454" s="2" t="str">
        <f t="array" ref="G454">_xlfn.XLOOKUP(B454,Vendedores!$A$2:$A$41,Vendedores!$B$2:$B$41,"No hay datos")</f>
        <v>No hay datos</v>
      </c>
      <c r="H454" s="2" t="str">
        <f t="array" ref="H454">_xlfn.XLOOKUP(B454,Vendedores!$A$2:$A$41,Vendedores!$C$2:$C$41,"No hay datos")</f>
        <v>No hay datos</v>
      </c>
      <c r="I454" s="2" t="str">
        <f t="array" ref="I454">_xlfn.XLOOKUP(B454,Vendedores!$A$2:$A$41,Vendedores!$D$2:$D$41,"No hay datos")</f>
        <v>No hay datos</v>
      </c>
      <c r="J454" s="2" t="str">
        <f t="array" ref="J454">_xlfn.XLOOKUP(A454,Productos!$A$2:$A$61,Productos!$B$2:$F$61)</f>
        <v>#N/A</v>
      </c>
    </row>
    <row r="455">
      <c r="A455" s="2" t="str">
        <f>IFERROR(__xludf.DUMMYFUNCTION("""COMPUTED_VALUE"""),"PR032")</f>
        <v>PR032</v>
      </c>
      <c r="B455" s="2" t="str">
        <f>IFERROR(__xludf.DUMMYFUNCTION("""COMPUTED_VALUE"""),"VD011")</f>
        <v>VD011</v>
      </c>
      <c r="C455" s="2">
        <f>IFERROR(__xludf.DUMMYFUNCTION("""COMPUTED_VALUE"""),27.0)</f>
        <v>27</v>
      </c>
      <c r="D455" s="6">
        <f>IFERROR(__xludf.DUMMYFUNCTION("""COMPUTED_VALUE"""),7020.0)</f>
        <v>7020</v>
      </c>
      <c r="E455" s="6">
        <f>IFERROR(__xludf.DUMMYFUNCTION("GOOGLEFINANCE(""Currency:BRLMXN"")*D455"),23846.94)</f>
        <v>23846.94</v>
      </c>
      <c r="F455" s="6">
        <f>IFERROR(__xludf.DUMMYFUNCTION("GOOGLEFINANCE(""Currency:BRLPEN"")*D455"),4602.312)</f>
        <v>4602.312</v>
      </c>
      <c r="G455" s="2" t="str">
        <f t="array" ref="G455">_xlfn.XLOOKUP(B455,Vendedores!$A$2:$A$41,Vendedores!$B$2:$B$41,"No hay datos")</f>
        <v>No hay datos</v>
      </c>
      <c r="H455" s="2" t="str">
        <f t="array" ref="H455">_xlfn.XLOOKUP(B455,Vendedores!$A$2:$A$41,Vendedores!$C$2:$C$41,"No hay datos")</f>
        <v>No hay datos</v>
      </c>
      <c r="I455" s="2" t="str">
        <f t="array" ref="I455">_xlfn.XLOOKUP(B455,Vendedores!$A$2:$A$41,Vendedores!$D$2:$D$41,"No hay datos")</f>
        <v>No hay datos</v>
      </c>
      <c r="J455" s="2" t="str">
        <f t="array" ref="J455">_xlfn.XLOOKUP(A455,Productos!$A$2:$A$61,Productos!$B$2:$F$61)</f>
        <v>#N/A</v>
      </c>
    </row>
    <row r="456">
      <c r="A456" s="2" t="str">
        <f>IFERROR(__xludf.DUMMYFUNCTION("""COMPUTED_VALUE"""),"PR027")</f>
        <v>PR027</v>
      </c>
      <c r="B456" s="2" t="str">
        <f>IFERROR(__xludf.DUMMYFUNCTION("""COMPUTED_VALUE"""),"VD030")</f>
        <v>VD030</v>
      </c>
      <c r="C456" s="2">
        <f>IFERROR(__xludf.DUMMYFUNCTION("""COMPUTED_VALUE"""),3.0)</f>
        <v>3</v>
      </c>
      <c r="D456" s="6">
        <f>IFERROR(__xludf.DUMMYFUNCTION("""COMPUTED_VALUE"""),381.6)</f>
        <v>381.6</v>
      </c>
      <c r="E456" s="6">
        <f>IFERROR(__xludf.DUMMYFUNCTION("GOOGLEFINANCE(""Currency:BRLMXN"")*D456"),1296.2952)</f>
        <v>1296.2952</v>
      </c>
      <c r="F456" s="6">
        <f>IFERROR(__xludf.DUMMYFUNCTION("GOOGLEFINANCE(""Currency:BRLPEN"")*D456"),250.17696)</f>
        <v>250.17696</v>
      </c>
      <c r="G456" s="2" t="str">
        <f t="array" ref="G456">_xlfn.XLOOKUP(B456,Vendedores!$A$2:$A$41,Vendedores!$B$2:$B$41,"No hay datos")</f>
        <v>No hay datos</v>
      </c>
      <c r="H456" s="2" t="str">
        <f t="array" ref="H456">_xlfn.XLOOKUP(B456,Vendedores!$A$2:$A$41,Vendedores!$C$2:$C$41,"No hay datos")</f>
        <v>No hay datos</v>
      </c>
      <c r="I456" s="2" t="str">
        <f t="array" ref="I456">_xlfn.XLOOKUP(B456,Vendedores!$A$2:$A$41,Vendedores!$D$2:$D$41,"No hay datos")</f>
        <v>No hay datos</v>
      </c>
      <c r="J456" s="2" t="str">
        <f t="array" ref="J456">_xlfn.XLOOKUP(A456,Productos!$A$2:$A$61,Productos!$B$2:$F$61)</f>
        <v>#N/A</v>
      </c>
    </row>
    <row r="457">
      <c r="A457" s="2" t="str">
        <f>IFERROR(__xludf.DUMMYFUNCTION("""COMPUTED_VALUE"""),"PR049")</f>
        <v>PR049</v>
      </c>
      <c r="B457" s="2" t="str">
        <f>IFERROR(__xludf.DUMMYFUNCTION("""COMPUTED_VALUE"""),"VD017")</f>
        <v>VD017</v>
      </c>
      <c r="C457" s="2">
        <f>IFERROR(__xludf.DUMMYFUNCTION("""COMPUTED_VALUE"""),24.0)</f>
        <v>24</v>
      </c>
      <c r="D457" s="6">
        <f>IFERROR(__xludf.DUMMYFUNCTION("""COMPUTED_VALUE"""),868.56)</f>
        <v>868.56</v>
      </c>
      <c r="E457" s="6">
        <f>IFERROR(__xludf.DUMMYFUNCTION("GOOGLEFINANCE(""Currency:BRLMXN"")*D457"),2950.4983199999997)</f>
        <v>2950.49832</v>
      </c>
      <c r="F457" s="6">
        <f>IFERROR(__xludf.DUMMYFUNCTION("GOOGLEFINANCE(""Currency:BRLPEN"")*D457"),569.4279359999999)</f>
        <v>569.427936</v>
      </c>
      <c r="G457" s="2" t="str">
        <f t="array" ref="G457">_xlfn.XLOOKUP(B457,Vendedores!$A$2:$A$41,Vendedores!$B$2:$B$41,"No hay datos")</f>
        <v>No hay datos</v>
      </c>
      <c r="H457" s="2" t="str">
        <f t="array" ref="H457">_xlfn.XLOOKUP(B457,Vendedores!$A$2:$A$41,Vendedores!$C$2:$C$41,"No hay datos")</f>
        <v>No hay datos</v>
      </c>
      <c r="I457" s="2" t="str">
        <f t="array" ref="I457">_xlfn.XLOOKUP(B457,Vendedores!$A$2:$A$41,Vendedores!$D$2:$D$41,"No hay datos")</f>
        <v>No hay datos</v>
      </c>
      <c r="J457" s="2" t="str">
        <f t="array" ref="J457">_xlfn.XLOOKUP(A457,Productos!$A$2:$A$61,Productos!$B$2:$F$61)</f>
        <v>#N/A</v>
      </c>
    </row>
    <row r="458">
      <c r="A458" s="2" t="str">
        <f>IFERROR(__xludf.DUMMYFUNCTION("""COMPUTED_VALUE"""),"PR050")</f>
        <v>PR050</v>
      </c>
      <c r="B458" s="2" t="str">
        <f>IFERROR(__xludf.DUMMYFUNCTION("""COMPUTED_VALUE"""),"VD018")</f>
        <v>VD018</v>
      </c>
      <c r="C458" s="2">
        <f>IFERROR(__xludf.DUMMYFUNCTION("""COMPUTED_VALUE"""),30.0)</f>
        <v>30</v>
      </c>
      <c r="D458" s="6">
        <f>IFERROR(__xludf.DUMMYFUNCTION("""COMPUTED_VALUE"""),987.0)</f>
        <v>987</v>
      </c>
      <c r="E458" s="6">
        <f>IFERROR(__xludf.DUMMYFUNCTION("GOOGLEFINANCE(""Currency:BRLMXN"")*D458"),3352.839)</f>
        <v>3352.839</v>
      </c>
      <c r="F458" s="6">
        <f>IFERROR(__xludf.DUMMYFUNCTION("GOOGLEFINANCE(""Currency:BRLPEN"")*D458"),647.0772)</f>
        <v>647.0772</v>
      </c>
      <c r="G458" s="2" t="str">
        <f t="array" ref="G458">_xlfn.XLOOKUP(B458,Vendedores!$A$2:$A$41,Vendedores!$B$2:$B$41,"No hay datos")</f>
        <v>No hay datos</v>
      </c>
      <c r="H458" s="2" t="str">
        <f t="array" ref="H458">_xlfn.XLOOKUP(B458,Vendedores!$A$2:$A$41,Vendedores!$C$2:$C$41,"No hay datos")</f>
        <v>No hay datos</v>
      </c>
      <c r="I458" s="2" t="str">
        <f t="array" ref="I458">_xlfn.XLOOKUP(B458,Vendedores!$A$2:$A$41,Vendedores!$D$2:$D$41,"No hay datos")</f>
        <v>No hay datos</v>
      </c>
      <c r="J458" s="2" t="str">
        <f t="array" ref="J458">_xlfn.XLOOKUP(A458,Productos!$A$2:$A$61,Productos!$B$2:$F$61)</f>
        <v>#N/A</v>
      </c>
    </row>
    <row r="459">
      <c r="A459" s="2" t="str">
        <f>IFERROR(__xludf.DUMMYFUNCTION("""COMPUTED_VALUE"""),"PR051")</f>
        <v>PR051</v>
      </c>
      <c r="B459" s="2" t="str">
        <f>IFERROR(__xludf.DUMMYFUNCTION("""COMPUTED_VALUE"""),"VD021")</f>
        <v>VD021</v>
      </c>
      <c r="C459" s="2">
        <f>IFERROR(__xludf.DUMMYFUNCTION("""COMPUTED_VALUE"""),9.0)</f>
        <v>9</v>
      </c>
      <c r="D459" s="6">
        <f>IFERROR(__xludf.DUMMYFUNCTION("""COMPUTED_VALUE"""),302.02)</f>
        <v>302.02</v>
      </c>
      <c r="E459" s="6">
        <f>IFERROR(__xludf.DUMMYFUNCTION("GOOGLEFINANCE(""Currency:BRLMXN"")*D459"),1025.96194)</f>
        <v>1025.96194</v>
      </c>
      <c r="F459" s="6">
        <f>IFERROR(__xludf.DUMMYFUNCTION("GOOGLEFINANCE(""Currency:BRLPEN"")*D459"),198.00431199999997)</f>
        <v>198.004312</v>
      </c>
      <c r="G459" s="2" t="str">
        <f t="array" ref="G459">_xlfn.XLOOKUP(B459,Vendedores!$A$2:$A$41,Vendedores!$B$2:$B$41,"No hay datos")</f>
        <v>No hay datos</v>
      </c>
      <c r="H459" s="2" t="str">
        <f t="array" ref="H459">_xlfn.XLOOKUP(B459,Vendedores!$A$2:$A$41,Vendedores!$C$2:$C$41,"No hay datos")</f>
        <v>No hay datos</v>
      </c>
      <c r="I459" s="2" t="str">
        <f t="array" ref="I459">_xlfn.XLOOKUP(B459,Vendedores!$A$2:$A$41,Vendedores!$D$2:$D$41,"No hay datos")</f>
        <v>No hay datos</v>
      </c>
      <c r="J459" s="2" t="str">
        <f t="array" ref="J459">_xlfn.XLOOKUP(A459,Productos!$A$2:$A$61,Productos!$B$2:$F$61)</f>
        <v>#N/A</v>
      </c>
    </row>
    <row r="460">
      <c r="A460" s="2" t="str">
        <f>IFERROR(__xludf.DUMMYFUNCTION("""COMPUTED_VALUE"""),"PR031")</f>
        <v>PR031</v>
      </c>
      <c r="B460" s="2" t="str">
        <f>IFERROR(__xludf.DUMMYFUNCTION("""COMPUTED_VALUE"""),"VD018")</f>
        <v>VD018</v>
      </c>
      <c r="C460" s="2">
        <f>IFERROR(__xludf.DUMMYFUNCTION("""COMPUTED_VALUE"""),12.0)</f>
        <v>12</v>
      </c>
      <c r="D460" s="6">
        <f>IFERROR(__xludf.DUMMYFUNCTION("""COMPUTED_VALUE"""),3175.2)</f>
        <v>3175.2</v>
      </c>
      <c r="E460" s="6">
        <f>IFERROR(__xludf.DUMMYFUNCTION("GOOGLEFINANCE(""Currency:BRLMXN"")*D460"),10786.1544)</f>
        <v>10786.1544</v>
      </c>
      <c r="F460" s="6">
        <f>IFERROR(__xludf.DUMMYFUNCTION("GOOGLEFINANCE(""Currency:BRLPEN"")*D460"),2081.6611199999998)</f>
        <v>2081.66112</v>
      </c>
      <c r="G460" s="2" t="str">
        <f t="array" ref="G460">_xlfn.XLOOKUP(B460,Vendedores!$A$2:$A$41,Vendedores!$B$2:$B$41,"No hay datos")</f>
        <v>No hay datos</v>
      </c>
      <c r="H460" s="2" t="str">
        <f t="array" ref="H460">_xlfn.XLOOKUP(B460,Vendedores!$A$2:$A$41,Vendedores!$C$2:$C$41,"No hay datos")</f>
        <v>No hay datos</v>
      </c>
      <c r="I460" s="2" t="str">
        <f t="array" ref="I460">_xlfn.XLOOKUP(B460,Vendedores!$A$2:$A$41,Vendedores!$D$2:$D$41,"No hay datos")</f>
        <v>No hay datos</v>
      </c>
      <c r="J460" s="2" t="str">
        <f t="array" ref="J460">_xlfn.XLOOKUP(A460,Productos!$A$2:$A$61,Productos!$B$2:$F$61)</f>
        <v>#N/A</v>
      </c>
    </row>
    <row r="461">
      <c r="A461" s="2" t="str">
        <f>IFERROR(__xludf.DUMMYFUNCTION("""COMPUTED_VALUE"""),"PR017")</f>
        <v>PR017</v>
      </c>
      <c r="B461" s="2" t="str">
        <f>IFERROR(__xludf.DUMMYFUNCTION("""COMPUTED_VALUE"""),"VD014")</f>
        <v>VD014</v>
      </c>
      <c r="C461" s="2">
        <f>IFERROR(__xludf.DUMMYFUNCTION("""COMPUTED_VALUE"""),6.0)</f>
        <v>6</v>
      </c>
      <c r="D461" s="6">
        <f>IFERROR(__xludf.DUMMYFUNCTION("""COMPUTED_VALUE"""),197.34)</f>
        <v>197.34</v>
      </c>
      <c r="E461" s="6">
        <f>IFERROR(__xludf.DUMMYFUNCTION("GOOGLEFINANCE(""Currency:BRLMXN"")*D461"),670.36398)</f>
        <v>670.36398</v>
      </c>
      <c r="F461" s="6">
        <f>IFERROR(__xludf.DUMMYFUNCTION("GOOGLEFINANCE(""Currency:BRLPEN"")*D461"),129.376104)</f>
        <v>129.376104</v>
      </c>
      <c r="G461" s="2" t="str">
        <f t="array" ref="G461">_xlfn.XLOOKUP(B461,Vendedores!$A$2:$A$41,Vendedores!$B$2:$B$41,"No hay datos")</f>
        <v>No hay datos</v>
      </c>
      <c r="H461" s="2" t="str">
        <f t="array" ref="H461">_xlfn.XLOOKUP(B461,Vendedores!$A$2:$A$41,Vendedores!$C$2:$C$41,"No hay datos")</f>
        <v>No hay datos</v>
      </c>
      <c r="I461" s="2" t="str">
        <f t="array" ref="I461">_xlfn.XLOOKUP(B461,Vendedores!$A$2:$A$41,Vendedores!$D$2:$D$41,"No hay datos")</f>
        <v>No hay datos</v>
      </c>
      <c r="J461" s="2" t="str">
        <f t="array" ref="J461">_xlfn.XLOOKUP(A461,Productos!$A$2:$A$61,Productos!$B$2:$F$61)</f>
        <v>#N/A</v>
      </c>
    </row>
    <row r="462">
      <c r="A462" s="2" t="str">
        <f>IFERROR(__xludf.DUMMYFUNCTION("""COMPUTED_VALUE"""),"PR044")</f>
        <v>PR044</v>
      </c>
      <c r="B462" s="2" t="str">
        <f>IFERROR(__xludf.DUMMYFUNCTION("""COMPUTED_VALUE"""),"VD025")</f>
        <v>VD025</v>
      </c>
      <c r="C462" s="2">
        <f>IFERROR(__xludf.DUMMYFUNCTION("""COMPUTED_VALUE"""),1.0)</f>
        <v>1</v>
      </c>
      <c r="D462" s="6">
        <f>IFERROR(__xludf.DUMMYFUNCTION("""COMPUTED_VALUE"""),76.13)</f>
        <v>76.13</v>
      </c>
      <c r="E462" s="6">
        <f>IFERROR(__xludf.DUMMYFUNCTION("GOOGLEFINANCE(""Currency:BRLMXN"")*D462"),258.61361)</f>
        <v>258.61361</v>
      </c>
      <c r="F462" s="6">
        <f>IFERROR(__xludf.DUMMYFUNCTION("GOOGLEFINANCE(""Currency:BRLPEN"")*D462"),49.910827999999995)</f>
        <v>49.910828</v>
      </c>
      <c r="G462" s="2" t="str">
        <f t="array" ref="G462">_xlfn.XLOOKUP(B462,Vendedores!$A$2:$A$41,Vendedores!$B$2:$B$41,"No hay datos")</f>
        <v>No hay datos</v>
      </c>
      <c r="H462" s="2" t="str">
        <f t="array" ref="H462">_xlfn.XLOOKUP(B462,Vendedores!$A$2:$A$41,Vendedores!$C$2:$C$41,"No hay datos")</f>
        <v>No hay datos</v>
      </c>
      <c r="I462" s="2" t="str">
        <f t="array" ref="I462">_xlfn.XLOOKUP(B462,Vendedores!$A$2:$A$41,Vendedores!$D$2:$D$41,"No hay datos")</f>
        <v>No hay datos</v>
      </c>
      <c r="J462" s="2" t="str">
        <f t="array" ref="J462">_xlfn.XLOOKUP(A462,Productos!$A$2:$A$61,Productos!$B$2:$F$61)</f>
        <v>#N/A</v>
      </c>
    </row>
    <row r="463">
      <c r="A463" s="2" t="str">
        <f>IFERROR(__xludf.DUMMYFUNCTION("""COMPUTED_VALUE"""),"PR018")</f>
        <v>PR018</v>
      </c>
      <c r="B463" s="2" t="str">
        <f>IFERROR(__xludf.DUMMYFUNCTION("""COMPUTED_VALUE"""),"VD019")</f>
        <v>VD019</v>
      </c>
      <c r="C463" s="2">
        <f>IFERROR(__xludf.DUMMYFUNCTION("""COMPUTED_VALUE"""),3.0)</f>
        <v>3</v>
      </c>
      <c r="D463" s="6">
        <f>IFERROR(__xludf.DUMMYFUNCTION("""COMPUTED_VALUE"""),98.7)</f>
        <v>98.7</v>
      </c>
      <c r="E463" s="6">
        <f>IFERROR(__xludf.DUMMYFUNCTION("GOOGLEFINANCE(""Currency:BRLMXN"")*D463"),335.2839)</f>
        <v>335.2839</v>
      </c>
      <c r="F463" s="6">
        <f>IFERROR(__xludf.DUMMYFUNCTION("GOOGLEFINANCE(""Currency:BRLPEN"")*D463"),64.70772)</f>
        <v>64.70772</v>
      </c>
      <c r="G463" s="2" t="str">
        <f t="array" ref="G463">_xlfn.XLOOKUP(B463,Vendedores!$A$2:$A$41,Vendedores!$B$2:$B$41,"No hay datos")</f>
        <v>No hay datos</v>
      </c>
      <c r="H463" s="2" t="str">
        <f t="array" ref="H463">_xlfn.XLOOKUP(B463,Vendedores!$A$2:$A$41,Vendedores!$C$2:$C$41,"No hay datos")</f>
        <v>No hay datos</v>
      </c>
      <c r="I463" s="2" t="str">
        <f t="array" ref="I463">_xlfn.XLOOKUP(B463,Vendedores!$A$2:$A$41,Vendedores!$D$2:$D$41,"No hay datos")</f>
        <v>No hay datos</v>
      </c>
      <c r="J463" s="2" t="str">
        <f t="array" ref="J463">_xlfn.XLOOKUP(A463,Productos!$A$2:$A$61,Productos!$B$2:$F$61)</f>
        <v>#N/A</v>
      </c>
    </row>
    <row r="464">
      <c r="A464" s="2" t="str">
        <f>IFERROR(__xludf.DUMMYFUNCTION("""COMPUTED_VALUE"""),"PR010")</f>
        <v>PR010</v>
      </c>
      <c r="B464" s="2" t="str">
        <f>IFERROR(__xludf.DUMMYFUNCTION("""COMPUTED_VALUE"""),"VD042")</f>
        <v>VD042</v>
      </c>
      <c r="C464" s="2">
        <f>IFERROR(__xludf.DUMMYFUNCTION("""COMPUTED_VALUE"""),10.0)</f>
        <v>10</v>
      </c>
      <c r="D464" s="6">
        <f>IFERROR(__xludf.DUMMYFUNCTION("""COMPUTED_VALUE"""),489.41)</f>
        <v>489.41</v>
      </c>
      <c r="E464" s="6">
        <f>IFERROR(__xludf.DUMMYFUNCTION("GOOGLEFINANCE(""Currency:BRLMXN"")*D464"),1662.52577)</f>
        <v>1662.52577</v>
      </c>
      <c r="F464" s="6">
        <f>IFERROR(__xludf.DUMMYFUNCTION("GOOGLEFINANCE(""Currency:BRLPEN"")*D464"),320.857196)</f>
        <v>320.857196</v>
      </c>
      <c r="G464" s="2" t="str">
        <f t="array" ref="G464">_xlfn.XLOOKUP(B464,Vendedores!$A$2:$A$41,Vendedores!$B$2:$B$41,"No hay datos")</f>
        <v>No hay datos</v>
      </c>
      <c r="H464" s="2" t="str">
        <f t="array" ref="H464">_xlfn.XLOOKUP(B464,Vendedores!$A$2:$A$41,Vendedores!$C$2:$C$41,"No hay datos")</f>
        <v>No hay datos</v>
      </c>
      <c r="I464" s="2" t="str">
        <f t="array" ref="I464">_xlfn.XLOOKUP(B464,Vendedores!$A$2:$A$41,Vendedores!$D$2:$D$41,"No hay datos")</f>
        <v>No hay datos</v>
      </c>
      <c r="J464" s="2" t="str">
        <f t="array" ref="J464">_xlfn.XLOOKUP(A464,Productos!$A$2:$A$61,Productos!$B$2:$F$61)</f>
        <v>#N/A</v>
      </c>
    </row>
    <row r="465">
      <c r="A465" s="2" t="str">
        <f>IFERROR(__xludf.DUMMYFUNCTION("""COMPUTED_VALUE"""),"PR041")</f>
        <v>PR041</v>
      </c>
      <c r="B465" s="2" t="str">
        <f>IFERROR(__xludf.DUMMYFUNCTION("""COMPUTED_VALUE"""),"VD032")</f>
        <v>VD032</v>
      </c>
      <c r="C465" s="2">
        <f>IFERROR(__xludf.DUMMYFUNCTION("""COMPUTED_VALUE"""),10.0)</f>
        <v>10</v>
      </c>
      <c r="D465" s="6">
        <f>IFERROR(__xludf.DUMMYFUNCTION("""COMPUTED_VALUE"""),554.49)</f>
        <v>554.49</v>
      </c>
      <c r="E465" s="6">
        <f>IFERROR(__xludf.DUMMYFUNCTION("GOOGLEFINANCE(""Currency:BRLMXN"")*D465"),1883.60253)</f>
        <v>1883.60253</v>
      </c>
      <c r="F465" s="6">
        <f>IFERROR(__xludf.DUMMYFUNCTION("GOOGLEFINANCE(""Currency:BRLPEN"")*D465"),363.523644)</f>
        <v>363.523644</v>
      </c>
      <c r="G465" s="2" t="str">
        <f t="array" ref="G465">_xlfn.XLOOKUP(B465,Vendedores!$A$2:$A$41,Vendedores!$B$2:$B$41,"No hay datos")</f>
        <v>No hay datos</v>
      </c>
      <c r="H465" s="2" t="str">
        <f t="array" ref="H465">_xlfn.XLOOKUP(B465,Vendedores!$A$2:$A$41,Vendedores!$C$2:$C$41,"No hay datos")</f>
        <v>No hay datos</v>
      </c>
      <c r="I465" s="2" t="str">
        <f t="array" ref="I465">_xlfn.XLOOKUP(B465,Vendedores!$A$2:$A$41,Vendedores!$D$2:$D$41,"No hay datos")</f>
        <v>No hay datos</v>
      </c>
      <c r="J465" s="2" t="str">
        <f t="array" ref="J465">_xlfn.XLOOKUP(A465,Productos!$A$2:$A$61,Productos!$B$2:$F$61)</f>
        <v>#N/A</v>
      </c>
    </row>
    <row r="466">
      <c r="A466" s="2" t="str">
        <f>IFERROR(__xludf.DUMMYFUNCTION("""COMPUTED_VALUE"""),"PR050")</f>
        <v>PR050</v>
      </c>
      <c r="B466" s="2" t="str">
        <f>IFERROR(__xludf.DUMMYFUNCTION("""COMPUTED_VALUE"""),"VD042")</f>
        <v>VD042</v>
      </c>
      <c r="C466" s="2">
        <f>IFERROR(__xludf.DUMMYFUNCTION("""COMPUTED_VALUE"""),2.0)</f>
        <v>2</v>
      </c>
      <c r="D466" s="6">
        <f>IFERROR(__xludf.DUMMYFUNCTION("""COMPUTED_VALUE"""),68.43)</f>
        <v>68.43</v>
      </c>
      <c r="E466" s="6">
        <f>IFERROR(__xludf.DUMMYFUNCTION("GOOGLEFINANCE(""Currency:BRLMXN"")*D466"),232.45671000000002)</f>
        <v>232.45671</v>
      </c>
      <c r="F466" s="6">
        <f>IFERROR(__xludf.DUMMYFUNCTION("GOOGLEFINANCE(""Currency:BRLPEN"")*D466"),44.862708000000005)</f>
        <v>44.862708</v>
      </c>
      <c r="G466" s="2" t="str">
        <f t="array" ref="G466">_xlfn.XLOOKUP(B466,Vendedores!$A$2:$A$41,Vendedores!$B$2:$B$41,"No hay datos")</f>
        <v>No hay datos</v>
      </c>
      <c r="H466" s="2" t="str">
        <f t="array" ref="H466">_xlfn.XLOOKUP(B466,Vendedores!$A$2:$A$41,Vendedores!$C$2:$C$41,"No hay datos")</f>
        <v>No hay datos</v>
      </c>
      <c r="I466" s="2" t="str">
        <f t="array" ref="I466">_xlfn.XLOOKUP(B466,Vendedores!$A$2:$A$41,Vendedores!$D$2:$D$41,"No hay datos")</f>
        <v>No hay datos</v>
      </c>
      <c r="J466" s="2" t="str">
        <f t="array" ref="J466">_xlfn.XLOOKUP(A466,Productos!$A$2:$A$61,Productos!$B$2:$F$61)</f>
        <v>#N/A</v>
      </c>
    </row>
    <row r="467">
      <c r="A467" s="2" t="str">
        <f>IFERROR(__xludf.DUMMYFUNCTION("""COMPUTED_VALUE"""),"PR022")</f>
        <v>PR022</v>
      </c>
      <c r="B467" s="2" t="str">
        <f>IFERROR(__xludf.DUMMYFUNCTION("""COMPUTED_VALUE"""),"VD031")</f>
        <v>VD031</v>
      </c>
      <c r="C467" s="2">
        <f>IFERROR(__xludf.DUMMYFUNCTION("""COMPUTED_VALUE"""),10.0)</f>
        <v>10</v>
      </c>
      <c r="D467" s="6">
        <f>IFERROR(__xludf.DUMMYFUNCTION("""COMPUTED_VALUE"""),3270.0)</f>
        <v>3270</v>
      </c>
      <c r="E467" s="6">
        <f>IFERROR(__xludf.DUMMYFUNCTION("GOOGLEFINANCE(""Currency:BRLMXN"")*D467"),11108.189999999999)</f>
        <v>11108.19</v>
      </c>
      <c r="F467" s="6">
        <f>IFERROR(__xludf.DUMMYFUNCTION("GOOGLEFINANCE(""Currency:BRLPEN"")*D467"),2143.812)</f>
        <v>2143.812</v>
      </c>
      <c r="G467" s="2" t="str">
        <f t="array" ref="G467">_xlfn.XLOOKUP(B467,Vendedores!$A$2:$A$41,Vendedores!$B$2:$B$41,"No hay datos")</f>
        <v>No hay datos</v>
      </c>
      <c r="H467" s="2" t="str">
        <f t="array" ref="H467">_xlfn.XLOOKUP(B467,Vendedores!$A$2:$A$41,Vendedores!$C$2:$C$41,"No hay datos")</f>
        <v>No hay datos</v>
      </c>
      <c r="I467" s="2" t="str">
        <f t="array" ref="I467">_xlfn.XLOOKUP(B467,Vendedores!$A$2:$A$41,Vendedores!$D$2:$D$41,"No hay datos")</f>
        <v>No hay datos</v>
      </c>
      <c r="J467" s="2" t="str">
        <f t="array" ref="J467">_xlfn.XLOOKUP(A467,Productos!$A$2:$A$61,Productos!$B$2:$F$61)</f>
        <v>#N/A</v>
      </c>
    </row>
    <row r="468">
      <c r="A468" s="2" t="str">
        <f>IFERROR(__xludf.DUMMYFUNCTION("""COMPUTED_VALUE"""),"PR048")</f>
        <v>PR048</v>
      </c>
      <c r="B468" s="2" t="str">
        <f>IFERROR(__xludf.DUMMYFUNCTION("""COMPUTED_VALUE"""),"VD016")</f>
        <v>VD016</v>
      </c>
      <c r="C468" s="2">
        <f>IFERROR(__xludf.DUMMYFUNCTION("""COMPUTED_VALUE"""),16.0)</f>
        <v>16</v>
      </c>
      <c r="D468" s="6">
        <f>IFERROR(__xludf.DUMMYFUNCTION("""COMPUTED_VALUE"""),5009.47)</f>
        <v>5009.47</v>
      </c>
      <c r="E468" s="6">
        <f>IFERROR(__xludf.DUMMYFUNCTION("GOOGLEFINANCE(""Currency:BRLMXN"")*D468"),17017.16959)</f>
        <v>17017.16959</v>
      </c>
      <c r="F468" s="6">
        <f>IFERROR(__xludf.DUMMYFUNCTION("GOOGLEFINANCE(""Currency:BRLPEN"")*D468"),3284.208532)</f>
        <v>3284.208532</v>
      </c>
      <c r="G468" s="2" t="str">
        <f t="array" ref="G468">_xlfn.XLOOKUP(B468,Vendedores!$A$2:$A$41,Vendedores!$B$2:$B$41,"No hay datos")</f>
        <v>No hay datos</v>
      </c>
      <c r="H468" s="2" t="str">
        <f t="array" ref="H468">_xlfn.XLOOKUP(B468,Vendedores!$A$2:$A$41,Vendedores!$C$2:$C$41,"No hay datos")</f>
        <v>No hay datos</v>
      </c>
      <c r="I468" s="2" t="str">
        <f t="array" ref="I468">_xlfn.XLOOKUP(B468,Vendedores!$A$2:$A$41,Vendedores!$D$2:$D$41,"No hay datos")</f>
        <v>No hay datos</v>
      </c>
      <c r="J468" s="2" t="str">
        <f t="array" ref="J468">_xlfn.XLOOKUP(A468,Productos!$A$2:$A$61,Productos!$B$2:$F$61)</f>
        <v>#N/A</v>
      </c>
    </row>
    <row r="469">
      <c r="A469" s="2" t="str">
        <f>IFERROR(__xludf.DUMMYFUNCTION("""COMPUTED_VALUE"""),"PR028")</f>
        <v>PR028</v>
      </c>
      <c r="B469" s="2" t="str">
        <f>IFERROR(__xludf.DUMMYFUNCTION("""COMPUTED_VALUE"""),"VD041")</f>
        <v>VD041</v>
      </c>
      <c r="C469" s="2">
        <f>IFERROR(__xludf.DUMMYFUNCTION("""COMPUTED_VALUE"""),16.0)</f>
        <v>16</v>
      </c>
      <c r="D469" s="6">
        <f>IFERROR(__xludf.DUMMYFUNCTION("""COMPUTED_VALUE"""),4038.38)</f>
        <v>4038.38</v>
      </c>
      <c r="E469" s="6">
        <f>IFERROR(__xludf.DUMMYFUNCTION("GOOGLEFINANCE(""Currency:BRLMXN"")*D469"),13718.37686)</f>
        <v>13718.37686</v>
      </c>
      <c r="F469" s="6">
        <f>IFERROR(__xludf.DUMMYFUNCTION("GOOGLEFINANCE(""Currency:BRLPEN"")*D469"),2647.561928)</f>
        <v>2647.561928</v>
      </c>
      <c r="G469" s="2" t="str">
        <f t="array" ref="G469">_xlfn.XLOOKUP(B469,Vendedores!$A$2:$A$41,Vendedores!$B$2:$B$41,"No hay datos")</f>
        <v>No hay datos</v>
      </c>
      <c r="H469" s="2" t="str">
        <f t="array" ref="H469">_xlfn.XLOOKUP(B469,Vendedores!$A$2:$A$41,Vendedores!$C$2:$C$41,"No hay datos")</f>
        <v>No hay datos</v>
      </c>
      <c r="I469" s="2" t="str">
        <f t="array" ref="I469">_xlfn.XLOOKUP(B469,Vendedores!$A$2:$A$41,Vendedores!$D$2:$D$41,"No hay datos")</f>
        <v>No hay datos</v>
      </c>
      <c r="J469" s="2" t="str">
        <f t="array" ref="J469">_xlfn.XLOOKUP(A469,Productos!$A$2:$A$61,Productos!$B$2:$F$61)</f>
        <v>#N/A</v>
      </c>
    </row>
    <row r="470">
      <c r="A470" s="2" t="str">
        <f>IFERROR(__xludf.DUMMYFUNCTION("""COMPUTED_VALUE"""),"PR002")</f>
        <v>PR002</v>
      </c>
      <c r="B470" s="2" t="str">
        <f>IFERROR(__xludf.DUMMYFUNCTION("""COMPUTED_VALUE"""),"VD027")</f>
        <v>VD027</v>
      </c>
      <c r="C470" s="2">
        <f>IFERROR(__xludf.DUMMYFUNCTION("""COMPUTED_VALUE"""),2.0)</f>
        <v>2</v>
      </c>
      <c r="D470" s="6">
        <f>IFERROR(__xludf.DUMMYFUNCTION("""COMPUTED_VALUE"""),153.78)</f>
        <v>153.78</v>
      </c>
      <c r="E470" s="6">
        <f>IFERROR(__xludf.DUMMYFUNCTION("GOOGLEFINANCE(""Currency:BRLMXN"")*D470"),522.39066)</f>
        <v>522.39066</v>
      </c>
      <c r="F470" s="6">
        <f>IFERROR(__xludf.DUMMYFUNCTION("GOOGLEFINANCE(""Currency:BRLPEN"")*D470"),100.818168)</f>
        <v>100.818168</v>
      </c>
      <c r="G470" s="2" t="str">
        <f t="array" ref="G470">_xlfn.XLOOKUP(B470,Vendedores!$A$2:$A$41,Vendedores!$B$2:$B$41,"No hay datos")</f>
        <v>No hay datos</v>
      </c>
      <c r="H470" s="2" t="str">
        <f t="array" ref="H470">_xlfn.XLOOKUP(B470,Vendedores!$A$2:$A$41,Vendedores!$C$2:$C$41,"No hay datos")</f>
        <v>No hay datos</v>
      </c>
      <c r="I470" s="2" t="str">
        <f t="array" ref="I470">_xlfn.XLOOKUP(B470,Vendedores!$A$2:$A$41,Vendedores!$D$2:$D$41,"No hay datos")</f>
        <v>No hay datos</v>
      </c>
      <c r="J470" s="2" t="str">
        <f t="array" ref="J470">_xlfn.XLOOKUP(A470,Productos!$A$2:$A$61,Productos!$B$2:$F$61)</f>
        <v>#N/A</v>
      </c>
    </row>
    <row r="471">
      <c r="A471" s="2" t="str">
        <f>IFERROR(__xludf.DUMMYFUNCTION("""COMPUTED_VALUE"""),"PR043")</f>
        <v>PR043</v>
      </c>
      <c r="B471" s="2" t="str">
        <f>IFERROR(__xludf.DUMMYFUNCTION("""COMPUTED_VALUE"""),"VD046")</f>
        <v>VD046</v>
      </c>
      <c r="C471" s="2">
        <f>IFERROR(__xludf.DUMMYFUNCTION("""COMPUTED_VALUE"""),2.0)</f>
        <v>2</v>
      </c>
      <c r="D471" s="6">
        <f>IFERROR(__xludf.DUMMYFUNCTION("""COMPUTED_VALUE"""),146.45)</f>
        <v>146.45</v>
      </c>
      <c r="E471" s="6">
        <f>IFERROR(__xludf.DUMMYFUNCTION("GOOGLEFINANCE(""Currency:BRLMXN"")*D471"),497.49064999999996)</f>
        <v>497.49065</v>
      </c>
      <c r="F471" s="6">
        <f>IFERROR(__xludf.DUMMYFUNCTION("GOOGLEFINANCE(""Currency:BRLPEN"")*D471"),96.01261999999998)</f>
        <v>96.01262</v>
      </c>
      <c r="G471" s="2" t="str">
        <f t="array" ref="G471">_xlfn.XLOOKUP(B471,Vendedores!$A$2:$A$41,Vendedores!$B$2:$B$41,"No hay datos")</f>
        <v>No hay datos</v>
      </c>
      <c r="H471" s="2" t="str">
        <f t="array" ref="H471">_xlfn.XLOOKUP(B471,Vendedores!$A$2:$A$41,Vendedores!$C$2:$C$41,"No hay datos")</f>
        <v>No hay datos</v>
      </c>
      <c r="I471" s="2" t="str">
        <f t="array" ref="I471">_xlfn.XLOOKUP(B471,Vendedores!$A$2:$A$41,Vendedores!$D$2:$D$41,"No hay datos")</f>
        <v>No hay datos</v>
      </c>
      <c r="J471" s="2" t="str">
        <f t="array" ref="J471">_xlfn.XLOOKUP(A471,Productos!$A$2:$A$61,Productos!$B$2:$F$61)</f>
        <v>#N/A</v>
      </c>
    </row>
    <row r="472">
      <c r="A472" s="2" t="str">
        <f>IFERROR(__xludf.DUMMYFUNCTION("""COMPUTED_VALUE"""),"PR033")</f>
        <v>PR033</v>
      </c>
      <c r="B472" s="2" t="str">
        <f>IFERROR(__xludf.DUMMYFUNCTION("""COMPUTED_VALUE"""),"VD042")</f>
        <v>VD042</v>
      </c>
      <c r="C472" s="2">
        <f>IFERROR(__xludf.DUMMYFUNCTION("""COMPUTED_VALUE"""),10.0)</f>
        <v>10</v>
      </c>
      <c r="D472" s="6">
        <f>IFERROR(__xludf.DUMMYFUNCTION("""COMPUTED_VALUE"""),2832.91)</f>
        <v>2832.91</v>
      </c>
      <c r="E472" s="6">
        <f>IFERROR(__xludf.DUMMYFUNCTION("GOOGLEFINANCE(""Currency:BRLMXN"")*D472"),9623.395269999999)</f>
        <v>9623.39527</v>
      </c>
      <c r="F472" s="6">
        <f>IFERROR(__xludf.DUMMYFUNCTION("GOOGLEFINANCE(""Currency:BRLPEN"")*D472"),1857.2557959999997)</f>
        <v>1857.255796</v>
      </c>
      <c r="G472" s="2" t="str">
        <f t="array" ref="G472">_xlfn.XLOOKUP(B472,Vendedores!$A$2:$A$41,Vendedores!$B$2:$B$41,"No hay datos")</f>
        <v>No hay datos</v>
      </c>
      <c r="H472" s="2" t="str">
        <f t="array" ref="H472">_xlfn.XLOOKUP(B472,Vendedores!$A$2:$A$41,Vendedores!$C$2:$C$41,"No hay datos")</f>
        <v>No hay datos</v>
      </c>
      <c r="I472" s="2" t="str">
        <f t="array" ref="I472">_xlfn.XLOOKUP(B472,Vendedores!$A$2:$A$41,Vendedores!$D$2:$D$41,"No hay datos")</f>
        <v>No hay datos</v>
      </c>
      <c r="J472" s="2" t="str">
        <f t="array" ref="J472">_xlfn.XLOOKUP(A472,Productos!$A$2:$A$61,Productos!$B$2:$F$61)</f>
        <v>#N/A</v>
      </c>
    </row>
    <row r="473">
      <c r="A473" s="2" t="str">
        <f>IFERROR(__xludf.DUMMYFUNCTION("""COMPUTED_VALUE"""),"PR041")</f>
        <v>PR041</v>
      </c>
      <c r="B473" s="2" t="str">
        <f>IFERROR(__xludf.DUMMYFUNCTION("""COMPUTED_VALUE"""),"VD020")</f>
        <v>VD020</v>
      </c>
      <c r="C473" s="2">
        <f>IFERROR(__xludf.DUMMYFUNCTION("""COMPUTED_VALUE"""),7.0)</f>
        <v>7</v>
      </c>
      <c r="D473" s="6">
        <f>IFERROR(__xludf.DUMMYFUNCTION("""COMPUTED_VALUE"""),388.14)</f>
        <v>388.14</v>
      </c>
      <c r="E473" s="6">
        <f>IFERROR(__xludf.DUMMYFUNCTION("GOOGLEFINANCE(""Currency:BRLMXN"")*D473"),1318.5115799999999)</f>
        <v>1318.51158</v>
      </c>
      <c r="F473" s="6">
        <f>IFERROR(__xludf.DUMMYFUNCTION("GOOGLEFINANCE(""Currency:BRLPEN"")*D473"),254.46458399999997)</f>
        <v>254.464584</v>
      </c>
      <c r="G473" s="2" t="str">
        <f t="array" ref="G473">_xlfn.XLOOKUP(B473,Vendedores!$A$2:$A$41,Vendedores!$B$2:$B$41,"No hay datos")</f>
        <v>No hay datos</v>
      </c>
      <c r="H473" s="2" t="str">
        <f t="array" ref="H473">_xlfn.XLOOKUP(B473,Vendedores!$A$2:$A$41,Vendedores!$C$2:$C$41,"No hay datos")</f>
        <v>No hay datos</v>
      </c>
      <c r="I473" s="2" t="str">
        <f t="array" ref="I473">_xlfn.XLOOKUP(B473,Vendedores!$A$2:$A$41,Vendedores!$D$2:$D$41,"No hay datos")</f>
        <v>No hay datos</v>
      </c>
      <c r="J473" s="2" t="str">
        <f t="array" ref="J473">_xlfn.XLOOKUP(A473,Productos!$A$2:$A$61,Productos!$B$2:$F$61)</f>
        <v>#N/A</v>
      </c>
    </row>
    <row r="474">
      <c r="A474" s="2" t="str">
        <f>IFERROR(__xludf.DUMMYFUNCTION("""COMPUTED_VALUE"""),"PR030")</f>
        <v>PR030</v>
      </c>
      <c r="B474" s="2" t="str">
        <f>IFERROR(__xludf.DUMMYFUNCTION("""COMPUTED_VALUE"""),"VD045")</f>
        <v>VD045</v>
      </c>
      <c r="C474" s="2">
        <f>IFERROR(__xludf.DUMMYFUNCTION("""COMPUTED_VALUE"""),5.0)</f>
        <v>5</v>
      </c>
      <c r="D474" s="6">
        <f>IFERROR(__xludf.DUMMYFUNCTION("""COMPUTED_VALUE"""),1312.5)</f>
        <v>1312.5</v>
      </c>
      <c r="E474" s="6">
        <f>IFERROR(__xludf.DUMMYFUNCTION("GOOGLEFINANCE(""Currency:BRLMXN"")*D474"),4458.5625)</f>
        <v>4458.5625</v>
      </c>
      <c r="F474" s="6">
        <f>IFERROR(__xludf.DUMMYFUNCTION("GOOGLEFINANCE(""Currency:BRLPEN"")*D474"),860.4749999999999)</f>
        <v>860.475</v>
      </c>
      <c r="G474" s="2" t="str">
        <f t="array" ref="G474">_xlfn.XLOOKUP(B474,Vendedores!$A$2:$A$41,Vendedores!$B$2:$B$41,"No hay datos")</f>
        <v>No hay datos</v>
      </c>
      <c r="H474" s="2" t="str">
        <f t="array" ref="H474">_xlfn.XLOOKUP(B474,Vendedores!$A$2:$A$41,Vendedores!$C$2:$C$41,"No hay datos")</f>
        <v>No hay datos</v>
      </c>
      <c r="I474" s="2" t="str">
        <f t="array" ref="I474">_xlfn.XLOOKUP(B474,Vendedores!$A$2:$A$41,Vendedores!$D$2:$D$41,"No hay datos")</f>
        <v>No hay datos</v>
      </c>
      <c r="J474" s="2" t="str">
        <f t="array" ref="J474">_xlfn.XLOOKUP(A474,Productos!$A$2:$A$61,Productos!$B$2:$F$61)</f>
        <v>#N/A</v>
      </c>
    </row>
    <row r="475">
      <c r="A475" s="2" t="str">
        <f>IFERROR(__xludf.DUMMYFUNCTION("""COMPUTED_VALUE"""),"PR060")</f>
        <v>PR060</v>
      </c>
      <c r="B475" s="2" t="str">
        <f>IFERROR(__xludf.DUMMYFUNCTION("""COMPUTED_VALUE"""),"VD032")</f>
        <v>VD032</v>
      </c>
      <c r="C475" s="2">
        <f>IFERROR(__xludf.DUMMYFUNCTION("""COMPUTED_VALUE"""),6.0)</f>
        <v>6</v>
      </c>
      <c r="D475" s="6">
        <f>IFERROR(__xludf.DUMMYFUNCTION("""COMPUTED_VALUE"""),1090.8)</f>
        <v>1090.8</v>
      </c>
      <c r="E475" s="6">
        <f>IFERROR(__xludf.DUMMYFUNCTION("GOOGLEFINANCE(""Currency:BRLMXN"")*D475"),3705.4475999999995)</f>
        <v>3705.4476</v>
      </c>
      <c r="F475" s="6">
        <f>IFERROR(__xludf.DUMMYFUNCTION("GOOGLEFINANCE(""Currency:BRLPEN"")*D475"),715.12848)</f>
        <v>715.12848</v>
      </c>
      <c r="G475" s="2" t="str">
        <f t="array" ref="G475">_xlfn.XLOOKUP(B475,Vendedores!$A$2:$A$41,Vendedores!$B$2:$B$41,"No hay datos")</f>
        <v>No hay datos</v>
      </c>
      <c r="H475" s="2" t="str">
        <f t="array" ref="H475">_xlfn.XLOOKUP(B475,Vendedores!$A$2:$A$41,Vendedores!$C$2:$C$41,"No hay datos")</f>
        <v>No hay datos</v>
      </c>
      <c r="I475" s="2" t="str">
        <f t="array" ref="I475">_xlfn.XLOOKUP(B475,Vendedores!$A$2:$A$41,Vendedores!$D$2:$D$41,"No hay datos")</f>
        <v>No hay datos</v>
      </c>
      <c r="J475" s="2" t="str">
        <f t="array" ref="J475">_xlfn.XLOOKUP(A475,Productos!$A$2:$A$61,Productos!$B$2:$F$61)</f>
        <v>#N/A</v>
      </c>
    </row>
    <row r="476">
      <c r="A476" s="2" t="str">
        <f>IFERROR(__xludf.DUMMYFUNCTION("""COMPUTED_VALUE"""),"PR051")</f>
        <v>PR051</v>
      </c>
      <c r="B476" s="2" t="str">
        <f>IFERROR(__xludf.DUMMYFUNCTION("""COMPUTED_VALUE"""),"VD034")</f>
        <v>VD034</v>
      </c>
      <c r="C476" s="2">
        <f>IFERROR(__xludf.DUMMYFUNCTION("""COMPUTED_VALUE"""),20.0)</f>
        <v>20</v>
      </c>
      <c r="D476" s="6">
        <f>IFERROR(__xludf.DUMMYFUNCTION("""COMPUTED_VALUE"""),658.0)</f>
        <v>658</v>
      </c>
      <c r="E476" s="6">
        <f>IFERROR(__xludf.DUMMYFUNCTION("GOOGLEFINANCE(""Currency:BRLMXN"")*D476"),2235.2259999999997)</f>
        <v>2235.226</v>
      </c>
      <c r="F476" s="6">
        <f>IFERROR(__xludf.DUMMYFUNCTION("GOOGLEFINANCE(""Currency:BRLPEN"")*D476"),431.3848)</f>
        <v>431.3848</v>
      </c>
      <c r="G476" s="2" t="str">
        <f t="array" ref="G476">_xlfn.XLOOKUP(B476,Vendedores!$A$2:$A$41,Vendedores!$B$2:$B$41,"No hay datos")</f>
        <v>No hay datos</v>
      </c>
      <c r="H476" s="2" t="str">
        <f t="array" ref="H476">_xlfn.XLOOKUP(B476,Vendedores!$A$2:$A$41,Vendedores!$C$2:$C$41,"No hay datos")</f>
        <v>No hay datos</v>
      </c>
      <c r="I476" s="2" t="str">
        <f t="array" ref="I476">_xlfn.XLOOKUP(B476,Vendedores!$A$2:$A$41,Vendedores!$D$2:$D$41,"No hay datos")</f>
        <v>No hay datos</v>
      </c>
      <c r="J476" s="2" t="str">
        <f t="array" ref="J476">_xlfn.XLOOKUP(A476,Productos!$A$2:$A$61,Productos!$B$2:$F$61)</f>
        <v>#N/A</v>
      </c>
    </row>
    <row r="477">
      <c r="A477" s="2" t="str">
        <f>IFERROR(__xludf.DUMMYFUNCTION("""COMPUTED_VALUE"""),"PR005")</f>
        <v>PR005</v>
      </c>
      <c r="B477" s="2" t="str">
        <f>IFERROR(__xludf.DUMMYFUNCTION("""COMPUTED_VALUE"""),"VD011")</f>
        <v>VD011</v>
      </c>
      <c r="C477" s="2">
        <f>IFERROR(__xludf.DUMMYFUNCTION("""COMPUTED_VALUE"""),10.0)</f>
        <v>10</v>
      </c>
      <c r="D477" s="6">
        <f>IFERROR(__xludf.DUMMYFUNCTION("""COMPUTED_VALUE"""),2676.97)</f>
        <v>2676.97</v>
      </c>
      <c r="E477" s="6">
        <f>IFERROR(__xludf.DUMMYFUNCTION("GOOGLEFINANCE(""Currency:BRLMXN"")*D477"),9093.667089999999)</f>
        <v>9093.66709</v>
      </c>
      <c r="F477" s="6">
        <f>IFERROR(__xludf.DUMMYFUNCTION("GOOGLEFINANCE(""Currency:BRLPEN"")*D477"),1755.0215319999998)</f>
        <v>1755.021532</v>
      </c>
      <c r="G477" s="2" t="str">
        <f t="array" ref="G477">_xlfn.XLOOKUP(B477,Vendedores!$A$2:$A$41,Vendedores!$B$2:$B$41,"No hay datos")</f>
        <v>No hay datos</v>
      </c>
      <c r="H477" s="2" t="str">
        <f t="array" ref="H477">_xlfn.XLOOKUP(B477,Vendedores!$A$2:$A$41,Vendedores!$C$2:$C$41,"No hay datos")</f>
        <v>No hay datos</v>
      </c>
      <c r="I477" s="2" t="str">
        <f t="array" ref="I477">_xlfn.XLOOKUP(B477,Vendedores!$A$2:$A$41,Vendedores!$D$2:$D$41,"No hay datos")</f>
        <v>No hay datos</v>
      </c>
      <c r="J477" s="2" t="str">
        <f t="array" ref="J477">_xlfn.XLOOKUP(A477,Productos!$A$2:$A$61,Productos!$B$2:$F$61)</f>
        <v>#N/A</v>
      </c>
    </row>
    <row r="478">
      <c r="A478" s="2" t="str">
        <f>IFERROR(__xludf.DUMMYFUNCTION("""COMPUTED_VALUE"""),"PR013")</f>
        <v>PR013</v>
      </c>
      <c r="B478" s="2" t="str">
        <f>IFERROR(__xludf.DUMMYFUNCTION("""COMPUTED_VALUE"""),"VD012")</f>
        <v>VD012</v>
      </c>
      <c r="C478" s="2">
        <f>IFERROR(__xludf.DUMMYFUNCTION("""COMPUTED_VALUE"""),20.0)</f>
        <v>20</v>
      </c>
      <c r="D478" s="6">
        <f>IFERROR(__xludf.DUMMYFUNCTION("""COMPUTED_VALUE"""),845.88)</f>
        <v>845.88</v>
      </c>
      <c r="E478" s="6">
        <f>IFERROR(__xludf.DUMMYFUNCTION("GOOGLEFINANCE(""Currency:BRLMXN"")*D478"),2873.4543599999997)</f>
        <v>2873.45436</v>
      </c>
      <c r="F478" s="6">
        <f>IFERROR(__xludf.DUMMYFUNCTION("GOOGLEFINANCE(""Currency:BRLPEN"")*D478"),554.5589279999999)</f>
        <v>554.558928</v>
      </c>
      <c r="G478" s="2" t="str">
        <f t="array" ref="G478">_xlfn.XLOOKUP(B478,Vendedores!$A$2:$A$41,Vendedores!$B$2:$B$41,"No hay datos")</f>
        <v>No hay datos</v>
      </c>
      <c r="H478" s="2" t="str">
        <f t="array" ref="H478">_xlfn.XLOOKUP(B478,Vendedores!$A$2:$A$41,Vendedores!$C$2:$C$41,"No hay datos")</f>
        <v>No hay datos</v>
      </c>
      <c r="I478" s="2" t="str">
        <f t="array" ref="I478">_xlfn.XLOOKUP(B478,Vendedores!$A$2:$A$41,Vendedores!$D$2:$D$41,"No hay datos")</f>
        <v>No hay datos</v>
      </c>
      <c r="J478" s="2" t="str">
        <f t="array" ref="J478">_xlfn.XLOOKUP(A478,Productos!$A$2:$A$61,Productos!$B$2:$F$61)</f>
        <v>#N/A</v>
      </c>
    </row>
    <row r="479">
      <c r="A479" s="2" t="str">
        <f>IFERROR(__xludf.DUMMYFUNCTION("""COMPUTED_VALUE"""),"PR037")</f>
        <v>PR037</v>
      </c>
      <c r="B479" s="2" t="str">
        <f>IFERROR(__xludf.DUMMYFUNCTION("""COMPUTED_VALUE"""),"VD039")</f>
        <v>VD039</v>
      </c>
      <c r="C479" s="2">
        <f>IFERROR(__xludf.DUMMYFUNCTION("""COMPUTED_VALUE"""),14.0)</f>
        <v>14</v>
      </c>
      <c r="D479" s="6">
        <f>IFERROR(__xludf.DUMMYFUNCTION("""COMPUTED_VALUE"""),1979.6)</f>
        <v>1979.6</v>
      </c>
      <c r="E479" s="6">
        <f>IFERROR(__xludf.DUMMYFUNCTION("GOOGLEFINANCE(""Currency:BRLMXN"")*D479"),6724.7011999999995)</f>
        <v>6724.7012</v>
      </c>
      <c r="F479" s="6">
        <f>IFERROR(__xludf.DUMMYFUNCTION("GOOGLEFINANCE(""Currency:BRLPEN"")*D479"),1297.82576)</f>
        <v>1297.82576</v>
      </c>
      <c r="G479" s="2" t="str">
        <f t="array" ref="G479">_xlfn.XLOOKUP(B479,Vendedores!$A$2:$A$41,Vendedores!$B$2:$B$41,"No hay datos")</f>
        <v>No hay datos</v>
      </c>
      <c r="H479" s="2" t="str">
        <f t="array" ref="H479">_xlfn.XLOOKUP(B479,Vendedores!$A$2:$A$41,Vendedores!$C$2:$C$41,"No hay datos")</f>
        <v>No hay datos</v>
      </c>
      <c r="I479" s="2" t="str">
        <f t="array" ref="I479">_xlfn.XLOOKUP(B479,Vendedores!$A$2:$A$41,Vendedores!$D$2:$D$41,"No hay datos")</f>
        <v>No hay datos</v>
      </c>
      <c r="J479" s="2" t="str">
        <f t="array" ref="J479">_xlfn.XLOOKUP(A479,Productos!$A$2:$A$61,Productos!$B$2:$F$61)</f>
        <v>#N/A</v>
      </c>
    </row>
    <row r="480">
      <c r="A480" s="2" t="str">
        <f>IFERROR(__xludf.DUMMYFUNCTION("""COMPUTED_VALUE"""),"PR032")</f>
        <v>PR032</v>
      </c>
      <c r="B480" s="2" t="str">
        <f>IFERROR(__xludf.DUMMYFUNCTION("""COMPUTED_VALUE"""),"VD022")</f>
        <v>VD022</v>
      </c>
      <c r="C480" s="2">
        <f>IFERROR(__xludf.DUMMYFUNCTION("""COMPUTED_VALUE"""),16.0)</f>
        <v>16</v>
      </c>
      <c r="D480" s="6">
        <f>IFERROR(__xludf.DUMMYFUNCTION("""COMPUTED_VALUE"""),4160.0)</f>
        <v>4160</v>
      </c>
      <c r="E480" s="6">
        <f>IFERROR(__xludf.DUMMYFUNCTION("GOOGLEFINANCE(""Currency:BRLMXN"")*D480"),14131.519999999999)</f>
        <v>14131.52</v>
      </c>
      <c r="F480" s="6">
        <f>IFERROR(__xludf.DUMMYFUNCTION("GOOGLEFINANCE(""Currency:BRLPEN"")*D480"),2727.296)</f>
        <v>2727.296</v>
      </c>
      <c r="G480" s="2" t="str">
        <f t="array" ref="G480">_xlfn.XLOOKUP(B480,Vendedores!$A$2:$A$41,Vendedores!$B$2:$B$41,"No hay datos")</f>
        <v>No hay datos</v>
      </c>
      <c r="H480" s="2" t="str">
        <f t="array" ref="H480">_xlfn.XLOOKUP(B480,Vendedores!$A$2:$A$41,Vendedores!$C$2:$C$41,"No hay datos")</f>
        <v>No hay datos</v>
      </c>
      <c r="I480" s="2" t="str">
        <f t="array" ref="I480">_xlfn.XLOOKUP(B480,Vendedores!$A$2:$A$41,Vendedores!$D$2:$D$41,"No hay datos")</f>
        <v>No hay datos</v>
      </c>
      <c r="J480" s="2" t="str">
        <f t="array" ref="J480">_xlfn.XLOOKUP(A480,Productos!$A$2:$A$61,Productos!$B$2:$F$61)</f>
        <v>#N/A</v>
      </c>
    </row>
    <row r="481">
      <c r="A481" s="2" t="str">
        <f>IFERROR(__xludf.DUMMYFUNCTION("""COMPUTED_VALUE"""),"PR052")</f>
        <v>PR052</v>
      </c>
      <c r="B481" s="2" t="str">
        <f>IFERROR(__xludf.DUMMYFUNCTION("""COMPUTED_VALUE"""),"VD045")</f>
        <v>VD045</v>
      </c>
      <c r="C481" s="2">
        <f>IFERROR(__xludf.DUMMYFUNCTION("""COMPUTED_VALUE"""),5.0)</f>
        <v>5</v>
      </c>
      <c r="D481" s="6">
        <f>IFERROR(__xludf.DUMMYFUNCTION("""COMPUTED_VALUE"""),269.46)</f>
        <v>269.46</v>
      </c>
      <c r="E481" s="6">
        <f>IFERROR(__xludf.DUMMYFUNCTION("GOOGLEFINANCE(""Currency:BRLMXN"")*D481"),915.3556199999999)</f>
        <v>915.35562</v>
      </c>
      <c r="F481" s="6">
        <f>IFERROR(__xludf.DUMMYFUNCTION("GOOGLEFINANCE(""Currency:BRLPEN"")*D481"),176.65797599999996)</f>
        <v>176.657976</v>
      </c>
      <c r="G481" s="2" t="str">
        <f t="array" ref="G481">_xlfn.XLOOKUP(B481,Vendedores!$A$2:$A$41,Vendedores!$B$2:$B$41,"No hay datos")</f>
        <v>No hay datos</v>
      </c>
      <c r="H481" s="2" t="str">
        <f t="array" ref="H481">_xlfn.XLOOKUP(B481,Vendedores!$A$2:$A$41,Vendedores!$C$2:$C$41,"No hay datos")</f>
        <v>No hay datos</v>
      </c>
      <c r="I481" s="2" t="str">
        <f t="array" ref="I481">_xlfn.XLOOKUP(B481,Vendedores!$A$2:$A$41,Vendedores!$D$2:$D$41,"No hay datos")</f>
        <v>No hay datos</v>
      </c>
      <c r="J481" s="2" t="str">
        <f t="array" ref="J481">_xlfn.XLOOKUP(A481,Productos!$A$2:$A$61,Productos!$B$2:$F$61)</f>
        <v>#N/A</v>
      </c>
    </row>
    <row r="482">
      <c r="A482" s="2" t="str">
        <f>IFERROR(__xludf.DUMMYFUNCTION("""COMPUTED_VALUE"""),"PR038")</f>
        <v>PR038</v>
      </c>
      <c r="B482" s="2" t="str">
        <f>IFERROR(__xludf.DUMMYFUNCTION("""COMPUTED_VALUE"""),"VD020")</f>
        <v>VD020</v>
      </c>
      <c r="C482" s="2">
        <f>IFERROR(__xludf.DUMMYFUNCTION("""COMPUTED_VALUE"""),2.0)</f>
        <v>2</v>
      </c>
      <c r="D482" s="6">
        <f>IFERROR(__xludf.DUMMYFUNCTION("""COMPUTED_VALUE"""),305.81)</f>
        <v>305.81</v>
      </c>
      <c r="E482" s="6">
        <f>IFERROR(__xludf.DUMMYFUNCTION("GOOGLEFINANCE(""Currency:BRLMXN"")*D482"),1038.83657)</f>
        <v>1038.83657</v>
      </c>
      <c r="F482" s="6">
        <f>IFERROR(__xludf.DUMMYFUNCTION("GOOGLEFINANCE(""Currency:BRLPEN"")*D482"),200.489036)</f>
        <v>200.489036</v>
      </c>
      <c r="G482" s="2" t="str">
        <f t="array" ref="G482">_xlfn.XLOOKUP(B482,Vendedores!$A$2:$A$41,Vendedores!$B$2:$B$41,"No hay datos")</f>
        <v>No hay datos</v>
      </c>
      <c r="H482" s="2" t="str">
        <f t="array" ref="H482">_xlfn.XLOOKUP(B482,Vendedores!$A$2:$A$41,Vendedores!$C$2:$C$41,"No hay datos")</f>
        <v>No hay datos</v>
      </c>
      <c r="I482" s="2" t="str">
        <f t="array" ref="I482">_xlfn.XLOOKUP(B482,Vendedores!$A$2:$A$41,Vendedores!$D$2:$D$41,"No hay datos")</f>
        <v>No hay datos</v>
      </c>
      <c r="J482" s="2" t="str">
        <f t="array" ref="J482">_xlfn.XLOOKUP(A482,Productos!$A$2:$A$61,Productos!$B$2:$F$61)</f>
        <v>#N/A</v>
      </c>
    </row>
    <row r="483">
      <c r="A483" s="2" t="str">
        <f>IFERROR(__xludf.DUMMYFUNCTION("""COMPUTED_VALUE"""),"PR049")</f>
        <v>PR049</v>
      </c>
      <c r="B483" s="2" t="str">
        <f>IFERROR(__xludf.DUMMYFUNCTION("""COMPUTED_VALUE"""),"VD029")</f>
        <v>VD029</v>
      </c>
      <c r="C483" s="2">
        <f>IFERROR(__xludf.DUMMYFUNCTION("""COMPUTED_VALUE"""),9.0)</f>
        <v>9</v>
      </c>
      <c r="D483" s="6">
        <f>IFERROR(__xludf.DUMMYFUNCTION("""COMPUTED_VALUE"""),310.91)</f>
        <v>310.91</v>
      </c>
      <c r="E483" s="6">
        <f>IFERROR(__xludf.DUMMYFUNCTION("GOOGLEFINANCE(""Currency:BRLMXN"")*D483"),1056.16127)</f>
        <v>1056.16127</v>
      </c>
      <c r="F483" s="6">
        <f>IFERROR(__xludf.DUMMYFUNCTION("GOOGLEFINANCE(""Currency:BRLPEN"")*D483"),203.832596)</f>
        <v>203.832596</v>
      </c>
      <c r="G483" s="2" t="str">
        <f t="array" ref="G483">_xlfn.XLOOKUP(B483,Vendedores!$A$2:$A$41,Vendedores!$B$2:$B$41,"No hay datos")</f>
        <v>No hay datos</v>
      </c>
      <c r="H483" s="2" t="str">
        <f t="array" ref="H483">_xlfn.XLOOKUP(B483,Vendedores!$A$2:$A$41,Vendedores!$C$2:$C$41,"No hay datos")</f>
        <v>No hay datos</v>
      </c>
      <c r="I483" s="2" t="str">
        <f t="array" ref="I483">_xlfn.XLOOKUP(B483,Vendedores!$A$2:$A$41,Vendedores!$D$2:$D$41,"No hay datos")</f>
        <v>No hay datos</v>
      </c>
      <c r="J483" s="2" t="str">
        <f t="array" ref="J483">_xlfn.XLOOKUP(A483,Productos!$A$2:$A$61,Productos!$B$2:$F$61)</f>
        <v>#N/A</v>
      </c>
    </row>
    <row r="484">
      <c r="A484" s="2" t="str">
        <f>IFERROR(__xludf.DUMMYFUNCTION("""COMPUTED_VALUE"""),"PR022")</f>
        <v>PR022</v>
      </c>
      <c r="B484" s="2" t="str">
        <f>IFERROR(__xludf.DUMMYFUNCTION("""COMPUTED_VALUE"""),"VD015")</f>
        <v>VD015</v>
      </c>
      <c r="C484" s="2">
        <f>IFERROR(__xludf.DUMMYFUNCTION("""COMPUTED_VALUE"""),12.0)</f>
        <v>12</v>
      </c>
      <c r="D484" s="6">
        <f>IFERROR(__xludf.DUMMYFUNCTION("""COMPUTED_VALUE"""),3672.0)</f>
        <v>3672</v>
      </c>
      <c r="E484" s="6">
        <f>IFERROR(__xludf.DUMMYFUNCTION("GOOGLEFINANCE(""Currency:BRLMXN"")*D484"),12473.784)</f>
        <v>12473.784</v>
      </c>
      <c r="F484" s="6">
        <f>IFERROR(__xludf.DUMMYFUNCTION("GOOGLEFINANCE(""Currency:BRLPEN"")*D484"),2407.3632)</f>
        <v>2407.3632</v>
      </c>
      <c r="G484" s="2" t="str">
        <f t="array" ref="G484">_xlfn.XLOOKUP(B484,Vendedores!$A$2:$A$41,Vendedores!$B$2:$B$41,"No hay datos")</f>
        <v>No hay datos</v>
      </c>
      <c r="H484" s="2" t="str">
        <f t="array" ref="H484">_xlfn.XLOOKUP(B484,Vendedores!$A$2:$A$41,Vendedores!$C$2:$C$41,"No hay datos")</f>
        <v>No hay datos</v>
      </c>
      <c r="I484" s="2" t="str">
        <f t="array" ref="I484">_xlfn.XLOOKUP(B484,Vendedores!$A$2:$A$41,Vendedores!$D$2:$D$41,"No hay datos")</f>
        <v>No hay datos</v>
      </c>
      <c r="J484" s="2" t="str">
        <f t="array" ref="J484">_xlfn.XLOOKUP(A484,Productos!$A$2:$A$61,Productos!$B$2:$F$61)</f>
        <v>#N/A</v>
      </c>
    </row>
    <row r="485">
      <c r="A485" s="2" t="str">
        <f>IFERROR(__xludf.DUMMYFUNCTION("""COMPUTED_VALUE"""),"PR015")</f>
        <v>PR015</v>
      </c>
      <c r="B485" s="2" t="str">
        <f>IFERROR(__xludf.DUMMYFUNCTION("""COMPUTED_VALUE"""),"VD020")</f>
        <v>VD020</v>
      </c>
      <c r="C485" s="2">
        <f>IFERROR(__xludf.DUMMYFUNCTION("""COMPUTED_VALUE"""),10.0)</f>
        <v>10</v>
      </c>
      <c r="D485" s="6">
        <f>IFERROR(__xludf.DUMMYFUNCTION("""COMPUTED_VALUE"""),442.0)</f>
        <v>442</v>
      </c>
      <c r="E485" s="6">
        <f>IFERROR(__xludf.DUMMYFUNCTION("GOOGLEFINANCE(""Currency:BRLMXN"")*D485"),1501.474)</f>
        <v>1501.474</v>
      </c>
      <c r="F485" s="6">
        <f>IFERROR(__xludf.DUMMYFUNCTION("GOOGLEFINANCE(""Currency:BRLPEN"")*D485"),289.7752)</f>
        <v>289.7752</v>
      </c>
      <c r="G485" s="2" t="str">
        <f t="array" ref="G485">_xlfn.XLOOKUP(B485,Vendedores!$A$2:$A$41,Vendedores!$B$2:$B$41,"No hay datos")</f>
        <v>No hay datos</v>
      </c>
      <c r="H485" s="2" t="str">
        <f t="array" ref="H485">_xlfn.XLOOKUP(B485,Vendedores!$A$2:$A$41,Vendedores!$C$2:$C$41,"No hay datos")</f>
        <v>No hay datos</v>
      </c>
      <c r="I485" s="2" t="str">
        <f t="array" ref="I485">_xlfn.XLOOKUP(B485,Vendedores!$A$2:$A$41,Vendedores!$D$2:$D$41,"No hay datos")</f>
        <v>No hay datos</v>
      </c>
      <c r="J485" s="2" t="str">
        <f t="array" ref="J485">_xlfn.XLOOKUP(A485,Productos!$A$2:$A$61,Productos!$B$2:$F$61)</f>
        <v>#N/A</v>
      </c>
    </row>
    <row r="486">
      <c r="A486" s="2" t="str">
        <f>IFERROR(__xludf.DUMMYFUNCTION("""COMPUTED_VALUE"""),"PR039")</f>
        <v>PR039</v>
      </c>
      <c r="B486" s="2" t="str">
        <f>IFERROR(__xludf.DUMMYFUNCTION("""COMPUTED_VALUE"""),"VD020")</f>
        <v>VD020</v>
      </c>
      <c r="C486" s="2">
        <f>IFERROR(__xludf.DUMMYFUNCTION("""COMPUTED_VALUE"""),9.0)</f>
        <v>9</v>
      </c>
      <c r="D486" s="6">
        <f>IFERROR(__xludf.DUMMYFUNCTION("""COMPUTED_VALUE"""),1445.4)</f>
        <v>1445.4</v>
      </c>
      <c r="E486" s="6">
        <f>IFERROR(__xludf.DUMMYFUNCTION("GOOGLEFINANCE(""Currency:BRLMXN"")*D486"),4910.0238)</f>
        <v>4910.0238</v>
      </c>
      <c r="F486" s="6">
        <f>IFERROR(__xludf.DUMMYFUNCTION("GOOGLEFINANCE(""Currency:BRLPEN"")*D486"),947.60424)</f>
        <v>947.60424</v>
      </c>
      <c r="G486" s="2" t="str">
        <f t="array" ref="G486">_xlfn.XLOOKUP(B486,Vendedores!$A$2:$A$41,Vendedores!$B$2:$B$41,"No hay datos")</f>
        <v>No hay datos</v>
      </c>
      <c r="H486" s="2" t="str">
        <f t="array" ref="H486">_xlfn.XLOOKUP(B486,Vendedores!$A$2:$A$41,Vendedores!$C$2:$C$41,"No hay datos")</f>
        <v>No hay datos</v>
      </c>
      <c r="I486" s="2" t="str">
        <f t="array" ref="I486">_xlfn.XLOOKUP(B486,Vendedores!$A$2:$A$41,Vendedores!$D$2:$D$41,"No hay datos")</f>
        <v>No hay datos</v>
      </c>
      <c r="J486" s="2" t="str">
        <f t="array" ref="J486">_xlfn.XLOOKUP(A486,Productos!$A$2:$A$61,Productos!$B$2:$F$61)</f>
        <v>#N/A</v>
      </c>
    </row>
    <row r="487">
      <c r="A487" s="2" t="str">
        <f>IFERROR(__xludf.DUMMYFUNCTION("""COMPUTED_VALUE"""),"PR035")</f>
        <v>PR035</v>
      </c>
      <c r="B487" s="2" t="str">
        <f>IFERROR(__xludf.DUMMYFUNCTION("""COMPUTED_VALUE"""),"VD017")</f>
        <v>VD017</v>
      </c>
      <c r="C487" s="2">
        <f>IFERROR(__xludf.DUMMYFUNCTION("""COMPUTED_VALUE"""),14.0)</f>
        <v>14</v>
      </c>
      <c r="D487" s="6">
        <f>IFERROR(__xludf.DUMMYFUNCTION("""COMPUTED_VALUE"""),1343.58)</f>
        <v>1343.58</v>
      </c>
      <c r="E487" s="6">
        <f>IFERROR(__xludf.DUMMYFUNCTION("GOOGLEFINANCE(""Currency:BRLMXN"")*D487"),4564.141259999999)</f>
        <v>4564.14126</v>
      </c>
      <c r="F487" s="6">
        <f>IFERROR(__xludf.DUMMYFUNCTION("GOOGLEFINANCE(""Currency:BRLPEN"")*D487"),880.8510479999999)</f>
        <v>880.851048</v>
      </c>
      <c r="G487" s="2" t="str">
        <f t="array" ref="G487">_xlfn.XLOOKUP(B487,Vendedores!$A$2:$A$41,Vendedores!$B$2:$B$41,"No hay datos")</f>
        <v>No hay datos</v>
      </c>
      <c r="H487" s="2" t="str">
        <f t="array" ref="H487">_xlfn.XLOOKUP(B487,Vendedores!$A$2:$A$41,Vendedores!$C$2:$C$41,"No hay datos")</f>
        <v>No hay datos</v>
      </c>
      <c r="I487" s="2" t="str">
        <f t="array" ref="I487">_xlfn.XLOOKUP(B487,Vendedores!$A$2:$A$41,Vendedores!$D$2:$D$41,"No hay datos")</f>
        <v>No hay datos</v>
      </c>
      <c r="J487" s="2" t="str">
        <f t="array" ref="J487">_xlfn.XLOOKUP(A487,Productos!$A$2:$A$61,Productos!$B$2:$F$61)</f>
        <v>#N/A</v>
      </c>
    </row>
    <row r="488">
      <c r="A488" s="2" t="str">
        <f>IFERROR(__xludf.DUMMYFUNCTION("""COMPUTED_VALUE"""),"PR025")</f>
        <v>PR025</v>
      </c>
      <c r="B488" s="2" t="str">
        <f>IFERROR(__xludf.DUMMYFUNCTION("""COMPUTED_VALUE"""),"VD012")</f>
        <v>VD012</v>
      </c>
      <c r="C488" s="2">
        <f>IFERROR(__xludf.DUMMYFUNCTION("""COMPUTED_VALUE"""),3.0)</f>
        <v>3</v>
      </c>
      <c r="D488" s="6">
        <f>IFERROR(__xludf.DUMMYFUNCTION("""COMPUTED_VALUE"""),962.68)</f>
        <v>962.68</v>
      </c>
      <c r="E488" s="6">
        <f>IFERROR(__xludf.DUMMYFUNCTION("GOOGLEFINANCE(""Currency:BRLMXN"")*D488"),3270.22396)</f>
        <v>3270.22396</v>
      </c>
      <c r="F488" s="6">
        <f>IFERROR(__xludf.DUMMYFUNCTION("GOOGLEFINANCE(""Currency:BRLPEN"")*D488"),631.1330079999999)</f>
        <v>631.133008</v>
      </c>
      <c r="G488" s="2" t="str">
        <f t="array" ref="G488">_xlfn.XLOOKUP(B488,Vendedores!$A$2:$A$41,Vendedores!$B$2:$B$41,"No hay datos")</f>
        <v>No hay datos</v>
      </c>
      <c r="H488" s="2" t="str">
        <f t="array" ref="H488">_xlfn.XLOOKUP(B488,Vendedores!$A$2:$A$41,Vendedores!$C$2:$C$41,"No hay datos")</f>
        <v>No hay datos</v>
      </c>
      <c r="I488" s="2" t="str">
        <f t="array" ref="I488">_xlfn.XLOOKUP(B488,Vendedores!$A$2:$A$41,Vendedores!$D$2:$D$41,"No hay datos")</f>
        <v>No hay datos</v>
      </c>
      <c r="J488" s="2" t="str">
        <f t="array" ref="J488">_xlfn.XLOOKUP(A488,Productos!$A$2:$A$61,Productos!$B$2:$F$61)</f>
        <v>#N/A</v>
      </c>
    </row>
    <row r="489">
      <c r="A489" s="2" t="str">
        <f>IFERROR(__xludf.DUMMYFUNCTION("""COMPUTED_VALUE"""),"PR027")</f>
        <v>PR027</v>
      </c>
      <c r="B489" s="2" t="str">
        <f>IFERROR(__xludf.DUMMYFUNCTION("""COMPUTED_VALUE"""),"VD031")</f>
        <v>VD031</v>
      </c>
      <c r="C489" s="2">
        <f>IFERROR(__xludf.DUMMYFUNCTION("""COMPUTED_VALUE"""),8.0)</f>
        <v>8</v>
      </c>
      <c r="D489" s="6">
        <f>IFERROR(__xludf.DUMMYFUNCTION("""COMPUTED_VALUE"""),969.6)</f>
        <v>969.6</v>
      </c>
      <c r="E489" s="6">
        <f>IFERROR(__xludf.DUMMYFUNCTION("GOOGLEFINANCE(""Currency:BRLMXN"")*D489"),3293.7311999999997)</f>
        <v>3293.7312</v>
      </c>
      <c r="F489" s="6">
        <f>IFERROR(__xludf.DUMMYFUNCTION("GOOGLEFINANCE(""Currency:BRLPEN"")*D489"),635.66976)</f>
        <v>635.66976</v>
      </c>
      <c r="G489" s="2" t="str">
        <f t="array" ref="G489">_xlfn.XLOOKUP(B489,Vendedores!$A$2:$A$41,Vendedores!$B$2:$B$41,"No hay datos")</f>
        <v>No hay datos</v>
      </c>
      <c r="H489" s="2" t="str">
        <f t="array" ref="H489">_xlfn.XLOOKUP(B489,Vendedores!$A$2:$A$41,Vendedores!$C$2:$C$41,"No hay datos")</f>
        <v>No hay datos</v>
      </c>
      <c r="I489" s="2" t="str">
        <f t="array" ref="I489">_xlfn.XLOOKUP(B489,Vendedores!$A$2:$A$41,Vendedores!$D$2:$D$41,"No hay datos")</f>
        <v>No hay datos</v>
      </c>
      <c r="J489" s="2" t="str">
        <f t="array" ref="J489">_xlfn.XLOOKUP(A489,Productos!$A$2:$A$61,Productos!$B$2:$F$61)</f>
        <v>#N/A</v>
      </c>
    </row>
    <row r="490">
      <c r="A490" s="2" t="str">
        <f>IFERROR(__xludf.DUMMYFUNCTION("""COMPUTED_VALUE"""),"PR020")</f>
        <v>PR020</v>
      </c>
      <c r="B490" s="2" t="str">
        <f>IFERROR(__xludf.DUMMYFUNCTION("""COMPUTED_VALUE"""),"VD022")</f>
        <v>VD022</v>
      </c>
      <c r="C490" s="2">
        <f>IFERROR(__xludf.DUMMYFUNCTION("""COMPUTED_VALUE"""),6.0)</f>
        <v>6</v>
      </c>
      <c r="D490" s="6">
        <f>IFERROR(__xludf.DUMMYFUNCTION("""COMPUTED_VALUE"""),1853.38)</f>
        <v>1853.38</v>
      </c>
      <c r="E490" s="6">
        <f>IFERROR(__xludf.DUMMYFUNCTION("GOOGLEFINANCE(""Currency:BRLMXN"")*D490"),6295.93186)</f>
        <v>6295.93186</v>
      </c>
      <c r="F490" s="6">
        <f>IFERROR(__xludf.DUMMYFUNCTION("GOOGLEFINANCE(""Currency:BRLPEN"")*D490"),1215.075928)</f>
        <v>1215.075928</v>
      </c>
      <c r="G490" s="2" t="str">
        <f t="array" ref="G490">_xlfn.XLOOKUP(B490,Vendedores!$A$2:$A$41,Vendedores!$B$2:$B$41,"No hay datos")</f>
        <v>No hay datos</v>
      </c>
      <c r="H490" s="2" t="str">
        <f t="array" ref="H490">_xlfn.XLOOKUP(B490,Vendedores!$A$2:$A$41,Vendedores!$C$2:$C$41,"No hay datos")</f>
        <v>No hay datos</v>
      </c>
      <c r="I490" s="2" t="str">
        <f t="array" ref="I490">_xlfn.XLOOKUP(B490,Vendedores!$A$2:$A$41,Vendedores!$D$2:$D$41,"No hay datos")</f>
        <v>No hay datos</v>
      </c>
      <c r="J490" s="2" t="str">
        <f t="array" ref="J490">_xlfn.XLOOKUP(A490,Productos!$A$2:$A$61,Productos!$B$2:$F$61)</f>
        <v>#N/A</v>
      </c>
    </row>
    <row r="491">
      <c r="A491" s="2" t="str">
        <f>IFERROR(__xludf.DUMMYFUNCTION("""COMPUTED_VALUE"""),"PR050")</f>
        <v>PR050</v>
      </c>
      <c r="B491" s="2" t="str">
        <f>IFERROR(__xludf.DUMMYFUNCTION("""COMPUTED_VALUE"""),"VD047")</f>
        <v>VD047</v>
      </c>
      <c r="C491" s="2">
        <f>IFERROR(__xludf.DUMMYFUNCTION("""COMPUTED_VALUE"""),8.0)</f>
        <v>8</v>
      </c>
      <c r="D491" s="6">
        <f>IFERROR(__xludf.DUMMYFUNCTION("""COMPUTED_VALUE"""),289.52)</f>
        <v>289.52</v>
      </c>
      <c r="E491" s="6">
        <f>IFERROR(__xludf.DUMMYFUNCTION("GOOGLEFINANCE(""Currency:BRLMXN"")*D491"),983.4994399999999)</f>
        <v>983.49944</v>
      </c>
      <c r="F491" s="6">
        <f>IFERROR(__xludf.DUMMYFUNCTION("GOOGLEFINANCE(""Currency:BRLPEN"")*D491"),189.80931199999998)</f>
        <v>189.809312</v>
      </c>
      <c r="G491" s="2" t="str">
        <f t="array" ref="G491">_xlfn.XLOOKUP(B491,Vendedores!$A$2:$A$41,Vendedores!$B$2:$B$41,"No hay datos")</f>
        <v>No hay datos</v>
      </c>
      <c r="H491" s="2" t="str">
        <f t="array" ref="H491">_xlfn.XLOOKUP(B491,Vendedores!$A$2:$A$41,Vendedores!$C$2:$C$41,"No hay datos")</f>
        <v>No hay datos</v>
      </c>
      <c r="I491" s="2" t="str">
        <f t="array" ref="I491">_xlfn.XLOOKUP(B491,Vendedores!$A$2:$A$41,Vendedores!$D$2:$D$41,"No hay datos")</f>
        <v>No hay datos</v>
      </c>
      <c r="J491" s="2" t="str">
        <f t="array" ref="J491">_xlfn.XLOOKUP(A491,Productos!$A$2:$A$61,Productos!$B$2:$F$61)</f>
        <v>#N/A</v>
      </c>
    </row>
    <row r="492">
      <c r="A492" s="2" t="str">
        <f>IFERROR(__xludf.DUMMYFUNCTION("""COMPUTED_VALUE"""),"PR053")</f>
        <v>PR053</v>
      </c>
      <c r="B492" s="2" t="str">
        <f>IFERROR(__xludf.DUMMYFUNCTION("""COMPUTED_VALUE"""),"VD041")</f>
        <v>VD041</v>
      </c>
      <c r="C492" s="2">
        <f>IFERROR(__xludf.DUMMYFUNCTION("""COMPUTED_VALUE"""),5.0)</f>
        <v>5</v>
      </c>
      <c r="D492" s="6">
        <f>IFERROR(__xludf.DUMMYFUNCTION("""COMPUTED_VALUE"""),274.45)</f>
        <v>274.45</v>
      </c>
      <c r="E492" s="6">
        <f>IFERROR(__xludf.DUMMYFUNCTION("GOOGLEFINANCE(""Currency:BRLMXN"")*D492"),932.3066499999999)</f>
        <v>932.30665</v>
      </c>
      <c r="F492" s="6">
        <f>IFERROR(__xludf.DUMMYFUNCTION("GOOGLEFINANCE(""Currency:BRLPEN"")*D492"),179.92942)</f>
        <v>179.92942</v>
      </c>
      <c r="G492" s="2" t="str">
        <f t="array" ref="G492">_xlfn.XLOOKUP(B492,Vendedores!$A$2:$A$41,Vendedores!$B$2:$B$41,"No hay datos")</f>
        <v>No hay datos</v>
      </c>
      <c r="H492" s="2" t="str">
        <f t="array" ref="H492">_xlfn.XLOOKUP(B492,Vendedores!$A$2:$A$41,Vendedores!$C$2:$C$41,"No hay datos")</f>
        <v>No hay datos</v>
      </c>
      <c r="I492" s="2" t="str">
        <f t="array" ref="I492">_xlfn.XLOOKUP(B492,Vendedores!$A$2:$A$41,Vendedores!$D$2:$D$41,"No hay datos")</f>
        <v>No hay datos</v>
      </c>
      <c r="J492" s="2" t="str">
        <f t="array" ref="J492">_xlfn.XLOOKUP(A492,Productos!$A$2:$A$61,Productos!$B$2:$F$61)</f>
        <v>#N/A</v>
      </c>
    </row>
    <row r="493">
      <c r="A493" s="2" t="str">
        <f>IFERROR(__xludf.DUMMYFUNCTION("""COMPUTED_VALUE"""),"PR042")</f>
        <v>PR042</v>
      </c>
      <c r="B493" s="2" t="str">
        <f>IFERROR(__xludf.DUMMYFUNCTION("""COMPUTED_VALUE"""),"VD018")</f>
        <v>VD018</v>
      </c>
      <c r="C493" s="2">
        <f>IFERROR(__xludf.DUMMYFUNCTION("""COMPUTED_VALUE"""),14.0)</f>
        <v>14</v>
      </c>
      <c r="D493" s="6">
        <f>IFERROR(__xludf.DUMMYFUNCTION("""COMPUTED_VALUE"""),822.4)</f>
        <v>822.4</v>
      </c>
      <c r="E493" s="6">
        <f>IFERROR(__xludf.DUMMYFUNCTION("GOOGLEFINANCE(""Currency:BRLMXN"")*D493"),2793.6928)</f>
        <v>2793.6928</v>
      </c>
      <c r="F493" s="6">
        <f>IFERROR(__xludf.DUMMYFUNCTION("GOOGLEFINANCE(""Currency:BRLPEN"")*D493"),539.16544)</f>
        <v>539.16544</v>
      </c>
      <c r="G493" s="2" t="str">
        <f t="array" ref="G493">_xlfn.XLOOKUP(B493,Vendedores!$A$2:$A$41,Vendedores!$B$2:$B$41,"No hay datos")</f>
        <v>No hay datos</v>
      </c>
      <c r="H493" s="2" t="str">
        <f t="array" ref="H493">_xlfn.XLOOKUP(B493,Vendedores!$A$2:$A$41,Vendedores!$C$2:$C$41,"No hay datos")</f>
        <v>No hay datos</v>
      </c>
      <c r="I493" s="2" t="str">
        <f t="array" ref="I493">_xlfn.XLOOKUP(B493,Vendedores!$A$2:$A$41,Vendedores!$D$2:$D$41,"No hay datos")</f>
        <v>No hay datos</v>
      </c>
      <c r="J493" s="2" t="str">
        <f t="array" ref="J493">_xlfn.XLOOKUP(A493,Productos!$A$2:$A$61,Productos!$B$2:$F$61)</f>
        <v>#N/A</v>
      </c>
    </row>
    <row r="494">
      <c r="A494" s="2" t="str">
        <f>IFERROR(__xludf.DUMMYFUNCTION("""COMPUTED_VALUE"""),"PR041")</f>
        <v>PR041</v>
      </c>
      <c r="B494" s="2" t="str">
        <f>IFERROR(__xludf.DUMMYFUNCTION("""COMPUTED_VALUE"""),"VD049")</f>
        <v>VD049</v>
      </c>
      <c r="C494" s="2">
        <f>IFERROR(__xludf.DUMMYFUNCTION("""COMPUTED_VALUE"""),6.0)</f>
        <v>6</v>
      </c>
      <c r="D494" s="6">
        <f>IFERROR(__xludf.DUMMYFUNCTION("""COMPUTED_VALUE"""),352.46)</f>
        <v>352.46</v>
      </c>
      <c r="E494" s="6">
        <f>IFERROR(__xludf.DUMMYFUNCTION("GOOGLEFINANCE(""Currency:BRLMXN"")*D494"),1197.3066199999998)</f>
        <v>1197.30662</v>
      </c>
      <c r="F494" s="6">
        <f>IFERROR(__xludf.DUMMYFUNCTION("GOOGLEFINANCE(""Currency:BRLPEN"")*D494"),231.07277599999998)</f>
        <v>231.072776</v>
      </c>
      <c r="G494" s="2" t="str">
        <f t="array" ref="G494">_xlfn.XLOOKUP(B494,Vendedores!$A$2:$A$41,Vendedores!$B$2:$B$41,"No hay datos")</f>
        <v>No hay datos</v>
      </c>
      <c r="H494" s="2" t="str">
        <f t="array" ref="H494">_xlfn.XLOOKUP(B494,Vendedores!$A$2:$A$41,Vendedores!$C$2:$C$41,"No hay datos")</f>
        <v>No hay datos</v>
      </c>
      <c r="I494" s="2" t="str">
        <f t="array" ref="I494">_xlfn.XLOOKUP(B494,Vendedores!$A$2:$A$41,Vendedores!$D$2:$D$41,"No hay datos")</f>
        <v>No hay datos</v>
      </c>
      <c r="J494" s="2" t="str">
        <f t="array" ref="J494">_xlfn.XLOOKUP(A494,Productos!$A$2:$A$61,Productos!$B$2:$F$61)</f>
        <v>#N/A</v>
      </c>
    </row>
    <row r="495">
      <c r="A495" s="2" t="str">
        <f>IFERROR(__xludf.DUMMYFUNCTION("""COMPUTED_VALUE"""),"PR043")</f>
        <v>PR043</v>
      </c>
      <c r="B495" s="2" t="str">
        <f>IFERROR(__xludf.DUMMYFUNCTION("""COMPUTED_VALUE"""),"VD032")</f>
        <v>VD032</v>
      </c>
      <c r="C495" s="2">
        <f>IFERROR(__xludf.DUMMYFUNCTION("""COMPUTED_VALUE"""),2.0)</f>
        <v>2</v>
      </c>
      <c r="D495" s="6">
        <f>IFERROR(__xludf.DUMMYFUNCTION("""COMPUTED_VALUE"""),155.15)</f>
        <v>155.15</v>
      </c>
      <c r="E495" s="6">
        <f>IFERROR(__xludf.DUMMYFUNCTION("GOOGLEFINANCE(""Currency:BRLMXN"")*D495"),527.04455)</f>
        <v>527.04455</v>
      </c>
      <c r="F495" s="6">
        <f>IFERROR(__xludf.DUMMYFUNCTION("GOOGLEFINANCE(""Currency:BRLPEN"")*D495"),101.71634)</f>
        <v>101.71634</v>
      </c>
      <c r="G495" s="2" t="str">
        <f t="array" ref="G495">_xlfn.XLOOKUP(B495,Vendedores!$A$2:$A$41,Vendedores!$B$2:$B$41,"No hay datos")</f>
        <v>No hay datos</v>
      </c>
      <c r="H495" s="2" t="str">
        <f t="array" ref="H495">_xlfn.XLOOKUP(B495,Vendedores!$A$2:$A$41,Vendedores!$C$2:$C$41,"No hay datos")</f>
        <v>No hay datos</v>
      </c>
      <c r="I495" s="2" t="str">
        <f t="array" ref="I495">_xlfn.XLOOKUP(B495,Vendedores!$A$2:$A$41,Vendedores!$D$2:$D$41,"No hay datos")</f>
        <v>No hay datos</v>
      </c>
      <c r="J495" s="2" t="str">
        <f t="array" ref="J495">_xlfn.XLOOKUP(A495,Productos!$A$2:$A$61,Productos!$B$2:$F$61)</f>
        <v>#N/A</v>
      </c>
    </row>
    <row r="496">
      <c r="A496" s="2" t="str">
        <f>IFERROR(__xludf.DUMMYFUNCTION("""COMPUTED_VALUE"""),"PR006")</f>
        <v>PR006</v>
      </c>
      <c r="B496" s="2" t="str">
        <f>IFERROR(__xludf.DUMMYFUNCTION("""COMPUTED_VALUE"""),"VD044")</f>
        <v>VD044</v>
      </c>
      <c r="C496" s="2">
        <f>IFERROR(__xludf.DUMMYFUNCTION("""COMPUTED_VALUE"""),8.0)</f>
        <v>8</v>
      </c>
      <c r="D496" s="6">
        <f>IFERROR(__xludf.DUMMYFUNCTION("""COMPUTED_VALUE"""),341.54)</f>
        <v>341.54</v>
      </c>
      <c r="E496" s="6">
        <f>IFERROR(__xludf.DUMMYFUNCTION("GOOGLEFINANCE(""Currency:BRLMXN"")*D496"),1160.21138)</f>
        <v>1160.21138</v>
      </c>
      <c r="F496" s="6">
        <f>IFERROR(__xludf.DUMMYFUNCTION("GOOGLEFINANCE(""Currency:BRLPEN"")*D496"),223.913624)</f>
        <v>223.913624</v>
      </c>
      <c r="G496" s="2" t="str">
        <f t="array" ref="G496">_xlfn.XLOOKUP(B496,Vendedores!$A$2:$A$41,Vendedores!$B$2:$B$41,"No hay datos")</f>
        <v>No hay datos</v>
      </c>
      <c r="H496" s="2" t="str">
        <f t="array" ref="H496">_xlfn.XLOOKUP(B496,Vendedores!$A$2:$A$41,Vendedores!$C$2:$C$41,"No hay datos")</f>
        <v>No hay datos</v>
      </c>
      <c r="I496" s="2" t="str">
        <f t="array" ref="I496">_xlfn.XLOOKUP(B496,Vendedores!$A$2:$A$41,Vendedores!$D$2:$D$41,"No hay datos")</f>
        <v>No hay datos</v>
      </c>
      <c r="J496" s="2" t="str">
        <f t="array" ref="J496">_xlfn.XLOOKUP(A496,Productos!$A$2:$A$61,Productos!$B$2:$F$61)</f>
        <v>#N/A</v>
      </c>
    </row>
    <row r="497">
      <c r="A497" s="2" t="str">
        <f>IFERROR(__xludf.DUMMYFUNCTION("""COMPUTED_VALUE"""),"PR058")</f>
        <v>PR058</v>
      </c>
      <c r="B497" s="2" t="str">
        <f>IFERROR(__xludf.DUMMYFUNCTION("""COMPUTED_VALUE"""),"VD018")</f>
        <v>VD018</v>
      </c>
      <c r="C497" s="2">
        <f>IFERROR(__xludf.DUMMYFUNCTION("""COMPUTED_VALUE"""),4.0)</f>
        <v>4</v>
      </c>
      <c r="D497" s="6">
        <f>IFERROR(__xludf.DUMMYFUNCTION("""COMPUTED_VALUE"""),792.0)</f>
        <v>792</v>
      </c>
      <c r="E497" s="6">
        <f>IFERROR(__xludf.DUMMYFUNCTION("GOOGLEFINANCE(""Currency:BRLMXN"")*D497"),2690.424)</f>
        <v>2690.424</v>
      </c>
      <c r="F497" s="6">
        <f>IFERROR(__xludf.DUMMYFUNCTION("GOOGLEFINANCE(""Currency:BRLPEN"")*D497"),519.2352)</f>
        <v>519.2352</v>
      </c>
      <c r="G497" s="2" t="str">
        <f t="array" ref="G497">_xlfn.XLOOKUP(B497,Vendedores!$A$2:$A$41,Vendedores!$B$2:$B$41,"No hay datos")</f>
        <v>No hay datos</v>
      </c>
      <c r="H497" s="2" t="str">
        <f t="array" ref="H497">_xlfn.XLOOKUP(B497,Vendedores!$A$2:$A$41,Vendedores!$C$2:$C$41,"No hay datos")</f>
        <v>No hay datos</v>
      </c>
      <c r="I497" s="2" t="str">
        <f t="array" ref="I497">_xlfn.XLOOKUP(B497,Vendedores!$A$2:$A$41,Vendedores!$D$2:$D$41,"No hay datos")</f>
        <v>No hay datos</v>
      </c>
      <c r="J497" s="2" t="str">
        <f t="array" ref="J497">_xlfn.XLOOKUP(A497,Productos!$A$2:$A$61,Productos!$B$2:$F$61)</f>
        <v>#N/A</v>
      </c>
    </row>
    <row r="498">
      <c r="A498" s="2" t="str">
        <f>IFERROR(__xludf.DUMMYFUNCTION("""COMPUTED_VALUE"""),"PR038")</f>
        <v>PR038</v>
      </c>
      <c r="B498" s="2" t="str">
        <f>IFERROR(__xludf.DUMMYFUNCTION("""COMPUTED_VALUE"""),"VD032")</f>
        <v>VD032</v>
      </c>
      <c r="C498" s="2">
        <f>IFERROR(__xludf.DUMMYFUNCTION("""COMPUTED_VALUE"""),4.0)</f>
        <v>4</v>
      </c>
      <c r="D498" s="6">
        <f>IFERROR(__xludf.DUMMYFUNCTION("""COMPUTED_VALUE"""),600.18)</f>
        <v>600.18</v>
      </c>
      <c r="E498" s="6">
        <f>IFERROR(__xludf.DUMMYFUNCTION("GOOGLEFINANCE(""Currency:BRLMXN"")*D498"),2038.8114599999997)</f>
        <v>2038.81146</v>
      </c>
      <c r="F498" s="6">
        <f>IFERROR(__xludf.DUMMYFUNCTION("GOOGLEFINANCE(""Currency:BRLPEN"")*D498"),393.47800799999993)</f>
        <v>393.478008</v>
      </c>
      <c r="G498" s="2" t="str">
        <f t="array" ref="G498">_xlfn.XLOOKUP(B498,Vendedores!$A$2:$A$41,Vendedores!$B$2:$B$41,"No hay datos")</f>
        <v>No hay datos</v>
      </c>
      <c r="H498" s="2" t="str">
        <f t="array" ref="H498">_xlfn.XLOOKUP(B498,Vendedores!$A$2:$A$41,Vendedores!$C$2:$C$41,"No hay datos")</f>
        <v>No hay datos</v>
      </c>
      <c r="I498" s="2" t="str">
        <f t="array" ref="I498">_xlfn.XLOOKUP(B498,Vendedores!$A$2:$A$41,Vendedores!$D$2:$D$41,"No hay datos")</f>
        <v>No hay datos</v>
      </c>
      <c r="J498" s="2" t="str">
        <f t="array" ref="J498">_xlfn.XLOOKUP(A498,Productos!$A$2:$A$61,Productos!$B$2:$F$61)</f>
        <v>#N/A</v>
      </c>
    </row>
    <row r="499">
      <c r="A499" s="2" t="str">
        <f>IFERROR(__xludf.DUMMYFUNCTION("""COMPUTED_VALUE"""),"PR022")</f>
        <v>PR022</v>
      </c>
      <c r="B499" s="2" t="str">
        <f>IFERROR(__xludf.DUMMYFUNCTION("""COMPUTED_VALUE"""),"VD026")</f>
        <v>VD026</v>
      </c>
      <c r="C499" s="2">
        <f>IFERROR(__xludf.DUMMYFUNCTION("""COMPUTED_VALUE"""),9.0)</f>
        <v>9</v>
      </c>
      <c r="D499" s="6">
        <f>IFERROR(__xludf.DUMMYFUNCTION("""COMPUTED_VALUE"""),2916.0)</f>
        <v>2916</v>
      </c>
      <c r="E499" s="6">
        <f>IFERROR(__xludf.DUMMYFUNCTION("GOOGLEFINANCE(""Currency:BRLMXN"")*D499"),9905.652)</f>
        <v>9905.652</v>
      </c>
      <c r="F499" s="6">
        <f>IFERROR(__xludf.DUMMYFUNCTION("GOOGLEFINANCE(""Currency:BRLPEN"")*D499"),1911.7296)</f>
        <v>1911.7296</v>
      </c>
      <c r="G499" s="2" t="str">
        <f t="array" ref="G499">_xlfn.XLOOKUP(B499,Vendedores!$A$2:$A$41,Vendedores!$B$2:$B$41,"No hay datos")</f>
        <v>No hay datos</v>
      </c>
      <c r="H499" s="2" t="str">
        <f t="array" ref="H499">_xlfn.XLOOKUP(B499,Vendedores!$A$2:$A$41,Vendedores!$C$2:$C$41,"No hay datos")</f>
        <v>No hay datos</v>
      </c>
      <c r="I499" s="2" t="str">
        <f t="array" ref="I499">_xlfn.XLOOKUP(B499,Vendedores!$A$2:$A$41,Vendedores!$D$2:$D$41,"No hay datos")</f>
        <v>No hay datos</v>
      </c>
      <c r="J499" s="2" t="str">
        <f t="array" ref="J499">_xlfn.XLOOKUP(A499,Productos!$A$2:$A$61,Productos!$B$2:$F$61)</f>
        <v>#N/A</v>
      </c>
    </row>
    <row r="500">
      <c r="A500" s="2" t="str">
        <f>IFERROR(__xludf.DUMMYFUNCTION("""COMPUTED_VALUE"""),"PR035")</f>
        <v>PR035</v>
      </c>
      <c r="B500" s="2" t="str">
        <f>IFERROR(__xludf.DUMMYFUNCTION("""COMPUTED_VALUE"""),"VD046")</f>
        <v>VD046</v>
      </c>
      <c r="C500" s="2">
        <f>IFERROR(__xludf.DUMMYFUNCTION("""COMPUTED_VALUE"""),5.0)</f>
        <v>5</v>
      </c>
      <c r="D500" s="6">
        <f>IFERROR(__xludf.DUMMYFUNCTION("""COMPUTED_VALUE"""),479.85)</f>
        <v>479.85</v>
      </c>
      <c r="E500" s="6">
        <f>IFERROR(__xludf.DUMMYFUNCTION("GOOGLEFINANCE(""Currency:BRLMXN"")*D500"),1630.05045)</f>
        <v>1630.05045</v>
      </c>
      <c r="F500" s="6">
        <f>IFERROR(__xludf.DUMMYFUNCTION("GOOGLEFINANCE(""Currency:BRLPEN"")*D500"),314.58966)</f>
        <v>314.58966</v>
      </c>
      <c r="G500" s="2" t="str">
        <f t="array" ref="G500">_xlfn.XLOOKUP(B500,Vendedores!$A$2:$A$41,Vendedores!$B$2:$B$41,"No hay datos")</f>
        <v>No hay datos</v>
      </c>
      <c r="H500" s="2" t="str">
        <f t="array" ref="H500">_xlfn.XLOOKUP(B500,Vendedores!$A$2:$A$41,Vendedores!$C$2:$C$41,"No hay datos")</f>
        <v>No hay datos</v>
      </c>
      <c r="I500" s="2" t="str">
        <f t="array" ref="I500">_xlfn.XLOOKUP(B500,Vendedores!$A$2:$A$41,Vendedores!$D$2:$D$41,"No hay datos")</f>
        <v>No hay datos</v>
      </c>
      <c r="J500" s="2" t="str">
        <f t="array" ref="J500">_xlfn.XLOOKUP(A500,Productos!$A$2:$A$61,Productos!$B$2:$F$61)</f>
        <v>#N/A</v>
      </c>
    </row>
    <row r="501">
      <c r="A501" s="2" t="str">
        <f>IFERROR(__xludf.DUMMYFUNCTION("""COMPUTED_VALUE"""),"PR015")</f>
        <v>PR015</v>
      </c>
      <c r="B501" s="2" t="str">
        <f>IFERROR(__xludf.DUMMYFUNCTION("""COMPUTED_VALUE"""),"VD032")</f>
        <v>VD032</v>
      </c>
      <c r="C501" s="2">
        <f>IFERROR(__xludf.DUMMYFUNCTION("""COMPUTED_VALUE"""),5.0)</f>
        <v>5</v>
      </c>
      <c r="D501" s="6">
        <f>IFERROR(__xludf.DUMMYFUNCTION("""COMPUTED_VALUE"""),223.13)</f>
        <v>223.13</v>
      </c>
      <c r="E501" s="6">
        <f>IFERROR(__xludf.DUMMYFUNCTION("GOOGLEFINANCE(""Currency:BRLMXN"")*D501"),757.9726099999999)</f>
        <v>757.97261</v>
      </c>
      <c r="F501" s="6">
        <f>IFERROR(__xludf.DUMMYFUNCTION("GOOGLEFINANCE(""Currency:BRLPEN"")*D501"),146.28402799999998)</f>
        <v>146.284028</v>
      </c>
      <c r="G501" s="2" t="str">
        <f t="array" ref="G501">_xlfn.XLOOKUP(B501,Vendedores!$A$2:$A$41,Vendedores!$B$2:$B$41,"No hay datos")</f>
        <v>No hay datos</v>
      </c>
      <c r="H501" s="2" t="str">
        <f t="array" ref="H501">_xlfn.XLOOKUP(B501,Vendedores!$A$2:$A$41,Vendedores!$C$2:$C$41,"No hay datos")</f>
        <v>No hay datos</v>
      </c>
      <c r="I501" s="2" t="str">
        <f t="array" ref="I501">_xlfn.XLOOKUP(B501,Vendedores!$A$2:$A$41,Vendedores!$D$2:$D$41,"No hay datos")</f>
        <v>No hay datos</v>
      </c>
      <c r="J501" s="2" t="str">
        <f t="array" ref="J501">_xlfn.XLOOKUP(A501,Productos!$A$2:$A$61,Productos!$B$2:$F$61)</f>
        <v>#N/A</v>
      </c>
    </row>
    <row r="502">
      <c r="A502" s="2" t="str">
        <f>IFERROR(__xludf.DUMMYFUNCTION("""COMPUTED_VALUE"""),"PR020")</f>
        <v>PR020</v>
      </c>
      <c r="B502" s="2" t="str">
        <f>IFERROR(__xludf.DUMMYFUNCTION("""COMPUTED_VALUE"""),"VD021")</f>
        <v>VD021</v>
      </c>
      <c r="C502" s="2">
        <f>IFERROR(__xludf.DUMMYFUNCTION("""COMPUTED_VALUE"""),9.0)</f>
        <v>9</v>
      </c>
      <c r="D502" s="6">
        <f>IFERROR(__xludf.DUMMYFUNCTION("""COMPUTED_VALUE"""),2753.08)</f>
        <v>2753.08</v>
      </c>
      <c r="E502" s="6">
        <f>IFERROR(__xludf.DUMMYFUNCTION("GOOGLEFINANCE(""Currency:BRLMXN"")*D502"),9352.212759999999)</f>
        <v>9352.21276</v>
      </c>
      <c r="F502" s="6">
        <f>IFERROR(__xludf.DUMMYFUNCTION("GOOGLEFINANCE(""Currency:BRLPEN"")*D502"),1804.919248)</f>
        <v>1804.919248</v>
      </c>
      <c r="G502" s="2" t="str">
        <f t="array" ref="G502">_xlfn.XLOOKUP(B502,Vendedores!$A$2:$A$41,Vendedores!$B$2:$B$41,"No hay datos")</f>
        <v>No hay datos</v>
      </c>
      <c r="H502" s="2" t="str">
        <f t="array" ref="H502">_xlfn.XLOOKUP(B502,Vendedores!$A$2:$A$41,Vendedores!$C$2:$C$41,"No hay datos")</f>
        <v>No hay datos</v>
      </c>
      <c r="I502" s="2" t="str">
        <f t="array" ref="I502">_xlfn.XLOOKUP(B502,Vendedores!$A$2:$A$41,Vendedores!$D$2:$D$41,"No hay datos")</f>
        <v>No hay datos</v>
      </c>
      <c r="J502" s="2" t="str">
        <f t="array" ref="J502">_xlfn.XLOOKUP(A502,Productos!$A$2:$A$61,Productos!$B$2:$F$61)</f>
        <v>#N/A</v>
      </c>
    </row>
    <row r="503">
      <c r="A503" s="2" t="str">
        <f>IFERROR(__xludf.DUMMYFUNCTION("""COMPUTED_VALUE"""),"PR011")</f>
        <v>PR011</v>
      </c>
      <c r="B503" s="2" t="str">
        <f>IFERROR(__xludf.DUMMYFUNCTION("""COMPUTED_VALUE"""),"VD014")</f>
        <v>VD014</v>
      </c>
      <c r="C503" s="2">
        <f>IFERROR(__xludf.DUMMYFUNCTION("""COMPUTED_VALUE"""),9.0)</f>
        <v>9</v>
      </c>
      <c r="D503" s="6">
        <f>IFERROR(__xludf.DUMMYFUNCTION("""COMPUTED_VALUE"""),455.87)</f>
        <v>455.87</v>
      </c>
      <c r="E503" s="6">
        <f>IFERROR(__xludf.DUMMYFUNCTION("GOOGLEFINANCE(""Currency:BRLMXN"")*D503"),1548.5903899999998)</f>
        <v>1548.59039</v>
      </c>
      <c r="F503" s="6">
        <f>IFERROR(__xludf.DUMMYFUNCTION("GOOGLEFINANCE(""Currency:BRLPEN"")*D503"),298.86837199999997)</f>
        <v>298.868372</v>
      </c>
      <c r="G503" s="2" t="str">
        <f t="array" ref="G503">_xlfn.XLOOKUP(B503,Vendedores!$A$2:$A$41,Vendedores!$B$2:$B$41,"No hay datos")</f>
        <v>No hay datos</v>
      </c>
      <c r="H503" s="2" t="str">
        <f t="array" ref="H503">_xlfn.XLOOKUP(B503,Vendedores!$A$2:$A$41,Vendedores!$C$2:$C$41,"No hay datos")</f>
        <v>No hay datos</v>
      </c>
      <c r="I503" s="2" t="str">
        <f t="array" ref="I503">_xlfn.XLOOKUP(B503,Vendedores!$A$2:$A$41,Vendedores!$D$2:$D$41,"No hay datos")</f>
        <v>No hay datos</v>
      </c>
      <c r="J503" s="2" t="str">
        <f t="array" ref="J503">_xlfn.XLOOKUP(A503,Productos!$A$2:$A$61,Productos!$B$2:$F$61)</f>
        <v>#N/A</v>
      </c>
    </row>
    <row r="504">
      <c r="A504" s="2" t="str">
        <f>IFERROR(__xludf.DUMMYFUNCTION("""COMPUTED_VALUE"""),"PR050")</f>
        <v>PR050</v>
      </c>
      <c r="B504" s="2" t="str">
        <f>IFERROR(__xludf.DUMMYFUNCTION("""COMPUTED_VALUE"""),"VD040")</f>
        <v>VD040</v>
      </c>
      <c r="C504" s="2">
        <f>IFERROR(__xludf.DUMMYFUNCTION("""COMPUTED_VALUE"""),1.0)</f>
        <v>1</v>
      </c>
      <c r="D504" s="6">
        <f>IFERROR(__xludf.DUMMYFUNCTION("""COMPUTED_VALUE"""),33.56)</f>
        <v>33.56</v>
      </c>
      <c r="E504" s="6">
        <f>IFERROR(__xludf.DUMMYFUNCTION("GOOGLEFINANCE(""Currency:BRLMXN"")*D504"),114.00332)</f>
        <v>114.00332</v>
      </c>
      <c r="F504" s="6">
        <f>IFERROR(__xludf.DUMMYFUNCTION("GOOGLEFINANCE(""Currency:BRLPEN"")*D504"),22.001936)</f>
        <v>22.001936</v>
      </c>
      <c r="G504" s="2" t="str">
        <f t="array" ref="G504">_xlfn.XLOOKUP(B504,Vendedores!$A$2:$A$41,Vendedores!$B$2:$B$41,"No hay datos")</f>
        <v>No hay datos</v>
      </c>
      <c r="H504" s="2" t="str">
        <f t="array" ref="H504">_xlfn.XLOOKUP(B504,Vendedores!$A$2:$A$41,Vendedores!$C$2:$C$41,"No hay datos")</f>
        <v>No hay datos</v>
      </c>
      <c r="I504" s="2" t="str">
        <f t="array" ref="I504">_xlfn.XLOOKUP(B504,Vendedores!$A$2:$A$41,Vendedores!$D$2:$D$41,"No hay datos")</f>
        <v>No hay datos</v>
      </c>
      <c r="J504" s="2" t="str">
        <f t="array" ref="J504">_xlfn.XLOOKUP(A504,Productos!$A$2:$A$61,Productos!$B$2:$F$61)</f>
        <v>#N/A</v>
      </c>
    </row>
    <row r="505">
      <c r="A505" s="2" t="str">
        <f>IFERROR(__xludf.DUMMYFUNCTION("""COMPUTED_VALUE"""),"PR046")</f>
        <v>PR046</v>
      </c>
      <c r="B505" s="2" t="str">
        <f>IFERROR(__xludf.DUMMYFUNCTION("""COMPUTED_VALUE"""),"VD019")</f>
        <v>VD019</v>
      </c>
      <c r="C505" s="2">
        <f>IFERROR(__xludf.DUMMYFUNCTION("""COMPUTED_VALUE"""),4.0)</f>
        <v>4</v>
      </c>
      <c r="D505" s="6">
        <f>IFERROR(__xludf.DUMMYFUNCTION("""COMPUTED_VALUE"""),1263.96)</f>
        <v>1263.96</v>
      </c>
      <c r="E505" s="6">
        <f>IFERROR(__xludf.DUMMYFUNCTION("GOOGLEFINANCE(""Currency:BRLMXN"")*D505"),4293.67212)</f>
        <v>4293.67212</v>
      </c>
      <c r="F505" s="6">
        <f>IFERROR(__xludf.DUMMYFUNCTION("GOOGLEFINANCE(""Currency:BRLPEN"")*D505"),828.6521759999999)</f>
        <v>828.652176</v>
      </c>
      <c r="G505" s="2" t="str">
        <f t="array" ref="G505">_xlfn.XLOOKUP(B505,Vendedores!$A$2:$A$41,Vendedores!$B$2:$B$41,"No hay datos")</f>
        <v>No hay datos</v>
      </c>
      <c r="H505" s="2" t="str">
        <f t="array" ref="H505">_xlfn.XLOOKUP(B505,Vendedores!$A$2:$A$41,Vendedores!$C$2:$C$41,"No hay datos")</f>
        <v>No hay datos</v>
      </c>
      <c r="I505" s="2" t="str">
        <f t="array" ref="I505">_xlfn.XLOOKUP(B505,Vendedores!$A$2:$A$41,Vendedores!$D$2:$D$41,"No hay datos")</f>
        <v>No hay datos</v>
      </c>
      <c r="J505" s="2" t="str">
        <f t="array" ref="J505">_xlfn.XLOOKUP(A505,Productos!$A$2:$A$61,Productos!$B$2:$F$61)</f>
        <v>#N/A</v>
      </c>
    </row>
    <row r="506">
      <c r="A506" s="2" t="str">
        <f>IFERROR(__xludf.DUMMYFUNCTION("""COMPUTED_VALUE"""),"PR016")</f>
        <v>PR016</v>
      </c>
      <c r="B506" s="2" t="str">
        <f>IFERROR(__xludf.DUMMYFUNCTION("""COMPUTED_VALUE"""),"VD012")</f>
        <v>VD012</v>
      </c>
      <c r="C506" s="2">
        <f>IFERROR(__xludf.DUMMYFUNCTION("""COMPUTED_VALUE"""),2.0)</f>
        <v>2</v>
      </c>
      <c r="D506" s="6">
        <f>IFERROR(__xludf.DUMMYFUNCTION("""COMPUTED_VALUE"""),53.35)</f>
        <v>53.35</v>
      </c>
      <c r="E506" s="6">
        <f>IFERROR(__xludf.DUMMYFUNCTION("GOOGLEFINANCE(""Currency:BRLMXN"")*D506"),181.22995)</f>
        <v>181.22995</v>
      </c>
      <c r="F506" s="6">
        <f>IFERROR(__xludf.DUMMYFUNCTION("GOOGLEFINANCE(""Currency:BRLPEN"")*D506"),34.976259999999996)</f>
        <v>34.97626</v>
      </c>
      <c r="G506" s="2" t="str">
        <f t="array" ref="G506">_xlfn.XLOOKUP(B506,Vendedores!$A$2:$A$41,Vendedores!$B$2:$B$41,"No hay datos")</f>
        <v>No hay datos</v>
      </c>
      <c r="H506" s="2" t="str">
        <f t="array" ref="H506">_xlfn.XLOOKUP(B506,Vendedores!$A$2:$A$41,Vendedores!$C$2:$C$41,"No hay datos")</f>
        <v>No hay datos</v>
      </c>
      <c r="I506" s="2" t="str">
        <f t="array" ref="I506">_xlfn.XLOOKUP(B506,Vendedores!$A$2:$A$41,Vendedores!$D$2:$D$41,"No hay datos")</f>
        <v>No hay datos</v>
      </c>
      <c r="J506" s="2" t="str">
        <f t="array" ref="J506">_xlfn.XLOOKUP(A506,Productos!$A$2:$A$61,Productos!$B$2:$F$61)</f>
        <v>#N/A</v>
      </c>
    </row>
    <row r="507">
      <c r="A507" s="2" t="str">
        <f>IFERROR(__xludf.DUMMYFUNCTION("""COMPUTED_VALUE"""),"PR041")</f>
        <v>PR041</v>
      </c>
      <c r="B507" s="2" t="str">
        <f>IFERROR(__xludf.DUMMYFUNCTION("""COMPUTED_VALUE"""),"VD049")</f>
        <v>VD049</v>
      </c>
      <c r="C507" s="2">
        <f>IFERROR(__xludf.DUMMYFUNCTION("""COMPUTED_VALUE"""),1.0)</f>
        <v>1</v>
      </c>
      <c r="D507" s="6">
        <f>IFERROR(__xludf.DUMMYFUNCTION("""COMPUTED_VALUE"""),59.84)</f>
        <v>59.84</v>
      </c>
      <c r="E507" s="6">
        <f>IFERROR(__xludf.DUMMYFUNCTION("GOOGLEFINANCE(""Currency:BRLMXN"")*D507"),203.27648)</f>
        <v>203.27648</v>
      </c>
      <c r="F507" s="6">
        <f>IFERROR(__xludf.DUMMYFUNCTION("GOOGLEFINANCE(""Currency:BRLPEN"")*D507"),39.231104)</f>
        <v>39.231104</v>
      </c>
      <c r="G507" s="2" t="str">
        <f t="array" ref="G507">_xlfn.XLOOKUP(B507,Vendedores!$A$2:$A$41,Vendedores!$B$2:$B$41,"No hay datos")</f>
        <v>No hay datos</v>
      </c>
      <c r="H507" s="2" t="str">
        <f t="array" ref="H507">_xlfn.XLOOKUP(B507,Vendedores!$A$2:$A$41,Vendedores!$C$2:$C$41,"No hay datos")</f>
        <v>No hay datos</v>
      </c>
      <c r="I507" s="2" t="str">
        <f t="array" ref="I507">_xlfn.XLOOKUP(B507,Vendedores!$A$2:$A$41,Vendedores!$D$2:$D$41,"No hay datos")</f>
        <v>No hay datos</v>
      </c>
      <c r="J507" s="2" t="str">
        <f t="array" ref="J507">_xlfn.XLOOKUP(A507,Productos!$A$2:$A$61,Productos!$B$2:$F$61)</f>
        <v>#N/A</v>
      </c>
    </row>
    <row r="508">
      <c r="A508" s="2" t="str">
        <f>IFERROR(__xludf.DUMMYFUNCTION("""COMPUTED_VALUE"""),"PR037")</f>
        <v>PR037</v>
      </c>
      <c r="B508" s="2" t="str">
        <f>IFERROR(__xludf.DUMMYFUNCTION("""COMPUTED_VALUE"""),"VD038")</f>
        <v>VD038</v>
      </c>
      <c r="C508" s="2">
        <f>IFERROR(__xludf.DUMMYFUNCTION("""COMPUTED_VALUE"""),14.0)</f>
        <v>14</v>
      </c>
      <c r="D508" s="6">
        <f>IFERROR(__xludf.DUMMYFUNCTION("""COMPUTED_VALUE"""),1960.0)</f>
        <v>1960</v>
      </c>
      <c r="E508" s="6">
        <f>IFERROR(__xludf.DUMMYFUNCTION("GOOGLEFINANCE(""Currency:BRLMXN"")*D508"),6658.12)</f>
        <v>6658.12</v>
      </c>
      <c r="F508" s="6">
        <f>IFERROR(__xludf.DUMMYFUNCTION("GOOGLEFINANCE(""Currency:BRLPEN"")*D508"),1284.9759999999999)</f>
        <v>1284.976</v>
      </c>
      <c r="G508" s="2" t="str">
        <f t="array" ref="G508">_xlfn.XLOOKUP(B508,Vendedores!$A$2:$A$41,Vendedores!$B$2:$B$41,"No hay datos")</f>
        <v>No hay datos</v>
      </c>
      <c r="H508" s="2" t="str">
        <f t="array" ref="H508">_xlfn.XLOOKUP(B508,Vendedores!$A$2:$A$41,Vendedores!$C$2:$C$41,"No hay datos")</f>
        <v>No hay datos</v>
      </c>
      <c r="I508" s="2" t="str">
        <f t="array" ref="I508">_xlfn.XLOOKUP(B508,Vendedores!$A$2:$A$41,Vendedores!$D$2:$D$41,"No hay datos")</f>
        <v>No hay datos</v>
      </c>
      <c r="J508" s="2" t="str">
        <f t="array" ref="J508">_xlfn.XLOOKUP(A508,Productos!$A$2:$A$61,Productos!$B$2:$F$61)</f>
        <v>#N/A</v>
      </c>
    </row>
    <row r="509">
      <c r="A509" s="2" t="str">
        <f>IFERROR(__xludf.DUMMYFUNCTION("""COMPUTED_VALUE"""),"PR019")</f>
        <v>PR019</v>
      </c>
      <c r="B509" s="2" t="str">
        <f>IFERROR(__xludf.DUMMYFUNCTION("""COMPUTED_VALUE"""),"VD018")</f>
        <v>VD018</v>
      </c>
      <c r="C509" s="2">
        <f>IFERROR(__xludf.DUMMYFUNCTION("""COMPUTED_VALUE"""),4.0)</f>
        <v>4</v>
      </c>
      <c r="D509" s="6">
        <f>IFERROR(__xludf.DUMMYFUNCTION("""COMPUTED_VALUE"""),213.57)</f>
        <v>213.57</v>
      </c>
      <c r="E509" s="6">
        <f>IFERROR(__xludf.DUMMYFUNCTION("GOOGLEFINANCE(""Currency:BRLMXN"")*D509"),725.4972899999999)</f>
        <v>725.49729</v>
      </c>
      <c r="F509" s="6">
        <f>IFERROR(__xludf.DUMMYFUNCTION("GOOGLEFINANCE(""Currency:BRLPEN"")*D509"),140.016492)</f>
        <v>140.016492</v>
      </c>
      <c r="G509" s="2" t="str">
        <f t="array" ref="G509">_xlfn.XLOOKUP(B509,Vendedores!$A$2:$A$41,Vendedores!$B$2:$B$41,"No hay datos")</f>
        <v>No hay datos</v>
      </c>
      <c r="H509" s="2" t="str">
        <f t="array" ref="H509">_xlfn.XLOOKUP(B509,Vendedores!$A$2:$A$41,Vendedores!$C$2:$C$41,"No hay datos")</f>
        <v>No hay datos</v>
      </c>
      <c r="I509" s="2" t="str">
        <f t="array" ref="I509">_xlfn.XLOOKUP(B509,Vendedores!$A$2:$A$41,Vendedores!$D$2:$D$41,"No hay datos")</f>
        <v>No hay datos</v>
      </c>
      <c r="J509" s="2" t="str">
        <f t="array" ref="J509">_xlfn.XLOOKUP(A509,Productos!$A$2:$A$61,Productos!$B$2:$F$61)</f>
        <v>#N/A</v>
      </c>
    </row>
    <row r="510">
      <c r="A510" s="2" t="str">
        <f>IFERROR(__xludf.DUMMYFUNCTION("""COMPUTED_VALUE"""),"PR052")</f>
        <v>PR052</v>
      </c>
      <c r="B510" s="2" t="str">
        <f>IFERROR(__xludf.DUMMYFUNCTION("""COMPUTED_VALUE"""),"VD043")</f>
        <v>VD043</v>
      </c>
      <c r="C510" s="2">
        <f>IFERROR(__xludf.DUMMYFUNCTION("""COMPUTED_VALUE"""),7.0)</f>
        <v>7</v>
      </c>
      <c r="D510" s="6">
        <f>IFERROR(__xludf.DUMMYFUNCTION("""COMPUTED_VALUE"""),356.29)</f>
        <v>356.29</v>
      </c>
      <c r="E510" s="6">
        <f>IFERROR(__xludf.DUMMYFUNCTION("GOOGLEFINANCE(""Currency:BRLMXN"")*D510"),1210.31713)</f>
        <v>1210.31713</v>
      </c>
      <c r="F510" s="6">
        <f>IFERROR(__xludf.DUMMYFUNCTION("GOOGLEFINANCE(""Currency:BRLPEN"")*D510"),233.583724)</f>
        <v>233.583724</v>
      </c>
      <c r="G510" s="2" t="str">
        <f t="array" ref="G510">_xlfn.XLOOKUP(B510,Vendedores!$A$2:$A$41,Vendedores!$B$2:$B$41,"No hay datos")</f>
        <v>No hay datos</v>
      </c>
      <c r="H510" s="2" t="str">
        <f t="array" ref="H510">_xlfn.XLOOKUP(B510,Vendedores!$A$2:$A$41,Vendedores!$C$2:$C$41,"No hay datos")</f>
        <v>No hay datos</v>
      </c>
      <c r="I510" s="2" t="str">
        <f t="array" ref="I510">_xlfn.XLOOKUP(B510,Vendedores!$A$2:$A$41,Vendedores!$D$2:$D$41,"No hay datos")</f>
        <v>No hay datos</v>
      </c>
      <c r="J510" s="2" t="str">
        <f t="array" ref="J510">_xlfn.XLOOKUP(A510,Productos!$A$2:$A$61,Productos!$B$2:$F$61)</f>
        <v>#N/A</v>
      </c>
    </row>
    <row r="511">
      <c r="A511" s="2" t="str">
        <f>IFERROR(__xludf.DUMMYFUNCTION("""COMPUTED_VALUE"""),"PR011")</f>
        <v>PR011</v>
      </c>
      <c r="B511" s="2" t="str">
        <f>IFERROR(__xludf.DUMMYFUNCTION("""COMPUTED_VALUE"""),"VD042")</f>
        <v>VD042</v>
      </c>
      <c r="C511" s="2">
        <f>IFERROR(__xludf.DUMMYFUNCTION("""COMPUTED_VALUE"""),1.0)</f>
        <v>1</v>
      </c>
      <c r="D511" s="6">
        <f>IFERROR(__xludf.DUMMYFUNCTION("""COMPUTED_VALUE"""),50.65)</f>
        <v>50.65</v>
      </c>
      <c r="E511" s="6">
        <f>IFERROR(__xludf.DUMMYFUNCTION("GOOGLEFINANCE(""Currency:BRLMXN"")*D511"),172.05804999999998)</f>
        <v>172.05805</v>
      </c>
      <c r="F511" s="6">
        <f>IFERROR(__xludf.DUMMYFUNCTION("GOOGLEFINANCE(""Currency:BRLPEN"")*D511"),33.20614)</f>
        <v>33.20614</v>
      </c>
      <c r="G511" s="2" t="str">
        <f t="array" ref="G511">_xlfn.XLOOKUP(B511,Vendedores!$A$2:$A$41,Vendedores!$B$2:$B$41,"No hay datos")</f>
        <v>No hay datos</v>
      </c>
      <c r="H511" s="2" t="str">
        <f t="array" ref="H511">_xlfn.XLOOKUP(B511,Vendedores!$A$2:$A$41,Vendedores!$C$2:$C$41,"No hay datos")</f>
        <v>No hay datos</v>
      </c>
      <c r="I511" s="2" t="str">
        <f t="array" ref="I511">_xlfn.XLOOKUP(B511,Vendedores!$A$2:$A$41,Vendedores!$D$2:$D$41,"No hay datos")</f>
        <v>No hay datos</v>
      </c>
      <c r="J511" s="2" t="str">
        <f t="array" ref="J511">_xlfn.XLOOKUP(A511,Productos!$A$2:$A$61,Productos!$B$2:$F$61)</f>
        <v>#N/A</v>
      </c>
    </row>
    <row r="512">
      <c r="A512" s="2" t="str">
        <f>IFERROR(__xludf.DUMMYFUNCTION("""COMPUTED_VALUE"""),"PR058")</f>
        <v>PR058</v>
      </c>
      <c r="B512" s="2" t="str">
        <f>IFERROR(__xludf.DUMMYFUNCTION("""COMPUTED_VALUE"""),"VD048")</f>
        <v>VD048</v>
      </c>
      <c r="C512" s="2">
        <f>IFERROR(__xludf.DUMMYFUNCTION("""COMPUTED_VALUE"""),8.0)</f>
        <v>8</v>
      </c>
      <c r="D512" s="6">
        <f>IFERROR(__xludf.DUMMYFUNCTION("""COMPUTED_VALUE"""),1526.4)</f>
        <v>1526.4</v>
      </c>
      <c r="E512" s="6">
        <f>IFERROR(__xludf.DUMMYFUNCTION("GOOGLEFINANCE(""Currency:BRLMXN"")*D512"),5185.1808)</f>
        <v>5185.1808</v>
      </c>
      <c r="F512" s="6">
        <f>IFERROR(__xludf.DUMMYFUNCTION("GOOGLEFINANCE(""Currency:BRLPEN"")*D512"),1000.70784)</f>
        <v>1000.70784</v>
      </c>
      <c r="G512" s="2" t="str">
        <f t="array" ref="G512">_xlfn.XLOOKUP(B512,Vendedores!$A$2:$A$41,Vendedores!$B$2:$B$41,"No hay datos")</f>
        <v>No hay datos</v>
      </c>
      <c r="H512" s="2" t="str">
        <f t="array" ref="H512">_xlfn.XLOOKUP(B512,Vendedores!$A$2:$A$41,Vendedores!$C$2:$C$41,"No hay datos")</f>
        <v>No hay datos</v>
      </c>
      <c r="I512" s="2" t="str">
        <f t="array" ref="I512">_xlfn.XLOOKUP(B512,Vendedores!$A$2:$A$41,Vendedores!$D$2:$D$41,"No hay datos")</f>
        <v>No hay datos</v>
      </c>
      <c r="J512" s="2" t="str">
        <f t="array" ref="J512">_xlfn.XLOOKUP(A512,Productos!$A$2:$A$61,Productos!$B$2:$F$61)</f>
        <v>#N/A</v>
      </c>
    </row>
    <row r="513">
      <c r="A513" s="2" t="str">
        <f>IFERROR(__xludf.DUMMYFUNCTION("""COMPUTED_VALUE"""),"PR042")</f>
        <v>PR042</v>
      </c>
      <c r="B513" s="2" t="str">
        <f>IFERROR(__xludf.DUMMYFUNCTION("""COMPUTED_VALUE"""),"VD024")</f>
        <v>VD024</v>
      </c>
      <c r="C513" s="2">
        <f>IFERROR(__xludf.DUMMYFUNCTION("""COMPUTED_VALUE"""),3.0)</f>
        <v>3</v>
      </c>
      <c r="D513" s="6">
        <f>IFERROR(__xludf.DUMMYFUNCTION("""COMPUTED_VALUE"""),169.64)</f>
        <v>169.64</v>
      </c>
      <c r="E513" s="6">
        <f>IFERROR(__xludf.DUMMYFUNCTION("GOOGLEFINANCE(""Currency:BRLMXN"")*D513"),576.26708)</f>
        <v>576.26708</v>
      </c>
      <c r="F513" s="6">
        <f>IFERROR(__xludf.DUMMYFUNCTION("GOOGLEFINANCE(""Currency:BRLPEN"")*D513"),111.21598399999998)</f>
        <v>111.215984</v>
      </c>
      <c r="G513" s="2" t="str">
        <f t="array" ref="G513">_xlfn.XLOOKUP(B513,Vendedores!$A$2:$A$41,Vendedores!$B$2:$B$41,"No hay datos")</f>
        <v>No hay datos</v>
      </c>
      <c r="H513" s="2" t="str">
        <f t="array" ref="H513">_xlfn.XLOOKUP(B513,Vendedores!$A$2:$A$41,Vendedores!$C$2:$C$41,"No hay datos")</f>
        <v>No hay datos</v>
      </c>
      <c r="I513" s="2" t="str">
        <f t="array" ref="I513">_xlfn.XLOOKUP(B513,Vendedores!$A$2:$A$41,Vendedores!$D$2:$D$41,"No hay datos")</f>
        <v>No hay datos</v>
      </c>
      <c r="J513" s="2" t="str">
        <f t="array" ref="J513">_xlfn.XLOOKUP(A513,Productos!$A$2:$A$61,Productos!$B$2:$F$61)</f>
        <v>#N/A</v>
      </c>
    </row>
    <row r="514">
      <c r="A514" s="2" t="str">
        <f>IFERROR(__xludf.DUMMYFUNCTION("""COMPUTED_VALUE"""),"PR009")</f>
        <v>PR009</v>
      </c>
      <c r="B514" s="2" t="str">
        <f>IFERROR(__xludf.DUMMYFUNCTION("""COMPUTED_VALUE"""),"VD037")</f>
        <v>VD037</v>
      </c>
      <c r="C514" s="2">
        <f>IFERROR(__xludf.DUMMYFUNCTION("""COMPUTED_VALUE"""),6.0)</f>
        <v>6</v>
      </c>
      <c r="D514" s="6">
        <f>IFERROR(__xludf.DUMMYFUNCTION("""COMPUTED_VALUE"""),568.55)</f>
        <v>568.55</v>
      </c>
      <c r="E514" s="6">
        <f>IFERROR(__xludf.DUMMYFUNCTION("GOOGLEFINANCE(""Currency:BRLMXN"")*D514"),1931.3643499999998)</f>
        <v>1931.36435</v>
      </c>
      <c r="F514" s="6">
        <f>IFERROR(__xludf.DUMMYFUNCTION("GOOGLEFINANCE(""Currency:BRLPEN"")*D514"),372.74137999999994)</f>
        <v>372.74138</v>
      </c>
      <c r="G514" s="2" t="str">
        <f t="array" ref="G514">_xlfn.XLOOKUP(B514,Vendedores!$A$2:$A$41,Vendedores!$B$2:$B$41,"No hay datos")</f>
        <v>No hay datos</v>
      </c>
      <c r="H514" s="2" t="str">
        <f t="array" ref="H514">_xlfn.XLOOKUP(B514,Vendedores!$A$2:$A$41,Vendedores!$C$2:$C$41,"No hay datos")</f>
        <v>No hay datos</v>
      </c>
      <c r="I514" s="2" t="str">
        <f t="array" ref="I514">_xlfn.XLOOKUP(B514,Vendedores!$A$2:$A$41,Vendedores!$D$2:$D$41,"No hay datos")</f>
        <v>No hay datos</v>
      </c>
      <c r="J514" s="2" t="str">
        <f t="array" ref="J514">_xlfn.XLOOKUP(A514,Productos!$A$2:$A$61,Productos!$B$2:$F$61)</f>
        <v>#N/A</v>
      </c>
    </row>
    <row r="515">
      <c r="A515" s="2" t="str">
        <f>IFERROR(__xludf.DUMMYFUNCTION("""COMPUTED_VALUE"""),"PR017")</f>
        <v>PR017</v>
      </c>
      <c r="B515" s="2" t="str">
        <f>IFERROR(__xludf.DUMMYFUNCTION("""COMPUTED_VALUE"""),"VD043")</f>
        <v>VD043</v>
      </c>
      <c r="C515" s="2">
        <f>IFERROR(__xludf.DUMMYFUNCTION("""COMPUTED_VALUE"""),2.0)</f>
        <v>2</v>
      </c>
      <c r="D515" s="6">
        <f>IFERROR(__xludf.DUMMYFUNCTION("""COMPUTED_VALUE"""),65.18)</f>
        <v>65.18</v>
      </c>
      <c r="E515" s="6">
        <f>IFERROR(__xludf.DUMMYFUNCTION("GOOGLEFINANCE(""Currency:BRLMXN"")*D515"),221.41646)</f>
        <v>221.41646</v>
      </c>
      <c r="F515" s="6">
        <f>IFERROR(__xludf.DUMMYFUNCTION("GOOGLEFINANCE(""Currency:BRLPEN"")*D515"),42.732008)</f>
        <v>42.732008</v>
      </c>
      <c r="G515" s="2" t="str">
        <f t="array" ref="G515">_xlfn.XLOOKUP(B515,Vendedores!$A$2:$A$41,Vendedores!$B$2:$B$41,"No hay datos")</f>
        <v>No hay datos</v>
      </c>
      <c r="H515" s="2" t="str">
        <f t="array" ref="H515">_xlfn.XLOOKUP(B515,Vendedores!$A$2:$A$41,Vendedores!$C$2:$C$41,"No hay datos")</f>
        <v>No hay datos</v>
      </c>
      <c r="I515" s="2" t="str">
        <f t="array" ref="I515">_xlfn.XLOOKUP(B515,Vendedores!$A$2:$A$41,Vendedores!$D$2:$D$41,"No hay datos")</f>
        <v>No hay datos</v>
      </c>
      <c r="J515" s="2" t="str">
        <f t="array" ref="J515">_xlfn.XLOOKUP(A515,Productos!$A$2:$A$61,Productos!$B$2:$F$61)</f>
        <v>#N/A</v>
      </c>
    </row>
    <row r="516">
      <c r="A516" s="2" t="str">
        <f>IFERROR(__xludf.DUMMYFUNCTION("""COMPUTED_VALUE"""),"PR009")</f>
        <v>PR009</v>
      </c>
      <c r="B516" s="2" t="str">
        <f>IFERROR(__xludf.DUMMYFUNCTION("""COMPUTED_VALUE"""),"VD025")</f>
        <v>VD025</v>
      </c>
      <c r="C516" s="2">
        <f>IFERROR(__xludf.DUMMYFUNCTION("""COMPUTED_VALUE"""),5.0)</f>
        <v>5</v>
      </c>
      <c r="D516" s="6">
        <f>IFERROR(__xludf.DUMMYFUNCTION("""COMPUTED_VALUE"""),478.44)</f>
        <v>478.44</v>
      </c>
      <c r="E516" s="6">
        <f>IFERROR(__xludf.DUMMYFUNCTION("GOOGLEFINANCE(""Currency:BRLMXN"")*D516"),1625.2606799999999)</f>
        <v>1625.26068</v>
      </c>
      <c r="F516" s="6">
        <f>IFERROR(__xludf.DUMMYFUNCTION("GOOGLEFINANCE(""Currency:BRLPEN"")*D516"),313.665264)</f>
        <v>313.665264</v>
      </c>
      <c r="G516" s="2" t="str">
        <f t="array" ref="G516">_xlfn.XLOOKUP(B516,Vendedores!$A$2:$A$41,Vendedores!$B$2:$B$41,"No hay datos")</f>
        <v>No hay datos</v>
      </c>
      <c r="H516" s="2" t="str">
        <f t="array" ref="H516">_xlfn.XLOOKUP(B516,Vendedores!$A$2:$A$41,Vendedores!$C$2:$C$41,"No hay datos")</f>
        <v>No hay datos</v>
      </c>
      <c r="I516" s="2" t="str">
        <f t="array" ref="I516">_xlfn.XLOOKUP(B516,Vendedores!$A$2:$A$41,Vendedores!$D$2:$D$41,"No hay datos")</f>
        <v>No hay datos</v>
      </c>
      <c r="J516" s="2" t="str">
        <f t="array" ref="J516">_xlfn.XLOOKUP(A516,Productos!$A$2:$A$61,Productos!$B$2:$F$61)</f>
        <v>#N/A</v>
      </c>
    </row>
    <row r="517">
      <c r="A517" s="2" t="str">
        <f>IFERROR(__xludf.DUMMYFUNCTION("""COMPUTED_VALUE"""),"PR026")</f>
        <v>PR026</v>
      </c>
      <c r="B517" s="2" t="str">
        <f>IFERROR(__xludf.DUMMYFUNCTION("""COMPUTED_VALUE"""),"VD033")</f>
        <v>VD033</v>
      </c>
      <c r="C517" s="2">
        <f>IFERROR(__xludf.DUMMYFUNCTION("""COMPUTED_VALUE"""),12.0)</f>
        <v>12</v>
      </c>
      <c r="D517" s="6">
        <f>IFERROR(__xludf.DUMMYFUNCTION("""COMPUTED_VALUE"""),4324.76)</f>
        <v>4324.76</v>
      </c>
      <c r="E517" s="6">
        <f>IFERROR(__xludf.DUMMYFUNCTION("GOOGLEFINANCE(""Currency:BRLMXN"")*D517"),14691.20972)</f>
        <v>14691.20972</v>
      </c>
      <c r="F517" s="6">
        <f>IFERROR(__xludf.DUMMYFUNCTION("GOOGLEFINANCE(""Currency:BRLPEN"")*D517"),2835.312656)</f>
        <v>2835.312656</v>
      </c>
      <c r="G517" s="2" t="str">
        <f t="array" ref="G517">_xlfn.XLOOKUP(B517,Vendedores!$A$2:$A$41,Vendedores!$B$2:$B$41,"No hay datos")</f>
        <v>No hay datos</v>
      </c>
      <c r="H517" s="2" t="str">
        <f t="array" ref="H517">_xlfn.XLOOKUP(B517,Vendedores!$A$2:$A$41,Vendedores!$C$2:$C$41,"No hay datos")</f>
        <v>No hay datos</v>
      </c>
      <c r="I517" s="2" t="str">
        <f t="array" ref="I517">_xlfn.XLOOKUP(B517,Vendedores!$A$2:$A$41,Vendedores!$D$2:$D$41,"No hay datos")</f>
        <v>No hay datos</v>
      </c>
      <c r="J517" s="2" t="str">
        <f t="array" ref="J517">_xlfn.XLOOKUP(A517,Productos!$A$2:$A$61,Productos!$B$2:$F$61)</f>
        <v>#N/A</v>
      </c>
    </row>
    <row r="518">
      <c r="A518" s="2" t="str">
        <f>IFERROR(__xludf.DUMMYFUNCTION("""COMPUTED_VALUE"""),"PR058")</f>
        <v>PR058</v>
      </c>
      <c r="B518" s="2" t="str">
        <f>IFERROR(__xludf.DUMMYFUNCTION("""COMPUTED_VALUE"""),"VD046")</f>
        <v>VD046</v>
      </c>
      <c r="C518" s="2">
        <f>IFERROR(__xludf.DUMMYFUNCTION("""COMPUTED_VALUE"""),3.0)</f>
        <v>3</v>
      </c>
      <c r="D518" s="6">
        <f>IFERROR(__xludf.DUMMYFUNCTION("""COMPUTED_VALUE"""),577.8)</f>
        <v>577.8</v>
      </c>
      <c r="E518" s="6">
        <f>IFERROR(__xludf.DUMMYFUNCTION("GOOGLEFINANCE(""Currency:BRLMXN"")*D518"),1962.7865999999997)</f>
        <v>1962.7866</v>
      </c>
      <c r="F518" s="6">
        <f>IFERROR(__xludf.DUMMYFUNCTION("GOOGLEFINANCE(""Currency:BRLPEN"")*D518"),378.80567999999994)</f>
        <v>378.80568</v>
      </c>
      <c r="G518" s="2" t="str">
        <f t="array" ref="G518">_xlfn.XLOOKUP(B518,Vendedores!$A$2:$A$41,Vendedores!$B$2:$B$41,"No hay datos")</f>
        <v>No hay datos</v>
      </c>
      <c r="H518" s="2" t="str">
        <f t="array" ref="H518">_xlfn.XLOOKUP(B518,Vendedores!$A$2:$A$41,Vendedores!$C$2:$C$41,"No hay datos")</f>
        <v>No hay datos</v>
      </c>
      <c r="I518" s="2" t="str">
        <f t="array" ref="I518">_xlfn.XLOOKUP(B518,Vendedores!$A$2:$A$41,Vendedores!$D$2:$D$41,"No hay datos")</f>
        <v>No hay datos</v>
      </c>
      <c r="J518" s="2" t="str">
        <f t="array" ref="J518">_xlfn.XLOOKUP(A518,Productos!$A$2:$A$61,Productos!$B$2:$F$61)</f>
        <v>#N/A</v>
      </c>
    </row>
    <row r="519">
      <c r="A519" s="2" t="str">
        <f>IFERROR(__xludf.DUMMYFUNCTION("""COMPUTED_VALUE"""),"PR011")</f>
        <v>PR011</v>
      </c>
      <c r="B519" s="2" t="str">
        <f>IFERROR(__xludf.DUMMYFUNCTION("""COMPUTED_VALUE"""),"VD039")</f>
        <v>VD039</v>
      </c>
      <c r="C519" s="2">
        <f>IFERROR(__xludf.DUMMYFUNCTION("""COMPUTED_VALUE"""),2.0)</f>
        <v>2</v>
      </c>
      <c r="D519" s="6">
        <f>IFERROR(__xludf.DUMMYFUNCTION("""COMPUTED_VALUE"""),99.43)</f>
        <v>99.43</v>
      </c>
      <c r="E519" s="6">
        <f>IFERROR(__xludf.DUMMYFUNCTION("GOOGLEFINANCE(""Currency:BRLMXN"")*D519"),337.76371)</f>
        <v>337.76371</v>
      </c>
      <c r="F519" s="6">
        <f>IFERROR(__xludf.DUMMYFUNCTION("GOOGLEFINANCE(""Currency:BRLPEN"")*D519"),65.186308)</f>
        <v>65.186308</v>
      </c>
      <c r="G519" s="2" t="str">
        <f t="array" ref="G519">_xlfn.XLOOKUP(B519,Vendedores!$A$2:$A$41,Vendedores!$B$2:$B$41,"No hay datos")</f>
        <v>No hay datos</v>
      </c>
      <c r="H519" s="2" t="str">
        <f t="array" ref="H519">_xlfn.XLOOKUP(B519,Vendedores!$A$2:$A$41,Vendedores!$C$2:$C$41,"No hay datos")</f>
        <v>No hay datos</v>
      </c>
      <c r="I519" s="2" t="str">
        <f t="array" ref="I519">_xlfn.XLOOKUP(B519,Vendedores!$A$2:$A$41,Vendedores!$D$2:$D$41,"No hay datos")</f>
        <v>No hay datos</v>
      </c>
      <c r="J519" s="2" t="str">
        <f t="array" ref="J519">_xlfn.XLOOKUP(A519,Productos!$A$2:$A$61,Productos!$B$2:$F$61)</f>
        <v>#N/A</v>
      </c>
    </row>
    <row r="520">
      <c r="A520" s="2" t="str">
        <f>IFERROR(__xludf.DUMMYFUNCTION("""COMPUTED_VALUE"""),"PR030")</f>
        <v>PR030</v>
      </c>
      <c r="B520" s="2" t="str">
        <f>IFERROR(__xludf.DUMMYFUNCTION("""COMPUTED_VALUE"""),"VD027")</f>
        <v>VD027</v>
      </c>
      <c r="C520" s="2">
        <f>IFERROR(__xludf.DUMMYFUNCTION("""COMPUTED_VALUE"""),8.0)</f>
        <v>8</v>
      </c>
      <c r="D520" s="6">
        <f>IFERROR(__xludf.DUMMYFUNCTION("""COMPUTED_VALUE"""),2079.2)</f>
        <v>2079.2</v>
      </c>
      <c r="E520" s="6">
        <f>IFERROR(__xludf.DUMMYFUNCTION("GOOGLEFINANCE(""Currency:BRLMXN"")*D520"),7063.042399999999)</f>
        <v>7063.0424</v>
      </c>
      <c r="F520" s="6">
        <f>IFERROR(__xludf.DUMMYFUNCTION("GOOGLEFINANCE(""Currency:BRLPEN"")*D520"),1363.1235199999999)</f>
        <v>1363.12352</v>
      </c>
      <c r="G520" s="2" t="str">
        <f t="array" ref="G520">_xlfn.XLOOKUP(B520,Vendedores!$A$2:$A$41,Vendedores!$B$2:$B$41,"No hay datos")</f>
        <v>No hay datos</v>
      </c>
      <c r="H520" s="2" t="str">
        <f t="array" ref="H520">_xlfn.XLOOKUP(B520,Vendedores!$A$2:$A$41,Vendedores!$C$2:$C$41,"No hay datos")</f>
        <v>No hay datos</v>
      </c>
      <c r="I520" s="2" t="str">
        <f t="array" ref="I520">_xlfn.XLOOKUP(B520,Vendedores!$A$2:$A$41,Vendedores!$D$2:$D$41,"No hay datos")</f>
        <v>No hay datos</v>
      </c>
      <c r="J520" s="2" t="str">
        <f t="array" ref="J520">_xlfn.XLOOKUP(A520,Productos!$A$2:$A$61,Productos!$B$2:$F$61)</f>
        <v>#N/A</v>
      </c>
    </row>
    <row r="521">
      <c r="A521" s="2" t="str">
        <f>IFERROR(__xludf.DUMMYFUNCTION("""COMPUTED_VALUE"""),"PR032")</f>
        <v>PR032</v>
      </c>
      <c r="B521" s="2" t="str">
        <f>IFERROR(__xludf.DUMMYFUNCTION("""COMPUTED_VALUE"""),"VD031")</f>
        <v>VD031</v>
      </c>
      <c r="C521" s="2">
        <f>IFERROR(__xludf.DUMMYFUNCTION("""COMPUTED_VALUE"""),20.0)</f>
        <v>20</v>
      </c>
      <c r="D521" s="6">
        <f>IFERROR(__xludf.DUMMYFUNCTION("""COMPUTED_VALUE"""),5300.0)</f>
        <v>5300</v>
      </c>
      <c r="E521" s="6">
        <f>IFERROR(__xludf.DUMMYFUNCTION("GOOGLEFINANCE(""Currency:BRLMXN"")*D521"),18004.1)</f>
        <v>18004.1</v>
      </c>
      <c r="F521" s="6">
        <f>IFERROR(__xludf.DUMMYFUNCTION("GOOGLEFINANCE(""Currency:BRLPEN"")*D521"),3474.68)</f>
        <v>3474.68</v>
      </c>
      <c r="G521" s="2" t="str">
        <f t="array" ref="G521">_xlfn.XLOOKUP(B521,Vendedores!$A$2:$A$41,Vendedores!$B$2:$B$41,"No hay datos")</f>
        <v>No hay datos</v>
      </c>
      <c r="H521" s="2" t="str">
        <f t="array" ref="H521">_xlfn.XLOOKUP(B521,Vendedores!$A$2:$A$41,Vendedores!$C$2:$C$41,"No hay datos")</f>
        <v>No hay datos</v>
      </c>
      <c r="I521" s="2" t="str">
        <f t="array" ref="I521">_xlfn.XLOOKUP(B521,Vendedores!$A$2:$A$41,Vendedores!$D$2:$D$41,"No hay datos")</f>
        <v>No hay datos</v>
      </c>
      <c r="J521" s="2" t="str">
        <f t="array" ref="J521">_xlfn.XLOOKUP(A521,Productos!$A$2:$A$61,Productos!$B$2:$F$61)</f>
        <v>#N/A</v>
      </c>
    </row>
    <row r="522">
      <c r="A522" s="2" t="str">
        <f>IFERROR(__xludf.DUMMYFUNCTION("""COMPUTED_VALUE"""),"PR039")</f>
        <v>PR039</v>
      </c>
      <c r="B522" s="2" t="str">
        <f>IFERROR(__xludf.DUMMYFUNCTION("""COMPUTED_VALUE"""),"VD021")</f>
        <v>VD021</v>
      </c>
      <c r="C522" s="2">
        <f>IFERROR(__xludf.DUMMYFUNCTION("""COMPUTED_VALUE"""),2.0)</f>
        <v>2</v>
      </c>
      <c r="D522" s="6">
        <f>IFERROR(__xludf.DUMMYFUNCTION("""COMPUTED_VALUE"""),292.0)</f>
        <v>292</v>
      </c>
      <c r="E522" s="6">
        <f>IFERROR(__xludf.DUMMYFUNCTION("GOOGLEFINANCE(""Currency:BRLMXN"")*D522"),991.924)</f>
        <v>991.924</v>
      </c>
      <c r="F522" s="6">
        <f>IFERROR(__xludf.DUMMYFUNCTION("GOOGLEFINANCE(""Currency:BRLPEN"")*D522"),191.43519999999998)</f>
        <v>191.4352</v>
      </c>
      <c r="G522" s="2" t="str">
        <f t="array" ref="G522">_xlfn.XLOOKUP(B522,Vendedores!$A$2:$A$41,Vendedores!$B$2:$B$41,"No hay datos")</f>
        <v>No hay datos</v>
      </c>
      <c r="H522" s="2" t="str">
        <f t="array" ref="H522">_xlfn.XLOOKUP(B522,Vendedores!$A$2:$A$41,Vendedores!$C$2:$C$41,"No hay datos")</f>
        <v>No hay datos</v>
      </c>
      <c r="I522" s="2" t="str">
        <f t="array" ref="I522">_xlfn.XLOOKUP(B522,Vendedores!$A$2:$A$41,Vendedores!$D$2:$D$41,"No hay datos")</f>
        <v>No hay datos</v>
      </c>
      <c r="J522" s="2" t="str">
        <f t="array" ref="J522">_xlfn.XLOOKUP(A522,Productos!$A$2:$A$61,Productos!$B$2:$F$61)</f>
        <v>#N/A</v>
      </c>
    </row>
    <row r="523">
      <c r="A523" s="2" t="str">
        <f>IFERROR(__xludf.DUMMYFUNCTION("""COMPUTED_VALUE"""),"PR045")</f>
        <v>PR045</v>
      </c>
      <c r="B523" s="2" t="str">
        <f>IFERROR(__xludf.DUMMYFUNCTION("""COMPUTED_VALUE"""),"VD017")</f>
        <v>VD017</v>
      </c>
      <c r="C523" s="2">
        <f>IFERROR(__xludf.DUMMYFUNCTION("""COMPUTED_VALUE"""),20.0)</f>
        <v>20</v>
      </c>
      <c r="D523" s="6">
        <f>IFERROR(__xludf.DUMMYFUNCTION("""COMPUTED_VALUE"""),1537.0)</f>
        <v>1537</v>
      </c>
      <c r="E523" s="6">
        <f>IFERROR(__xludf.DUMMYFUNCTION("GOOGLEFINANCE(""Currency:BRLMXN"")*D523"),5221.188999999999)</f>
        <v>5221.189</v>
      </c>
      <c r="F523" s="6">
        <f>IFERROR(__xludf.DUMMYFUNCTION("GOOGLEFINANCE(""Currency:BRLPEN"")*D523"),1007.6572)</f>
        <v>1007.6572</v>
      </c>
      <c r="G523" s="2" t="str">
        <f t="array" ref="G523">_xlfn.XLOOKUP(B523,Vendedores!$A$2:$A$41,Vendedores!$B$2:$B$41,"No hay datos")</f>
        <v>No hay datos</v>
      </c>
      <c r="H523" s="2" t="str">
        <f t="array" ref="H523">_xlfn.XLOOKUP(B523,Vendedores!$A$2:$A$41,Vendedores!$C$2:$C$41,"No hay datos")</f>
        <v>No hay datos</v>
      </c>
      <c r="I523" s="2" t="str">
        <f t="array" ref="I523">_xlfn.XLOOKUP(B523,Vendedores!$A$2:$A$41,Vendedores!$D$2:$D$41,"No hay datos")</f>
        <v>No hay datos</v>
      </c>
      <c r="J523" s="2" t="str">
        <f t="array" ref="J523">_xlfn.XLOOKUP(A523,Productos!$A$2:$A$61,Productos!$B$2:$F$61)</f>
        <v>#N/A</v>
      </c>
    </row>
    <row r="524">
      <c r="A524" s="2" t="str">
        <f>IFERROR(__xludf.DUMMYFUNCTION("""COMPUTED_VALUE"""),"PR035")</f>
        <v>PR035</v>
      </c>
      <c r="B524" s="2" t="str">
        <f>IFERROR(__xludf.DUMMYFUNCTION("""COMPUTED_VALUE"""),"VD045")</f>
        <v>VD045</v>
      </c>
      <c r="C524" s="2">
        <f>IFERROR(__xludf.DUMMYFUNCTION("""COMPUTED_VALUE"""),6.0)</f>
        <v>6</v>
      </c>
      <c r="D524" s="6">
        <f>IFERROR(__xludf.DUMMYFUNCTION("""COMPUTED_VALUE"""),586.79)</f>
        <v>586.79</v>
      </c>
      <c r="E524" s="6">
        <f>IFERROR(__xludf.DUMMYFUNCTION("GOOGLEFINANCE(""Currency:BRLMXN"")*D524"),1993.3256299999998)</f>
        <v>1993.32563</v>
      </c>
      <c r="F524" s="6">
        <f>IFERROR(__xludf.DUMMYFUNCTION("GOOGLEFINANCE(""Currency:BRLPEN"")*D524"),384.69952399999994)</f>
        <v>384.699524</v>
      </c>
      <c r="G524" s="2" t="str">
        <f t="array" ref="G524">_xlfn.XLOOKUP(B524,Vendedores!$A$2:$A$41,Vendedores!$B$2:$B$41,"No hay datos")</f>
        <v>No hay datos</v>
      </c>
      <c r="H524" s="2" t="str">
        <f t="array" ref="H524">_xlfn.XLOOKUP(B524,Vendedores!$A$2:$A$41,Vendedores!$C$2:$C$41,"No hay datos")</f>
        <v>No hay datos</v>
      </c>
      <c r="I524" s="2" t="str">
        <f t="array" ref="I524">_xlfn.XLOOKUP(B524,Vendedores!$A$2:$A$41,Vendedores!$D$2:$D$41,"No hay datos")</f>
        <v>No hay datos</v>
      </c>
      <c r="J524" s="2" t="str">
        <f t="array" ref="J524">_xlfn.XLOOKUP(A524,Productos!$A$2:$A$61,Productos!$B$2:$F$61)</f>
        <v>#N/A</v>
      </c>
    </row>
    <row r="525">
      <c r="A525" s="2" t="str">
        <f>IFERROR(__xludf.DUMMYFUNCTION("""COMPUTED_VALUE"""),"PR008")</f>
        <v>PR008</v>
      </c>
      <c r="B525" s="2" t="str">
        <f>IFERROR(__xludf.DUMMYFUNCTION("""COMPUTED_VALUE"""),"VD015")</f>
        <v>VD015</v>
      </c>
      <c r="C525" s="2">
        <f>IFERROR(__xludf.DUMMYFUNCTION("""COMPUTED_VALUE"""),9.0)</f>
        <v>9</v>
      </c>
      <c r="D525" s="6">
        <f>IFERROR(__xludf.DUMMYFUNCTION("""COMPUTED_VALUE"""),809.1)</f>
        <v>809.1</v>
      </c>
      <c r="E525" s="6">
        <f>IFERROR(__xludf.DUMMYFUNCTION("GOOGLEFINANCE(""Currency:BRLMXN"")*D525"),2748.5126999999998)</f>
        <v>2748.5127</v>
      </c>
      <c r="F525" s="6">
        <f>IFERROR(__xludf.DUMMYFUNCTION("GOOGLEFINANCE(""Currency:BRLPEN"")*D525"),530.44596)</f>
        <v>530.44596</v>
      </c>
      <c r="G525" s="2" t="str">
        <f t="array" ref="G525">_xlfn.XLOOKUP(B525,Vendedores!$A$2:$A$41,Vendedores!$B$2:$B$41,"No hay datos")</f>
        <v>No hay datos</v>
      </c>
      <c r="H525" s="2" t="str">
        <f t="array" ref="H525">_xlfn.XLOOKUP(B525,Vendedores!$A$2:$A$41,Vendedores!$C$2:$C$41,"No hay datos")</f>
        <v>No hay datos</v>
      </c>
      <c r="I525" s="2" t="str">
        <f t="array" ref="I525">_xlfn.XLOOKUP(B525,Vendedores!$A$2:$A$41,Vendedores!$D$2:$D$41,"No hay datos")</f>
        <v>No hay datos</v>
      </c>
      <c r="J525" s="2" t="str">
        <f t="array" ref="J525">_xlfn.XLOOKUP(A525,Productos!$A$2:$A$61,Productos!$B$2:$F$61)</f>
        <v>#N/A</v>
      </c>
    </row>
    <row r="526">
      <c r="A526" s="2" t="str">
        <f>IFERROR(__xludf.DUMMYFUNCTION("""COMPUTED_VALUE"""),"PR037")</f>
        <v>PR037</v>
      </c>
      <c r="B526" s="2" t="str">
        <f>IFERROR(__xludf.DUMMYFUNCTION("""COMPUTED_VALUE"""),"VD045")</f>
        <v>VD045</v>
      </c>
      <c r="C526" s="2">
        <f>IFERROR(__xludf.DUMMYFUNCTION("""COMPUTED_VALUE"""),4.0)</f>
        <v>4</v>
      </c>
      <c r="D526" s="6">
        <f>IFERROR(__xludf.DUMMYFUNCTION("""COMPUTED_VALUE"""),571.2)</f>
        <v>571.2</v>
      </c>
      <c r="E526" s="6">
        <f>IFERROR(__xludf.DUMMYFUNCTION("GOOGLEFINANCE(""Currency:BRLMXN"")*D526"),1940.3664)</f>
        <v>1940.3664</v>
      </c>
      <c r="F526" s="6">
        <f>IFERROR(__xludf.DUMMYFUNCTION("GOOGLEFINANCE(""Currency:BRLPEN"")*D526"),374.47872)</f>
        <v>374.47872</v>
      </c>
      <c r="G526" s="2" t="str">
        <f t="array" ref="G526">_xlfn.XLOOKUP(B526,Vendedores!$A$2:$A$41,Vendedores!$B$2:$B$41,"No hay datos")</f>
        <v>No hay datos</v>
      </c>
      <c r="H526" s="2" t="str">
        <f t="array" ref="H526">_xlfn.XLOOKUP(B526,Vendedores!$A$2:$A$41,Vendedores!$C$2:$C$41,"No hay datos")</f>
        <v>No hay datos</v>
      </c>
      <c r="I526" s="2" t="str">
        <f t="array" ref="I526">_xlfn.XLOOKUP(B526,Vendedores!$A$2:$A$41,Vendedores!$D$2:$D$41,"No hay datos")</f>
        <v>No hay datos</v>
      </c>
      <c r="J526" s="2" t="str">
        <f t="array" ref="J526">_xlfn.XLOOKUP(A526,Productos!$A$2:$A$61,Productos!$B$2:$F$61)</f>
        <v>#N/A</v>
      </c>
    </row>
    <row r="527">
      <c r="A527" s="2" t="str">
        <f>IFERROR(__xludf.DUMMYFUNCTION("""COMPUTED_VALUE"""),"PR055")</f>
        <v>PR055</v>
      </c>
      <c r="B527" s="2" t="str">
        <f>IFERROR(__xludf.DUMMYFUNCTION("""COMPUTED_VALUE"""),"VD047")</f>
        <v>VD047</v>
      </c>
      <c r="C527" s="2">
        <f>IFERROR(__xludf.DUMMYFUNCTION("""COMPUTED_VALUE"""),9.0)</f>
        <v>9</v>
      </c>
      <c r="D527" s="6">
        <f>IFERROR(__xludf.DUMMYFUNCTION("""COMPUTED_VALUE"""),841.46)</f>
        <v>841.46</v>
      </c>
      <c r="E527" s="6">
        <f>IFERROR(__xludf.DUMMYFUNCTION("GOOGLEFINANCE(""Currency:BRLMXN"")*D527"),2858.43962)</f>
        <v>2858.43962</v>
      </c>
      <c r="F527" s="6">
        <f>IFERROR(__xludf.DUMMYFUNCTION("GOOGLEFINANCE(""Currency:BRLPEN"")*D527"),551.661176)</f>
        <v>551.661176</v>
      </c>
      <c r="G527" s="2" t="str">
        <f t="array" ref="G527">_xlfn.XLOOKUP(B527,Vendedores!$A$2:$A$41,Vendedores!$B$2:$B$41,"No hay datos")</f>
        <v>No hay datos</v>
      </c>
      <c r="H527" s="2" t="str">
        <f t="array" ref="H527">_xlfn.XLOOKUP(B527,Vendedores!$A$2:$A$41,Vendedores!$C$2:$C$41,"No hay datos")</f>
        <v>No hay datos</v>
      </c>
      <c r="I527" s="2" t="str">
        <f t="array" ref="I527">_xlfn.XLOOKUP(B527,Vendedores!$A$2:$A$41,Vendedores!$D$2:$D$41,"No hay datos")</f>
        <v>No hay datos</v>
      </c>
      <c r="J527" s="2" t="str">
        <f t="array" ref="J527">_xlfn.XLOOKUP(A527,Productos!$A$2:$A$61,Productos!$B$2:$F$61)</f>
        <v>#N/A</v>
      </c>
    </row>
    <row r="528">
      <c r="A528" s="2" t="str">
        <f>IFERROR(__xludf.DUMMYFUNCTION("""COMPUTED_VALUE"""),"PR022")</f>
        <v>PR022</v>
      </c>
      <c r="B528" s="2" t="str">
        <f>IFERROR(__xludf.DUMMYFUNCTION("""COMPUTED_VALUE"""),"VD034")</f>
        <v>VD034</v>
      </c>
      <c r="C528" s="2">
        <f>IFERROR(__xludf.DUMMYFUNCTION("""COMPUTED_VALUE"""),10.0)</f>
        <v>10</v>
      </c>
      <c r="D528" s="6">
        <f>IFERROR(__xludf.DUMMYFUNCTION("""COMPUTED_VALUE"""),3120.0)</f>
        <v>3120</v>
      </c>
      <c r="E528" s="6">
        <f>IFERROR(__xludf.DUMMYFUNCTION("GOOGLEFINANCE(""Currency:BRLMXN"")*D528"),10598.64)</f>
        <v>10598.64</v>
      </c>
      <c r="F528" s="6">
        <f>IFERROR(__xludf.DUMMYFUNCTION("GOOGLEFINANCE(""Currency:BRLPEN"")*D528"),2045.472)</f>
        <v>2045.472</v>
      </c>
      <c r="G528" s="2" t="str">
        <f t="array" ref="G528">_xlfn.XLOOKUP(B528,Vendedores!$A$2:$A$41,Vendedores!$B$2:$B$41,"No hay datos")</f>
        <v>No hay datos</v>
      </c>
      <c r="H528" s="2" t="str">
        <f t="array" ref="H528">_xlfn.XLOOKUP(B528,Vendedores!$A$2:$A$41,Vendedores!$C$2:$C$41,"No hay datos")</f>
        <v>No hay datos</v>
      </c>
      <c r="I528" s="2" t="str">
        <f t="array" ref="I528">_xlfn.XLOOKUP(B528,Vendedores!$A$2:$A$41,Vendedores!$D$2:$D$41,"No hay datos")</f>
        <v>No hay datos</v>
      </c>
      <c r="J528" s="2" t="str">
        <f t="array" ref="J528">_xlfn.XLOOKUP(A528,Productos!$A$2:$A$61,Productos!$B$2:$F$61)</f>
        <v>#N/A</v>
      </c>
    </row>
    <row r="529">
      <c r="A529" s="2" t="str">
        <f>IFERROR(__xludf.DUMMYFUNCTION("""COMPUTED_VALUE"""),"PR029")</f>
        <v>PR029</v>
      </c>
      <c r="B529" s="2" t="str">
        <f>IFERROR(__xludf.DUMMYFUNCTION("""COMPUTED_VALUE"""),"VD047")</f>
        <v>VD047</v>
      </c>
      <c r="C529" s="2">
        <f>IFERROR(__xludf.DUMMYFUNCTION("""COMPUTED_VALUE"""),4.0)</f>
        <v>4</v>
      </c>
      <c r="D529" s="6">
        <f>IFERROR(__xludf.DUMMYFUNCTION("""COMPUTED_VALUE"""),1030.2)</f>
        <v>1030.2</v>
      </c>
      <c r="E529" s="6">
        <f>IFERROR(__xludf.DUMMYFUNCTION("GOOGLEFINANCE(""Currency:BRLMXN"")*D529"),3499.5894)</f>
        <v>3499.5894</v>
      </c>
      <c r="F529" s="6">
        <f>IFERROR(__xludf.DUMMYFUNCTION("GOOGLEFINANCE(""Currency:BRLPEN"")*D529"),675.39912)</f>
        <v>675.39912</v>
      </c>
      <c r="G529" s="2" t="str">
        <f t="array" ref="G529">_xlfn.XLOOKUP(B529,Vendedores!$A$2:$A$41,Vendedores!$B$2:$B$41,"No hay datos")</f>
        <v>No hay datos</v>
      </c>
      <c r="H529" s="2" t="str">
        <f t="array" ref="H529">_xlfn.XLOOKUP(B529,Vendedores!$A$2:$A$41,Vendedores!$C$2:$C$41,"No hay datos")</f>
        <v>No hay datos</v>
      </c>
      <c r="I529" s="2" t="str">
        <f t="array" ref="I529">_xlfn.XLOOKUP(B529,Vendedores!$A$2:$A$41,Vendedores!$D$2:$D$41,"No hay datos")</f>
        <v>No hay datos</v>
      </c>
      <c r="J529" s="2" t="str">
        <f t="array" ref="J529">_xlfn.XLOOKUP(A529,Productos!$A$2:$A$61,Productos!$B$2:$F$61)</f>
        <v>#N/A</v>
      </c>
    </row>
    <row r="530">
      <c r="A530" s="2" t="str">
        <f>IFERROR(__xludf.DUMMYFUNCTION("""COMPUTED_VALUE"""),"PR006")</f>
        <v>PR006</v>
      </c>
      <c r="B530" s="2" t="str">
        <f>IFERROR(__xludf.DUMMYFUNCTION("""COMPUTED_VALUE"""),"VD010")</f>
        <v>VD010</v>
      </c>
      <c r="C530" s="2">
        <f>IFERROR(__xludf.DUMMYFUNCTION("""COMPUTED_VALUE"""),10.0)</f>
        <v>10</v>
      </c>
      <c r="D530" s="6">
        <f>IFERROR(__xludf.DUMMYFUNCTION("""COMPUTED_VALUE"""),430.92)</f>
        <v>430.92</v>
      </c>
      <c r="E530" s="6">
        <f>IFERROR(__xludf.DUMMYFUNCTION("GOOGLEFINANCE(""Currency:BRLMXN"")*D530"),1463.8352399999999)</f>
        <v>1463.83524</v>
      </c>
      <c r="F530" s="6">
        <f>IFERROR(__xludf.DUMMYFUNCTION("GOOGLEFINANCE(""Currency:BRLPEN"")*D530"),282.511152)</f>
        <v>282.511152</v>
      </c>
      <c r="G530" s="2" t="str">
        <f t="array" ref="G530">_xlfn.XLOOKUP(B530,Vendedores!$A$2:$A$41,Vendedores!$B$2:$B$41,"No hay datos")</f>
        <v>No hay datos</v>
      </c>
      <c r="H530" s="2" t="str">
        <f t="array" ref="H530">_xlfn.XLOOKUP(B530,Vendedores!$A$2:$A$41,Vendedores!$C$2:$C$41,"No hay datos")</f>
        <v>No hay datos</v>
      </c>
      <c r="I530" s="2" t="str">
        <f t="array" ref="I530">_xlfn.XLOOKUP(B530,Vendedores!$A$2:$A$41,Vendedores!$D$2:$D$41,"No hay datos")</f>
        <v>No hay datos</v>
      </c>
      <c r="J530" s="2" t="str">
        <f t="array" ref="J530">_xlfn.XLOOKUP(A530,Productos!$A$2:$A$61,Productos!$B$2:$F$61)</f>
        <v>#N/A</v>
      </c>
    </row>
    <row r="531">
      <c r="A531" s="2" t="str">
        <f>IFERROR(__xludf.DUMMYFUNCTION("""COMPUTED_VALUE"""),"PR003")</f>
        <v>PR003</v>
      </c>
      <c r="B531" s="2" t="str">
        <f>IFERROR(__xludf.DUMMYFUNCTION("""COMPUTED_VALUE"""),"VD017")</f>
        <v>VD017</v>
      </c>
      <c r="C531" s="2">
        <f>IFERROR(__xludf.DUMMYFUNCTION("""COMPUTED_VALUE"""),12.0)</f>
        <v>12</v>
      </c>
      <c r="D531" s="6">
        <f>IFERROR(__xludf.DUMMYFUNCTION("""COMPUTED_VALUE"""),935.88)</f>
        <v>935.88</v>
      </c>
      <c r="E531" s="6">
        <f>IFERROR(__xludf.DUMMYFUNCTION("GOOGLEFINANCE(""Currency:BRLMXN"")*D531"),3179.1843599999997)</f>
        <v>3179.18436</v>
      </c>
      <c r="F531" s="6">
        <f>IFERROR(__xludf.DUMMYFUNCTION("GOOGLEFINANCE(""Currency:BRLPEN"")*D531"),613.5629279999999)</f>
        <v>613.562928</v>
      </c>
      <c r="G531" s="2" t="str">
        <f t="array" ref="G531">_xlfn.XLOOKUP(B531,Vendedores!$A$2:$A$41,Vendedores!$B$2:$B$41,"No hay datos")</f>
        <v>No hay datos</v>
      </c>
      <c r="H531" s="2" t="str">
        <f t="array" ref="H531">_xlfn.XLOOKUP(B531,Vendedores!$A$2:$A$41,Vendedores!$C$2:$C$41,"No hay datos")</f>
        <v>No hay datos</v>
      </c>
      <c r="I531" s="2" t="str">
        <f t="array" ref="I531">_xlfn.XLOOKUP(B531,Vendedores!$A$2:$A$41,Vendedores!$D$2:$D$41,"No hay datos")</f>
        <v>No hay datos</v>
      </c>
      <c r="J531" s="2" t="str">
        <f t="array" ref="J531">_xlfn.XLOOKUP(A531,Productos!$A$2:$A$61,Productos!$B$2:$F$61)</f>
        <v>#N/A</v>
      </c>
    </row>
    <row r="532">
      <c r="A532" s="2" t="str">
        <f>IFERROR(__xludf.DUMMYFUNCTION("""COMPUTED_VALUE"""),"PR017")</f>
        <v>PR017</v>
      </c>
      <c r="B532" s="2" t="str">
        <f>IFERROR(__xludf.DUMMYFUNCTION("""COMPUTED_VALUE"""),"VD025")</f>
        <v>VD025</v>
      </c>
      <c r="C532" s="2">
        <f>IFERROR(__xludf.DUMMYFUNCTION("""COMPUTED_VALUE"""),1.0)</f>
        <v>1</v>
      </c>
      <c r="D532" s="6">
        <f>IFERROR(__xludf.DUMMYFUNCTION("""COMPUTED_VALUE"""),29.9)</f>
        <v>29.9</v>
      </c>
      <c r="E532" s="6">
        <f>IFERROR(__xludf.DUMMYFUNCTION("GOOGLEFINANCE(""Currency:BRLMXN"")*D532"),101.57029999999999)</f>
        <v>101.5703</v>
      </c>
      <c r="F532" s="6">
        <f>IFERROR(__xludf.DUMMYFUNCTION("GOOGLEFINANCE(""Currency:BRLPEN"")*D532"),19.602439999999998)</f>
        <v>19.60244</v>
      </c>
      <c r="G532" s="2" t="str">
        <f t="array" ref="G532">_xlfn.XLOOKUP(B532,Vendedores!$A$2:$A$41,Vendedores!$B$2:$B$41,"No hay datos")</f>
        <v>No hay datos</v>
      </c>
      <c r="H532" s="2" t="str">
        <f t="array" ref="H532">_xlfn.XLOOKUP(B532,Vendedores!$A$2:$A$41,Vendedores!$C$2:$C$41,"No hay datos")</f>
        <v>No hay datos</v>
      </c>
      <c r="I532" s="2" t="str">
        <f t="array" ref="I532">_xlfn.XLOOKUP(B532,Vendedores!$A$2:$A$41,Vendedores!$D$2:$D$41,"No hay datos")</f>
        <v>No hay datos</v>
      </c>
      <c r="J532" s="2" t="str">
        <f t="array" ref="J532">_xlfn.XLOOKUP(A532,Productos!$A$2:$A$61,Productos!$B$2:$F$61)</f>
        <v>#N/A</v>
      </c>
    </row>
    <row r="533">
      <c r="A533" s="2" t="str">
        <f>IFERROR(__xludf.DUMMYFUNCTION("""COMPUTED_VALUE"""),"PR037")</f>
        <v>PR037</v>
      </c>
      <c r="B533" s="2" t="str">
        <f>IFERROR(__xludf.DUMMYFUNCTION("""COMPUTED_VALUE"""),"VD027")</f>
        <v>VD027</v>
      </c>
      <c r="C533" s="2">
        <f>IFERROR(__xludf.DUMMYFUNCTION("""COMPUTED_VALUE"""),20.0)</f>
        <v>20</v>
      </c>
      <c r="D533" s="6">
        <f>IFERROR(__xludf.DUMMYFUNCTION("""COMPUTED_VALUE"""),2912.0)</f>
        <v>2912</v>
      </c>
      <c r="E533" s="6">
        <f>IFERROR(__xludf.DUMMYFUNCTION("GOOGLEFINANCE(""Currency:BRLMXN"")*D533"),9892.064)</f>
        <v>9892.064</v>
      </c>
      <c r="F533" s="6">
        <f>IFERROR(__xludf.DUMMYFUNCTION("GOOGLEFINANCE(""Currency:BRLPEN"")*D533"),1909.1072)</f>
        <v>1909.1072</v>
      </c>
      <c r="G533" s="2" t="str">
        <f t="array" ref="G533">_xlfn.XLOOKUP(B533,Vendedores!$A$2:$A$41,Vendedores!$B$2:$B$41,"No hay datos")</f>
        <v>No hay datos</v>
      </c>
      <c r="H533" s="2" t="str">
        <f t="array" ref="H533">_xlfn.XLOOKUP(B533,Vendedores!$A$2:$A$41,Vendedores!$C$2:$C$41,"No hay datos")</f>
        <v>No hay datos</v>
      </c>
      <c r="I533" s="2" t="str">
        <f t="array" ref="I533">_xlfn.XLOOKUP(B533,Vendedores!$A$2:$A$41,Vendedores!$D$2:$D$41,"No hay datos")</f>
        <v>No hay datos</v>
      </c>
      <c r="J533" s="2" t="str">
        <f t="array" ref="J533">_xlfn.XLOOKUP(A533,Productos!$A$2:$A$61,Productos!$B$2:$F$61)</f>
        <v>#N/A</v>
      </c>
    </row>
    <row r="534">
      <c r="A534" s="2" t="str">
        <f>IFERROR(__xludf.DUMMYFUNCTION("""COMPUTED_VALUE"""),"PR024")</f>
        <v>PR024</v>
      </c>
      <c r="B534" s="2" t="str">
        <f>IFERROR(__xludf.DUMMYFUNCTION("""COMPUTED_VALUE"""),"VD035")</f>
        <v>VD035</v>
      </c>
      <c r="C534" s="2">
        <f>IFERROR(__xludf.DUMMYFUNCTION("""COMPUTED_VALUE"""),8.0)</f>
        <v>8</v>
      </c>
      <c r="D534" s="6">
        <f>IFERROR(__xludf.DUMMYFUNCTION("""COMPUTED_VALUE"""),2183.16)</f>
        <v>2183.16</v>
      </c>
      <c r="E534" s="6">
        <f>IFERROR(__xludf.DUMMYFUNCTION("GOOGLEFINANCE(""Currency:BRLMXN"")*D534"),7416.194519999999)</f>
        <v>7416.19452</v>
      </c>
      <c r="F534" s="6">
        <f>IFERROR(__xludf.DUMMYFUNCTION("GOOGLEFINANCE(""Currency:BRLPEN"")*D534"),1431.2796959999998)</f>
        <v>1431.279696</v>
      </c>
      <c r="G534" s="2" t="str">
        <f t="array" ref="G534">_xlfn.XLOOKUP(B534,Vendedores!$A$2:$A$41,Vendedores!$B$2:$B$41,"No hay datos")</f>
        <v>No hay datos</v>
      </c>
      <c r="H534" s="2" t="str">
        <f t="array" ref="H534">_xlfn.XLOOKUP(B534,Vendedores!$A$2:$A$41,Vendedores!$C$2:$C$41,"No hay datos")</f>
        <v>No hay datos</v>
      </c>
      <c r="I534" s="2" t="str">
        <f t="array" ref="I534">_xlfn.XLOOKUP(B534,Vendedores!$A$2:$A$41,Vendedores!$D$2:$D$41,"No hay datos")</f>
        <v>No hay datos</v>
      </c>
      <c r="J534" s="2" t="str">
        <f t="array" ref="J534">_xlfn.XLOOKUP(A534,Productos!$A$2:$A$61,Productos!$B$2:$F$61)</f>
        <v>#N/A</v>
      </c>
    </row>
    <row r="535">
      <c r="A535" s="2" t="str">
        <f>IFERROR(__xludf.DUMMYFUNCTION("""COMPUTED_VALUE"""),"PR006")</f>
        <v>PR006</v>
      </c>
      <c r="B535" s="2" t="str">
        <f>IFERROR(__xludf.DUMMYFUNCTION("""COMPUTED_VALUE"""),"VD022")</f>
        <v>VD022</v>
      </c>
      <c r="C535" s="2">
        <f>IFERROR(__xludf.DUMMYFUNCTION("""COMPUTED_VALUE"""),18.0)</f>
        <v>18</v>
      </c>
      <c r="D535" s="6">
        <f>IFERROR(__xludf.DUMMYFUNCTION("""COMPUTED_VALUE"""),725.38)</f>
        <v>725.38</v>
      </c>
      <c r="E535" s="6">
        <f>IFERROR(__xludf.DUMMYFUNCTION("GOOGLEFINANCE(""Currency:BRLMXN"")*D535"),2464.11586)</f>
        <v>2464.11586</v>
      </c>
      <c r="F535" s="6">
        <f>IFERROR(__xludf.DUMMYFUNCTION("GOOGLEFINANCE(""Currency:BRLPEN"")*D535"),475.559128)</f>
        <v>475.559128</v>
      </c>
      <c r="G535" s="2" t="str">
        <f t="array" ref="G535">_xlfn.XLOOKUP(B535,Vendedores!$A$2:$A$41,Vendedores!$B$2:$B$41,"No hay datos")</f>
        <v>No hay datos</v>
      </c>
      <c r="H535" s="2" t="str">
        <f t="array" ref="H535">_xlfn.XLOOKUP(B535,Vendedores!$A$2:$A$41,Vendedores!$C$2:$C$41,"No hay datos")</f>
        <v>No hay datos</v>
      </c>
      <c r="I535" s="2" t="str">
        <f t="array" ref="I535">_xlfn.XLOOKUP(B535,Vendedores!$A$2:$A$41,Vendedores!$D$2:$D$41,"No hay datos")</f>
        <v>No hay datos</v>
      </c>
      <c r="J535" s="2" t="str">
        <f t="array" ref="J535">_xlfn.XLOOKUP(A535,Productos!$A$2:$A$61,Productos!$B$2:$F$61)</f>
        <v>#N/A</v>
      </c>
    </row>
    <row r="536">
      <c r="A536" s="2" t="str">
        <f>IFERROR(__xludf.DUMMYFUNCTION("""COMPUTED_VALUE"""),"PR051")</f>
        <v>PR051</v>
      </c>
      <c r="B536" s="2" t="str">
        <f>IFERROR(__xludf.DUMMYFUNCTION("""COMPUTED_VALUE"""),"VD027")</f>
        <v>VD027</v>
      </c>
      <c r="C536" s="2">
        <f>IFERROR(__xludf.DUMMYFUNCTION("""COMPUTED_VALUE"""),18.0)</f>
        <v>18</v>
      </c>
      <c r="D536" s="6">
        <f>IFERROR(__xludf.DUMMYFUNCTION("""COMPUTED_VALUE"""),633.65)</f>
        <v>633.65</v>
      </c>
      <c r="E536" s="6">
        <f>IFERROR(__xludf.DUMMYFUNCTION("GOOGLEFINANCE(""Currency:BRLMXN"")*D536"),2152.5090499999997)</f>
        <v>2152.50905</v>
      </c>
      <c r="F536" s="6">
        <f>IFERROR(__xludf.DUMMYFUNCTION("GOOGLEFINANCE(""Currency:BRLPEN"")*D536"),415.42094)</f>
        <v>415.42094</v>
      </c>
      <c r="G536" s="2" t="str">
        <f t="array" ref="G536">_xlfn.XLOOKUP(B536,Vendedores!$A$2:$A$41,Vendedores!$B$2:$B$41,"No hay datos")</f>
        <v>No hay datos</v>
      </c>
      <c r="H536" s="2" t="str">
        <f t="array" ref="H536">_xlfn.XLOOKUP(B536,Vendedores!$A$2:$A$41,Vendedores!$C$2:$C$41,"No hay datos")</f>
        <v>No hay datos</v>
      </c>
      <c r="I536" s="2" t="str">
        <f t="array" ref="I536">_xlfn.XLOOKUP(B536,Vendedores!$A$2:$A$41,Vendedores!$D$2:$D$41,"No hay datos")</f>
        <v>No hay datos</v>
      </c>
      <c r="J536" s="2" t="str">
        <f t="array" ref="J536">_xlfn.XLOOKUP(A536,Productos!$A$2:$A$61,Productos!$B$2:$F$61)</f>
        <v>#N/A</v>
      </c>
    </row>
    <row r="537">
      <c r="A537" s="2" t="str">
        <f>IFERROR(__xludf.DUMMYFUNCTION("""COMPUTED_VALUE"""),"PR057")</f>
        <v>PR057</v>
      </c>
      <c r="B537" s="2" t="str">
        <f>IFERROR(__xludf.DUMMYFUNCTION("""COMPUTED_VALUE"""),"VD019")</f>
        <v>VD019</v>
      </c>
      <c r="C537" s="2">
        <f>IFERROR(__xludf.DUMMYFUNCTION("""COMPUTED_VALUE"""),16.0)</f>
        <v>16</v>
      </c>
      <c r="D537" s="6">
        <f>IFERROR(__xludf.DUMMYFUNCTION("""COMPUTED_VALUE"""),1539.09)</f>
        <v>1539.09</v>
      </c>
      <c r="E537" s="6">
        <f>IFERROR(__xludf.DUMMYFUNCTION("GOOGLEFINANCE(""Currency:BRLMXN"")*D537"),5228.288729999999)</f>
        <v>5228.28873</v>
      </c>
      <c r="F537" s="6">
        <f>IFERROR(__xludf.DUMMYFUNCTION("GOOGLEFINANCE(""Currency:BRLPEN"")*D537"),1009.0274039999999)</f>
        <v>1009.027404</v>
      </c>
      <c r="G537" s="2" t="str">
        <f t="array" ref="G537">_xlfn.XLOOKUP(B537,Vendedores!$A$2:$A$41,Vendedores!$B$2:$B$41,"No hay datos")</f>
        <v>No hay datos</v>
      </c>
      <c r="H537" s="2" t="str">
        <f t="array" ref="H537">_xlfn.XLOOKUP(B537,Vendedores!$A$2:$A$41,Vendedores!$C$2:$C$41,"No hay datos")</f>
        <v>No hay datos</v>
      </c>
      <c r="I537" s="2" t="str">
        <f t="array" ref="I537">_xlfn.XLOOKUP(B537,Vendedores!$A$2:$A$41,Vendedores!$D$2:$D$41,"No hay datos")</f>
        <v>No hay datos</v>
      </c>
      <c r="J537" s="2" t="str">
        <f t="array" ref="J537">_xlfn.XLOOKUP(A537,Productos!$A$2:$A$61,Productos!$B$2:$F$61)</f>
        <v>#N/A</v>
      </c>
    </row>
    <row r="538">
      <c r="A538" s="2" t="str">
        <f>IFERROR(__xludf.DUMMYFUNCTION("""COMPUTED_VALUE"""),"PR004")</f>
        <v>PR004</v>
      </c>
      <c r="B538" s="2" t="str">
        <f>IFERROR(__xludf.DUMMYFUNCTION("""COMPUTED_VALUE"""),"VD037")</f>
        <v>VD037</v>
      </c>
      <c r="C538" s="2">
        <f>IFERROR(__xludf.DUMMYFUNCTION("""COMPUTED_VALUE"""),16.0)</f>
        <v>16</v>
      </c>
      <c r="D538" s="6">
        <f>IFERROR(__xludf.DUMMYFUNCTION("""COMPUTED_VALUE"""),2343.2)</f>
        <v>2343.2</v>
      </c>
      <c r="E538" s="6">
        <f>IFERROR(__xludf.DUMMYFUNCTION("GOOGLEFINANCE(""Currency:BRLMXN"")*D538"),7959.850399999999)</f>
        <v>7959.8504</v>
      </c>
      <c r="F538" s="6">
        <f>IFERROR(__xludf.DUMMYFUNCTION("GOOGLEFINANCE(""Currency:BRLPEN"")*D538"),1536.2019199999997)</f>
        <v>1536.20192</v>
      </c>
      <c r="G538" s="2" t="str">
        <f t="array" ref="G538">_xlfn.XLOOKUP(B538,Vendedores!$A$2:$A$41,Vendedores!$B$2:$B$41,"No hay datos")</f>
        <v>No hay datos</v>
      </c>
      <c r="H538" s="2" t="str">
        <f t="array" ref="H538">_xlfn.XLOOKUP(B538,Vendedores!$A$2:$A$41,Vendedores!$C$2:$C$41,"No hay datos")</f>
        <v>No hay datos</v>
      </c>
      <c r="I538" s="2" t="str">
        <f t="array" ref="I538">_xlfn.XLOOKUP(B538,Vendedores!$A$2:$A$41,Vendedores!$D$2:$D$41,"No hay datos")</f>
        <v>No hay datos</v>
      </c>
      <c r="J538" s="2" t="str">
        <f t="array" ref="J538">_xlfn.XLOOKUP(A538,Productos!$A$2:$A$61,Productos!$B$2:$F$61)</f>
        <v>#N/A</v>
      </c>
    </row>
    <row r="539">
      <c r="A539" s="2" t="str">
        <f>IFERROR(__xludf.DUMMYFUNCTION("""COMPUTED_VALUE"""),"PR046")</f>
        <v>PR046</v>
      </c>
      <c r="B539" s="2" t="str">
        <f>IFERROR(__xludf.DUMMYFUNCTION("""COMPUTED_VALUE"""),"VD041")</f>
        <v>VD041</v>
      </c>
      <c r="C539" s="2">
        <f>IFERROR(__xludf.DUMMYFUNCTION("""COMPUTED_VALUE"""),2.0)</f>
        <v>2</v>
      </c>
      <c r="D539" s="6">
        <f>IFERROR(__xludf.DUMMYFUNCTION("""COMPUTED_VALUE"""),614.59)</f>
        <v>614.59</v>
      </c>
      <c r="E539" s="6">
        <f>IFERROR(__xludf.DUMMYFUNCTION("GOOGLEFINANCE(""Currency:BRLMXN"")*D539"),2087.76223)</f>
        <v>2087.76223</v>
      </c>
      <c r="F539" s="6">
        <f>IFERROR(__xludf.DUMMYFUNCTION("GOOGLEFINANCE(""Currency:BRLPEN"")*D539"),402.925204)</f>
        <v>402.925204</v>
      </c>
      <c r="G539" s="2" t="str">
        <f t="array" ref="G539">_xlfn.XLOOKUP(B539,Vendedores!$A$2:$A$41,Vendedores!$B$2:$B$41,"No hay datos")</f>
        <v>No hay datos</v>
      </c>
      <c r="H539" s="2" t="str">
        <f t="array" ref="H539">_xlfn.XLOOKUP(B539,Vendedores!$A$2:$A$41,Vendedores!$C$2:$C$41,"No hay datos")</f>
        <v>No hay datos</v>
      </c>
      <c r="I539" s="2" t="str">
        <f t="array" ref="I539">_xlfn.XLOOKUP(B539,Vendedores!$A$2:$A$41,Vendedores!$D$2:$D$41,"No hay datos")</f>
        <v>No hay datos</v>
      </c>
      <c r="J539" s="2" t="str">
        <f t="array" ref="J539">_xlfn.XLOOKUP(A539,Productos!$A$2:$A$61,Productos!$B$2:$F$61)</f>
        <v>#N/A</v>
      </c>
    </row>
    <row r="540">
      <c r="A540" s="2" t="str">
        <f>IFERROR(__xludf.DUMMYFUNCTION("""COMPUTED_VALUE"""),"PR030")</f>
        <v>PR030</v>
      </c>
      <c r="B540" s="2" t="str">
        <f>IFERROR(__xludf.DUMMYFUNCTION("""COMPUTED_VALUE"""),"VD015")</f>
        <v>VD015</v>
      </c>
      <c r="C540" s="2">
        <f>IFERROR(__xludf.DUMMYFUNCTION("""COMPUTED_VALUE"""),1.0)</f>
        <v>1</v>
      </c>
      <c r="D540" s="6">
        <f>IFERROR(__xludf.DUMMYFUNCTION("""COMPUTED_VALUE"""),265.1)</f>
        <v>265.1</v>
      </c>
      <c r="E540" s="6">
        <f>IFERROR(__xludf.DUMMYFUNCTION("GOOGLEFINANCE(""Currency:BRLMXN"")*D540"),900.5447)</f>
        <v>900.5447</v>
      </c>
      <c r="F540" s="6">
        <f>IFERROR(__xludf.DUMMYFUNCTION("GOOGLEFINANCE(""Currency:BRLPEN"")*D540"),173.79956)</f>
        <v>173.79956</v>
      </c>
      <c r="G540" s="2" t="str">
        <f t="array" ref="G540">_xlfn.XLOOKUP(B540,Vendedores!$A$2:$A$41,Vendedores!$B$2:$B$41,"No hay datos")</f>
        <v>No hay datos</v>
      </c>
      <c r="H540" s="2" t="str">
        <f t="array" ref="H540">_xlfn.XLOOKUP(B540,Vendedores!$A$2:$A$41,Vendedores!$C$2:$C$41,"No hay datos")</f>
        <v>No hay datos</v>
      </c>
      <c r="I540" s="2" t="str">
        <f t="array" ref="I540">_xlfn.XLOOKUP(B540,Vendedores!$A$2:$A$41,Vendedores!$D$2:$D$41,"No hay datos")</f>
        <v>No hay datos</v>
      </c>
      <c r="J540" s="2" t="str">
        <f t="array" ref="J540">_xlfn.XLOOKUP(A540,Productos!$A$2:$A$61,Productos!$B$2:$F$61)</f>
        <v>#N/A</v>
      </c>
    </row>
    <row r="541">
      <c r="A541" s="2" t="str">
        <f>IFERROR(__xludf.DUMMYFUNCTION("""COMPUTED_VALUE"""),"PR010")</f>
        <v>PR010</v>
      </c>
      <c r="B541" s="2" t="str">
        <f>IFERROR(__xludf.DUMMYFUNCTION("""COMPUTED_VALUE"""),"VD029")</f>
        <v>VD029</v>
      </c>
      <c r="C541" s="2">
        <f>IFERROR(__xludf.DUMMYFUNCTION("""COMPUTED_VALUE"""),5.0)</f>
        <v>5</v>
      </c>
      <c r="D541" s="6">
        <f>IFERROR(__xludf.DUMMYFUNCTION("""COMPUTED_VALUE"""),240.22)</f>
        <v>240.22</v>
      </c>
      <c r="E541" s="6">
        <f>IFERROR(__xludf.DUMMYFUNCTION("GOOGLEFINANCE(""Currency:BRLMXN"")*D541"),816.02734)</f>
        <v>816.02734</v>
      </c>
      <c r="F541" s="6">
        <f>IFERROR(__xludf.DUMMYFUNCTION("GOOGLEFINANCE(""Currency:BRLPEN"")*D541"),157.48823199999998)</f>
        <v>157.488232</v>
      </c>
      <c r="G541" s="2" t="str">
        <f t="array" ref="G541">_xlfn.XLOOKUP(B541,Vendedores!$A$2:$A$41,Vendedores!$B$2:$B$41,"No hay datos")</f>
        <v>No hay datos</v>
      </c>
      <c r="H541" s="2" t="str">
        <f t="array" ref="H541">_xlfn.XLOOKUP(B541,Vendedores!$A$2:$A$41,Vendedores!$C$2:$C$41,"No hay datos")</f>
        <v>No hay datos</v>
      </c>
      <c r="I541" s="2" t="str">
        <f t="array" ref="I541">_xlfn.XLOOKUP(B541,Vendedores!$A$2:$A$41,Vendedores!$D$2:$D$41,"No hay datos")</f>
        <v>No hay datos</v>
      </c>
      <c r="J541" s="2" t="str">
        <f t="array" ref="J541">_xlfn.XLOOKUP(A541,Productos!$A$2:$A$61,Productos!$B$2:$F$61)</f>
        <v>#N/A</v>
      </c>
    </row>
    <row r="542">
      <c r="A542" s="2" t="str">
        <f>IFERROR(__xludf.DUMMYFUNCTION("""COMPUTED_VALUE"""),"PR028")</f>
        <v>PR028</v>
      </c>
      <c r="B542" s="2" t="str">
        <f>IFERROR(__xludf.DUMMYFUNCTION("""COMPUTED_VALUE"""),"VD034")</f>
        <v>VD034</v>
      </c>
      <c r="C542" s="2">
        <f>IFERROR(__xludf.DUMMYFUNCTION("""COMPUTED_VALUE"""),8.0)</f>
        <v>8</v>
      </c>
      <c r="D542" s="6">
        <f>IFERROR(__xludf.DUMMYFUNCTION("""COMPUTED_VALUE"""),2179.13)</f>
        <v>2179.13</v>
      </c>
      <c r="E542" s="6">
        <f>IFERROR(__xludf.DUMMYFUNCTION("GOOGLEFINANCE(""Currency:BRLMXN"")*D542"),7402.50461)</f>
        <v>7402.50461</v>
      </c>
      <c r="F542" s="6">
        <f>IFERROR(__xludf.DUMMYFUNCTION("GOOGLEFINANCE(""Currency:BRLPEN"")*D542"),1428.637628)</f>
        <v>1428.637628</v>
      </c>
      <c r="G542" s="2" t="str">
        <f t="array" ref="G542">_xlfn.XLOOKUP(B542,Vendedores!$A$2:$A$41,Vendedores!$B$2:$B$41,"No hay datos")</f>
        <v>No hay datos</v>
      </c>
      <c r="H542" s="2" t="str">
        <f t="array" ref="H542">_xlfn.XLOOKUP(B542,Vendedores!$A$2:$A$41,Vendedores!$C$2:$C$41,"No hay datos")</f>
        <v>No hay datos</v>
      </c>
      <c r="I542" s="2" t="str">
        <f t="array" ref="I542">_xlfn.XLOOKUP(B542,Vendedores!$A$2:$A$41,Vendedores!$D$2:$D$41,"No hay datos")</f>
        <v>No hay datos</v>
      </c>
      <c r="J542" s="2" t="str">
        <f t="array" ref="J542">_xlfn.XLOOKUP(A542,Productos!$A$2:$A$61,Productos!$B$2:$F$61)</f>
        <v>#N/A</v>
      </c>
    </row>
    <row r="543">
      <c r="A543" s="2" t="str">
        <f>IFERROR(__xludf.DUMMYFUNCTION("""COMPUTED_VALUE"""),"PR059")</f>
        <v>PR059</v>
      </c>
      <c r="B543" s="2" t="str">
        <f>IFERROR(__xludf.DUMMYFUNCTION("""COMPUTED_VALUE"""),"VD042")</f>
        <v>VD042</v>
      </c>
      <c r="C543" s="2">
        <f>IFERROR(__xludf.DUMMYFUNCTION("""COMPUTED_VALUE"""),14.0)</f>
        <v>14</v>
      </c>
      <c r="D543" s="6">
        <f>IFERROR(__xludf.DUMMYFUNCTION("""COMPUTED_VALUE"""),2671.2)</f>
        <v>2671.2</v>
      </c>
      <c r="E543" s="6">
        <f>IFERROR(__xludf.DUMMYFUNCTION("GOOGLEFINANCE(""Currency:BRLMXN"")*D543"),9074.0664)</f>
        <v>9074.0664</v>
      </c>
      <c r="F543" s="6">
        <f>IFERROR(__xludf.DUMMYFUNCTION("GOOGLEFINANCE(""Currency:BRLPEN"")*D543"),1751.2387199999998)</f>
        <v>1751.23872</v>
      </c>
      <c r="G543" s="2" t="str">
        <f t="array" ref="G543">_xlfn.XLOOKUP(B543,Vendedores!$A$2:$A$41,Vendedores!$B$2:$B$41,"No hay datos")</f>
        <v>No hay datos</v>
      </c>
      <c r="H543" s="2" t="str">
        <f t="array" ref="H543">_xlfn.XLOOKUP(B543,Vendedores!$A$2:$A$41,Vendedores!$C$2:$C$41,"No hay datos")</f>
        <v>No hay datos</v>
      </c>
      <c r="I543" s="2" t="str">
        <f t="array" ref="I543">_xlfn.XLOOKUP(B543,Vendedores!$A$2:$A$41,Vendedores!$D$2:$D$41,"No hay datos")</f>
        <v>No hay datos</v>
      </c>
      <c r="J543" s="2" t="str">
        <f t="array" ref="J543">_xlfn.XLOOKUP(A543,Productos!$A$2:$A$61,Productos!$B$2:$F$61)</f>
        <v>#N/A</v>
      </c>
    </row>
    <row r="544">
      <c r="A544" s="2" t="str">
        <f>IFERROR(__xludf.DUMMYFUNCTION("""COMPUTED_VALUE"""),"PR033")</f>
        <v>PR033</v>
      </c>
      <c r="B544" s="2" t="str">
        <f>IFERROR(__xludf.DUMMYFUNCTION("""COMPUTED_VALUE"""),"VD019")</f>
        <v>VD019</v>
      </c>
      <c r="C544" s="2">
        <f>IFERROR(__xludf.DUMMYFUNCTION("""COMPUTED_VALUE"""),8.0)</f>
        <v>8</v>
      </c>
      <c r="D544" s="6">
        <f>IFERROR(__xludf.DUMMYFUNCTION("""COMPUTED_VALUE"""),2224.74)</f>
        <v>2224.74</v>
      </c>
      <c r="E544" s="6">
        <f>IFERROR(__xludf.DUMMYFUNCTION("GOOGLEFINANCE(""Currency:BRLMXN"")*D544"),7557.441779999999)</f>
        <v>7557.44178</v>
      </c>
      <c r="F544" s="6">
        <f>IFERROR(__xludf.DUMMYFUNCTION("GOOGLEFINANCE(""Currency:BRLPEN"")*D544"),1458.5395439999998)</f>
        <v>1458.539544</v>
      </c>
      <c r="G544" s="2" t="str">
        <f t="array" ref="G544">_xlfn.XLOOKUP(B544,Vendedores!$A$2:$A$41,Vendedores!$B$2:$B$41,"No hay datos")</f>
        <v>No hay datos</v>
      </c>
      <c r="H544" s="2" t="str">
        <f t="array" ref="H544">_xlfn.XLOOKUP(B544,Vendedores!$A$2:$A$41,Vendedores!$C$2:$C$41,"No hay datos")</f>
        <v>No hay datos</v>
      </c>
      <c r="I544" s="2" t="str">
        <f t="array" ref="I544">_xlfn.XLOOKUP(B544,Vendedores!$A$2:$A$41,Vendedores!$D$2:$D$41,"No hay datos")</f>
        <v>No hay datos</v>
      </c>
      <c r="J544" s="2" t="str">
        <f t="array" ref="J544">_xlfn.XLOOKUP(A544,Productos!$A$2:$A$61,Productos!$B$2:$F$61)</f>
        <v>#N/A</v>
      </c>
    </row>
    <row r="545">
      <c r="A545" s="2" t="str">
        <f>IFERROR(__xludf.DUMMYFUNCTION("""COMPUTED_VALUE"""),"PR054")</f>
        <v>PR054</v>
      </c>
      <c r="B545" s="2" t="str">
        <f>IFERROR(__xludf.DUMMYFUNCTION("""COMPUTED_VALUE"""),"VD018")</f>
        <v>VD018</v>
      </c>
      <c r="C545" s="2">
        <f>IFERROR(__xludf.DUMMYFUNCTION("""COMPUTED_VALUE"""),16.0)</f>
        <v>16</v>
      </c>
      <c r="D545" s="6">
        <f>IFERROR(__xludf.DUMMYFUNCTION("""COMPUTED_VALUE"""),870.26)</f>
        <v>870.26</v>
      </c>
      <c r="E545" s="6">
        <f>IFERROR(__xludf.DUMMYFUNCTION("GOOGLEFINANCE(""Currency:BRLMXN"")*D545"),2956.2732199999996)</f>
        <v>2956.27322</v>
      </c>
      <c r="F545" s="6">
        <f>IFERROR(__xludf.DUMMYFUNCTION("GOOGLEFINANCE(""Currency:BRLPEN"")*D545"),570.542456)</f>
        <v>570.542456</v>
      </c>
      <c r="G545" s="2" t="str">
        <f t="array" ref="G545">_xlfn.XLOOKUP(B545,Vendedores!$A$2:$A$41,Vendedores!$B$2:$B$41,"No hay datos")</f>
        <v>No hay datos</v>
      </c>
      <c r="H545" s="2" t="str">
        <f t="array" ref="H545">_xlfn.XLOOKUP(B545,Vendedores!$A$2:$A$41,Vendedores!$C$2:$C$41,"No hay datos")</f>
        <v>No hay datos</v>
      </c>
      <c r="I545" s="2" t="str">
        <f t="array" ref="I545">_xlfn.XLOOKUP(B545,Vendedores!$A$2:$A$41,Vendedores!$D$2:$D$41,"No hay datos")</f>
        <v>No hay datos</v>
      </c>
      <c r="J545" s="2" t="str">
        <f t="array" ref="J545">_xlfn.XLOOKUP(A545,Productos!$A$2:$A$61,Productos!$B$2:$F$61)</f>
        <v>#N/A</v>
      </c>
    </row>
    <row r="546">
      <c r="A546" s="2" t="str">
        <f>IFERROR(__xludf.DUMMYFUNCTION("""COMPUTED_VALUE"""),"PR023")</f>
        <v>PR023</v>
      </c>
      <c r="B546" s="2" t="str">
        <f>IFERROR(__xludf.DUMMYFUNCTION("""COMPUTED_VALUE"""),"VD017")</f>
        <v>VD017</v>
      </c>
      <c r="C546" s="2">
        <f>IFERROR(__xludf.DUMMYFUNCTION("""COMPUTED_VALUE"""),4.0)</f>
        <v>4</v>
      </c>
      <c r="D546" s="6">
        <f>IFERROR(__xludf.DUMMYFUNCTION("""COMPUTED_VALUE"""),1089.56)</f>
        <v>1089.56</v>
      </c>
      <c r="E546" s="6">
        <f>IFERROR(__xludf.DUMMYFUNCTION("GOOGLEFINANCE(""Currency:BRLMXN"")*D546"),3701.23532)</f>
        <v>3701.23532</v>
      </c>
      <c r="F546" s="6">
        <f>IFERROR(__xludf.DUMMYFUNCTION("GOOGLEFINANCE(""Currency:BRLPEN"")*D546"),714.315536)</f>
        <v>714.315536</v>
      </c>
      <c r="G546" s="2" t="str">
        <f t="array" ref="G546">_xlfn.XLOOKUP(B546,Vendedores!$A$2:$A$41,Vendedores!$B$2:$B$41,"No hay datos")</f>
        <v>No hay datos</v>
      </c>
      <c r="H546" s="2" t="str">
        <f t="array" ref="H546">_xlfn.XLOOKUP(B546,Vendedores!$A$2:$A$41,Vendedores!$C$2:$C$41,"No hay datos")</f>
        <v>No hay datos</v>
      </c>
      <c r="I546" s="2" t="str">
        <f t="array" ref="I546">_xlfn.XLOOKUP(B546,Vendedores!$A$2:$A$41,Vendedores!$D$2:$D$41,"No hay datos")</f>
        <v>No hay datos</v>
      </c>
      <c r="J546" s="2" t="str">
        <f t="array" ref="J546">_xlfn.XLOOKUP(A546,Productos!$A$2:$A$61,Productos!$B$2:$F$61)</f>
        <v>#N/A</v>
      </c>
    </row>
    <row r="547">
      <c r="A547" s="2" t="str">
        <f>IFERROR(__xludf.DUMMYFUNCTION("""COMPUTED_VALUE"""),"PR031")</f>
        <v>PR031</v>
      </c>
      <c r="B547" s="2" t="str">
        <f>IFERROR(__xludf.DUMMYFUNCTION("""COMPUTED_VALUE"""),"VD040")</f>
        <v>VD040</v>
      </c>
      <c r="C547" s="2">
        <f>IFERROR(__xludf.DUMMYFUNCTION("""COMPUTED_VALUE"""),3.0)</f>
        <v>3</v>
      </c>
      <c r="D547" s="6">
        <f>IFERROR(__xludf.DUMMYFUNCTION("""COMPUTED_VALUE"""),757.05)</f>
        <v>757.05</v>
      </c>
      <c r="E547" s="6">
        <f>IFERROR(__xludf.DUMMYFUNCTION("GOOGLEFINANCE(""Currency:BRLMXN"")*D547"),2571.6988499999998)</f>
        <v>2571.69885</v>
      </c>
      <c r="F547" s="6">
        <f>IFERROR(__xludf.DUMMYFUNCTION("GOOGLEFINANCE(""Currency:BRLPEN"")*D547"),496.32197999999994)</f>
        <v>496.32198</v>
      </c>
      <c r="G547" s="2" t="str">
        <f t="array" ref="G547">_xlfn.XLOOKUP(B547,Vendedores!$A$2:$A$41,Vendedores!$B$2:$B$41,"No hay datos")</f>
        <v>No hay datos</v>
      </c>
      <c r="H547" s="2" t="str">
        <f t="array" ref="H547">_xlfn.XLOOKUP(B547,Vendedores!$A$2:$A$41,Vendedores!$C$2:$C$41,"No hay datos")</f>
        <v>No hay datos</v>
      </c>
      <c r="I547" s="2" t="str">
        <f t="array" ref="I547">_xlfn.XLOOKUP(B547,Vendedores!$A$2:$A$41,Vendedores!$D$2:$D$41,"No hay datos")</f>
        <v>No hay datos</v>
      </c>
      <c r="J547" s="2" t="str">
        <f t="array" ref="J547">_xlfn.XLOOKUP(A547,Productos!$A$2:$A$61,Productos!$B$2:$F$61)</f>
        <v>#N/A</v>
      </c>
    </row>
    <row r="548">
      <c r="A548" s="2" t="str">
        <f>IFERROR(__xludf.DUMMYFUNCTION("""COMPUTED_VALUE"""),"PR004")</f>
        <v>PR004</v>
      </c>
      <c r="B548" s="2" t="str">
        <f>IFERROR(__xludf.DUMMYFUNCTION("""COMPUTED_VALUE"""),"VD039")</f>
        <v>VD039</v>
      </c>
      <c r="C548" s="2">
        <f>IFERROR(__xludf.DUMMYFUNCTION("""COMPUTED_VALUE"""),16.0)</f>
        <v>16</v>
      </c>
      <c r="D548" s="6">
        <f>IFERROR(__xludf.DUMMYFUNCTION("""COMPUTED_VALUE"""),2528.8)</f>
        <v>2528.8</v>
      </c>
      <c r="E548" s="6">
        <f>IFERROR(__xludf.DUMMYFUNCTION("GOOGLEFINANCE(""Currency:BRLMXN"")*D548"),8590.3336)</f>
        <v>8590.3336</v>
      </c>
      <c r="F548" s="6">
        <f>IFERROR(__xludf.DUMMYFUNCTION("GOOGLEFINANCE(""Currency:BRLPEN"")*D548"),1657.88128)</f>
        <v>1657.88128</v>
      </c>
      <c r="G548" s="2" t="str">
        <f t="array" ref="G548">_xlfn.XLOOKUP(B548,Vendedores!$A$2:$A$41,Vendedores!$B$2:$B$41,"No hay datos")</f>
        <v>No hay datos</v>
      </c>
      <c r="H548" s="2" t="str">
        <f t="array" ref="H548">_xlfn.XLOOKUP(B548,Vendedores!$A$2:$A$41,Vendedores!$C$2:$C$41,"No hay datos")</f>
        <v>No hay datos</v>
      </c>
      <c r="I548" s="2" t="str">
        <f t="array" ref="I548">_xlfn.XLOOKUP(B548,Vendedores!$A$2:$A$41,Vendedores!$D$2:$D$41,"No hay datos")</f>
        <v>No hay datos</v>
      </c>
      <c r="J548" s="2" t="str">
        <f t="array" ref="J548">_xlfn.XLOOKUP(A548,Productos!$A$2:$A$61,Productos!$B$2:$F$61)</f>
        <v>#N/A</v>
      </c>
    </row>
    <row r="549">
      <c r="A549" s="2" t="str">
        <f>IFERROR(__xludf.DUMMYFUNCTION("""COMPUTED_VALUE"""),"PR029")</f>
        <v>PR029</v>
      </c>
      <c r="B549" s="2" t="str">
        <f>IFERROR(__xludf.DUMMYFUNCTION("""COMPUTED_VALUE"""),"VD048")</f>
        <v>VD048</v>
      </c>
      <c r="C549" s="2">
        <f>IFERROR(__xludf.DUMMYFUNCTION("""COMPUTED_VALUE"""),7.0)</f>
        <v>7</v>
      </c>
      <c r="D549" s="6">
        <f>IFERROR(__xludf.DUMMYFUNCTION("""COMPUTED_VALUE"""),1874.25)</f>
        <v>1874.25</v>
      </c>
      <c r="E549" s="6">
        <f>IFERROR(__xludf.DUMMYFUNCTION("GOOGLEFINANCE(""Currency:BRLMXN"")*D549"),6366.827249999999)</f>
        <v>6366.82725</v>
      </c>
      <c r="F549" s="6">
        <f>IFERROR(__xludf.DUMMYFUNCTION("GOOGLEFINANCE(""Currency:BRLPEN"")*D549"),1228.7583)</f>
        <v>1228.7583</v>
      </c>
      <c r="G549" s="2" t="str">
        <f t="array" ref="G549">_xlfn.XLOOKUP(B549,Vendedores!$A$2:$A$41,Vendedores!$B$2:$B$41,"No hay datos")</f>
        <v>No hay datos</v>
      </c>
      <c r="H549" s="2" t="str">
        <f t="array" ref="H549">_xlfn.XLOOKUP(B549,Vendedores!$A$2:$A$41,Vendedores!$C$2:$C$41,"No hay datos")</f>
        <v>No hay datos</v>
      </c>
      <c r="I549" s="2" t="str">
        <f t="array" ref="I549">_xlfn.XLOOKUP(B549,Vendedores!$A$2:$A$41,Vendedores!$D$2:$D$41,"No hay datos")</f>
        <v>No hay datos</v>
      </c>
      <c r="J549" s="2" t="str">
        <f t="array" ref="J549">_xlfn.XLOOKUP(A549,Productos!$A$2:$A$61,Productos!$B$2:$F$61)</f>
        <v>#N/A</v>
      </c>
    </row>
    <row r="550">
      <c r="A550" s="2" t="str">
        <f>IFERROR(__xludf.DUMMYFUNCTION("""COMPUTED_VALUE"""),"PR031")</f>
        <v>PR031</v>
      </c>
      <c r="B550" s="2" t="str">
        <f>IFERROR(__xludf.DUMMYFUNCTION("""COMPUTED_VALUE"""),"VD024")</f>
        <v>VD024</v>
      </c>
      <c r="C550" s="2">
        <f>IFERROR(__xludf.DUMMYFUNCTION("""COMPUTED_VALUE"""),5.0)</f>
        <v>5</v>
      </c>
      <c r="D550" s="6">
        <f>IFERROR(__xludf.DUMMYFUNCTION("""COMPUTED_VALUE"""),1286.25)</f>
        <v>1286.25</v>
      </c>
      <c r="E550" s="6">
        <f>IFERROR(__xludf.DUMMYFUNCTION("GOOGLEFINANCE(""Currency:BRLMXN"")*D550"),4369.39125)</f>
        <v>4369.39125</v>
      </c>
      <c r="F550" s="6">
        <f>IFERROR(__xludf.DUMMYFUNCTION("GOOGLEFINANCE(""Currency:BRLPEN"")*D550"),843.2655)</f>
        <v>843.2655</v>
      </c>
      <c r="G550" s="2" t="str">
        <f t="array" ref="G550">_xlfn.XLOOKUP(B550,Vendedores!$A$2:$A$41,Vendedores!$B$2:$B$41,"No hay datos")</f>
        <v>No hay datos</v>
      </c>
      <c r="H550" s="2" t="str">
        <f t="array" ref="H550">_xlfn.XLOOKUP(B550,Vendedores!$A$2:$A$41,Vendedores!$C$2:$C$41,"No hay datos")</f>
        <v>No hay datos</v>
      </c>
      <c r="I550" s="2" t="str">
        <f t="array" ref="I550">_xlfn.XLOOKUP(B550,Vendedores!$A$2:$A$41,Vendedores!$D$2:$D$41,"No hay datos")</f>
        <v>No hay datos</v>
      </c>
      <c r="J550" s="2" t="str">
        <f t="array" ref="J550">_xlfn.XLOOKUP(A550,Productos!$A$2:$A$61,Productos!$B$2:$F$61)</f>
        <v>#N/A</v>
      </c>
    </row>
    <row r="551">
      <c r="A551" s="2" t="str">
        <f>IFERROR(__xludf.DUMMYFUNCTION("""COMPUTED_VALUE"""),"PR020")</f>
        <v>PR020</v>
      </c>
      <c r="B551" s="2" t="str">
        <f>IFERROR(__xludf.DUMMYFUNCTION("""COMPUTED_VALUE"""),"VD014")</f>
        <v>VD014</v>
      </c>
      <c r="C551" s="2">
        <f>IFERROR(__xludf.DUMMYFUNCTION("""COMPUTED_VALUE"""),12.0)</f>
        <v>12</v>
      </c>
      <c r="D551" s="6">
        <f>IFERROR(__xludf.DUMMYFUNCTION("""COMPUTED_VALUE"""),3850.72)</f>
        <v>3850.72</v>
      </c>
      <c r="E551" s="6">
        <f>IFERROR(__xludf.DUMMYFUNCTION("GOOGLEFINANCE(""Currency:BRLMXN"")*D551"),13080.89584)</f>
        <v>13080.89584</v>
      </c>
      <c r="F551" s="6">
        <f>IFERROR(__xludf.DUMMYFUNCTION("GOOGLEFINANCE(""Currency:BRLPEN"")*D551"),2524.5320319999996)</f>
        <v>2524.532032</v>
      </c>
      <c r="G551" s="2" t="str">
        <f t="array" ref="G551">_xlfn.XLOOKUP(B551,Vendedores!$A$2:$A$41,Vendedores!$B$2:$B$41,"No hay datos")</f>
        <v>No hay datos</v>
      </c>
      <c r="H551" s="2" t="str">
        <f t="array" ref="H551">_xlfn.XLOOKUP(B551,Vendedores!$A$2:$A$41,Vendedores!$C$2:$C$41,"No hay datos")</f>
        <v>No hay datos</v>
      </c>
      <c r="I551" s="2" t="str">
        <f t="array" ref="I551">_xlfn.XLOOKUP(B551,Vendedores!$A$2:$A$41,Vendedores!$D$2:$D$41,"No hay datos")</f>
        <v>No hay datos</v>
      </c>
      <c r="J551" s="2" t="str">
        <f t="array" ref="J551">_xlfn.XLOOKUP(A551,Productos!$A$2:$A$61,Productos!$B$2:$F$61)</f>
        <v>#N/A</v>
      </c>
    </row>
    <row r="552">
      <c r="A552" s="2" t="str">
        <f>IFERROR(__xludf.DUMMYFUNCTION("""COMPUTED_VALUE"""),"PR006")</f>
        <v>PR006</v>
      </c>
      <c r="B552" s="2" t="str">
        <f>IFERROR(__xludf.DUMMYFUNCTION("""COMPUTED_VALUE"""),"VD011")</f>
        <v>VD011</v>
      </c>
      <c r="C552" s="2">
        <f>IFERROR(__xludf.DUMMYFUNCTION("""COMPUTED_VALUE"""),7.0)</f>
        <v>7</v>
      </c>
      <c r="D552" s="6">
        <f>IFERROR(__xludf.DUMMYFUNCTION("""COMPUTED_VALUE"""),293.27)</f>
        <v>293.27</v>
      </c>
      <c r="E552" s="6">
        <f>IFERROR(__xludf.DUMMYFUNCTION("GOOGLEFINANCE(""Currency:BRLMXN"")*D552"),996.2381899999999)</f>
        <v>996.23819</v>
      </c>
      <c r="F552" s="6">
        <f>IFERROR(__xludf.DUMMYFUNCTION("GOOGLEFINANCE(""Currency:BRLPEN"")*D552"),192.26781199999996)</f>
        <v>192.267812</v>
      </c>
      <c r="G552" s="2" t="str">
        <f t="array" ref="G552">_xlfn.XLOOKUP(B552,Vendedores!$A$2:$A$41,Vendedores!$B$2:$B$41,"No hay datos")</f>
        <v>No hay datos</v>
      </c>
      <c r="H552" s="2" t="str">
        <f t="array" ref="H552">_xlfn.XLOOKUP(B552,Vendedores!$A$2:$A$41,Vendedores!$C$2:$C$41,"No hay datos")</f>
        <v>No hay datos</v>
      </c>
      <c r="I552" s="2" t="str">
        <f t="array" ref="I552">_xlfn.XLOOKUP(B552,Vendedores!$A$2:$A$41,Vendedores!$D$2:$D$41,"No hay datos")</f>
        <v>No hay datos</v>
      </c>
      <c r="J552" s="2" t="str">
        <f t="array" ref="J552">_xlfn.XLOOKUP(A552,Productos!$A$2:$A$61,Productos!$B$2:$F$61)</f>
        <v>#N/A</v>
      </c>
    </row>
    <row r="553">
      <c r="A553" s="2" t="str">
        <f>IFERROR(__xludf.DUMMYFUNCTION("""COMPUTED_VALUE"""),"PR060")</f>
        <v>PR060</v>
      </c>
      <c r="B553" s="2" t="str">
        <f>IFERROR(__xludf.DUMMYFUNCTION("""COMPUTED_VALUE"""),"VD021")</f>
        <v>VD021</v>
      </c>
      <c r="C553" s="2">
        <f>IFERROR(__xludf.DUMMYFUNCTION("""COMPUTED_VALUE"""),12.0)</f>
        <v>12</v>
      </c>
      <c r="D553" s="6">
        <f>IFERROR(__xludf.DUMMYFUNCTION("""COMPUTED_VALUE"""),2160.0)</f>
        <v>2160</v>
      </c>
      <c r="E553" s="6">
        <f>IFERROR(__xludf.DUMMYFUNCTION("GOOGLEFINANCE(""Currency:BRLMXN"")*D553"),7337.5199999999995)</f>
        <v>7337.52</v>
      </c>
      <c r="F553" s="6">
        <f>IFERROR(__xludf.DUMMYFUNCTION("GOOGLEFINANCE(""Currency:BRLPEN"")*D553"),1416.096)</f>
        <v>1416.096</v>
      </c>
      <c r="G553" s="2" t="str">
        <f t="array" ref="G553">_xlfn.XLOOKUP(B553,Vendedores!$A$2:$A$41,Vendedores!$B$2:$B$41,"No hay datos")</f>
        <v>No hay datos</v>
      </c>
      <c r="H553" s="2" t="str">
        <f t="array" ref="H553">_xlfn.XLOOKUP(B553,Vendedores!$A$2:$A$41,Vendedores!$C$2:$C$41,"No hay datos")</f>
        <v>No hay datos</v>
      </c>
      <c r="I553" s="2" t="str">
        <f t="array" ref="I553">_xlfn.XLOOKUP(B553,Vendedores!$A$2:$A$41,Vendedores!$D$2:$D$41,"No hay datos")</f>
        <v>No hay datos</v>
      </c>
      <c r="J553" s="2" t="str">
        <f t="array" ref="J553">_xlfn.XLOOKUP(A553,Productos!$A$2:$A$61,Productos!$B$2:$F$61)</f>
        <v>#N/A</v>
      </c>
    </row>
    <row r="554">
      <c r="A554" s="2" t="str">
        <f>IFERROR(__xludf.DUMMYFUNCTION("""COMPUTED_VALUE"""),"PR052")</f>
        <v>PR052</v>
      </c>
      <c r="B554" s="2" t="str">
        <f>IFERROR(__xludf.DUMMYFUNCTION("""COMPUTED_VALUE"""),"VD039")</f>
        <v>VD039</v>
      </c>
      <c r="C554" s="2">
        <f>IFERROR(__xludf.DUMMYFUNCTION("""COMPUTED_VALUE"""),6.0)</f>
        <v>6</v>
      </c>
      <c r="D554" s="6">
        <f>IFERROR(__xludf.DUMMYFUNCTION("""COMPUTED_VALUE"""),311.38)</f>
        <v>311.38</v>
      </c>
      <c r="E554" s="6">
        <f>IFERROR(__xludf.DUMMYFUNCTION("GOOGLEFINANCE(""Currency:BRLMXN"")*D554"),1057.75786)</f>
        <v>1057.75786</v>
      </c>
      <c r="F554" s="6">
        <f>IFERROR(__xludf.DUMMYFUNCTION("GOOGLEFINANCE(""Currency:BRLPEN"")*D554"),204.140728)</f>
        <v>204.140728</v>
      </c>
      <c r="G554" s="2" t="str">
        <f t="array" ref="G554">_xlfn.XLOOKUP(B554,Vendedores!$A$2:$A$41,Vendedores!$B$2:$B$41,"No hay datos")</f>
        <v>No hay datos</v>
      </c>
      <c r="H554" s="2" t="str">
        <f t="array" ref="H554">_xlfn.XLOOKUP(B554,Vendedores!$A$2:$A$41,Vendedores!$C$2:$C$41,"No hay datos")</f>
        <v>No hay datos</v>
      </c>
      <c r="I554" s="2" t="str">
        <f t="array" ref="I554">_xlfn.XLOOKUP(B554,Vendedores!$A$2:$A$41,Vendedores!$D$2:$D$41,"No hay datos")</f>
        <v>No hay datos</v>
      </c>
      <c r="J554" s="2" t="str">
        <f t="array" ref="J554">_xlfn.XLOOKUP(A554,Productos!$A$2:$A$61,Productos!$B$2:$F$61)</f>
        <v>#N/A</v>
      </c>
    </row>
    <row r="555">
      <c r="A555" s="2" t="str">
        <f>IFERROR(__xludf.DUMMYFUNCTION("""COMPUTED_VALUE"""),"PR008")</f>
        <v>PR008</v>
      </c>
      <c r="B555" s="2" t="str">
        <f>IFERROR(__xludf.DUMMYFUNCTION("""COMPUTED_VALUE"""),"VD027")</f>
        <v>VD027</v>
      </c>
      <c r="C555" s="2">
        <f>IFERROR(__xludf.DUMMYFUNCTION("""COMPUTED_VALUE"""),3.0)</f>
        <v>3</v>
      </c>
      <c r="D555" s="6">
        <f>IFERROR(__xludf.DUMMYFUNCTION("""COMPUTED_VALUE"""),277.79)</f>
        <v>277.79</v>
      </c>
      <c r="E555" s="6">
        <f>IFERROR(__xludf.DUMMYFUNCTION("GOOGLEFINANCE(""Currency:BRLMXN"")*D555"),943.65263)</f>
        <v>943.65263</v>
      </c>
      <c r="F555" s="6">
        <f>IFERROR(__xludf.DUMMYFUNCTION("GOOGLEFINANCE(""Currency:BRLPEN"")*D555"),182.119124)</f>
        <v>182.119124</v>
      </c>
      <c r="G555" s="2" t="str">
        <f t="array" ref="G555">_xlfn.XLOOKUP(B555,Vendedores!$A$2:$A$41,Vendedores!$B$2:$B$41,"No hay datos")</f>
        <v>No hay datos</v>
      </c>
      <c r="H555" s="2" t="str">
        <f t="array" ref="H555">_xlfn.XLOOKUP(B555,Vendedores!$A$2:$A$41,Vendedores!$C$2:$C$41,"No hay datos")</f>
        <v>No hay datos</v>
      </c>
      <c r="I555" s="2" t="str">
        <f t="array" ref="I555">_xlfn.XLOOKUP(B555,Vendedores!$A$2:$A$41,Vendedores!$D$2:$D$41,"No hay datos")</f>
        <v>No hay datos</v>
      </c>
      <c r="J555" s="2" t="str">
        <f t="array" ref="J555">_xlfn.XLOOKUP(A555,Productos!$A$2:$A$61,Productos!$B$2:$F$61)</f>
        <v>#N/A</v>
      </c>
    </row>
    <row r="556">
      <c r="A556" s="2" t="str">
        <f>IFERROR(__xludf.DUMMYFUNCTION("""COMPUTED_VALUE"""),"PR004")</f>
        <v>PR004</v>
      </c>
      <c r="B556" s="2" t="str">
        <f>IFERROR(__xludf.DUMMYFUNCTION("""COMPUTED_VALUE"""),"VD032")</f>
        <v>VD032</v>
      </c>
      <c r="C556" s="2">
        <f>IFERROR(__xludf.DUMMYFUNCTION("""COMPUTED_VALUE"""),1.0)</f>
        <v>1</v>
      </c>
      <c r="D556" s="6">
        <f>IFERROR(__xludf.DUMMYFUNCTION("""COMPUTED_VALUE"""),147.9)</f>
        <v>147.9</v>
      </c>
      <c r="E556" s="6">
        <f>IFERROR(__xludf.DUMMYFUNCTION("GOOGLEFINANCE(""Currency:BRLMXN"")*D556"),502.4163)</f>
        <v>502.4163</v>
      </c>
      <c r="F556" s="6">
        <f>IFERROR(__xludf.DUMMYFUNCTION("GOOGLEFINANCE(""Currency:BRLPEN"")*D556"),96.96324)</f>
        <v>96.96324</v>
      </c>
      <c r="G556" s="2" t="str">
        <f t="array" ref="G556">_xlfn.XLOOKUP(B556,Vendedores!$A$2:$A$41,Vendedores!$B$2:$B$41,"No hay datos")</f>
        <v>No hay datos</v>
      </c>
      <c r="H556" s="2" t="str">
        <f t="array" ref="H556">_xlfn.XLOOKUP(B556,Vendedores!$A$2:$A$41,Vendedores!$C$2:$C$41,"No hay datos")</f>
        <v>No hay datos</v>
      </c>
      <c r="I556" s="2" t="str">
        <f t="array" ref="I556">_xlfn.XLOOKUP(B556,Vendedores!$A$2:$A$41,Vendedores!$D$2:$D$41,"No hay datos")</f>
        <v>No hay datos</v>
      </c>
      <c r="J556" s="2" t="str">
        <f t="array" ref="J556">_xlfn.XLOOKUP(A556,Productos!$A$2:$A$61,Productos!$B$2:$F$61)</f>
        <v>#N/A</v>
      </c>
    </row>
    <row r="557">
      <c r="A557" s="2" t="str">
        <f>IFERROR(__xludf.DUMMYFUNCTION("""COMPUTED_VALUE"""),"PR057")</f>
        <v>PR057</v>
      </c>
      <c r="B557" s="2" t="str">
        <f>IFERROR(__xludf.DUMMYFUNCTION("""COMPUTED_VALUE"""),"VD049")</f>
        <v>VD049</v>
      </c>
      <c r="C557" s="2">
        <f>IFERROR(__xludf.DUMMYFUNCTION("""COMPUTED_VALUE"""),4.0)</f>
        <v>4</v>
      </c>
      <c r="D557" s="6">
        <f>IFERROR(__xludf.DUMMYFUNCTION("""COMPUTED_VALUE"""),370.39)</f>
        <v>370.39</v>
      </c>
      <c r="E557" s="6">
        <f>IFERROR(__xludf.DUMMYFUNCTION("GOOGLEFINANCE(""Currency:BRLMXN"")*D557"),1258.21483)</f>
        <v>1258.21483</v>
      </c>
      <c r="F557" s="6">
        <f>IFERROR(__xludf.DUMMYFUNCTION("GOOGLEFINANCE(""Currency:BRLPEN"")*D557"),242.82768399999998)</f>
        <v>242.827684</v>
      </c>
      <c r="G557" s="2" t="str">
        <f t="array" ref="G557">_xlfn.XLOOKUP(B557,Vendedores!$A$2:$A$41,Vendedores!$B$2:$B$41,"No hay datos")</f>
        <v>No hay datos</v>
      </c>
      <c r="H557" s="2" t="str">
        <f t="array" ref="H557">_xlfn.XLOOKUP(B557,Vendedores!$A$2:$A$41,Vendedores!$C$2:$C$41,"No hay datos")</f>
        <v>No hay datos</v>
      </c>
      <c r="I557" s="2" t="str">
        <f t="array" ref="I557">_xlfn.XLOOKUP(B557,Vendedores!$A$2:$A$41,Vendedores!$D$2:$D$41,"No hay datos")</f>
        <v>No hay datos</v>
      </c>
      <c r="J557" s="2" t="str">
        <f t="array" ref="J557">_xlfn.XLOOKUP(A557,Productos!$A$2:$A$61,Productos!$B$2:$F$61)</f>
        <v>#N/A</v>
      </c>
    </row>
    <row r="558">
      <c r="A558" s="2" t="str">
        <f>IFERROR(__xludf.DUMMYFUNCTION("""COMPUTED_VALUE"""),"PR016")</f>
        <v>PR016</v>
      </c>
      <c r="B558" s="2" t="str">
        <f>IFERROR(__xludf.DUMMYFUNCTION("""COMPUTED_VALUE"""),"VD044")</f>
        <v>VD044</v>
      </c>
      <c r="C558" s="2">
        <f>IFERROR(__xludf.DUMMYFUNCTION("""COMPUTED_VALUE"""),4.0)</f>
        <v>4</v>
      </c>
      <c r="D558" s="6">
        <f>IFERROR(__xludf.DUMMYFUNCTION("""COMPUTED_VALUE"""),112.92)</f>
        <v>112.92</v>
      </c>
      <c r="E558" s="6">
        <f>IFERROR(__xludf.DUMMYFUNCTION("GOOGLEFINANCE(""Currency:BRLMXN"")*D558"),383.58923999999996)</f>
        <v>383.58924</v>
      </c>
      <c r="F558" s="6">
        <f>IFERROR(__xludf.DUMMYFUNCTION("GOOGLEFINANCE(""Currency:BRLPEN"")*D558"),74.030352)</f>
        <v>74.030352</v>
      </c>
      <c r="G558" s="2" t="str">
        <f t="array" ref="G558">_xlfn.XLOOKUP(B558,Vendedores!$A$2:$A$41,Vendedores!$B$2:$B$41,"No hay datos")</f>
        <v>No hay datos</v>
      </c>
      <c r="H558" s="2" t="str">
        <f t="array" ref="H558">_xlfn.XLOOKUP(B558,Vendedores!$A$2:$A$41,Vendedores!$C$2:$C$41,"No hay datos")</f>
        <v>No hay datos</v>
      </c>
      <c r="I558" s="2" t="str">
        <f t="array" ref="I558">_xlfn.XLOOKUP(B558,Vendedores!$A$2:$A$41,Vendedores!$D$2:$D$41,"No hay datos")</f>
        <v>No hay datos</v>
      </c>
      <c r="J558" s="2" t="str">
        <f t="array" ref="J558">_xlfn.XLOOKUP(A558,Productos!$A$2:$A$61,Productos!$B$2:$F$61)</f>
        <v>#N/A</v>
      </c>
    </row>
    <row r="559">
      <c r="A559" s="2" t="str">
        <f>IFERROR(__xludf.DUMMYFUNCTION("""COMPUTED_VALUE"""),"PR025")</f>
        <v>PR025</v>
      </c>
      <c r="B559" s="2" t="str">
        <f>IFERROR(__xludf.DUMMYFUNCTION("""COMPUTED_VALUE"""),"VD012")</f>
        <v>VD012</v>
      </c>
      <c r="C559" s="2">
        <f>IFERROR(__xludf.DUMMYFUNCTION("""COMPUTED_VALUE"""),7.0)</f>
        <v>7</v>
      </c>
      <c r="D559" s="6">
        <f>IFERROR(__xludf.DUMMYFUNCTION("""COMPUTED_VALUE"""),2162.28)</f>
        <v>2162.28</v>
      </c>
      <c r="E559" s="6">
        <f>IFERROR(__xludf.DUMMYFUNCTION("GOOGLEFINANCE(""Currency:BRLMXN"")*D559"),7345.26516)</f>
        <v>7345.26516</v>
      </c>
      <c r="F559" s="6">
        <f>IFERROR(__xludf.DUMMYFUNCTION("GOOGLEFINANCE(""Currency:BRLPEN"")*D559"),1417.590768)</f>
        <v>1417.590768</v>
      </c>
      <c r="G559" s="2" t="str">
        <f t="array" ref="G559">_xlfn.XLOOKUP(B559,Vendedores!$A$2:$A$41,Vendedores!$B$2:$B$41,"No hay datos")</f>
        <v>No hay datos</v>
      </c>
      <c r="H559" s="2" t="str">
        <f t="array" ref="H559">_xlfn.XLOOKUP(B559,Vendedores!$A$2:$A$41,Vendedores!$C$2:$C$41,"No hay datos")</f>
        <v>No hay datos</v>
      </c>
      <c r="I559" s="2" t="str">
        <f t="array" ref="I559">_xlfn.XLOOKUP(B559,Vendedores!$A$2:$A$41,Vendedores!$D$2:$D$41,"No hay datos")</f>
        <v>No hay datos</v>
      </c>
      <c r="J559" s="2" t="str">
        <f t="array" ref="J559">_xlfn.XLOOKUP(A559,Productos!$A$2:$A$61,Productos!$B$2:$F$61)</f>
        <v>#N/A</v>
      </c>
    </row>
    <row r="560">
      <c r="A560" s="2" t="str">
        <f>IFERROR(__xludf.DUMMYFUNCTION("""COMPUTED_VALUE"""),"PR028")</f>
        <v>PR028</v>
      </c>
      <c r="B560" s="2" t="str">
        <f>IFERROR(__xludf.DUMMYFUNCTION("""COMPUTED_VALUE"""),"VD032")</f>
        <v>VD032</v>
      </c>
      <c r="C560" s="2">
        <f>IFERROR(__xludf.DUMMYFUNCTION("""COMPUTED_VALUE"""),18.0)</f>
        <v>18</v>
      </c>
      <c r="D560" s="6">
        <f>IFERROR(__xludf.DUMMYFUNCTION("""COMPUTED_VALUE"""),4813.07)</f>
        <v>4813.07</v>
      </c>
      <c r="E560" s="6">
        <f>IFERROR(__xludf.DUMMYFUNCTION("GOOGLEFINANCE(""Currency:BRLMXN"")*D560"),16349.998789999998)</f>
        <v>16349.99879</v>
      </c>
      <c r="F560" s="6">
        <f>IFERROR(__xludf.DUMMYFUNCTION("GOOGLEFINANCE(""Currency:BRLPEN"")*D560"),3155.4486919999995)</f>
        <v>3155.448692</v>
      </c>
      <c r="G560" s="2" t="str">
        <f t="array" ref="G560">_xlfn.XLOOKUP(B560,Vendedores!$A$2:$A$41,Vendedores!$B$2:$B$41,"No hay datos")</f>
        <v>No hay datos</v>
      </c>
      <c r="H560" s="2" t="str">
        <f t="array" ref="H560">_xlfn.XLOOKUP(B560,Vendedores!$A$2:$A$41,Vendedores!$C$2:$C$41,"No hay datos")</f>
        <v>No hay datos</v>
      </c>
      <c r="I560" s="2" t="str">
        <f t="array" ref="I560">_xlfn.XLOOKUP(B560,Vendedores!$A$2:$A$41,Vendedores!$D$2:$D$41,"No hay datos")</f>
        <v>No hay datos</v>
      </c>
      <c r="J560" s="2" t="str">
        <f t="array" ref="J560">_xlfn.XLOOKUP(A560,Productos!$A$2:$A$61,Productos!$B$2:$F$61)</f>
        <v>#N/A</v>
      </c>
    </row>
    <row r="561">
      <c r="A561" s="2" t="str">
        <f>IFERROR(__xludf.DUMMYFUNCTION("""COMPUTED_VALUE"""),"PR014")</f>
        <v>PR014</v>
      </c>
      <c r="B561" s="2" t="str">
        <f>IFERROR(__xludf.DUMMYFUNCTION("""COMPUTED_VALUE"""),"VD020")</f>
        <v>VD020</v>
      </c>
      <c r="C561" s="2">
        <f>IFERROR(__xludf.DUMMYFUNCTION("""COMPUTED_VALUE"""),4.0)</f>
        <v>4</v>
      </c>
      <c r="D561" s="6">
        <f>IFERROR(__xludf.DUMMYFUNCTION("""COMPUTED_VALUE"""),164.39)</f>
        <v>164.39</v>
      </c>
      <c r="E561" s="6">
        <f>IFERROR(__xludf.DUMMYFUNCTION("GOOGLEFINANCE(""Currency:BRLMXN"")*D561"),558.43283)</f>
        <v>558.43283</v>
      </c>
      <c r="F561" s="6">
        <f>IFERROR(__xludf.DUMMYFUNCTION("GOOGLEFINANCE(""Currency:BRLPEN"")*D561"),107.77408399999999)</f>
        <v>107.774084</v>
      </c>
      <c r="G561" s="2" t="str">
        <f t="array" ref="G561">_xlfn.XLOOKUP(B561,Vendedores!$A$2:$A$41,Vendedores!$B$2:$B$41,"No hay datos")</f>
        <v>No hay datos</v>
      </c>
      <c r="H561" s="2" t="str">
        <f t="array" ref="H561">_xlfn.XLOOKUP(B561,Vendedores!$A$2:$A$41,Vendedores!$C$2:$C$41,"No hay datos")</f>
        <v>No hay datos</v>
      </c>
      <c r="I561" s="2" t="str">
        <f t="array" ref="I561">_xlfn.XLOOKUP(B561,Vendedores!$A$2:$A$41,Vendedores!$D$2:$D$41,"No hay datos")</f>
        <v>No hay datos</v>
      </c>
      <c r="J561" s="2" t="str">
        <f t="array" ref="J561">_xlfn.XLOOKUP(A561,Productos!$A$2:$A$61,Productos!$B$2:$F$61)</f>
        <v>#N/A</v>
      </c>
    </row>
    <row r="562">
      <c r="A562" s="2" t="str">
        <f>IFERROR(__xludf.DUMMYFUNCTION("""COMPUTED_VALUE"""),"PR006")</f>
        <v>PR006</v>
      </c>
      <c r="B562" s="2" t="str">
        <f>IFERROR(__xludf.DUMMYFUNCTION("""COMPUTED_VALUE"""),"VD026")</f>
        <v>VD026</v>
      </c>
      <c r="C562" s="2">
        <f>IFERROR(__xludf.DUMMYFUNCTION("""COMPUTED_VALUE"""),5.0)</f>
        <v>5</v>
      </c>
      <c r="D562" s="6">
        <f>IFERROR(__xludf.DUMMYFUNCTION("""COMPUTED_VALUE"""),215.46)</f>
        <v>215.46</v>
      </c>
      <c r="E562" s="6">
        <f>IFERROR(__xludf.DUMMYFUNCTION("GOOGLEFINANCE(""Currency:BRLMXN"")*D562"),731.9176199999999)</f>
        <v>731.91762</v>
      </c>
      <c r="F562" s="6">
        <f>IFERROR(__xludf.DUMMYFUNCTION("GOOGLEFINANCE(""Currency:BRLPEN"")*D562"),141.255576)</f>
        <v>141.255576</v>
      </c>
      <c r="G562" s="2" t="str">
        <f t="array" ref="G562">_xlfn.XLOOKUP(B562,Vendedores!$A$2:$A$41,Vendedores!$B$2:$B$41,"No hay datos")</f>
        <v>No hay datos</v>
      </c>
      <c r="H562" s="2" t="str">
        <f t="array" ref="H562">_xlfn.XLOOKUP(B562,Vendedores!$A$2:$A$41,Vendedores!$C$2:$C$41,"No hay datos")</f>
        <v>No hay datos</v>
      </c>
      <c r="I562" s="2" t="str">
        <f t="array" ref="I562">_xlfn.XLOOKUP(B562,Vendedores!$A$2:$A$41,Vendedores!$D$2:$D$41,"No hay datos")</f>
        <v>No hay datos</v>
      </c>
      <c r="J562" s="2" t="str">
        <f t="array" ref="J562">_xlfn.XLOOKUP(A562,Productos!$A$2:$A$61,Productos!$B$2:$F$61)</f>
        <v>#N/A</v>
      </c>
    </row>
    <row r="563">
      <c r="A563" s="2" t="str">
        <f>IFERROR(__xludf.DUMMYFUNCTION("""COMPUTED_VALUE"""),"PR004")</f>
        <v>PR004</v>
      </c>
      <c r="B563" s="2" t="str">
        <f>IFERROR(__xludf.DUMMYFUNCTION("""COMPUTED_VALUE"""),"VD015")</f>
        <v>VD015</v>
      </c>
      <c r="C563" s="2">
        <f>IFERROR(__xludf.DUMMYFUNCTION("""COMPUTED_VALUE"""),16.0)</f>
        <v>16</v>
      </c>
      <c r="D563" s="6">
        <f>IFERROR(__xludf.DUMMYFUNCTION("""COMPUTED_VALUE"""),2320.0)</f>
        <v>2320</v>
      </c>
      <c r="E563" s="6">
        <f>IFERROR(__xludf.DUMMYFUNCTION("GOOGLEFINANCE(""Currency:BRLMXN"")*D563"),7881.04)</f>
        <v>7881.04</v>
      </c>
      <c r="F563" s="6">
        <f>IFERROR(__xludf.DUMMYFUNCTION("GOOGLEFINANCE(""Currency:BRLPEN"")*D563"),1520.992)</f>
        <v>1520.992</v>
      </c>
      <c r="G563" s="2" t="str">
        <f t="array" ref="G563">_xlfn.XLOOKUP(B563,Vendedores!$A$2:$A$41,Vendedores!$B$2:$B$41,"No hay datos")</f>
        <v>No hay datos</v>
      </c>
      <c r="H563" s="2" t="str">
        <f t="array" ref="H563">_xlfn.XLOOKUP(B563,Vendedores!$A$2:$A$41,Vendedores!$C$2:$C$41,"No hay datos")</f>
        <v>No hay datos</v>
      </c>
      <c r="I563" s="2" t="str">
        <f t="array" ref="I563">_xlfn.XLOOKUP(B563,Vendedores!$A$2:$A$41,Vendedores!$D$2:$D$41,"No hay datos")</f>
        <v>No hay datos</v>
      </c>
      <c r="J563" s="2" t="str">
        <f t="array" ref="J563">_xlfn.XLOOKUP(A563,Productos!$A$2:$A$61,Productos!$B$2:$F$61)</f>
        <v>#N/A</v>
      </c>
    </row>
    <row r="564">
      <c r="A564" s="2" t="str">
        <f>IFERROR(__xludf.DUMMYFUNCTION("""COMPUTED_VALUE"""),"PR033")</f>
        <v>PR033</v>
      </c>
      <c r="B564" s="2" t="str">
        <f>IFERROR(__xludf.DUMMYFUNCTION("""COMPUTED_VALUE"""),"VD043")</f>
        <v>VD043</v>
      </c>
      <c r="C564" s="2">
        <f>IFERROR(__xludf.DUMMYFUNCTION("""COMPUTED_VALUE"""),5.0)</f>
        <v>5</v>
      </c>
      <c r="D564" s="6">
        <f>IFERROR(__xludf.DUMMYFUNCTION("""COMPUTED_VALUE"""),1338.49)</f>
        <v>1338.49</v>
      </c>
      <c r="E564" s="6">
        <f>IFERROR(__xludf.DUMMYFUNCTION("GOOGLEFINANCE(""Currency:BRLMXN"")*D564"),4546.85053)</f>
        <v>4546.85053</v>
      </c>
      <c r="F564" s="6">
        <f>IFERROR(__xludf.DUMMYFUNCTION("GOOGLEFINANCE(""Currency:BRLPEN"")*D564"),877.5140439999999)</f>
        <v>877.514044</v>
      </c>
      <c r="G564" s="2" t="str">
        <f t="array" ref="G564">_xlfn.XLOOKUP(B564,Vendedores!$A$2:$A$41,Vendedores!$B$2:$B$41,"No hay datos")</f>
        <v>No hay datos</v>
      </c>
      <c r="H564" s="2" t="str">
        <f t="array" ref="H564">_xlfn.XLOOKUP(B564,Vendedores!$A$2:$A$41,Vendedores!$C$2:$C$41,"No hay datos")</f>
        <v>No hay datos</v>
      </c>
      <c r="I564" s="2" t="str">
        <f t="array" ref="I564">_xlfn.XLOOKUP(B564,Vendedores!$A$2:$A$41,Vendedores!$D$2:$D$41,"No hay datos")</f>
        <v>No hay datos</v>
      </c>
      <c r="J564" s="2" t="str">
        <f t="array" ref="J564">_xlfn.XLOOKUP(A564,Productos!$A$2:$A$61,Productos!$B$2:$F$61)</f>
        <v>#N/A</v>
      </c>
    </row>
    <row r="565">
      <c r="A565" s="2" t="str">
        <f>IFERROR(__xludf.DUMMYFUNCTION("""COMPUTED_VALUE"""),"PR027")</f>
        <v>PR027</v>
      </c>
      <c r="B565" s="2" t="str">
        <f>IFERROR(__xludf.DUMMYFUNCTION("""COMPUTED_VALUE"""),"VD037")</f>
        <v>VD037</v>
      </c>
      <c r="C565" s="2">
        <f>IFERROR(__xludf.DUMMYFUNCTION("""COMPUTED_VALUE"""),10.0)</f>
        <v>10</v>
      </c>
      <c r="D565" s="6">
        <f>IFERROR(__xludf.DUMMYFUNCTION("""COMPUTED_VALUE"""),1236.0)</f>
        <v>1236</v>
      </c>
      <c r="E565" s="6">
        <f>IFERROR(__xludf.DUMMYFUNCTION("GOOGLEFINANCE(""Currency:BRLMXN"")*D565"),4198.692)</f>
        <v>4198.692</v>
      </c>
      <c r="F565" s="6">
        <f>IFERROR(__xludf.DUMMYFUNCTION("GOOGLEFINANCE(""Currency:BRLPEN"")*D565"),810.3216)</f>
        <v>810.3216</v>
      </c>
      <c r="G565" s="2" t="str">
        <f t="array" ref="G565">_xlfn.XLOOKUP(B565,Vendedores!$A$2:$A$41,Vendedores!$B$2:$B$41,"No hay datos")</f>
        <v>No hay datos</v>
      </c>
      <c r="H565" s="2" t="str">
        <f t="array" ref="H565">_xlfn.XLOOKUP(B565,Vendedores!$A$2:$A$41,Vendedores!$C$2:$C$41,"No hay datos")</f>
        <v>No hay datos</v>
      </c>
      <c r="I565" s="2" t="str">
        <f t="array" ref="I565">_xlfn.XLOOKUP(B565,Vendedores!$A$2:$A$41,Vendedores!$D$2:$D$41,"No hay datos")</f>
        <v>No hay datos</v>
      </c>
      <c r="J565" s="2" t="str">
        <f t="array" ref="J565">_xlfn.XLOOKUP(A565,Productos!$A$2:$A$61,Productos!$B$2:$F$61)</f>
        <v>#N/A</v>
      </c>
    </row>
    <row r="566">
      <c r="A566" s="2" t="str">
        <f>IFERROR(__xludf.DUMMYFUNCTION("""COMPUTED_VALUE"""),"PR053")</f>
        <v>PR053</v>
      </c>
      <c r="B566" s="2" t="str">
        <f>IFERROR(__xludf.DUMMYFUNCTION("""COMPUTED_VALUE"""),"VD047")</f>
        <v>VD047</v>
      </c>
      <c r="C566" s="2">
        <f>IFERROR(__xludf.DUMMYFUNCTION("""COMPUTED_VALUE"""),6.0)</f>
        <v>6</v>
      </c>
      <c r="D566" s="6">
        <f>IFERROR(__xludf.DUMMYFUNCTION("""COMPUTED_VALUE"""),314.37)</f>
        <v>314.37</v>
      </c>
      <c r="E566" s="6">
        <f>IFERROR(__xludf.DUMMYFUNCTION("GOOGLEFINANCE(""Currency:BRLMXN"")*D566"),1067.91489)</f>
        <v>1067.91489</v>
      </c>
      <c r="F566" s="6">
        <f>IFERROR(__xludf.DUMMYFUNCTION("GOOGLEFINANCE(""Currency:BRLPEN"")*D566"),206.10097199999998)</f>
        <v>206.100972</v>
      </c>
      <c r="G566" s="2" t="str">
        <f t="array" ref="G566">_xlfn.XLOOKUP(B566,Vendedores!$A$2:$A$41,Vendedores!$B$2:$B$41,"No hay datos")</f>
        <v>No hay datos</v>
      </c>
      <c r="H566" s="2" t="str">
        <f t="array" ref="H566">_xlfn.XLOOKUP(B566,Vendedores!$A$2:$A$41,Vendedores!$C$2:$C$41,"No hay datos")</f>
        <v>No hay datos</v>
      </c>
      <c r="I566" s="2" t="str">
        <f t="array" ref="I566">_xlfn.XLOOKUP(B566,Vendedores!$A$2:$A$41,Vendedores!$D$2:$D$41,"No hay datos")</f>
        <v>No hay datos</v>
      </c>
      <c r="J566" s="2" t="str">
        <f t="array" ref="J566">_xlfn.XLOOKUP(A566,Productos!$A$2:$A$61,Productos!$B$2:$F$61)</f>
        <v>#N/A</v>
      </c>
    </row>
    <row r="567">
      <c r="A567" s="2" t="str">
        <f>IFERROR(__xludf.DUMMYFUNCTION("""COMPUTED_VALUE"""),"PR025")</f>
        <v>PR025</v>
      </c>
      <c r="B567" s="2" t="str">
        <f>IFERROR(__xludf.DUMMYFUNCTION("""COMPUTED_VALUE"""),"VD037")</f>
        <v>VD037</v>
      </c>
      <c r="C567" s="2">
        <f>IFERROR(__xludf.DUMMYFUNCTION("""COMPUTED_VALUE"""),20.0)</f>
        <v>20</v>
      </c>
      <c r="D567" s="6">
        <f>IFERROR(__xludf.DUMMYFUNCTION("""COMPUTED_VALUE"""),6057.98)</f>
        <v>6057.98</v>
      </c>
      <c r="E567" s="6">
        <f>IFERROR(__xludf.DUMMYFUNCTION("GOOGLEFINANCE(""Currency:BRLMXN"")*D567"),20578.958059999997)</f>
        <v>20578.95806</v>
      </c>
      <c r="F567" s="6">
        <f>IFERROR(__xludf.DUMMYFUNCTION("GOOGLEFINANCE(""Currency:BRLPEN"")*D567"),3971.6116879999995)</f>
        <v>3971.611688</v>
      </c>
      <c r="G567" s="2" t="str">
        <f t="array" ref="G567">_xlfn.XLOOKUP(B567,Vendedores!$A$2:$A$41,Vendedores!$B$2:$B$41,"No hay datos")</f>
        <v>No hay datos</v>
      </c>
      <c r="H567" s="2" t="str">
        <f t="array" ref="H567">_xlfn.XLOOKUP(B567,Vendedores!$A$2:$A$41,Vendedores!$C$2:$C$41,"No hay datos")</f>
        <v>No hay datos</v>
      </c>
      <c r="I567" s="2" t="str">
        <f t="array" ref="I567">_xlfn.XLOOKUP(B567,Vendedores!$A$2:$A$41,Vendedores!$D$2:$D$41,"No hay datos")</f>
        <v>No hay datos</v>
      </c>
      <c r="J567" s="2" t="str">
        <f t="array" ref="J567">_xlfn.XLOOKUP(A567,Productos!$A$2:$A$61,Productos!$B$2:$F$61)</f>
        <v>#N/A</v>
      </c>
    </row>
    <row r="568">
      <c r="A568" s="2" t="str">
        <f>IFERROR(__xludf.DUMMYFUNCTION("""COMPUTED_VALUE"""),"PR036")</f>
        <v>PR036</v>
      </c>
      <c r="B568" s="2" t="str">
        <f>IFERROR(__xludf.DUMMYFUNCTION("""COMPUTED_VALUE"""),"VD019")</f>
        <v>VD019</v>
      </c>
      <c r="C568" s="2">
        <f>IFERROR(__xludf.DUMMYFUNCTION("""COMPUTED_VALUE"""),2.0)</f>
        <v>2</v>
      </c>
      <c r="D568" s="6">
        <f>IFERROR(__xludf.DUMMYFUNCTION("""COMPUTED_VALUE"""),203.83)</f>
        <v>203.83</v>
      </c>
      <c r="E568" s="6">
        <f>IFERROR(__xludf.DUMMYFUNCTION("GOOGLEFINANCE(""Currency:BRLMXN"")*D568"),692.41051)</f>
        <v>692.41051</v>
      </c>
      <c r="F568" s="6">
        <f>IFERROR(__xludf.DUMMYFUNCTION("GOOGLEFINANCE(""Currency:BRLPEN"")*D568"),133.630948)</f>
        <v>133.630948</v>
      </c>
      <c r="G568" s="2" t="str">
        <f t="array" ref="G568">_xlfn.XLOOKUP(B568,Vendedores!$A$2:$A$41,Vendedores!$B$2:$B$41,"No hay datos")</f>
        <v>No hay datos</v>
      </c>
      <c r="H568" s="2" t="str">
        <f t="array" ref="H568">_xlfn.XLOOKUP(B568,Vendedores!$A$2:$A$41,Vendedores!$C$2:$C$41,"No hay datos")</f>
        <v>No hay datos</v>
      </c>
      <c r="I568" s="2" t="str">
        <f t="array" ref="I568">_xlfn.XLOOKUP(B568,Vendedores!$A$2:$A$41,Vendedores!$D$2:$D$41,"No hay datos")</f>
        <v>No hay datos</v>
      </c>
      <c r="J568" s="2" t="str">
        <f t="array" ref="J568">_xlfn.XLOOKUP(A568,Productos!$A$2:$A$61,Productos!$B$2:$F$61)</f>
        <v>#N/A</v>
      </c>
    </row>
    <row r="569">
      <c r="A569" s="2" t="str">
        <f>IFERROR(__xludf.DUMMYFUNCTION("""COMPUTED_VALUE"""),"PR054")</f>
        <v>PR054</v>
      </c>
      <c r="B569" s="2" t="str">
        <f>IFERROR(__xludf.DUMMYFUNCTION("""COMPUTED_VALUE"""),"VD049")</f>
        <v>VD049</v>
      </c>
      <c r="C569" s="2">
        <f>IFERROR(__xludf.DUMMYFUNCTION("""COMPUTED_VALUE"""),6.0)</f>
        <v>6</v>
      </c>
      <c r="D569" s="6">
        <f>IFERROR(__xludf.DUMMYFUNCTION("""COMPUTED_VALUE"""),320.36)</f>
        <v>320.36</v>
      </c>
      <c r="E569" s="6">
        <f>IFERROR(__xludf.DUMMYFUNCTION("GOOGLEFINANCE(""Currency:BRLMXN"")*D569"),1088.26292)</f>
        <v>1088.26292</v>
      </c>
      <c r="F569" s="6">
        <f>IFERROR(__xludf.DUMMYFUNCTION("GOOGLEFINANCE(""Currency:BRLPEN"")*D569"),210.028016)</f>
        <v>210.028016</v>
      </c>
      <c r="G569" s="2" t="str">
        <f t="array" ref="G569">_xlfn.XLOOKUP(B569,Vendedores!$A$2:$A$41,Vendedores!$B$2:$B$41,"No hay datos")</f>
        <v>No hay datos</v>
      </c>
      <c r="H569" s="2" t="str">
        <f t="array" ref="H569">_xlfn.XLOOKUP(B569,Vendedores!$A$2:$A$41,Vendedores!$C$2:$C$41,"No hay datos")</f>
        <v>No hay datos</v>
      </c>
      <c r="I569" s="2" t="str">
        <f t="array" ref="I569">_xlfn.XLOOKUP(B569,Vendedores!$A$2:$A$41,Vendedores!$D$2:$D$41,"No hay datos")</f>
        <v>No hay datos</v>
      </c>
      <c r="J569" s="2" t="str">
        <f t="array" ref="J569">_xlfn.XLOOKUP(A569,Productos!$A$2:$A$61,Productos!$B$2:$F$61)</f>
        <v>#N/A</v>
      </c>
    </row>
    <row r="570">
      <c r="A570" s="2" t="str">
        <f>IFERROR(__xludf.DUMMYFUNCTION("""COMPUTED_VALUE"""),"PR057")</f>
        <v>PR057</v>
      </c>
      <c r="B570" s="2" t="str">
        <f>IFERROR(__xludf.DUMMYFUNCTION("""COMPUTED_VALUE"""),"VD043")</f>
        <v>VD043</v>
      </c>
      <c r="C570" s="2">
        <f>IFERROR(__xludf.DUMMYFUNCTION("""COMPUTED_VALUE"""),6.0)</f>
        <v>6</v>
      </c>
      <c r="D570" s="6">
        <f>IFERROR(__xludf.DUMMYFUNCTION("""COMPUTED_VALUE"""),560.98)</f>
        <v>560.98</v>
      </c>
      <c r="E570" s="6">
        <f>IFERROR(__xludf.DUMMYFUNCTION("GOOGLEFINANCE(""Currency:BRLMXN"")*D570"),1905.64906)</f>
        <v>1905.64906</v>
      </c>
      <c r="F570" s="6">
        <f>IFERROR(__xludf.DUMMYFUNCTION("GOOGLEFINANCE(""Currency:BRLPEN"")*D570"),367.778488)</f>
        <v>367.778488</v>
      </c>
      <c r="G570" s="2" t="str">
        <f t="array" ref="G570">_xlfn.XLOOKUP(B570,Vendedores!$A$2:$A$41,Vendedores!$B$2:$B$41,"No hay datos")</f>
        <v>No hay datos</v>
      </c>
      <c r="H570" s="2" t="str">
        <f t="array" ref="H570">_xlfn.XLOOKUP(B570,Vendedores!$A$2:$A$41,Vendedores!$C$2:$C$41,"No hay datos")</f>
        <v>No hay datos</v>
      </c>
      <c r="I570" s="2" t="str">
        <f t="array" ref="I570">_xlfn.XLOOKUP(B570,Vendedores!$A$2:$A$41,Vendedores!$D$2:$D$41,"No hay datos")</f>
        <v>No hay datos</v>
      </c>
      <c r="J570" s="2" t="str">
        <f t="array" ref="J570">_xlfn.XLOOKUP(A570,Productos!$A$2:$A$61,Productos!$B$2:$F$61)</f>
        <v>#N/A</v>
      </c>
    </row>
    <row r="571">
      <c r="A571" s="2" t="str">
        <f>IFERROR(__xludf.DUMMYFUNCTION("""COMPUTED_VALUE"""),"PR026")</f>
        <v>PR026</v>
      </c>
      <c r="B571" s="2" t="str">
        <f>IFERROR(__xludf.DUMMYFUNCTION("""COMPUTED_VALUE"""),"VD046")</f>
        <v>VD046</v>
      </c>
      <c r="C571" s="2">
        <f>IFERROR(__xludf.DUMMYFUNCTION("""COMPUTED_VALUE"""),10.0)</f>
        <v>10</v>
      </c>
      <c r="D571" s="6">
        <f>IFERROR(__xludf.DUMMYFUNCTION("""COMPUTED_VALUE"""),3743.93)</f>
        <v>3743.93</v>
      </c>
      <c r="E571" s="6">
        <f>IFERROR(__xludf.DUMMYFUNCTION("GOOGLEFINANCE(""Currency:BRLMXN"")*D571"),12718.13021)</f>
        <v>12718.13021</v>
      </c>
      <c r="F571" s="6">
        <f>IFERROR(__xludf.DUMMYFUNCTION("GOOGLEFINANCE(""Currency:BRLPEN"")*D571"),2454.5205079999996)</f>
        <v>2454.520508</v>
      </c>
      <c r="G571" s="2" t="str">
        <f t="array" ref="G571">_xlfn.XLOOKUP(B571,Vendedores!$A$2:$A$41,Vendedores!$B$2:$B$41,"No hay datos")</f>
        <v>No hay datos</v>
      </c>
      <c r="H571" s="2" t="str">
        <f t="array" ref="H571">_xlfn.XLOOKUP(B571,Vendedores!$A$2:$A$41,Vendedores!$C$2:$C$41,"No hay datos")</f>
        <v>No hay datos</v>
      </c>
      <c r="I571" s="2" t="str">
        <f t="array" ref="I571">_xlfn.XLOOKUP(B571,Vendedores!$A$2:$A$41,Vendedores!$D$2:$D$41,"No hay datos")</f>
        <v>No hay datos</v>
      </c>
      <c r="J571" s="2" t="str">
        <f t="array" ref="J571">_xlfn.XLOOKUP(A571,Productos!$A$2:$A$61,Productos!$B$2:$F$61)</f>
        <v>#N/A</v>
      </c>
    </row>
    <row r="572">
      <c r="A572" s="2" t="str">
        <f>IFERROR(__xludf.DUMMYFUNCTION("""COMPUTED_VALUE"""),"PR031")</f>
        <v>PR031</v>
      </c>
      <c r="B572" s="2" t="str">
        <f>IFERROR(__xludf.DUMMYFUNCTION("""COMPUTED_VALUE"""),"VD029")</f>
        <v>VD029</v>
      </c>
      <c r="C572" s="2">
        <f>IFERROR(__xludf.DUMMYFUNCTION("""COMPUTED_VALUE"""),6.0)</f>
        <v>6</v>
      </c>
      <c r="D572" s="6">
        <f>IFERROR(__xludf.DUMMYFUNCTION("""COMPUTED_VALUE"""),1587.6)</f>
        <v>1587.6</v>
      </c>
      <c r="E572" s="6">
        <f>IFERROR(__xludf.DUMMYFUNCTION("GOOGLEFINANCE(""Currency:BRLMXN"")*D572"),5393.0772)</f>
        <v>5393.0772</v>
      </c>
      <c r="F572" s="6">
        <f>IFERROR(__xludf.DUMMYFUNCTION("GOOGLEFINANCE(""Currency:BRLPEN"")*D572"),1040.8305599999999)</f>
        <v>1040.83056</v>
      </c>
      <c r="G572" s="2" t="str">
        <f t="array" ref="G572">_xlfn.XLOOKUP(B572,Vendedores!$A$2:$A$41,Vendedores!$B$2:$B$41,"No hay datos")</f>
        <v>No hay datos</v>
      </c>
      <c r="H572" s="2" t="str">
        <f t="array" ref="H572">_xlfn.XLOOKUP(B572,Vendedores!$A$2:$A$41,Vendedores!$C$2:$C$41,"No hay datos")</f>
        <v>No hay datos</v>
      </c>
      <c r="I572" s="2" t="str">
        <f t="array" ref="I572">_xlfn.XLOOKUP(B572,Vendedores!$A$2:$A$41,Vendedores!$D$2:$D$41,"No hay datos")</f>
        <v>No hay datos</v>
      </c>
      <c r="J572" s="2" t="str">
        <f t="array" ref="J572">_xlfn.XLOOKUP(A572,Productos!$A$2:$A$61,Productos!$B$2:$F$61)</f>
        <v>#N/A</v>
      </c>
    </row>
    <row r="573">
      <c r="A573" s="2" t="str">
        <f>IFERROR(__xludf.DUMMYFUNCTION("""COMPUTED_VALUE"""),"PR028")</f>
        <v>PR028</v>
      </c>
      <c r="B573" s="2" t="str">
        <f>IFERROR(__xludf.DUMMYFUNCTION("""COMPUTED_VALUE"""),"VD029")</f>
        <v>VD029</v>
      </c>
      <c r="C573" s="2">
        <f>IFERROR(__xludf.DUMMYFUNCTION("""COMPUTED_VALUE"""),2.0)</f>
        <v>2</v>
      </c>
      <c r="D573" s="6">
        <f>IFERROR(__xludf.DUMMYFUNCTION("""COMPUTED_VALUE"""),539.78)</f>
        <v>539.78</v>
      </c>
      <c r="E573" s="6">
        <f>IFERROR(__xludf.DUMMYFUNCTION("GOOGLEFINANCE(""Currency:BRLMXN"")*D573"),1833.6326599999998)</f>
        <v>1833.63266</v>
      </c>
      <c r="F573" s="6">
        <f>IFERROR(__xludf.DUMMYFUNCTION("GOOGLEFINANCE(""Currency:BRLPEN"")*D573"),353.87976799999996)</f>
        <v>353.879768</v>
      </c>
      <c r="G573" s="2" t="str">
        <f t="array" ref="G573">_xlfn.XLOOKUP(B573,Vendedores!$A$2:$A$41,Vendedores!$B$2:$B$41,"No hay datos")</f>
        <v>No hay datos</v>
      </c>
      <c r="H573" s="2" t="str">
        <f t="array" ref="H573">_xlfn.XLOOKUP(B573,Vendedores!$A$2:$A$41,Vendedores!$C$2:$C$41,"No hay datos")</f>
        <v>No hay datos</v>
      </c>
      <c r="I573" s="2" t="str">
        <f t="array" ref="I573">_xlfn.XLOOKUP(B573,Vendedores!$A$2:$A$41,Vendedores!$D$2:$D$41,"No hay datos")</f>
        <v>No hay datos</v>
      </c>
      <c r="J573" s="2" t="str">
        <f t="array" ref="J573">_xlfn.XLOOKUP(A573,Productos!$A$2:$A$61,Productos!$B$2:$F$61)</f>
        <v>#N/A</v>
      </c>
    </row>
    <row r="574">
      <c r="A574" s="2" t="str">
        <f>IFERROR(__xludf.DUMMYFUNCTION("""COMPUTED_VALUE"""),"PR019")</f>
        <v>PR019</v>
      </c>
      <c r="B574" s="2" t="str">
        <f>IFERROR(__xludf.DUMMYFUNCTION("""COMPUTED_VALUE"""),"VD046")</f>
        <v>VD046</v>
      </c>
      <c r="C574" s="2">
        <f>IFERROR(__xludf.DUMMYFUNCTION("""COMPUTED_VALUE"""),2.0)</f>
        <v>2</v>
      </c>
      <c r="D574" s="6">
        <f>IFERROR(__xludf.DUMMYFUNCTION("""COMPUTED_VALUE"""),109.78)</f>
        <v>109.78</v>
      </c>
      <c r="E574" s="6">
        <f>IFERROR(__xludf.DUMMYFUNCTION("GOOGLEFINANCE(""Currency:BRLMXN"")*D574"),372.92266)</f>
        <v>372.92266</v>
      </c>
      <c r="F574" s="6">
        <f>IFERROR(__xludf.DUMMYFUNCTION("GOOGLEFINANCE(""Currency:BRLPEN"")*D574"),71.971768)</f>
        <v>71.971768</v>
      </c>
      <c r="G574" s="2" t="str">
        <f t="array" ref="G574">_xlfn.XLOOKUP(B574,Vendedores!$A$2:$A$41,Vendedores!$B$2:$B$41,"No hay datos")</f>
        <v>No hay datos</v>
      </c>
      <c r="H574" s="2" t="str">
        <f t="array" ref="H574">_xlfn.XLOOKUP(B574,Vendedores!$A$2:$A$41,Vendedores!$C$2:$C$41,"No hay datos")</f>
        <v>No hay datos</v>
      </c>
      <c r="I574" s="2" t="str">
        <f t="array" ref="I574">_xlfn.XLOOKUP(B574,Vendedores!$A$2:$A$41,Vendedores!$D$2:$D$41,"No hay datos")</f>
        <v>No hay datos</v>
      </c>
      <c r="J574" s="2" t="str">
        <f t="array" ref="J574">_xlfn.XLOOKUP(A574,Productos!$A$2:$A$61,Productos!$B$2:$F$61)</f>
        <v>#N/A</v>
      </c>
    </row>
    <row r="575">
      <c r="A575" s="2" t="str">
        <f>IFERROR(__xludf.DUMMYFUNCTION("""COMPUTED_VALUE"""),"PR056")</f>
        <v>PR056</v>
      </c>
      <c r="B575" s="2" t="str">
        <f>IFERROR(__xludf.DUMMYFUNCTION("""COMPUTED_VALUE"""),"VD028")</f>
        <v>VD028</v>
      </c>
      <c r="C575" s="2">
        <f>IFERROR(__xludf.DUMMYFUNCTION("""COMPUTED_VALUE"""),3.0)</f>
        <v>3</v>
      </c>
      <c r="D575" s="6">
        <f>IFERROR(__xludf.DUMMYFUNCTION("""COMPUTED_VALUE"""),275.09)</f>
        <v>275.09</v>
      </c>
      <c r="E575" s="6">
        <f>IFERROR(__xludf.DUMMYFUNCTION("GOOGLEFINANCE(""Currency:BRLMXN"")*D575"),934.4807299999999)</f>
        <v>934.48073</v>
      </c>
      <c r="F575" s="6">
        <f>IFERROR(__xludf.DUMMYFUNCTION("GOOGLEFINANCE(""Currency:BRLPEN"")*D575"),180.34900399999998)</f>
        <v>180.349004</v>
      </c>
      <c r="G575" s="2" t="str">
        <f t="array" ref="G575">_xlfn.XLOOKUP(B575,Vendedores!$A$2:$A$41,Vendedores!$B$2:$B$41,"No hay datos")</f>
        <v>No hay datos</v>
      </c>
      <c r="H575" s="2" t="str">
        <f t="array" ref="H575">_xlfn.XLOOKUP(B575,Vendedores!$A$2:$A$41,Vendedores!$C$2:$C$41,"No hay datos")</f>
        <v>No hay datos</v>
      </c>
      <c r="I575" s="2" t="str">
        <f t="array" ref="I575">_xlfn.XLOOKUP(B575,Vendedores!$A$2:$A$41,Vendedores!$D$2:$D$41,"No hay datos")</f>
        <v>No hay datos</v>
      </c>
      <c r="J575" s="2" t="str">
        <f t="array" ref="J575">_xlfn.XLOOKUP(A575,Productos!$A$2:$A$61,Productos!$B$2:$F$61)</f>
        <v>#N/A</v>
      </c>
    </row>
    <row r="576">
      <c r="A576" s="2" t="str">
        <f>IFERROR(__xludf.DUMMYFUNCTION("""COMPUTED_VALUE"""),"PR006")</f>
        <v>PR006</v>
      </c>
      <c r="B576" s="2" t="str">
        <f>IFERROR(__xludf.DUMMYFUNCTION("""COMPUTED_VALUE"""),"VD029")</f>
        <v>VD029</v>
      </c>
      <c r="C576" s="2">
        <f>IFERROR(__xludf.DUMMYFUNCTION("""COMPUTED_VALUE"""),8.0)</f>
        <v>8</v>
      </c>
      <c r="D576" s="6">
        <f>IFERROR(__xludf.DUMMYFUNCTION("""COMPUTED_VALUE"""),335.16)</f>
        <v>335.16</v>
      </c>
      <c r="E576" s="6">
        <f>IFERROR(__xludf.DUMMYFUNCTION("GOOGLEFINANCE(""Currency:BRLMXN"")*D576"),1138.53852)</f>
        <v>1138.53852</v>
      </c>
      <c r="F576" s="6">
        <f>IFERROR(__xludf.DUMMYFUNCTION("GOOGLEFINANCE(""Currency:BRLPEN"")*D576"),219.730896)</f>
        <v>219.730896</v>
      </c>
      <c r="G576" s="2" t="str">
        <f t="array" ref="G576">_xlfn.XLOOKUP(B576,Vendedores!$A$2:$A$41,Vendedores!$B$2:$B$41,"No hay datos")</f>
        <v>No hay datos</v>
      </c>
      <c r="H576" s="2" t="str">
        <f t="array" ref="H576">_xlfn.XLOOKUP(B576,Vendedores!$A$2:$A$41,Vendedores!$C$2:$C$41,"No hay datos")</f>
        <v>No hay datos</v>
      </c>
      <c r="I576" s="2" t="str">
        <f t="array" ref="I576">_xlfn.XLOOKUP(B576,Vendedores!$A$2:$A$41,Vendedores!$D$2:$D$41,"No hay datos")</f>
        <v>No hay datos</v>
      </c>
      <c r="J576" s="2" t="str">
        <f t="array" ref="J576">_xlfn.XLOOKUP(A576,Productos!$A$2:$A$61,Productos!$B$2:$F$61)</f>
        <v>#N/A</v>
      </c>
    </row>
    <row r="577">
      <c r="A577" s="2" t="str">
        <f>IFERROR(__xludf.DUMMYFUNCTION("""COMPUTED_VALUE"""),"PR010")</f>
        <v>PR010</v>
      </c>
      <c r="B577" s="2" t="str">
        <f>IFERROR(__xludf.DUMMYFUNCTION("""COMPUTED_VALUE"""),"VD028")</f>
        <v>VD028</v>
      </c>
      <c r="C577" s="2">
        <f>IFERROR(__xludf.DUMMYFUNCTION("""COMPUTED_VALUE"""),2.0)</f>
        <v>2</v>
      </c>
      <c r="D577" s="6">
        <f>IFERROR(__xludf.DUMMYFUNCTION("""COMPUTED_VALUE"""),96.98)</f>
        <v>96.98</v>
      </c>
      <c r="E577" s="6">
        <f>IFERROR(__xludf.DUMMYFUNCTION("GOOGLEFINANCE(""Currency:BRLMXN"")*D577"),329.44106)</f>
        <v>329.44106</v>
      </c>
      <c r="F577" s="6">
        <f>IFERROR(__xludf.DUMMYFUNCTION("GOOGLEFINANCE(""Currency:BRLPEN"")*D577"),63.580087999999996)</f>
        <v>63.580088</v>
      </c>
      <c r="G577" s="2" t="str">
        <f t="array" ref="G577">_xlfn.XLOOKUP(B577,Vendedores!$A$2:$A$41,Vendedores!$B$2:$B$41,"No hay datos")</f>
        <v>No hay datos</v>
      </c>
      <c r="H577" s="2" t="str">
        <f t="array" ref="H577">_xlfn.XLOOKUP(B577,Vendedores!$A$2:$A$41,Vendedores!$C$2:$C$41,"No hay datos")</f>
        <v>No hay datos</v>
      </c>
      <c r="I577" s="2" t="str">
        <f t="array" ref="I577">_xlfn.XLOOKUP(B577,Vendedores!$A$2:$A$41,Vendedores!$D$2:$D$41,"No hay datos")</f>
        <v>No hay datos</v>
      </c>
      <c r="J577" s="2" t="str">
        <f t="array" ref="J577">_xlfn.XLOOKUP(A577,Productos!$A$2:$A$61,Productos!$B$2:$F$61)</f>
        <v>#N/A</v>
      </c>
    </row>
    <row r="578">
      <c r="A578" s="2" t="str">
        <f>IFERROR(__xludf.DUMMYFUNCTION("""COMPUTED_VALUE"""),"PR029")</f>
        <v>PR029</v>
      </c>
      <c r="B578" s="2" t="str">
        <f>IFERROR(__xludf.DUMMYFUNCTION("""COMPUTED_VALUE"""),"VD022")</f>
        <v>VD022</v>
      </c>
      <c r="C578" s="2">
        <f>IFERROR(__xludf.DUMMYFUNCTION("""COMPUTED_VALUE"""),18.0)</f>
        <v>18</v>
      </c>
      <c r="D578" s="6">
        <f>IFERROR(__xludf.DUMMYFUNCTION("""COMPUTED_VALUE"""),4773.6)</f>
        <v>4773.6</v>
      </c>
      <c r="E578" s="6">
        <f>IFERROR(__xludf.DUMMYFUNCTION("GOOGLEFINANCE(""Currency:BRLMXN"")*D578"),16215.9192)</f>
        <v>16215.9192</v>
      </c>
      <c r="F578" s="6">
        <f>IFERROR(__xludf.DUMMYFUNCTION("GOOGLEFINANCE(""Currency:BRLPEN"")*D578"),3129.57216)</f>
        <v>3129.57216</v>
      </c>
      <c r="G578" s="2" t="str">
        <f t="array" ref="G578">_xlfn.XLOOKUP(B578,Vendedores!$A$2:$A$41,Vendedores!$B$2:$B$41,"No hay datos")</f>
        <v>No hay datos</v>
      </c>
      <c r="H578" s="2" t="str">
        <f t="array" ref="H578">_xlfn.XLOOKUP(B578,Vendedores!$A$2:$A$41,Vendedores!$C$2:$C$41,"No hay datos")</f>
        <v>No hay datos</v>
      </c>
      <c r="I578" s="2" t="str">
        <f t="array" ref="I578">_xlfn.XLOOKUP(B578,Vendedores!$A$2:$A$41,Vendedores!$D$2:$D$41,"No hay datos")</f>
        <v>No hay datos</v>
      </c>
      <c r="J578" s="2" t="str">
        <f t="array" ref="J578">_xlfn.XLOOKUP(A578,Productos!$A$2:$A$61,Productos!$B$2:$F$61)</f>
        <v>#N/A</v>
      </c>
    </row>
    <row r="579">
      <c r="A579" s="2" t="str">
        <f>IFERROR(__xludf.DUMMYFUNCTION("""COMPUTED_VALUE"""),"PR026")</f>
        <v>PR026</v>
      </c>
      <c r="B579" s="2" t="str">
        <f>IFERROR(__xludf.DUMMYFUNCTION("""COMPUTED_VALUE"""),"VD014")</f>
        <v>VD014</v>
      </c>
      <c r="C579" s="2">
        <f>IFERROR(__xludf.DUMMYFUNCTION("""COMPUTED_VALUE"""),14.0)</f>
        <v>14</v>
      </c>
      <c r="D579" s="6">
        <f>IFERROR(__xludf.DUMMYFUNCTION("""COMPUTED_VALUE"""),5241.5)</f>
        <v>5241.5</v>
      </c>
      <c r="E579" s="6">
        <f>IFERROR(__xludf.DUMMYFUNCTION("GOOGLEFINANCE(""Currency:BRLMXN"")*D579"),17805.3755)</f>
        <v>17805.3755</v>
      </c>
      <c r="F579" s="6">
        <f>IFERROR(__xludf.DUMMYFUNCTION("GOOGLEFINANCE(""Currency:BRLPEN"")*D579"),3436.3273999999997)</f>
        <v>3436.3274</v>
      </c>
      <c r="G579" s="2" t="str">
        <f t="array" ref="G579">_xlfn.XLOOKUP(B579,Vendedores!$A$2:$A$41,Vendedores!$B$2:$B$41,"No hay datos")</f>
        <v>No hay datos</v>
      </c>
      <c r="H579" s="2" t="str">
        <f t="array" ref="H579">_xlfn.XLOOKUP(B579,Vendedores!$A$2:$A$41,Vendedores!$C$2:$C$41,"No hay datos")</f>
        <v>No hay datos</v>
      </c>
      <c r="I579" s="2" t="str">
        <f t="array" ref="I579">_xlfn.XLOOKUP(B579,Vendedores!$A$2:$A$41,Vendedores!$D$2:$D$41,"No hay datos")</f>
        <v>No hay datos</v>
      </c>
      <c r="J579" s="2" t="str">
        <f t="array" ref="J579">_xlfn.XLOOKUP(A579,Productos!$A$2:$A$61,Productos!$B$2:$F$61)</f>
        <v>#N/A</v>
      </c>
    </row>
    <row r="580">
      <c r="A580" s="2" t="str">
        <f>IFERROR(__xludf.DUMMYFUNCTION("""COMPUTED_VALUE"""),"PR054")</f>
        <v>PR054</v>
      </c>
      <c r="B580" s="2" t="str">
        <f>IFERROR(__xludf.DUMMYFUNCTION("""COMPUTED_VALUE"""),"VD046")</f>
        <v>VD046</v>
      </c>
      <c r="C580" s="2">
        <f>IFERROR(__xludf.DUMMYFUNCTION("""COMPUTED_VALUE"""),10.0)</f>
        <v>10</v>
      </c>
      <c r="D580" s="6">
        <f>IFERROR(__xludf.DUMMYFUNCTION("""COMPUTED_VALUE"""),503.99)</f>
        <v>503.99</v>
      </c>
      <c r="E580" s="6">
        <f>IFERROR(__xludf.DUMMYFUNCTION("GOOGLEFINANCE(""Currency:BRLMXN"")*D580"),1712.05403)</f>
        <v>1712.05403</v>
      </c>
      <c r="F580" s="6">
        <f>IFERROR(__xludf.DUMMYFUNCTION("GOOGLEFINANCE(""Currency:BRLPEN"")*D580"),330.415844)</f>
        <v>330.415844</v>
      </c>
      <c r="G580" s="2" t="str">
        <f t="array" ref="G580">_xlfn.XLOOKUP(B580,Vendedores!$A$2:$A$41,Vendedores!$B$2:$B$41,"No hay datos")</f>
        <v>No hay datos</v>
      </c>
      <c r="H580" s="2" t="str">
        <f t="array" ref="H580">_xlfn.XLOOKUP(B580,Vendedores!$A$2:$A$41,Vendedores!$C$2:$C$41,"No hay datos")</f>
        <v>No hay datos</v>
      </c>
      <c r="I580" s="2" t="str">
        <f t="array" ref="I580">_xlfn.XLOOKUP(B580,Vendedores!$A$2:$A$41,Vendedores!$D$2:$D$41,"No hay datos")</f>
        <v>No hay datos</v>
      </c>
      <c r="J580" s="2" t="str">
        <f t="array" ref="J580">_xlfn.XLOOKUP(A580,Productos!$A$2:$A$61,Productos!$B$2:$F$61)</f>
        <v>#N/A</v>
      </c>
    </row>
    <row r="581">
      <c r="A581" s="2" t="str">
        <f>IFERROR(__xludf.DUMMYFUNCTION("""COMPUTED_VALUE"""),"PR055")</f>
        <v>PR055</v>
      </c>
      <c r="B581" s="2" t="str">
        <f>IFERROR(__xludf.DUMMYFUNCTION("""COMPUTED_VALUE"""),"VD014")</f>
        <v>VD014</v>
      </c>
      <c r="C581" s="2">
        <f>IFERROR(__xludf.DUMMYFUNCTION("""COMPUTED_VALUE"""),8.0)</f>
        <v>8</v>
      </c>
      <c r="D581" s="6">
        <f>IFERROR(__xludf.DUMMYFUNCTION("""COMPUTED_VALUE"""),747.97)</f>
        <v>747.97</v>
      </c>
      <c r="E581" s="6">
        <f>IFERROR(__xludf.DUMMYFUNCTION("GOOGLEFINANCE(""Currency:BRLMXN"")*D581"),2540.85409)</f>
        <v>2540.85409</v>
      </c>
      <c r="F581" s="6">
        <f>IFERROR(__xludf.DUMMYFUNCTION("GOOGLEFINANCE(""Currency:BRLPEN"")*D581"),490.369132)</f>
        <v>490.369132</v>
      </c>
      <c r="G581" s="2" t="str">
        <f t="array" ref="G581">_xlfn.XLOOKUP(B581,Vendedores!$A$2:$A$41,Vendedores!$B$2:$B$41,"No hay datos")</f>
        <v>No hay datos</v>
      </c>
      <c r="H581" s="2" t="str">
        <f t="array" ref="H581">_xlfn.XLOOKUP(B581,Vendedores!$A$2:$A$41,Vendedores!$C$2:$C$41,"No hay datos")</f>
        <v>No hay datos</v>
      </c>
      <c r="I581" s="2" t="str">
        <f t="array" ref="I581">_xlfn.XLOOKUP(B581,Vendedores!$A$2:$A$41,Vendedores!$D$2:$D$41,"No hay datos")</f>
        <v>No hay datos</v>
      </c>
      <c r="J581" s="2" t="str">
        <f t="array" ref="J581">_xlfn.XLOOKUP(A581,Productos!$A$2:$A$61,Productos!$B$2:$F$61)</f>
        <v>#N/A</v>
      </c>
    </row>
    <row r="582">
      <c r="A582" s="2" t="str">
        <f>IFERROR(__xludf.DUMMYFUNCTION("""COMPUTED_VALUE"""),"PR022")</f>
        <v>PR022</v>
      </c>
      <c r="B582" s="2" t="str">
        <f>IFERROR(__xludf.DUMMYFUNCTION("""COMPUTED_VALUE"""),"VD041")</f>
        <v>VD041</v>
      </c>
      <c r="C582" s="2">
        <f>IFERROR(__xludf.DUMMYFUNCTION("""COMPUTED_VALUE"""),2.0)</f>
        <v>2</v>
      </c>
      <c r="D582" s="6">
        <f>IFERROR(__xludf.DUMMYFUNCTION("""COMPUTED_VALUE"""),630.0)</f>
        <v>630</v>
      </c>
      <c r="E582" s="6">
        <f>IFERROR(__xludf.DUMMYFUNCTION("GOOGLEFINANCE(""Currency:BRLMXN"")*D582"),2140.1099999999997)</f>
        <v>2140.11</v>
      </c>
      <c r="F582" s="6">
        <f>IFERROR(__xludf.DUMMYFUNCTION("GOOGLEFINANCE(""Currency:BRLPEN"")*D582"),413.02799999999996)</f>
        <v>413.028</v>
      </c>
      <c r="G582" s="2" t="str">
        <f t="array" ref="G582">_xlfn.XLOOKUP(B582,Vendedores!$A$2:$A$41,Vendedores!$B$2:$B$41,"No hay datos")</f>
        <v>No hay datos</v>
      </c>
      <c r="H582" s="2" t="str">
        <f t="array" ref="H582">_xlfn.XLOOKUP(B582,Vendedores!$A$2:$A$41,Vendedores!$C$2:$C$41,"No hay datos")</f>
        <v>No hay datos</v>
      </c>
      <c r="I582" s="2" t="str">
        <f t="array" ref="I582">_xlfn.XLOOKUP(B582,Vendedores!$A$2:$A$41,Vendedores!$D$2:$D$41,"No hay datos")</f>
        <v>No hay datos</v>
      </c>
      <c r="J582" s="2" t="str">
        <f t="array" ref="J582">_xlfn.XLOOKUP(A582,Productos!$A$2:$A$61,Productos!$B$2:$F$61)</f>
        <v>#N/A</v>
      </c>
    </row>
    <row r="583">
      <c r="A583" s="2" t="str">
        <f>IFERROR(__xludf.DUMMYFUNCTION("""COMPUTED_VALUE"""),"PR038")</f>
        <v>PR038</v>
      </c>
      <c r="B583" s="2" t="str">
        <f>IFERROR(__xludf.DUMMYFUNCTION("""COMPUTED_VALUE"""),"VD038")</f>
        <v>VD038</v>
      </c>
      <c r="C583" s="2">
        <f>IFERROR(__xludf.DUMMYFUNCTION("""COMPUTED_VALUE"""),3.0)</f>
        <v>3</v>
      </c>
      <c r="D583" s="6">
        <f>IFERROR(__xludf.DUMMYFUNCTION("""COMPUTED_VALUE"""),467.28)</f>
        <v>467.28</v>
      </c>
      <c r="E583" s="6">
        <f>IFERROR(__xludf.DUMMYFUNCTION("GOOGLEFINANCE(""Currency:BRLMXN"")*D583"),1587.3501599999997)</f>
        <v>1587.35016</v>
      </c>
      <c r="F583" s="6">
        <f>IFERROR(__xludf.DUMMYFUNCTION("GOOGLEFINANCE(""Currency:BRLPEN"")*D583"),306.34876799999995)</f>
        <v>306.348768</v>
      </c>
      <c r="G583" s="2" t="str">
        <f t="array" ref="G583">_xlfn.XLOOKUP(B583,Vendedores!$A$2:$A$41,Vendedores!$B$2:$B$41,"No hay datos")</f>
        <v>No hay datos</v>
      </c>
      <c r="H583" s="2" t="str">
        <f t="array" ref="H583">_xlfn.XLOOKUP(B583,Vendedores!$A$2:$A$41,Vendedores!$C$2:$C$41,"No hay datos")</f>
        <v>No hay datos</v>
      </c>
      <c r="I583" s="2" t="str">
        <f t="array" ref="I583">_xlfn.XLOOKUP(B583,Vendedores!$A$2:$A$41,Vendedores!$D$2:$D$41,"No hay datos")</f>
        <v>No hay datos</v>
      </c>
      <c r="J583" s="2" t="str">
        <f t="array" ref="J583">_xlfn.XLOOKUP(A583,Productos!$A$2:$A$61,Productos!$B$2:$F$61)</f>
        <v>#N/A</v>
      </c>
    </row>
    <row r="584">
      <c r="A584" s="2" t="str">
        <f>IFERROR(__xludf.DUMMYFUNCTION("""COMPUTED_VALUE"""),"PR049")</f>
        <v>PR049</v>
      </c>
      <c r="B584" s="2" t="str">
        <f>IFERROR(__xludf.DUMMYFUNCTION("""COMPUTED_VALUE"""),"VD038")</f>
        <v>VD038</v>
      </c>
      <c r="C584" s="2">
        <f>IFERROR(__xludf.DUMMYFUNCTION("""COMPUTED_VALUE"""),4.0)</f>
        <v>4</v>
      </c>
      <c r="D584" s="6">
        <f>IFERROR(__xludf.DUMMYFUNCTION("""COMPUTED_VALUE"""),140.81)</f>
        <v>140.81</v>
      </c>
      <c r="E584" s="6">
        <f>IFERROR(__xludf.DUMMYFUNCTION("GOOGLEFINANCE(""Currency:BRLMXN"")*D584"),478.33157)</f>
        <v>478.33157</v>
      </c>
      <c r="F584" s="6">
        <f>IFERROR(__xludf.DUMMYFUNCTION("GOOGLEFINANCE(""Currency:BRLPEN"")*D584"),92.31503599999999)</f>
        <v>92.315036</v>
      </c>
      <c r="G584" s="2" t="str">
        <f t="array" ref="G584">_xlfn.XLOOKUP(B584,Vendedores!$A$2:$A$41,Vendedores!$B$2:$B$41,"No hay datos")</f>
        <v>No hay datos</v>
      </c>
      <c r="H584" s="2" t="str">
        <f t="array" ref="H584">_xlfn.XLOOKUP(B584,Vendedores!$A$2:$A$41,Vendedores!$C$2:$C$41,"No hay datos")</f>
        <v>No hay datos</v>
      </c>
      <c r="I584" s="2" t="str">
        <f t="array" ref="I584">_xlfn.XLOOKUP(B584,Vendedores!$A$2:$A$41,Vendedores!$D$2:$D$41,"No hay datos")</f>
        <v>No hay datos</v>
      </c>
      <c r="J584" s="2" t="str">
        <f t="array" ref="J584">_xlfn.XLOOKUP(A584,Productos!$A$2:$A$61,Productos!$B$2:$F$61)</f>
        <v>#N/A</v>
      </c>
    </row>
    <row r="585">
      <c r="A585" s="2" t="str">
        <f>IFERROR(__xludf.DUMMYFUNCTION("""COMPUTED_VALUE"""),"PR033")</f>
        <v>PR033</v>
      </c>
      <c r="B585" s="2" t="str">
        <f>IFERROR(__xludf.DUMMYFUNCTION("""COMPUTED_VALUE"""),"VD048")</f>
        <v>VD048</v>
      </c>
      <c r="C585" s="2">
        <f>IFERROR(__xludf.DUMMYFUNCTION("""COMPUTED_VALUE"""),12.0)</f>
        <v>12</v>
      </c>
      <c r="D585" s="6">
        <f>IFERROR(__xludf.DUMMYFUNCTION("""COMPUTED_VALUE"""),3243.55)</f>
        <v>3243.55</v>
      </c>
      <c r="E585" s="6">
        <f>IFERROR(__xludf.DUMMYFUNCTION("GOOGLEFINANCE(""Currency:BRLMXN"")*D585"),11018.33935)</f>
        <v>11018.33935</v>
      </c>
      <c r="F585" s="6">
        <f>IFERROR(__xludf.DUMMYFUNCTION("GOOGLEFINANCE(""Currency:BRLPEN"")*D585"),2126.47138)</f>
        <v>2126.47138</v>
      </c>
      <c r="G585" s="2" t="str">
        <f t="array" ref="G585">_xlfn.XLOOKUP(B585,Vendedores!$A$2:$A$41,Vendedores!$B$2:$B$41,"No hay datos")</f>
        <v>No hay datos</v>
      </c>
      <c r="H585" s="2" t="str">
        <f t="array" ref="H585">_xlfn.XLOOKUP(B585,Vendedores!$A$2:$A$41,Vendedores!$C$2:$C$41,"No hay datos")</f>
        <v>No hay datos</v>
      </c>
      <c r="I585" s="2" t="str">
        <f t="array" ref="I585">_xlfn.XLOOKUP(B585,Vendedores!$A$2:$A$41,Vendedores!$D$2:$D$41,"No hay datos")</f>
        <v>No hay datos</v>
      </c>
      <c r="J585" s="2" t="str">
        <f t="array" ref="J585">_xlfn.XLOOKUP(A585,Productos!$A$2:$A$61,Productos!$B$2:$F$61)</f>
        <v>#N/A</v>
      </c>
    </row>
    <row r="586">
      <c r="A586" s="2" t="str">
        <f>IFERROR(__xludf.DUMMYFUNCTION("""COMPUTED_VALUE"""),"PR050")</f>
        <v>PR050</v>
      </c>
      <c r="B586" s="2" t="str">
        <f>IFERROR(__xludf.DUMMYFUNCTION("""COMPUTED_VALUE"""),"VD018")</f>
        <v>VD018</v>
      </c>
      <c r="C586" s="2">
        <f>IFERROR(__xludf.DUMMYFUNCTION("""COMPUTED_VALUE"""),2.0)</f>
        <v>2</v>
      </c>
      <c r="D586" s="6">
        <f>IFERROR(__xludf.DUMMYFUNCTION("""COMPUTED_VALUE"""),67.77)</f>
        <v>67.77</v>
      </c>
      <c r="E586" s="6">
        <f>IFERROR(__xludf.DUMMYFUNCTION("GOOGLEFINANCE(""Currency:BRLMXN"")*D586"),230.21468999999996)</f>
        <v>230.21469</v>
      </c>
      <c r="F586" s="6">
        <f>IFERROR(__xludf.DUMMYFUNCTION("GOOGLEFINANCE(""Currency:BRLPEN"")*D586"),44.430012)</f>
        <v>44.430012</v>
      </c>
      <c r="G586" s="2" t="str">
        <f t="array" ref="G586">_xlfn.XLOOKUP(B586,Vendedores!$A$2:$A$41,Vendedores!$B$2:$B$41,"No hay datos")</f>
        <v>No hay datos</v>
      </c>
      <c r="H586" s="2" t="str">
        <f t="array" ref="H586">_xlfn.XLOOKUP(B586,Vendedores!$A$2:$A$41,Vendedores!$C$2:$C$41,"No hay datos")</f>
        <v>No hay datos</v>
      </c>
      <c r="I586" s="2" t="str">
        <f t="array" ref="I586">_xlfn.XLOOKUP(B586,Vendedores!$A$2:$A$41,Vendedores!$D$2:$D$41,"No hay datos")</f>
        <v>No hay datos</v>
      </c>
      <c r="J586" s="2" t="str">
        <f t="array" ref="J586">_xlfn.XLOOKUP(A586,Productos!$A$2:$A$61,Productos!$B$2:$F$61)</f>
        <v>#N/A</v>
      </c>
    </row>
    <row r="587">
      <c r="A587" s="2" t="str">
        <f>IFERROR(__xludf.DUMMYFUNCTION("""COMPUTED_VALUE"""),"PR037")</f>
        <v>PR037</v>
      </c>
      <c r="B587" s="2" t="str">
        <f>IFERROR(__xludf.DUMMYFUNCTION("""COMPUTED_VALUE"""),"VD014")</f>
        <v>VD014</v>
      </c>
      <c r="C587" s="2">
        <f>IFERROR(__xludf.DUMMYFUNCTION("""COMPUTED_VALUE"""),8.0)</f>
        <v>8</v>
      </c>
      <c r="D587" s="6">
        <f>IFERROR(__xludf.DUMMYFUNCTION("""COMPUTED_VALUE"""),1209.6)</f>
        <v>1209.6</v>
      </c>
      <c r="E587" s="6">
        <f>IFERROR(__xludf.DUMMYFUNCTION("GOOGLEFINANCE(""Currency:BRLMXN"")*D587"),4109.011199999999)</f>
        <v>4109.0112</v>
      </c>
      <c r="F587" s="6">
        <f>IFERROR(__xludf.DUMMYFUNCTION("GOOGLEFINANCE(""Currency:BRLPEN"")*D587"),793.0137599999999)</f>
        <v>793.01376</v>
      </c>
      <c r="G587" s="2" t="str">
        <f t="array" ref="G587">_xlfn.XLOOKUP(B587,Vendedores!$A$2:$A$41,Vendedores!$B$2:$B$41,"No hay datos")</f>
        <v>No hay datos</v>
      </c>
      <c r="H587" s="2" t="str">
        <f t="array" ref="H587">_xlfn.XLOOKUP(B587,Vendedores!$A$2:$A$41,Vendedores!$C$2:$C$41,"No hay datos")</f>
        <v>No hay datos</v>
      </c>
      <c r="I587" s="2" t="str">
        <f t="array" ref="I587">_xlfn.XLOOKUP(B587,Vendedores!$A$2:$A$41,Vendedores!$D$2:$D$41,"No hay datos")</f>
        <v>No hay datos</v>
      </c>
      <c r="J587" s="2" t="str">
        <f t="array" ref="J587">_xlfn.XLOOKUP(A587,Productos!$A$2:$A$61,Productos!$B$2:$F$61)</f>
        <v>#N/A</v>
      </c>
    </row>
    <row r="588">
      <c r="A588" s="2" t="str">
        <f>IFERROR(__xludf.DUMMYFUNCTION("""COMPUTED_VALUE"""),"PR001")</f>
        <v>PR001</v>
      </c>
      <c r="B588" s="2" t="str">
        <f>IFERROR(__xludf.DUMMYFUNCTION("""COMPUTED_VALUE"""),"VD010")</f>
        <v>VD010</v>
      </c>
      <c r="C588" s="2">
        <f>IFERROR(__xludf.DUMMYFUNCTION("""COMPUTED_VALUE"""),8.0)</f>
        <v>8</v>
      </c>
      <c r="D588" s="6">
        <f>IFERROR(__xludf.DUMMYFUNCTION("""COMPUTED_VALUE"""),537.74)</f>
        <v>537.74</v>
      </c>
      <c r="E588" s="6">
        <f>IFERROR(__xludf.DUMMYFUNCTION("GOOGLEFINANCE(""Currency:BRLMXN"")*D588"),1826.7027799999998)</f>
        <v>1826.70278</v>
      </c>
      <c r="F588" s="6">
        <f>IFERROR(__xludf.DUMMYFUNCTION("GOOGLEFINANCE(""Currency:BRLPEN"")*D588"),352.54234399999996)</f>
        <v>352.542344</v>
      </c>
      <c r="G588" s="2" t="str">
        <f t="array" ref="G588">_xlfn.XLOOKUP(B588,Vendedores!$A$2:$A$41,Vendedores!$B$2:$B$41,"No hay datos")</f>
        <v>No hay datos</v>
      </c>
      <c r="H588" s="2" t="str">
        <f t="array" ref="H588">_xlfn.XLOOKUP(B588,Vendedores!$A$2:$A$41,Vendedores!$C$2:$C$41,"No hay datos")</f>
        <v>No hay datos</v>
      </c>
      <c r="I588" s="2" t="str">
        <f t="array" ref="I588">_xlfn.XLOOKUP(B588,Vendedores!$A$2:$A$41,Vendedores!$D$2:$D$41,"No hay datos")</f>
        <v>No hay datos</v>
      </c>
      <c r="J588" s="2" t="str">
        <f t="array" ref="J588">_xlfn.XLOOKUP(A588,Productos!$A$2:$A$61,Productos!$B$2:$F$61)</f>
        <v>#N/A</v>
      </c>
    </row>
    <row r="589">
      <c r="A589" s="2" t="str">
        <f>IFERROR(__xludf.DUMMYFUNCTION("""COMPUTED_VALUE"""),"PR049")</f>
        <v>PR049</v>
      </c>
      <c r="B589" s="2" t="str">
        <f>IFERROR(__xludf.DUMMYFUNCTION("""COMPUTED_VALUE"""),"VD015")</f>
        <v>VD015</v>
      </c>
      <c r="C589" s="2">
        <f>IFERROR(__xludf.DUMMYFUNCTION("""COMPUTED_VALUE"""),16.0)</f>
        <v>16</v>
      </c>
      <c r="D589" s="6">
        <f>IFERROR(__xludf.DUMMYFUNCTION("""COMPUTED_VALUE"""),573.78)</f>
        <v>573.78</v>
      </c>
      <c r="E589" s="6">
        <f>IFERROR(__xludf.DUMMYFUNCTION("GOOGLEFINANCE(""Currency:BRLMXN"")*D589"),1949.1306599999998)</f>
        <v>1949.13066</v>
      </c>
      <c r="F589" s="6">
        <f>IFERROR(__xludf.DUMMYFUNCTION("GOOGLEFINANCE(""Currency:BRLPEN"")*D589"),376.17016799999993)</f>
        <v>376.170168</v>
      </c>
      <c r="G589" s="2" t="str">
        <f t="array" ref="G589">_xlfn.XLOOKUP(B589,Vendedores!$A$2:$A$41,Vendedores!$B$2:$B$41,"No hay datos")</f>
        <v>No hay datos</v>
      </c>
      <c r="H589" s="2" t="str">
        <f t="array" ref="H589">_xlfn.XLOOKUP(B589,Vendedores!$A$2:$A$41,Vendedores!$C$2:$C$41,"No hay datos")</f>
        <v>No hay datos</v>
      </c>
      <c r="I589" s="2" t="str">
        <f t="array" ref="I589">_xlfn.XLOOKUP(B589,Vendedores!$A$2:$A$41,Vendedores!$D$2:$D$41,"No hay datos")</f>
        <v>No hay datos</v>
      </c>
      <c r="J589" s="2" t="str">
        <f t="array" ref="J589">_xlfn.XLOOKUP(A589,Productos!$A$2:$A$61,Productos!$B$2:$F$61)</f>
        <v>#N/A</v>
      </c>
    </row>
    <row r="590">
      <c r="A590" s="2" t="str">
        <f>IFERROR(__xludf.DUMMYFUNCTION("""COMPUTED_VALUE"""),"PR013")</f>
        <v>PR013</v>
      </c>
      <c r="B590" s="2" t="str">
        <f>IFERROR(__xludf.DUMMYFUNCTION("""COMPUTED_VALUE"""),"VD020")</f>
        <v>VD020</v>
      </c>
      <c r="C590" s="2">
        <f>IFERROR(__xludf.DUMMYFUNCTION("""COMPUTED_VALUE"""),6.0)</f>
        <v>6</v>
      </c>
      <c r="D590" s="6">
        <f>IFERROR(__xludf.DUMMYFUNCTION("""COMPUTED_VALUE"""),248.98)</f>
        <v>248.98</v>
      </c>
      <c r="E590" s="6">
        <f>IFERROR(__xludf.DUMMYFUNCTION("GOOGLEFINANCE(""Currency:BRLMXN"")*D590"),845.7850599999999)</f>
        <v>845.78506</v>
      </c>
      <c r="F590" s="6">
        <f>IFERROR(__xludf.DUMMYFUNCTION("GOOGLEFINANCE(""Currency:BRLPEN"")*D590"),163.23128799999998)</f>
        <v>163.231288</v>
      </c>
      <c r="G590" s="2" t="str">
        <f t="array" ref="G590">_xlfn.XLOOKUP(B590,Vendedores!$A$2:$A$41,Vendedores!$B$2:$B$41,"No hay datos")</f>
        <v>No hay datos</v>
      </c>
      <c r="H590" s="2" t="str">
        <f t="array" ref="H590">_xlfn.XLOOKUP(B590,Vendedores!$A$2:$A$41,Vendedores!$C$2:$C$41,"No hay datos")</f>
        <v>No hay datos</v>
      </c>
      <c r="I590" s="2" t="str">
        <f t="array" ref="I590">_xlfn.XLOOKUP(B590,Vendedores!$A$2:$A$41,Vendedores!$D$2:$D$41,"No hay datos")</f>
        <v>No hay datos</v>
      </c>
      <c r="J590" s="2" t="str">
        <f t="array" ref="J590">_xlfn.XLOOKUP(A590,Productos!$A$2:$A$61,Productos!$B$2:$F$61)</f>
        <v>#N/A</v>
      </c>
    </row>
    <row r="591">
      <c r="A591" s="2" t="str">
        <f>IFERROR(__xludf.DUMMYFUNCTION("""COMPUTED_VALUE"""),"PR003")</f>
        <v>PR003</v>
      </c>
      <c r="B591" s="2" t="str">
        <f>IFERROR(__xludf.DUMMYFUNCTION("""COMPUTED_VALUE"""),"VD031")</f>
        <v>VD031</v>
      </c>
      <c r="C591" s="2">
        <f>IFERROR(__xludf.DUMMYFUNCTION("""COMPUTED_VALUE"""),9.0)</f>
        <v>9</v>
      </c>
      <c r="D591" s="6">
        <f>IFERROR(__xludf.DUMMYFUNCTION("""COMPUTED_VALUE"""),657.24)</f>
        <v>657.24</v>
      </c>
      <c r="E591" s="6">
        <f>IFERROR(__xludf.DUMMYFUNCTION("GOOGLEFINANCE(""Currency:BRLMXN"")*D591"),2232.64428)</f>
        <v>2232.64428</v>
      </c>
      <c r="F591" s="6">
        <f>IFERROR(__xludf.DUMMYFUNCTION("GOOGLEFINANCE(""Currency:BRLPEN"")*D591"),430.88654399999996)</f>
        <v>430.886544</v>
      </c>
      <c r="G591" s="2" t="str">
        <f t="array" ref="G591">_xlfn.XLOOKUP(B591,Vendedores!$A$2:$A$41,Vendedores!$B$2:$B$41,"No hay datos")</f>
        <v>No hay datos</v>
      </c>
      <c r="H591" s="2" t="str">
        <f t="array" ref="H591">_xlfn.XLOOKUP(B591,Vendedores!$A$2:$A$41,Vendedores!$C$2:$C$41,"No hay datos")</f>
        <v>No hay datos</v>
      </c>
      <c r="I591" s="2" t="str">
        <f t="array" ref="I591">_xlfn.XLOOKUP(B591,Vendedores!$A$2:$A$41,Vendedores!$D$2:$D$41,"No hay datos")</f>
        <v>No hay datos</v>
      </c>
      <c r="J591" s="2" t="str">
        <f t="array" ref="J591">_xlfn.XLOOKUP(A591,Productos!$A$2:$A$61,Productos!$B$2:$F$61)</f>
        <v>#N/A</v>
      </c>
    </row>
    <row r="592">
      <c r="A592" s="2" t="str">
        <f>IFERROR(__xludf.DUMMYFUNCTION("""COMPUTED_VALUE"""),"PR057")</f>
        <v>PR057</v>
      </c>
      <c r="B592" s="2" t="str">
        <f>IFERROR(__xludf.DUMMYFUNCTION("""COMPUTED_VALUE"""),"VD045")</f>
        <v>VD045</v>
      </c>
      <c r="C592" s="2">
        <f>IFERROR(__xludf.DUMMYFUNCTION("""COMPUTED_VALUE"""),7.0)</f>
        <v>7</v>
      </c>
      <c r="D592" s="6">
        <f>IFERROR(__xludf.DUMMYFUNCTION("""COMPUTED_VALUE"""),679.64)</f>
        <v>679.64</v>
      </c>
      <c r="E592" s="6">
        <f>IFERROR(__xludf.DUMMYFUNCTION("GOOGLEFINANCE(""Currency:BRLMXN"")*D592"),2308.73708)</f>
        <v>2308.73708</v>
      </c>
      <c r="F592" s="6">
        <f>IFERROR(__xludf.DUMMYFUNCTION("GOOGLEFINANCE(""Currency:BRLPEN"")*D592"),445.571984)</f>
        <v>445.571984</v>
      </c>
      <c r="G592" s="2" t="str">
        <f t="array" ref="G592">_xlfn.XLOOKUP(B592,Vendedores!$A$2:$A$41,Vendedores!$B$2:$B$41,"No hay datos")</f>
        <v>No hay datos</v>
      </c>
      <c r="H592" s="2" t="str">
        <f t="array" ref="H592">_xlfn.XLOOKUP(B592,Vendedores!$A$2:$A$41,Vendedores!$C$2:$C$41,"No hay datos")</f>
        <v>No hay datos</v>
      </c>
      <c r="I592" s="2" t="str">
        <f t="array" ref="I592">_xlfn.XLOOKUP(B592,Vendedores!$A$2:$A$41,Vendedores!$D$2:$D$41,"No hay datos")</f>
        <v>No hay datos</v>
      </c>
      <c r="J592" s="2" t="str">
        <f t="array" ref="J592">_xlfn.XLOOKUP(A592,Productos!$A$2:$A$61,Productos!$B$2:$F$61)</f>
        <v>#N/A</v>
      </c>
    </row>
    <row r="593">
      <c r="A593" s="2" t="str">
        <f>IFERROR(__xludf.DUMMYFUNCTION("""COMPUTED_VALUE"""),"PR025")</f>
        <v>PR025</v>
      </c>
      <c r="B593" s="2" t="str">
        <f>IFERROR(__xludf.DUMMYFUNCTION("""COMPUTED_VALUE"""),"VD035")</f>
        <v>VD035</v>
      </c>
      <c r="C593" s="2">
        <f>IFERROR(__xludf.DUMMYFUNCTION("""COMPUTED_VALUE"""),1.0)</f>
        <v>1</v>
      </c>
      <c r="D593" s="6">
        <f>IFERROR(__xludf.DUMMYFUNCTION("""COMPUTED_VALUE"""),305.9)</f>
        <v>305.9</v>
      </c>
      <c r="E593" s="6">
        <f>IFERROR(__xludf.DUMMYFUNCTION("GOOGLEFINANCE(""Currency:BRLMXN"")*D593"),1039.1422999999998)</f>
        <v>1039.1423</v>
      </c>
      <c r="F593" s="6">
        <f>IFERROR(__xludf.DUMMYFUNCTION("GOOGLEFINANCE(""Currency:BRLPEN"")*D593"),200.54804)</f>
        <v>200.54804</v>
      </c>
      <c r="G593" s="2" t="str">
        <f t="array" ref="G593">_xlfn.XLOOKUP(B593,Vendedores!$A$2:$A$41,Vendedores!$B$2:$B$41,"No hay datos")</f>
        <v>No hay datos</v>
      </c>
      <c r="H593" s="2" t="str">
        <f t="array" ref="H593">_xlfn.XLOOKUP(B593,Vendedores!$A$2:$A$41,Vendedores!$C$2:$C$41,"No hay datos")</f>
        <v>No hay datos</v>
      </c>
      <c r="I593" s="2" t="str">
        <f t="array" ref="I593">_xlfn.XLOOKUP(B593,Vendedores!$A$2:$A$41,Vendedores!$D$2:$D$41,"No hay datos")</f>
        <v>No hay datos</v>
      </c>
      <c r="J593" s="2" t="str">
        <f t="array" ref="J593">_xlfn.XLOOKUP(A593,Productos!$A$2:$A$61,Productos!$B$2:$F$61)</f>
        <v>#N/A</v>
      </c>
    </row>
    <row r="594">
      <c r="A594" s="2" t="str">
        <f>IFERROR(__xludf.DUMMYFUNCTION("""COMPUTED_VALUE"""),"PR047")</f>
        <v>PR047</v>
      </c>
      <c r="B594" s="2" t="str">
        <f>IFERROR(__xludf.DUMMYFUNCTION("""COMPUTED_VALUE"""),"VD023")</f>
        <v>VD023</v>
      </c>
      <c r="C594" s="2">
        <f>IFERROR(__xludf.DUMMYFUNCTION("""COMPUTED_VALUE"""),20.0)</f>
        <v>20</v>
      </c>
      <c r="D594" s="6">
        <f>IFERROR(__xludf.DUMMYFUNCTION("""COMPUTED_VALUE"""),6029.92)</f>
        <v>6029.92</v>
      </c>
      <c r="E594" s="6">
        <f>IFERROR(__xludf.DUMMYFUNCTION("GOOGLEFINANCE(""Currency:BRLMXN"")*D594"),20483.63824)</f>
        <v>20483.63824</v>
      </c>
      <c r="F594" s="6">
        <f>IFERROR(__xludf.DUMMYFUNCTION("GOOGLEFINANCE(""Currency:BRLPEN"")*D594"),3953.2155519999997)</f>
        <v>3953.215552</v>
      </c>
      <c r="G594" s="2" t="str">
        <f t="array" ref="G594">_xlfn.XLOOKUP(B594,Vendedores!$A$2:$A$41,Vendedores!$B$2:$B$41,"No hay datos")</f>
        <v>No hay datos</v>
      </c>
      <c r="H594" s="2" t="str">
        <f t="array" ref="H594">_xlfn.XLOOKUP(B594,Vendedores!$A$2:$A$41,Vendedores!$C$2:$C$41,"No hay datos")</f>
        <v>No hay datos</v>
      </c>
      <c r="I594" s="2" t="str">
        <f t="array" ref="I594">_xlfn.XLOOKUP(B594,Vendedores!$A$2:$A$41,Vendedores!$D$2:$D$41,"No hay datos")</f>
        <v>No hay datos</v>
      </c>
      <c r="J594" s="2" t="str">
        <f t="array" ref="J594">_xlfn.XLOOKUP(A594,Productos!$A$2:$A$61,Productos!$B$2:$F$61)</f>
        <v>#N/A</v>
      </c>
    </row>
    <row r="595">
      <c r="A595" s="2" t="str">
        <f>IFERROR(__xludf.DUMMYFUNCTION("""COMPUTED_VALUE"""),"PR060")</f>
        <v>PR060</v>
      </c>
      <c r="B595" s="2" t="str">
        <f>IFERROR(__xludf.DUMMYFUNCTION("""COMPUTED_VALUE"""),"VD030")</f>
        <v>VD030</v>
      </c>
      <c r="C595" s="2">
        <f>IFERROR(__xludf.DUMMYFUNCTION("""COMPUTED_VALUE"""),18.0)</f>
        <v>18</v>
      </c>
      <c r="D595" s="6">
        <f>IFERROR(__xludf.DUMMYFUNCTION("""COMPUTED_VALUE"""),3402.0)</f>
        <v>3402</v>
      </c>
      <c r="E595" s="6">
        <f>IFERROR(__xludf.DUMMYFUNCTION("GOOGLEFINANCE(""Currency:BRLMXN"")*D595"),11556.594)</f>
        <v>11556.594</v>
      </c>
      <c r="F595" s="6">
        <f>IFERROR(__xludf.DUMMYFUNCTION("GOOGLEFINANCE(""Currency:BRLPEN"")*D595"),2230.3512)</f>
        <v>2230.3512</v>
      </c>
      <c r="G595" s="2" t="str">
        <f t="array" ref="G595">_xlfn.XLOOKUP(B595,Vendedores!$A$2:$A$41,Vendedores!$B$2:$B$41,"No hay datos")</f>
        <v>No hay datos</v>
      </c>
      <c r="H595" s="2" t="str">
        <f t="array" ref="H595">_xlfn.XLOOKUP(B595,Vendedores!$A$2:$A$41,Vendedores!$C$2:$C$41,"No hay datos")</f>
        <v>No hay datos</v>
      </c>
      <c r="I595" s="2" t="str">
        <f t="array" ref="I595">_xlfn.XLOOKUP(B595,Vendedores!$A$2:$A$41,Vendedores!$D$2:$D$41,"No hay datos")</f>
        <v>No hay datos</v>
      </c>
      <c r="J595" s="2" t="str">
        <f t="array" ref="J595">_xlfn.XLOOKUP(A595,Productos!$A$2:$A$61,Productos!$B$2:$F$61)</f>
        <v>#N/A</v>
      </c>
    </row>
    <row r="596">
      <c r="A596" s="2" t="str">
        <f>IFERROR(__xludf.DUMMYFUNCTION("""COMPUTED_VALUE"""),"PR017")</f>
        <v>PR017</v>
      </c>
      <c r="B596" s="2" t="str">
        <f>IFERROR(__xludf.DUMMYFUNCTION("""COMPUTED_VALUE"""),"VD049")</f>
        <v>VD049</v>
      </c>
      <c r="C596" s="2">
        <f>IFERROR(__xludf.DUMMYFUNCTION("""COMPUTED_VALUE"""),18.0)</f>
        <v>18</v>
      </c>
      <c r="D596" s="6">
        <f>IFERROR(__xludf.DUMMYFUNCTION("""COMPUTED_VALUE"""),581.26)</f>
        <v>581.26</v>
      </c>
      <c r="E596" s="6">
        <f>IFERROR(__xludf.DUMMYFUNCTION("GOOGLEFINANCE(""Currency:BRLMXN"")*D596"),1974.5402199999999)</f>
        <v>1974.54022</v>
      </c>
      <c r="F596" s="6">
        <f>IFERROR(__xludf.DUMMYFUNCTION("GOOGLEFINANCE(""Currency:BRLPEN"")*D596"),381.074056)</f>
        <v>381.074056</v>
      </c>
      <c r="G596" s="2" t="str">
        <f t="array" ref="G596">_xlfn.XLOOKUP(B596,Vendedores!$A$2:$A$41,Vendedores!$B$2:$B$41,"No hay datos")</f>
        <v>No hay datos</v>
      </c>
      <c r="H596" s="2" t="str">
        <f t="array" ref="H596">_xlfn.XLOOKUP(B596,Vendedores!$A$2:$A$41,Vendedores!$C$2:$C$41,"No hay datos")</f>
        <v>No hay datos</v>
      </c>
      <c r="I596" s="2" t="str">
        <f t="array" ref="I596">_xlfn.XLOOKUP(B596,Vendedores!$A$2:$A$41,Vendedores!$D$2:$D$41,"No hay datos")</f>
        <v>No hay datos</v>
      </c>
      <c r="J596" s="2" t="str">
        <f t="array" ref="J596">_xlfn.XLOOKUP(A596,Productos!$A$2:$A$61,Productos!$B$2:$F$61)</f>
        <v>#N/A</v>
      </c>
    </row>
    <row r="597">
      <c r="A597" s="2" t="str">
        <f>IFERROR(__xludf.DUMMYFUNCTION("""COMPUTED_VALUE"""),"PR024")</f>
        <v>PR024</v>
      </c>
      <c r="B597" s="2" t="str">
        <f>IFERROR(__xludf.DUMMYFUNCTION("""COMPUTED_VALUE"""),"VD026")</f>
        <v>VD026</v>
      </c>
      <c r="C597" s="2">
        <f>IFERROR(__xludf.DUMMYFUNCTION("""COMPUTED_VALUE"""),10.0)</f>
        <v>10</v>
      </c>
      <c r="D597" s="6">
        <f>IFERROR(__xludf.DUMMYFUNCTION("""COMPUTED_VALUE"""),2806.92)</f>
        <v>2806.92</v>
      </c>
      <c r="E597" s="6">
        <f>IFERROR(__xludf.DUMMYFUNCTION("GOOGLEFINANCE(""Currency:BRLMXN"")*D597"),9535.10724)</f>
        <v>9535.10724</v>
      </c>
      <c r="F597" s="6">
        <f>IFERROR(__xludf.DUMMYFUNCTION("GOOGLEFINANCE(""Currency:BRLPEN"")*D597"),1840.216752)</f>
        <v>1840.216752</v>
      </c>
      <c r="G597" s="2" t="str">
        <f t="array" ref="G597">_xlfn.XLOOKUP(B597,Vendedores!$A$2:$A$41,Vendedores!$B$2:$B$41,"No hay datos")</f>
        <v>No hay datos</v>
      </c>
      <c r="H597" s="2" t="str">
        <f t="array" ref="H597">_xlfn.XLOOKUP(B597,Vendedores!$A$2:$A$41,Vendedores!$C$2:$C$41,"No hay datos")</f>
        <v>No hay datos</v>
      </c>
      <c r="I597" s="2" t="str">
        <f t="array" ref="I597">_xlfn.XLOOKUP(B597,Vendedores!$A$2:$A$41,Vendedores!$D$2:$D$41,"No hay datos")</f>
        <v>No hay datos</v>
      </c>
      <c r="J597" s="2" t="str">
        <f t="array" ref="J597">_xlfn.XLOOKUP(A597,Productos!$A$2:$A$61,Productos!$B$2:$F$61)</f>
        <v>#N/A</v>
      </c>
    </row>
    <row r="598">
      <c r="A598" s="2" t="str">
        <f>IFERROR(__xludf.DUMMYFUNCTION("""COMPUTED_VALUE"""),"PR013")</f>
        <v>PR013</v>
      </c>
      <c r="B598" s="2" t="str">
        <f>IFERROR(__xludf.DUMMYFUNCTION("""COMPUTED_VALUE"""),"VD013")</f>
        <v>VD013</v>
      </c>
      <c r="C598" s="2">
        <f>IFERROR(__xludf.DUMMYFUNCTION("""COMPUTED_VALUE"""),16.0)</f>
        <v>16</v>
      </c>
      <c r="D598" s="6">
        <f>IFERROR(__xludf.DUMMYFUNCTION("""COMPUTED_VALUE"""),702.24)</f>
        <v>702.24</v>
      </c>
      <c r="E598" s="6">
        <f>IFERROR(__xludf.DUMMYFUNCTION("GOOGLEFINANCE(""Currency:BRLMXN"")*D598"),2385.5092799999998)</f>
        <v>2385.50928</v>
      </c>
      <c r="F598" s="6">
        <f>IFERROR(__xludf.DUMMYFUNCTION("GOOGLEFINANCE(""Currency:BRLPEN"")*D598"),460.38854399999997)</f>
        <v>460.388544</v>
      </c>
      <c r="G598" s="2" t="str">
        <f t="array" ref="G598">_xlfn.XLOOKUP(B598,Vendedores!$A$2:$A$41,Vendedores!$B$2:$B$41,"No hay datos")</f>
        <v>No hay datos</v>
      </c>
      <c r="H598" s="2" t="str">
        <f t="array" ref="H598">_xlfn.XLOOKUP(B598,Vendedores!$A$2:$A$41,Vendedores!$C$2:$C$41,"No hay datos")</f>
        <v>No hay datos</v>
      </c>
      <c r="I598" s="2" t="str">
        <f t="array" ref="I598">_xlfn.XLOOKUP(B598,Vendedores!$A$2:$A$41,Vendedores!$D$2:$D$41,"No hay datos")</f>
        <v>No hay datos</v>
      </c>
      <c r="J598" s="2" t="str">
        <f t="array" ref="J598">_xlfn.XLOOKUP(A598,Productos!$A$2:$A$61,Productos!$B$2:$F$61)</f>
        <v>#N/A</v>
      </c>
    </row>
    <row r="599">
      <c r="A599" s="2" t="str">
        <f>IFERROR(__xludf.DUMMYFUNCTION("""COMPUTED_VALUE"""),"PR057")</f>
        <v>PR057</v>
      </c>
      <c r="B599" s="2" t="str">
        <f>IFERROR(__xludf.DUMMYFUNCTION("""COMPUTED_VALUE"""),"VD027")</f>
        <v>VD027</v>
      </c>
      <c r="C599" s="2">
        <f>IFERROR(__xludf.DUMMYFUNCTION("""COMPUTED_VALUE"""),18.0)</f>
        <v>18</v>
      </c>
      <c r="D599" s="6">
        <f>IFERROR(__xludf.DUMMYFUNCTION("""COMPUTED_VALUE"""),1666.75)</f>
        <v>1666.75</v>
      </c>
      <c r="E599" s="6">
        <f>IFERROR(__xludf.DUMMYFUNCTION("GOOGLEFINANCE(""Currency:BRLMXN"")*D599"),5661.94975)</f>
        <v>5661.94975</v>
      </c>
      <c r="F599" s="6">
        <f>IFERROR(__xludf.DUMMYFUNCTION("GOOGLEFINANCE(""Currency:BRLPEN"")*D599"),1092.7213)</f>
        <v>1092.7213</v>
      </c>
      <c r="G599" s="2" t="str">
        <f t="array" ref="G599">_xlfn.XLOOKUP(B599,Vendedores!$A$2:$A$41,Vendedores!$B$2:$B$41,"No hay datos")</f>
        <v>No hay datos</v>
      </c>
      <c r="H599" s="2" t="str">
        <f t="array" ref="H599">_xlfn.XLOOKUP(B599,Vendedores!$A$2:$A$41,Vendedores!$C$2:$C$41,"No hay datos")</f>
        <v>No hay datos</v>
      </c>
      <c r="I599" s="2" t="str">
        <f t="array" ref="I599">_xlfn.XLOOKUP(B599,Vendedores!$A$2:$A$41,Vendedores!$D$2:$D$41,"No hay datos")</f>
        <v>No hay datos</v>
      </c>
      <c r="J599" s="2" t="str">
        <f t="array" ref="J599">_xlfn.XLOOKUP(A599,Productos!$A$2:$A$61,Productos!$B$2:$F$61)</f>
        <v>#N/A</v>
      </c>
    </row>
    <row r="600">
      <c r="A600" s="2" t="str">
        <f>IFERROR(__xludf.DUMMYFUNCTION("""COMPUTED_VALUE"""),"PR057")</f>
        <v>PR057</v>
      </c>
      <c r="B600" s="2" t="str">
        <f>IFERROR(__xludf.DUMMYFUNCTION("""COMPUTED_VALUE"""),"VD038")</f>
        <v>VD038</v>
      </c>
      <c r="C600" s="2">
        <f>IFERROR(__xludf.DUMMYFUNCTION("""COMPUTED_VALUE"""),8.0)</f>
        <v>8</v>
      </c>
      <c r="D600" s="6">
        <f>IFERROR(__xludf.DUMMYFUNCTION("""COMPUTED_VALUE"""),733.58)</f>
        <v>733.58</v>
      </c>
      <c r="E600" s="6">
        <f>IFERROR(__xludf.DUMMYFUNCTION("GOOGLEFINANCE(""Currency:BRLMXN"")*D600"),2491.97126)</f>
        <v>2491.97126</v>
      </c>
      <c r="F600" s="6">
        <f>IFERROR(__xludf.DUMMYFUNCTION("GOOGLEFINANCE(""Currency:BRLPEN"")*D600"),480.935048)</f>
        <v>480.935048</v>
      </c>
      <c r="G600" s="2" t="str">
        <f t="array" ref="G600">_xlfn.XLOOKUP(B600,Vendedores!$A$2:$A$41,Vendedores!$B$2:$B$41,"No hay datos")</f>
        <v>No hay datos</v>
      </c>
      <c r="H600" s="2" t="str">
        <f t="array" ref="H600">_xlfn.XLOOKUP(B600,Vendedores!$A$2:$A$41,Vendedores!$C$2:$C$41,"No hay datos")</f>
        <v>No hay datos</v>
      </c>
      <c r="I600" s="2" t="str">
        <f t="array" ref="I600">_xlfn.XLOOKUP(B600,Vendedores!$A$2:$A$41,Vendedores!$D$2:$D$41,"No hay datos")</f>
        <v>No hay datos</v>
      </c>
      <c r="J600" s="2" t="str">
        <f t="array" ref="J600">_xlfn.XLOOKUP(A600,Productos!$A$2:$A$61,Productos!$B$2:$F$61)</f>
        <v>#N/A</v>
      </c>
    </row>
    <row r="601">
      <c r="A601" s="2" t="str">
        <f>IFERROR(__xludf.DUMMYFUNCTION("""COMPUTED_VALUE"""),"PR020")</f>
        <v>PR020</v>
      </c>
      <c r="B601" s="2" t="str">
        <f>IFERROR(__xludf.DUMMYFUNCTION("""COMPUTED_VALUE"""),"VD021")</f>
        <v>VD021</v>
      </c>
      <c r="C601" s="2">
        <f>IFERROR(__xludf.DUMMYFUNCTION("""COMPUTED_VALUE"""),2.0)</f>
        <v>2</v>
      </c>
      <c r="D601" s="6">
        <f>IFERROR(__xludf.DUMMYFUNCTION("""COMPUTED_VALUE"""),617.79)</f>
        <v>617.79</v>
      </c>
      <c r="E601" s="6">
        <f>IFERROR(__xludf.DUMMYFUNCTION("GOOGLEFINANCE(""Currency:BRLMXN"")*D601"),2098.6326299999996)</f>
        <v>2098.63263</v>
      </c>
      <c r="F601" s="6">
        <f>IFERROR(__xludf.DUMMYFUNCTION("GOOGLEFINANCE(""Currency:BRLPEN"")*D601"),405.02312399999994)</f>
        <v>405.023124</v>
      </c>
      <c r="G601" s="2" t="str">
        <f t="array" ref="G601">_xlfn.XLOOKUP(B601,Vendedores!$A$2:$A$41,Vendedores!$B$2:$B$41,"No hay datos")</f>
        <v>No hay datos</v>
      </c>
      <c r="H601" s="2" t="str">
        <f t="array" ref="H601">_xlfn.XLOOKUP(B601,Vendedores!$A$2:$A$41,Vendedores!$C$2:$C$41,"No hay datos")</f>
        <v>No hay datos</v>
      </c>
      <c r="I601" s="2" t="str">
        <f t="array" ref="I601">_xlfn.XLOOKUP(B601,Vendedores!$A$2:$A$41,Vendedores!$D$2:$D$41,"No hay datos")</f>
        <v>No hay datos</v>
      </c>
      <c r="J601" s="2" t="str">
        <f t="array" ref="J601">_xlfn.XLOOKUP(A601,Productos!$A$2:$A$61,Productos!$B$2:$F$61)</f>
        <v>#N/A</v>
      </c>
    </row>
    <row r="602">
      <c r="A602" s="2" t="str">
        <f>IFERROR(__xludf.DUMMYFUNCTION("""COMPUTED_VALUE"""),"PR007")</f>
        <v>PR007</v>
      </c>
      <c r="B602" s="2" t="str">
        <f>IFERROR(__xludf.DUMMYFUNCTION("""COMPUTED_VALUE"""),"VD033")</f>
        <v>VD033</v>
      </c>
      <c r="C602" s="2">
        <f>IFERROR(__xludf.DUMMYFUNCTION("""COMPUTED_VALUE"""),8.0)</f>
        <v>8</v>
      </c>
      <c r="D602" s="6">
        <f>IFERROR(__xludf.DUMMYFUNCTION("""COMPUTED_VALUE"""),749.05)</f>
        <v>749.05</v>
      </c>
      <c r="E602" s="6">
        <f>IFERROR(__xludf.DUMMYFUNCTION("GOOGLEFINANCE(""Currency:BRLMXN"")*D602"),2544.52285)</f>
        <v>2544.52285</v>
      </c>
      <c r="F602" s="6">
        <f>IFERROR(__xludf.DUMMYFUNCTION("GOOGLEFINANCE(""Currency:BRLPEN"")*D602"),491.07717999999994)</f>
        <v>491.07718</v>
      </c>
      <c r="G602" s="2" t="str">
        <f t="array" ref="G602">_xlfn.XLOOKUP(B602,Vendedores!$A$2:$A$41,Vendedores!$B$2:$B$41,"No hay datos")</f>
        <v>No hay datos</v>
      </c>
      <c r="H602" s="2" t="str">
        <f t="array" ref="H602">_xlfn.XLOOKUP(B602,Vendedores!$A$2:$A$41,Vendedores!$C$2:$C$41,"No hay datos")</f>
        <v>No hay datos</v>
      </c>
      <c r="I602" s="2" t="str">
        <f t="array" ref="I602">_xlfn.XLOOKUP(B602,Vendedores!$A$2:$A$41,Vendedores!$D$2:$D$41,"No hay datos")</f>
        <v>No hay datos</v>
      </c>
      <c r="J602" s="2" t="str">
        <f t="array" ref="J602">_xlfn.XLOOKUP(A602,Productos!$A$2:$A$61,Productos!$B$2:$F$61)</f>
        <v>#N/A</v>
      </c>
    </row>
    <row r="603">
      <c r="A603" s="2" t="str">
        <f>IFERROR(__xludf.DUMMYFUNCTION("""COMPUTED_VALUE"""),"PR040")</f>
        <v>PR040</v>
      </c>
      <c r="B603" s="2" t="str">
        <f>IFERROR(__xludf.DUMMYFUNCTION("""COMPUTED_VALUE"""),"VD023")</f>
        <v>VD023</v>
      </c>
      <c r="C603" s="2">
        <f>IFERROR(__xludf.DUMMYFUNCTION("""COMPUTED_VALUE"""),4.0)</f>
        <v>4</v>
      </c>
      <c r="D603" s="6">
        <f>IFERROR(__xludf.DUMMYFUNCTION("""COMPUTED_VALUE"""),308.0)</f>
        <v>308</v>
      </c>
      <c r="E603" s="6">
        <f>IFERROR(__xludf.DUMMYFUNCTION("GOOGLEFINANCE(""Currency:BRLMXN"")*D603"),1046.2759999999998)</f>
        <v>1046.276</v>
      </c>
      <c r="F603" s="6">
        <f>IFERROR(__xludf.DUMMYFUNCTION("GOOGLEFINANCE(""Currency:BRLPEN"")*D603"),201.92479999999998)</f>
        <v>201.9248</v>
      </c>
      <c r="G603" s="2" t="str">
        <f t="array" ref="G603">_xlfn.XLOOKUP(B603,Vendedores!$A$2:$A$41,Vendedores!$B$2:$B$41,"No hay datos")</f>
        <v>No hay datos</v>
      </c>
      <c r="H603" s="2" t="str">
        <f t="array" ref="H603">_xlfn.XLOOKUP(B603,Vendedores!$A$2:$A$41,Vendedores!$C$2:$C$41,"No hay datos")</f>
        <v>No hay datos</v>
      </c>
      <c r="I603" s="2" t="str">
        <f t="array" ref="I603">_xlfn.XLOOKUP(B603,Vendedores!$A$2:$A$41,Vendedores!$D$2:$D$41,"No hay datos")</f>
        <v>No hay datos</v>
      </c>
      <c r="J603" s="2" t="str">
        <f t="array" ref="J603">_xlfn.XLOOKUP(A603,Productos!$A$2:$A$61,Productos!$B$2:$F$61)</f>
        <v>#N/A</v>
      </c>
    </row>
    <row r="604">
      <c r="A604" s="2" t="str">
        <f>IFERROR(__xludf.DUMMYFUNCTION("""COMPUTED_VALUE"""),"PR024")</f>
        <v>PR024</v>
      </c>
      <c r="B604" s="2" t="str">
        <f>IFERROR(__xludf.DUMMYFUNCTION("""COMPUTED_VALUE"""),"VD018")</f>
        <v>VD018</v>
      </c>
      <c r="C604" s="2">
        <f>IFERROR(__xludf.DUMMYFUNCTION("""COMPUTED_VALUE"""),2.0)</f>
        <v>2</v>
      </c>
      <c r="D604" s="6">
        <f>IFERROR(__xludf.DUMMYFUNCTION("""COMPUTED_VALUE"""),535.39)</f>
        <v>535.39</v>
      </c>
      <c r="E604" s="6">
        <f>IFERROR(__xludf.DUMMYFUNCTION("GOOGLEFINANCE(""Currency:BRLMXN"")*D604"),1818.7198299999998)</f>
        <v>1818.71983</v>
      </c>
      <c r="F604" s="6">
        <f>IFERROR(__xludf.DUMMYFUNCTION("GOOGLEFINANCE(""Currency:BRLPEN"")*D604"),351.00168399999995)</f>
        <v>351.001684</v>
      </c>
      <c r="G604" s="2" t="str">
        <f t="array" ref="G604">_xlfn.XLOOKUP(B604,Vendedores!$A$2:$A$41,Vendedores!$B$2:$B$41,"No hay datos")</f>
        <v>No hay datos</v>
      </c>
      <c r="H604" s="2" t="str">
        <f t="array" ref="H604">_xlfn.XLOOKUP(B604,Vendedores!$A$2:$A$41,Vendedores!$C$2:$C$41,"No hay datos")</f>
        <v>No hay datos</v>
      </c>
      <c r="I604" s="2" t="str">
        <f t="array" ref="I604">_xlfn.XLOOKUP(B604,Vendedores!$A$2:$A$41,Vendedores!$D$2:$D$41,"No hay datos")</f>
        <v>No hay datos</v>
      </c>
      <c r="J604" s="2" t="str">
        <f t="array" ref="J604">_xlfn.XLOOKUP(A604,Productos!$A$2:$A$61,Productos!$B$2:$F$61)</f>
        <v>#N/A</v>
      </c>
    </row>
    <row r="605">
      <c r="A605" s="2" t="str">
        <f>IFERROR(__xludf.DUMMYFUNCTION("""COMPUTED_VALUE"""),"PR004")</f>
        <v>PR004</v>
      </c>
      <c r="B605" s="2" t="str">
        <f>IFERROR(__xludf.DUMMYFUNCTION("""COMPUTED_VALUE"""),"VD031")</f>
        <v>VD031</v>
      </c>
      <c r="C605" s="2">
        <f>IFERROR(__xludf.DUMMYFUNCTION("""COMPUTED_VALUE"""),4.0)</f>
        <v>4</v>
      </c>
      <c r="D605" s="6">
        <f>IFERROR(__xludf.DUMMYFUNCTION("""COMPUTED_VALUE"""),603.2)</f>
        <v>603.2</v>
      </c>
      <c r="E605" s="6">
        <f>IFERROR(__xludf.DUMMYFUNCTION("GOOGLEFINANCE(""Currency:BRLMXN"")*D605"),2049.0704)</f>
        <v>2049.0704</v>
      </c>
      <c r="F605" s="6">
        <f>IFERROR(__xludf.DUMMYFUNCTION("GOOGLEFINANCE(""Currency:BRLPEN"")*D605"),395.45792)</f>
        <v>395.45792</v>
      </c>
      <c r="G605" s="2" t="str">
        <f t="array" ref="G605">_xlfn.XLOOKUP(B605,Vendedores!$A$2:$A$41,Vendedores!$B$2:$B$41,"No hay datos")</f>
        <v>No hay datos</v>
      </c>
      <c r="H605" s="2" t="str">
        <f t="array" ref="H605">_xlfn.XLOOKUP(B605,Vendedores!$A$2:$A$41,Vendedores!$C$2:$C$41,"No hay datos")</f>
        <v>No hay datos</v>
      </c>
      <c r="I605" s="2" t="str">
        <f t="array" ref="I605">_xlfn.XLOOKUP(B605,Vendedores!$A$2:$A$41,Vendedores!$D$2:$D$41,"No hay datos")</f>
        <v>No hay datos</v>
      </c>
      <c r="J605" s="2" t="str">
        <f t="array" ref="J605">_xlfn.XLOOKUP(A605,Productos!$A$2:$A$61,Productos!$B$2:$F$61)</f>
        <v>#N/A</v>
      </c>
    </row>
    <row r="606">
      <c r="A606" s="2" t="str">
        <f>IFERROR(__xludf.DUMMYFUNCTION("""COMPUTED_VALUE"""),"PR016")</f>
        <v>PR016</v>
      </c>
      <c r="B606" s="2" t="str">
        <f>IFERROR(__xludf.DUMMYFUNCTION("""COMPUTED_VALUE"""),"VD010")</f>
        <v>VD010</v>
      </c>
      <c r="C606" s="2">
        <f>IFERROR(__xludf.DUMMYFUNCTION("""COMPUTED_VALUE"""),8.0)</f>
        <v>8</v>
      </c>
      <c r="D606" s="6">
        <f>IFERROR(__xludf.DUMMYFUNCTION("""COMPUTED_VALUE"""),221.7)</f>
        <v>221.7</v>
      </c>
      <c r="E606" s="6">
        <f>IFERROR(__xludf.DUMMYFUNCTION("GOOGLEFINANCE(""Currency:BRLMXN"")*D606"),753.1148999999999)</f>
        <v>753.1149</v>
      </c>
      <c r="F606" s="6">
        <f>IFERROR(__xludf.DUMMYFUNCTION("GOOGLEFINANCE(""Currency:BRLPEN"")*D606"),145.34651999999997)</f>
        <v>145.34652</v>
      </c>
      <c r="G606" s="2" t="str">
        <f t="array" ref="G606">_xlfn.XLOOKUP(B606,Vendedores!$A$2:$A$41,Vendedores!$B$2:$B$41,"No hay datos")</f>
        <v>No hay datos</v>
      </c>
      <c r="H606" s="2" t="str">
        <f t="array" ref="H606">_xlfn.XLOOKUP(B606,Vendedores!$A$2:$A$41,Vendedores!$C$2:$C$41,"No hay datos")</f>
        <v>No hay datos</v>
      </c>
      <c r="I606" s="2" t="str">
        <f t="array" ref="I606">_xlfn.XLOOKUP(B606,Vendedores!$A$2:$A$41,Vendedores!$D$2:$D$41,"No hay datos")</f>
        <v>No hay datos</v>
      </c>
      <c r="J606" s="2" t="str">
        <f t="array" ref="J606">_xlfn.XLOOKUP(A606,Productos!$A$2:$A$61,Productos!$B$2:$F$61)</f>
        <v>#N/A</v>
      </c>
    </row>
    <row r="607">
      <c r="A607" s="2" t="str">
        <f>IFERROR(__xludf.DUMMYFUNCTION("""COMPUTED_VALUE"""),"PR029")</f>
        <v>PR029</v>
      </c>
      <c r="B607" s="2" t="str">
        <f>IFERROR(__xludf.DUMMYFUNCTION("""COMPUTED_VALUE"""),"VD030")</f>
        <v>VD030</v>
      </c>
      <c r="C607" s="2">
        <f>IFERROR(__xludf.DUMMYFUNCTION("""COMPUTED_VALUE"""),5.0)</f>
        <v>5</v>
      </c>
      <c r="D607" s="6">
        <f>IFERROR(__xludf.DUMMYFUNCTION("""COMPUTED_VALUE"""),1287.75)</f>
        <v>1287.75</v>
      </c>
      <c r="E607" s="6">
        <f>IFERROR(__xludf.DUMMYFUNCTION("GOOGLEFINANCE(""Currency:BRLMXN"")*D607"),4374.48675)</f>
        <v>4374.48675</v>
      </c>
      <c r="F607" s="6">
        <f>IFERROR(__xludf.DUMMYFUNCTION("GOOGLEFINANCE(""Currency:BRLPEN"")*D607"),844.2488999999999)</f>
        <v>844.2489</v>
      </c>
      <c r="G607" s="2" t="str">
        <f t="array" ref="G607">_xlfn.XLOOKUP(B607,Vendedores!$A$2:$A$41,Vendedores!$B$2:$B$41,"No hay datos")</f>
        <v>No hay datos</v>
      </c>
      <c r="H607" s="2" t="str">
        <f t="array" ref="H607">_xlfn.XLOOKUP(B607,Vendedores!$A$2:$A$41,Vendedores!$C$2:$C$41,"No hay datos")</f>
        <v>No hay datos</v>
      </c>
      <c r="I607" s="2" t="str">
        <f t="array" ref="I607">_xlfn.XLOOKUP(B607,Vendedores!$A$2:$A$41,Vendedores!$D$2:$D$41,"No hay datos")</f>
        <v>No hay datos</v>
      </c>
      <c r="J607" s="2" t="str">
        <f t="array" ref="J607">_xlfn.XLOOKUP(A607,Productos!$A$2:$A$61,Productos!$B$2:$F$61)</f>
        <v>#N/A</v>
      </c>
    </row>
    <row r="608">
      <c r="A608" s="2" t="str">
        <f>IFERROR(__xludf.DUMMYFUNCTION("""COMPUTED_VALUE"""),"PR007")</f>
        <v>PR007</v>
      </c>
      <c r="B608" s="2" t="str">
        <f>IFERROR(__xludf.DUMMYFUNCTION("""COMPUTED_VALUE"""),"VD046")</f>
        <v>VD046</v>
      </c>
      <c r="C608" s="2">
        <f>IFERROR(__xludf.DUMMYFUNCTION("""COMPUTED_VALUE"""),9.0)</f>
        <v>9</v>
      </c>
      <c r="D608" s="6">
        <f>IFERROR(__xludf.DUMMYFUNCTION("""COMPUTED_VALUE"""),804.02)</f>
        <v>804.02</v>
      </c>
      <c r="E608" s="6">
        <f>IFERROR(__xludf.DUMMYFUNCTION("GOOGLEFINANCE(""Currency:BRLMXN"")*D608"),2731.2559399999996)</f>
        <v>2731.25594</v>
      </c>
      <c r="F608" s="6">
        <f>IFERROR(__xludf.DUMMYFUNCTION("GOOGLEFINANCE(""Currency:BRLPEN"")*D608"),527.115512)</f>
        <v>527.115512</v>
      </c>
      <c r="G608" s="2" t="str">
        <f t="array" ref="G608">_xlfn.XLOOKUP(B608,Vendedores!$A$2:$A$41,Vendedores!$B$2:$B$41,"No hay datos")</f>
        <v>No hay datos</v>
      </c>
      <c r="H608" s="2" t="str">
        <f t="array" ref="H608">_xlfn.XLOOKUP(B608,Vendedores!$A$2:$A$41,Vendedores!$C$2:$C$41,"No hay datos")</f>
        <v>No hay datos</v>
      </c>
      <c r="I608" s="2" t="str">
        <f t="array" ref="I608">_xlfn.XLOOKUP(B608,Vendedores!$A$2:$A$41,Vendedores!$D$2:$D$41,"No hay datos")</f>
        <v>No hay datos</v>
      </c>
      <c r="J608" s="2" t="str">
        <f t="array" ref="J608">_xlfn.XLOOKUP(A608,Productos!$A$2:$A$61,Productos!$B$2:$F$61)</f>
        <v>#N/A</v>
      </c>
    </row>
    <row r="609">
      <c r="A609" s="2" t="str">
        <f>IFERROR(__xludf.DUMMYFUNCTION("""COMPUTED_VALUE"""),"PR049")</f>
        <v>PR049</v>
      </c>
      <c r="B609" s="2" t="str">
        <f>IFERROR(__xludf.DUMMYFUNCTION("""COMPUTED_VALUE"""),"VD032")</f>
        <v>VD032</v>
      </c>
      <c r="C609" s="2">
        <f>IFERROR(__xludf.DUMMYFUNCTION("""COMPUTED_VALUE"""),14.0)</f>
        <v>14</v>
      </c>
      <c r="D609" s="6">
        <f>IFERROR(__xludf.DUMMYFUNCTION("""COMPUTED_VALUE"""),492.84)</f>
        <v>492.84</v>
      </c>
      <c r="E609" s="6">
        <f>IFERROR(__xludf.DUMMYFUNCTION("GOOGLEFINANCE(""Currency:BRLMXN"")*D609"),1674.1774799999998)</f>
        <v>1674.17748</v>
      </c>
      <c r="F609" s="6">
        <f>IFERROR(__xludf.DUMMYFUNCTION("GOOGLEFINANCE(""Currency:BRLPEN"")*D609"),323.10590399999995)</f>
        <v>323.105904</v>
      </c>
      <c r="G609" s="2" t="str">
        <f t="array" ref="G609">_xlfn.XLOOKUP(B609,Vendedores!$A$2:$A$41,Vendedores!$B$2:$B$41,"No hay datos")</f>
        <v>No hay datos</v>
      </c>
      <c r="H609" s="2" t="str">
        <f t="array" ref="H609">_xlfn.XLOOKUP(B609,Vendedores!$A$2:$A$41,Vendedores!$C$2:$C$41,"No hay datos")</f>
        <v>No hay datos</v>
      </c>
      <c r="I609" s="2" t="str">
        <f t="array" ref="I609">_xlfn.XLOOKUP(B609,Vendedores!$A$2:$A$41,Vendedores!$D$2:$D$41,"No hay datos")</f>
        <v>No hay datos</v>
      </c>
      <c r="J609" s="2" t="str">
        <f t="array" ref="J609">_xlfn.XLOOKUP(A609,Productos!$A$2:$A$61,Productos!$B$2:$F$61)</f>
        <v>#N/A</v>
      </c>
    </row>
    <row r="610">
      <c r="A610" s="2" t="str">
        <f>IFERROR(__xludf.DUMMYFUNCTION("""COMPUTED_VALUE"""),"PR039")</f>
        <v>PR039</v>
      </c>
      <c r="B610" s="2" t="str">
        <f>IFERROR(__xludf.DUMMYFUNCTION("""COMPUTED_VALUE"""),"VD035")</f>
        <v>VD035</v>
      </c>
      <c r="C610" s="2">
        <f>IFERROR(__xludf.DUMMYFUNCTION("""COMPUTED_VALUE"""),16.0)</f>
        <v>16</v>
      </c>
      <c r="D610" s="6">
        <f>IFERROR(__xludf.DUMMYFUNCTION("""COMPUTED_VALUE"""),2452.8)</f>
        <v>2452.8</v>
      </c>
      <c r="E610" s="6">
        <f>IFERROR(__xludf.DUMMYFUNCTION("GOOGLEFINANCE(""Currency:BRLMXN"")*D610"),8332.1616)</f>
        <v>8332.1616</v>
      </c>
      <c r="F610" s="6">
        <f>IFERROR(__xludf.DUMMYFUNCTION("GOOGLEFINANCE(""Currency:BRLPEN"")*D610"),1608.05568)</f>
        <v>1608.05568</v>
      </c>
      <c r="G610" s="2" t="str">
        <f t="array" ref="G610">_xlfn.XLOOKUP(B610,Vendedores!$A$2:$A$41,Vendedores!$B$2:$B$41,"No hay datos")</f>
        <v>No hay datos</v>
      </c>
      <c r="H610" s="2" t="str">
        <f t="array" ref="H610">_xlfn.XLOOKUP(B610,Vendedores!$A$2:$A$41,Vendedores!$C$2:$C$41,"No hay datos")</f>
        <v>No hay datos</v>
      </c>
      <c r="I610" s="2" t="str">
        <f t="array" ref="I610">_xlfn.XLOOKUP(B610,Vendedores!$A$2:$A$41,Vendedores!$D$2:$D$41,"No hay datos")</f>
        <v>No hay datos</v>
      </c>
      <c r="J610" s="2" t="str">
        <f t="array" ref="J610">_xlfn.XLOOKUP(A610,Productos!$A$2:$A$61,Productos!$B$2:$F$61)</f>
        <v>#N/A</v>
      </c>
    </row>
    <row r="611">
      <c r="A611" s="2" t="str">
        <f>IFERROR(__xludf.DUMMYFUNCTION("""COMPUTED_VALUE"""),"PR022")</f>
        <v>PR022</v>
      </c>
      <c r="B611" s="2" t="str">
        <f>IFERROR(__xludf.DUMMYFUNCTION("""COMPUTED_VALUE"""),"VD022")</f>
        <v>VD022</v>
      </c>
      <c r="C611" s="2">
        <f>IFERROR(__xludf.DUMMYFUNCTION("""COMPUTED_VALUE"""),2.0)</f>
        <v>2</v>
      </c>
      <c r="D611" s="6">
        <f>IFERROR(__xludf.DUMMYFUNCTION("""COMPUTED_VALUE"""),606.0)</f>
        <v>606</v>
      </c>
      <c r="E611" s="6">
        <f>IFERROR(__xludf.DUMMYFUNCTION("GOOGLEFINANCE(""Currency:BRLMXN"")*D611"),2058.582)</f>
        <v>2058.582</v>
      </c>
      <c r="F611" s="6">
        <f>IFERROR(__xludf.DUMMYFUNCTION("GOOGLEFINANCE(""Currency:BRLPEN"")*D611"),397.29359999999997)</f>
        <v>397.2936</v>
      </c>
      <c r="G611" s="2" t="str">
        <f t="array" ref="G611">_xlfn.XLOOKUP(B611,Vendedores!$A$2:$A$41,Vendedores!$B$2:$B$41,"No hay datos")</f>
        <v>No hay datos</v>
      </c>
      <c r="H611" s="2" t="str">
        <f t="array" ref="H611">_xlfn.XLOOKUP(B611,Vendedores!$A$2:$A$41,Vendedores!$C$2:$C$41,"No hay datos")</f>
        <v>No hay datos</v>
      </c>
      <c r="I611" s="2" t="str">
        <f t="array" ref="I611">_xlfn.XLOOKUP(B611,Vendedores!$A$2:$A$41,Vendedores!$D$2:$D$41,"No hay datos")</f>
        <v>No hay datos</v>
      </c>
      <c r="J611" s="2" t="str">
        <f t="array" ref="J611">_xlfn.XLOOKUP(A611,Productos!$A$2:$A$61,Productos!$B$2:$F$61)</f>
        <v>#N/A</v>
      </c>
    </row>
    <row r="612">
      <c r="A612" s="2" t="str">
        <f>IFERROR(__xludf.DUMMYFUNCTION("""COMPUTED_VALUE"""),"PR004")</f>
        <v>PR004</v>
      </c>
      <c r="B612" s="2" t="str">
        <f>IFERROR(__xludf.DUMMYFUNCTION("""COMPUTED_VALUE"""),"VD023")</f>
        <v>VD023</v>
      </c>
      <c r="C612" s="2">
        <f>IFERROR(__xludf.DUMMYFUNCTION("""COMPUTED_VALUE"""),2.0)</f>
        <v>2</v>
      </c>
      <c r="D612" s="6">
        <f>IFERROR(__xludf.DUMMYFUNCTION("""COMPUTED_VALUE"""),319.0)</f>
        <v>319</v>
      </c>
      <c r="E612" s="6">
        <f>IFERROR(__xludf.DUMMYFUNCTION("GOOGLEFINANCE(""Currency:BRLMXN"")*D612"),1083.643)</f>
        <v>1083.643</v>
      </c>
      <c r="F612" s="6">
        <f>IFERROR(__xludf.DUMMYFUNCTION("GOOGLEFINANCE(""Currency:BRLPEN"")*D612"),209.13639999999998)</f>
        <v>209.1364</v>
      </c>
      <c r="G612" s="2" t="str">
        <f t="array" ref="G612">_xlfn.XLOOKUP(B612,Vendedores!$A$2:$A$41,Vendedores!$B$2:$B$41,"No hay datos")</f>
        <v>No hay datos</v>
      </c>
      <c r="H612" s="2" t="str">
        <f t="array" ref="H612">_xlfn.XLOOKUP(B612,Vendedores!$A$2:$A$41,Vendedores!$C$2:$C$41,"No hay datos")</f>
        <v>No hay datos</v>
      </c>
      <c r="I612" s="2" t="str">
        <f t="array" ref="I612">_xlfn.XLOOKUP(B612,Vendedores!$A$2:$A$41,Vendedores!$D$2:$D$41,"No hay datos")</f>
        <v>No hay datos</v>
      </c>
      <c r="J612" s="2" t="str">
        <f t="array" ref="J612">_xlfn.XLOOKUP(A612,Productos!$A$2:$A$61,Productos!$B$2:$F$61)</f>
        <v>#N/A</v>
      </c>
    </row>
    <row r="613">
      <c r="A613" s="2" t="str">
        <f>IFERROR(__xludf.DUMMYFUNCTION("""COMPUTED_VALUE"""),"PR011")</f>
        <v>PR011</v>
      </c>
      <c r="B613" s="2" t="str">
        <f>IFERROR(__xludf.DUMMYFUNCTION("""COMPUTED_VALUE"""),"VD049")</f>
        <v>VD049</v>
      </c>
      <c r="C613" s="2">
        <f>IFERROR(__xludf.DUMMYFUNCTION("""COMPUTED_VALUE"""),9.0)</f>
        <v>9</v>
      </c>
      <c r="D613" s="6">
        <f>IFERROR(__xludf.DUMMYFUNCTION("""COMPUTED_VALUE"""),460.09)</f>
        <v>460.09</v>
      </c>
      <c r="E613" s="6">
        <f>IFERROR(__xludf.DUMMYFUNCTION("GOOGLEFINANCE(""Currency:BRLMXN"")*D613"),1562.92573)</f>
        <v>1562.92573</v>
      </c>
      <c r="F613" s="6">
        <f>IFERROR(__xludf.DUMMYFUNCTION("GOOGLEFINANCE(""Currency:BRLPEN"")*D613"),301.635004)</f>
        <v>301.635004</v>
      </c>
      <c r="G613" s="2" t="str">
        <f t="array" ref="G613">_xlfn.XLOOKUP(B613,Vendedores!$A$2:$A$41,Vendedores!$B$2:$B$41,"No hay datos")</f>
        <v>No hay datos</v>
      </c>
      <c r="H613" s="2" t="str">
        <f t="array" ref="H613">_xlfn.XLOOKUP(B613,Vendedores!$A$2:$A$41,Vendedores!$C$2:$C$41,"No hay datos")</f>
        <v>No hay datos</v>
      </c>
      <c r="I613" s="2" t="str">
        <f t="array" ref="I613">_xlfn.XLOOKUP(B613,Vendedores!$A$2:$A$41,Vendedores!$D$2:$D$41,"No hay datos")</f>
        <v>No hay datos</v>
      </c>
      <c r="J613" s="2" t="str">
        <f t="array" ref="J613">_xlfn.XLOOKUP(A613,Productos!$A$2:$A$61,Productos!$B$2:$F$61)</f>
        <v>#N/A</v>
      </c>
    </row>
    <row r="614">
      <c r="A614" s="2" t="str">
        <f>IFERROR(__xludf.DUMMYFUNCTION("""COMPUTED_VALUE"""),"PR052")</f>
        <v>PR052</v>
      </c>
      <c r="B614" s="2" t="str">
        <f>IFERROR(__xludf.DUMMYFUNCTION("""COMPUTED_VALUE"""),"VD044")</f>
        <v>VD044</v>
      </c>
      <c r="C614" s="2">
        <f>IFERROR(__xludf.DUMMYFUNCTION("""COMPUTED_VALUE"""),20.0)</f>
        <v>20</v>
      </c>
      <c r="D614" s="6">
        <f>IFERROR(__xludf.DUMMYFUNCTION("""COMPUTED_VALUE"""),1077.84)</f>
        <v>1077.84</v>
      </c>
      <c r="E614" s="6">
        <f>IFERROR(__xludf.DUMMYFUNCTION("GOOGLEFINANCE(""Currency:BRLMXN"")*D614"),3661.4224799999997)</f>
        <v>3661.42248</v>
      </c>
      <c r="F614" s="6">
        <f>IFERROR(__xludf.DUMMYFUNCTION("GOOGLEFINANCE(""Currency:BRLPEN"")*D614"),706.6319039999998)</f>
        <v>706.631904</v>
      </c>
      <c r="G614" s="2" t="str">
        <f t="array" ref="G614">_xlfn.XLOOKUP(B614,Vendedores!$A$2:$A$41,Vendedores!$B$2:$B$41,"No hay datos")</f>
        <v>No hay datos</v>
      </c>
      <c r="H614" s="2" t="str">
        <f t="array" ref="H614">_xlfn.XLOOKUP(B614,Vendedores!$A$2:$A$41,Vendedores!$C$2:$C$41,"No hay datos")</f>
        <v>No hay datos</v>
      </c>
      <c r="I614" s="2" t="str">
        <f t="array" ref="I614">_xlfn.XLOOKUP(B614,Vendedores!$A$2:$A$41,Vendedores!$D$2:$D$41,"No hay datos")</f>
        <v>No hay datos</v>
      </c>
      <c r="J614" s="2" t="str">
        <f t="array" ref="J614">_xlfn.XLOOKUP(A614,Productos!$A$2:$A$61,Productos!$B$2:$F$61)</f>
        <v>#N/A</v>
      </c>
    </row>
    <row r="615">
      <c r="A615" s="2" t="str">
        <f>IFERROR(__xludf.DUMMYFUNCTION("""COMPUTED_VALUE"""),"PR001")</f>
        <v>PR001</v>
      </c>
      <c r="B615" s="2" t="str">
        <f>IFERROR(__xludf.DUMMYFUNCTION("""COMPUTED_VALUE"""),"VD039")</f>
        <v>VD039</v>
      </c>
      <c r="C615" s="2">
        <f>IFERROR(__xludf.DUMMYFUNCTION("""COMPUTED_VALUE"""),5.0)</f>
        <v>5</v>
      </c>
      <c r="D615" s="6">
        <f>IFERROR(__xludf.DUMMYFUNCTION("""COMPUTED_VALUE"""),345.98)</f>
        <v>345.98</v>
      </c>
      <c r="E615" s="6">
        <f>IFERROR(__xludf.DUMMYFUNCTION("GOOGLEFINANCE(""Currency:BRLMXN"")*D615"),1175.29406)</f>
        <v>1175.29406</v>
      </c>
      <c r="F615" s="6">
        <f>IFERROR(__xludf.DUMMYFUNCTION("GOOGLEFINANCE(""Currency:BRLPEN"")*D615"),226.824488)</f>
        <v>226.824488</v>
      </c>
      <c r="G615" s="2" t="str">
        <f t="array" ref="G615">_xlfn.XLOOKUP(B615,Vendedores!$A$2:$A$41,Vendedores!$B$2:$B$41,"No hay datos")</f>
        <v>No hay datos</v>
      </c>
      <c r="H615" s="2" t="str">
        <f t="array" ref="H615">_xlfn.XLOOKUP(B615,Vendedores!$A$2:$A$41,Vendedores!$C$2:$C$41,"No hay datos")</f>
        <v>No hay datos</v>
      </c>
      <c r="I615" s="2" t="str">
        <f t="array" ref="I615">_xlfn.XLOOKUP(B615,Vendedores!$A$2:$A$41,Vendedores!$D$2:$D$41,"No hay datos")</f>
        <v>No hay datos</v>
      </c>
      <c r="J615" s="2" t="str">
        <f t="array" ref="J615">_xlfn.XLOOKUP(A615,Productos!$A$2:$A$61,Productos!$B$2:$F$61)</f>
        <v>#N/A</v>
      </c>
    </row>
    <row r="616">
      <c r="A616" s="2" t="str">
        <f>IFERROR(__xludf.DUMMYFUNCTION("""COMPUTED_VALUE"""),"PR051")</f>
        <v>PR051</v>
      </c>
      <c r="B616" s="2" t="str">
        <f>IFERROR(__xludf.DUMMYFUNCTION("""COMPUTED_VALUE"""),"VD031")</f>
        <v>VD031</v>
      </c>
      <c r="C616" s="2">
        <f>IFERROR(__xludf.DUMMYFUNCTION("""COMPUTED_VALUE"""),5.0)</f>
        <v>5</v>
      </c>
      <c r="D616" s="6">
        <f>IFERROR(__xludf.DUMMYFUNCTION("""COMPUTED_VALUE"""),164.5)</f>
        <v>164.5</v>
      </c>
      <c r="E616" s="6">
        <f>IFERROR(__xludf.DUMMYFUNCTION("GOOGLEFINANCE(""Currency:BRLMXN"")*D616"),558.8064999999999)</f>
        <v>558.8065</v>
      </c>
      <c r="F616" s="6">
        <f>IFERROR(__xludf.DUMMYFUNCTION("GOOGLEFINANCE(""Currency:BRLPEN"")*D616"),107.8462)</f>
        <v>107.8462</v>
      </c>
      <c r="G616" s="2" t="str">
        <f t="array" ref="G616">_xlfn.XLOOKUP(B616,Vendedores!$A$2:$A$41,Vendedores!$B$2:$B$41,"No hay datos")</f>
        <v>No hay datos</v>
      </c>
      <c r="H616" s="2" t="str">
        <f t="array" ref="H616">_xlfn.XLOOKUP(B616,Vendedores!$A$2:$A$41,Vendedores!$C$2:$C$41,"No hay datos")</f>
        <v>No hay datos</v>
      </c>
      <c r="I616" s="2" t="str">
        <f t="array" ref="I616">_xlfn.XLOOKUP(B616,Vendedores!$A$2:$A$41,Vendedores!$D$2:$D$41,"No hay datos")</f>
        <v>No hay datos</v>
      </c>
      <c r="J616" s="2" t="str">
        <f t="array" ref="J616">_xlfn.XLOOKUP(A616,Productos!$A$2:$A$61,Productos!$B$2:$F$61)</f>
        <v>#N/A</v>
      </c>
    </row>
    <row r="617">
      <c r="A617" s="2" t="str">
        <f>IFERROR(__xludf.DUMMYFUNCTION("""COMPUTED_VALUE"""),"PR007")</f>
        <v>PR007</v>
      </c>
      <c r="B617" s="2" t="str">
        <f>IFERROR(__xludf.DUMMYFUNCTION("""COMPUTED_VALUE"""),"VD023")</f>
        <v>VD023</v>
      </c>
      <c r="C617" s="2">
        <f>IFERROR(__xludf.DUMMYFUNCTION("""COMPUTED_VALUE"""),4.0)</f>
        <v>4</v>
      </c>
      <c r="D617" s="6">
        <f>IFERROR(__xludf.DUMMYFUNCTION("""COMPUTED_VALUE"""),367.65)</f>
        <v>367.65</v>
      </c>
      <c r="E617" s="6">
        <f>IFERROR(__xludf.DUMMYFUNCTION("GOOGLEFINANCE(""Currency:BRLMXN"")*D617"),1248.9070499999998)</f>
        <v>1248.90705</v>
      </c>
      <c r="F617" s="6">
        <f>IFERROR(__xludf.DUMMYFUNCTION("GOOGLEFINANCE(""Currency:BRLPEN"")*D617"),241.03133999999997)</f>
        <v>241.03134</v>
      </c>
      <c r="G617" s="2" t="str">
        <f t="array" ref="G617">_xlfn.XLOOKUP(B617,Vendedores!$A$2:$A$41,Vendedores!$B$2:$B$41,"No hay datos")</f>
        <v>No hay datos</v>
      </c>
      <c r="H617" s="2" t="str">
        <f t="array" ref="H617">_xlfn.XLOOKUP(B617,Vendedores!$A$2:$A$41,Vendedores!$C$2:$C$41,"No hay datos")</f>
        <v>No hay datos</v>
      </c>
      <c r="I617" s="2" t="str">
        <f t="array" ref="I617">_xlfn.XLOOKUP(B617,Vendedores!$A$2:$A$41,Vendedores!$D$2:$D$41,"No hay datos")</f>
        <v>No hay datos</v>
      </c>
      <c r="J617" s="2" t="str">
        <f t="array" ref="J617">_xlfn.XLOOKUP(A617,Productos!$A$2:$A$61,Productos!$B$2:$F$61)</f>
        <v>#N/A</v>
      </c>
    </row>
    <row r="618">
      <c r="A618" s="2" t="str">
        <f>IFERROR(__xludf.DUMMYFUNCTION("""COMPUTED_VALUE"""),"PR039")</f>
        <v>PR039</v>
      </c>
      <c r="B618" s="2" t="str">
        <f>IFERROR(__xludf.DUMMYFUNCTION("""COMPUTED_VALUE"""),"VD019")</f>
        <v>VD019</v>
      </c>
      <c r="C618" s="2">
        <f>IFERROR(__xludf.DUMMYFUNCTION("""COMPUTED_VALUE"""),3.0)</f>
        <v>3</v>
      </c>
      <c r="D618" s="6">
        <f>IFERROR(__xludf.DUMMYFUNCTION("""COMPUTED_VALUE"""),459.9)</f>
        <v>459.9</v>
      </c>
      <c r="E618" s="6">
        <f>IFERROR(__xludf.DUMMYFUNCTION("GOOGLEFINANCE(""Currency:BRLMXN"")*D618"),1562.2803)</f>
        <v>1562.2803</v>
      </c>
      <c r="F618" s="6">
        <f>IFERROR(__xludf.DUMMYFUNCTION("GOOGLEFINANCE(""Currency:BRLPEN"")*D618"),301.51043999999996)</f>
        <v>301.51044</v>
      </c>
      <c r="G618" s="2" t="str">
        <f t="array" ref="G618">_xlfn.XLOOKUP(B618,Vendedores!$A$2:$A$41,Vendedores!$B$2:$B$41,"No hay datos")</f>
        <v>No hay datos</v>
      </c>
      <c r="H618" s="2" t="str">
        <f t="array" ref="H618">_xlfn.XLOOKUP(B618,Vendedores!$A$2:$A$41,Vendedores!$C$2:$C$41,"No hay datos")</f>
        <v>No hay datos</v>
      </c>
      <c r="I618" s="2" t="str">
        <f t="array" ref="I618">_xlfn.XLOOKUP(B618,Vendedores!$A$2:$A$41,Vendedores!$D$2:$D$41,"No hay datos")</f>
        <v>No hay datos</v>
      </c>
      <c r="J618" s="2" t="str">
        <f t="array" ref="J618">_xlfn.XLOOKUP(A618,Productos!$A$2:$A$61,Productos!$B$2:$F$61)</f>
        <v>#N/A</v>
      </c>
    </row>
    <row r="619">
      <c r="A619" s="2" t="str">
        <f>IFERROR(__xludf.DUMMYFUNCTION("""COMPUTED_VALUE"""),"PR033")</f>
        <v>PR033</v>
      </c>
      <c r="B619" s="2" t="str">
        <f>IFERROR(__xludf.DUMMYFUNCTION("""COMPUTED_VALUE"""),"VD041")</f>
        <v>VD041</v>
      </c>
      <c r="C619" s="2">
        <f>IFERROR(__xludf.DUMMYFUNCTION("""COMPUTED_VALUE"""),5.0)</f>
        <v>5</v>
      </c>
      <c r="D619" s="6">
        <f>IFERROR(__xludf.DUMMYFUNCTION("""COMPUTED_VALUE"""),1351.48)</f>
        <v>1351.48</v>
      </c>
      <c r="E619" s="6">
        <f>IFERROR(__xludf.DUMMYFUNCTION("GOOGLEFINANCE(""Currency:BRLMXN"")*D619"),4590.977559999999)</f>
        <v>4590.97756</v>
      </c>
      <c r="F619" s="6">
        <f>IFERROR(__xludf.DUMMYFUNCTION("GOOGLEFINANCE(""Currency:BRLPEN"")*D619"),886.0302879999999)</f>
        <v>886.030288</v>
      </c>
      <c r="G619" s="2" t="str">
        <f t="array" ref="G619">_xlfn.XLOOKUP(B619,Vendedores!$A$2:$A$41,Vendedores!$B$2:$B$41,"No hay datos")</f>
        <v>No hay datos</v>
      </c>
      <c r="H619" s="2" t="str">
        <f t="array" ref="H619">_xlfn.XLOOKUP(B619,Vendedores!$A$2:$A$41,Vendedores!$C$2:$C$41,"No hay datos")</f>
        <v>No hay datos</v>
      </c>
      <c r="I619" s="2" t="str">
        <f t="array" ref="I619">_xlfn.XLOOKUP(B619,Vendedores!$A$2:$A$41,Vendedores!$D$2:$D$41,"No hay datos")</f>
        <v>No hay datos</v>
      </c>
      <c r="J619" s="2" t="str">
        <f t="array" ref="J619">_xlfn.XLOOKUP(A619,Productos!$A$2:$A$61,Productos!$B$2:$F$61)</f>
        <v>#N/A</v>
      </c>
    </row>
    <row r="620">
      <c r="A620" s="2" t="str">
        <f>IFERROR(__xludf.DUMMYFUNCTION("""COMPUTED_VALUE"""),"PR043")</f>
        <v>PR043</v>
      </c>
      <c r="B620" s="2" t="str">
        <f>IFERROR(__xludf.DUMMYFUNCTION("""COMPUTED_VALUE"""),"VD035")</f>
        <v>VD035</v>
      </c>
      <c r="C620" s="2">
        <f>IFERROR(__xludf.DUMMYFUNCTION("""COMPUTED_VALUE"""),6.0)</f>
        <v>6</v>
      </c>
      <c r="D620" s="6">
        <f>IFERROR(__xludf.DUMMYFUNCTION("""COMPUTED_VALUE"""),474.15)</f>
        <v>474.15</v>
      </c>
      <c r="E620" s="6">
        <f>IFERROR(__xludf.DUMMYFUNCTION("GOOGLEFINANCE(""Currency:BRLMXN"")*D620"),1610.6875499999999)</f>
        <v>1610.68755</v>
      </c>
      <c r="F620" s="6">
        <f>IFERROR(__xludf.DUMMYFUNCTION("GOOGLEFINANCE(""Currency:BRLPEN"")*D620"),310.85274)</f>
        <v>310.85274</v>
      </c>
      <c r="G620" s="2" t="str">
        <f t="array" ref="G620">_xlfn.XLOOKUP(B620,Vendedores!$A$2:$A$41,Vendedores!$B$2:$B$41,"No hay datos")</f>
        <v>No hay datos</v>
      </c>
      <c r="H620" s="2" t="str">
        <f t="array" ref="H620">_xlfn.XLOOKUP(B620,Vendedores!$A$2:$A$41,Vendedores!$C$2:$C$41,"No hay datos")</f>
        <v>No hay datos</v>
      </c>
      <c r="I620" s="2" t="str">
        <f t="array" ref="I620">_xlfn.XLOOKUP(B620,Vendedores!$A$2:$A$41,Vendedores!$D$2:$D$41,"No hay datos")</f>
        <v>No hay datos</v>
      </c>
      <c r="J620" s="2" t="str">
        <f t="array" ref="J620">_xlfn.XLOOKUP(A620,Productos!$A$2:$A$61,Productos!$B$2:$F$61)</f>
        <v>#N/A</v>
      </c>
    </row>
    <row r="621">
      <c r="A621" s="2" t="str">
        <f>IFERROR(__xludf.DUMMYFUNCTION("""COMPUTED_VALUE"""),"PR056")</f>
        <v>PR056</v>
      </c>
      <c r="B621" s="2" t="str">
        <f>IFERROR(__xludf.DUMMYFUNCTION("""COMPUTED_VALUE"""),"VD025")</f>
        <v>VD025</v>
      </c>
      <c r="C621" s="2">
        <f>IFERROR(__xludf.DUMMYFUNCTION("""COMPUTED_VALUE"""),1.0)</f>
        <v>1</v>
      </c>
      <c r="D621" s="6">
        <f>IFERROR(__xludf.DUMMYFUNCTION("""COMPUTED_VALUE"""),92.6)</f>
        <v>92.6</v>
      </c>
      <c r="E621" s="6">
        <f>IFERROR(__xludf.DUMMYFUNCTION("GOOGLEFINANCE(""Currency:BRLMXN"")*D621"),314.56219999999996)</f>
        <v>314.5622</v>
      </c>
      <c r="F621" s="6">
        <f>IFERROR(__xludf.DUMMYFUNCTION("GOOGLEFINANCE(""Currency:BRLPEN"")*D621"),60.70855999999999)</f>
        <v>60.70856</v>
      </c>
      <c r="G621" s="2" t="str">
        <f t="array" ref="G621">_xlfn.XLOOKUP(B621,Vendedores!$A$2:$A$41,Vendedores!$B$2:$B$41,"No hay datos")</f>
        <v>No hay datos</v>
      </c>
      <c r="H621" s="2" t="str">
        <f t="array" ref="H621">_xlfn.XLOOKUP(B621,Vendedores!$A$2:$A$41,Vendedores!$C$2:$C$41,"No hay datos")</f>
        <v>No hay datos</v>
      </c>
      <c r="I621" s="2" t="str">
        <f t="array" ref="I621">_xlfn.XLOOKUP(B621,Vendedores!$A$2:$A$41,Vendedores!$D$2:$D$41,"No hay datos")</f>
        <v>No hay datos</v>
      </c>
      <c r="J621" s="2" t="str">
        <f t="array" ref="J621">_xlfn.XLOOKUP(A621,Productos!$A$2:$A$61,Productos!$B$2:$F$61)</f>
        <v>#N/A</v>
      </c>
    </row>
    <row r="622">
      <c r="A622" s="2" t="str">
        <f>IFERROR(__xludf.DUMMYFUNCTION("""COMPUTED_VALUE"""),"PR032")</f>
        <v>PR032</v>
      </c>
      <c r="B622" s="2" t="str">
        <f>IFERROR(__xludf.DUMMYFUNCTION("""COMPUTED_VALUE"""),"VD033")</f>
        <v>VD033</v>
      </c>
      <c r="C622" s="2">
        <f>IFERROR(__xludf.DUMMYFUNCTION("""COMPUTED_VALUE"""),7.0)</f>
        <v>7</v>
      </c>
      <c r="D622" s="6">
        <f>IFERROR(__xludf.DUMMYFUNCTION("""COMPUTED_VALUE"""),1820.0)</f>
        <v>1820</v>
      </c>
      <c r="E622" s="6">
        <f>IFERROR(__xludf.DUMMYFUNCTION("GOOGLEFINANCE(""Currency:BRLMXN"")*D622"),6182.54)</f>
        <v>6182.54</v>
      </c>
      <c r="F622" s="6">
        <f>IFERROR(__xludf.DUMMYFUNCTION("GOOGLEFINANCE(""Currency:BRLPEN"")*D622"),1193.192)</f>
        <v>1193.192</v>
      </c>
      <c r="G622" s="2" t="str">
        <f t="array" ref="G622">_xlfn.XLOOKUP(B622,Vendedores!$A$2:$A$41,Vendedores!$B$2:$B$41,"No hay datos")</f>
        <v>No hay datos</v>
      </c>
      <c r="H622" s="2" t="str">
        <f t="array" ref="H622">_xlfn.XLOOKUP(B622,Vendedores!$A$2:$A$41,Vendedores!$C$2:$C$41,"No hay datos")</f>
        <v>No hay datos</v>
      </c>
      <c r="I622" s="2" t="str">
        <f t="array" ref="I622">_xlfn.XLOOKUP(B622,Vendedores!$A$2:$A$41,Vendedores!$D$2:$D$41,"No hay datos")</f>
        <v>No hay datos</v>
      </c>
      <c r="J622" s="2" t="str">
        <f t="array" ref="J622">_xlfn.XLOOKUP(A622,Productos!$A$2:$A$61,Productos!$B$2:$F$61)</f>
        <v>#N/A</v>
      </c>
    </row>
    <row r="623">
      <c r="A623" s="2" t="str">
        <f>IFERROR(__xludf.DUMMYFUNCTION("""COMPUTED_VALUE"""),"PR035")</f>
        <v>PR035</v>
      </c>
      <c r="B623" s="2" t="str">
        <f>IFERROR(__xludf.DUMMYFUNCTION("""COMPUTED_VALUE"""),"VD042")</f>
        <v>VD042</v>
      </c>
      <c r="C623" s="2">
        <f>IFERROR(__xludf.DUMMYFUNCTION("""COMPUTED_VALUE"""),4.0)</f>
        <v>4</v>
      </c>
      <c r="D623" s="6">
        <f>IFERROR(__xludf.DUMMYFUNCTION("""COMPUTED_VALUE"""),398.5)</f>
        <v>398.5</v>
      </c>
      <c r="E623" s="6">
        <f>IFERROR(__xludf.DUMMYFUNCTION("GOOGLEFINANCE(""Currency:BRLMXN"")*D623"),1353.7044999999998)</f>
        <v>1353.7045</v>
      </c>
      <c r="F623" s="6">
        <f>IFERROR(__xludf.DUMMYFUNCTION("GOOGLEFINANCE(""Currency:BRLPEN"")*D623"),261.2566)</f>
        <v>261.2566</v>
      </c>
      <c r="G623" s="2" t="str">
        <f t="array" ref="G623">_xlfn.XLOOKUP(B623,Vendedores!$A$2:$A$41,Vendedores!$B$2:$B$41,"No hay datos")</f>
        <v>No hay datos</v>
      </c>
      <c r="H623" s="2" t="str">
        <f t="array" ref="H623">_xlfn.XLOOKUP(B623,Vendedores!$A$2:$A$41,Vendedores!$C$2:$C$41,"No hay datos")</f>
        <v>No hay datos</v>
      </c>
      <c r="I623" s="2" t="str">
        <f t="array" ref="I623">_xlfn.XLOOKUP(B623,Vendedores!$A$2:$A$41,Vendedores!$D$2:$D$41,"No hay datos")</f>
        <v>No hay datos</v>
      </c>
      <c r="J623" s="2" t="str">
        <f t="array" ref="J623">_xlfn.XLOOKUP(A623,Productos!$A$2:$A$61,Productos!$B$2:$F$61)</f>
        <v>#N/A</v>
      </c>
    </row>
    <row r="624">
      <c r="A624" s="2" t="str">
        <f>IFERROR(__xludf.DUMMYFUNCTION("""COMPUTED_VALUE"""),"PR011")</f>
        <v>PR011</v>
      </c>
      <c r="B624" s="2" t="str">
        <f>IFERROR(__xludf.DUMMYFUNCTION("""COMPUTED_VALUE"""),"VD030")</f>
        <v>VD030</v>
      </c>
      <c r="C624" s="2">
        <f>IFERROR(__xludf.DUMMYFUNCTION("""COMPUTED_VALUE"""),4.0)</f>
        <v>4</v>
      </c>
      <c r="D624" s="6">
        <f>IFERROR(__xludf.DUMMYFUNCTION("""COMPUTED_VALUE"""),193.23)</f>
        <v>193.23</v>
      </c>
      <c r="E624" s="6">
        <f>IFERROR(__xludf.DUMMYFUNCTION("GOOGLEFINANCE(""Currency:BRLMXN"")*D624"),656.4023099999999)</f>
        <v>656.40231</v>
      </c>
      <c r="F624" s="6">
        <f>IFERROR(__xludf.DUMMYFUNCTION("GOOGLEFINANCE(""Currency:BRLPEN"")*D624"),126.68158799999999)</f>
        <v>126.681588</v>
      </c>
      <c r="G624" s="2" t="str">
        <f t="array" ref="G624">_xlfn.XLOOKUP(B624,Vendedores!$A$2:$A$41,Vendedores!$B$2:$B$41,"No hay datos")</f>
        <v>No hay datos</v>
      </c>
      <c r="H624" s="2" t="str">
        <f t="array" ref="H624">_xlfn.XLOOKUP(B624,Vendedores!$A$2:$A$41,Vendedores!$C$2:$C$41,"No hay datos")</f>
        <v>No hay datos</v>
      </c>
      <c r="I624" s="2" t="str">
        <f t="array" ref="I624">_xlfn.XLOOKUP(B624,Vendedores!$A$2:$A$41,Vendedores!$D$2:$D$41,"No hay datos")</f>
        <v>No hay datos</v>
      </c>
      <c r="J624" s="2" t="str">
        <f t="array" ref="J624">_xlfn.XLOOKUP(A624,Productos!$A$2:$A$61,Productos!$B$2:$F$61)</f>
        <v>#N/A</v>
      </c>
    </row>
    <row r="625">
      <c r="A625" s="2" t="str">
        <f>IFERROR(__xludf.DUMMYFUNCTION("""COMPUTED_VALUE"""),"PR011")</f>
        <v>PR011</v>
      </c>
      <c r="B625" s="2" t="str">
        <f>IFERROR(__xludf.DUMMYFUNCTION("""COMPUTED_VALUE"""),"VD036")</f>
        <v>VD036</v>
      </c>
      <c r="C625" s="2">
        <f>IFERROR(__xludf.DUMMYFUNCTION("""COMPUTED_VALUE"""),2.0)</f>
        <v>2</v>
      </c>
      <c r="D625" s="6">
        <f>IFERROR(__xludf.DUMMYFUNCTION("""COMPUTED_VALUE"""),93.8)</f>
        <v>93.8</v>
      </c>
      <c r="E625" s="6">
        <f>IFERROR(__xludf.DUMMYFUNCTION("GOOGLEFINANCE(""Currency:BRLMXN"")*D625"),318.6386)</f>
        <v>318.6386</v>
      </c>
      <c r="F625" s="6">
        <f>IFERROR(__xludf.DUMMYFUNCTION("GOOGLEFINANCE(""Currency:BRLPEN"")*D625"),61.495279999999994)</f>
        <v>61.49528</v>
      </c>
      <c r="G625" s="2" t="str">
        <f t="array" ref="G625">_xlfn.XLOOKUP(B625,Vendedores!$A$2:$A$41,Vendedores!$B$2:$B$41,"No hay datos")</f>
        <v>No hay datos</v>
      </c>
      <c r="H625" s="2" t="str">
        <f t="array" ref="H625">_xlfn.XLOOKUP(B625,Vendedores!$A$2:$A$41,Vendedores!$C$2:$C$41,"No hay datos")</f>
        <v>No hay datos</v>
      </c>
      <c r="I625" s="2" t="str">
        <f t="array" ref="I625">_xlfn.XLOOKUP(B625,Vendedores!$A$2:$A$41,Vendedores!$D$2:$D$41,"No hay datos")</f>
        <v>No hay datos</v>
      </c>
      <c r="J625" s="2" t="str">
        <f t="array" ref="J625">_xlfn.XLOOKUP(A625,Productos!$A$2:$A$61,Productos!$B$2:$F$61)</f>
        <v>#N/A</v>
      </c>
    </row>
    <row r="626">
      <c r="A626" s="2" t="str">
        <f>IFERROR(__xludf.DUMMYFUNCTION("""COMPUTED_VALUE"""),"PR039")</f>
        <v>PR039</v>
      </c>
      <c r="B626" s="2" t="str">
        <f>IFERROR(__xludf.DUMMYFUNCTION("""COMPUTED_VALUE"""),"VD031")</f>
        <v>VD031</v>
      </c>
      <c r="C626" s="2">
        <f>IFERROR(__xludf.DUMMYFUNCTION("""COMPUTED_VALUE"""),4.0)</f>
        <v>4</v>
      </c>
      <c r="D626" s="6">
        <f>IFERROR(__xludf.DUMMYFUNCTION("""COMPUTED_VALUE"""),624.88)</f>
        <v>624.88</v>
      </c>
      <c r="E626" s="6">
        <f>IFERROR(__xludf.DUMMYFUNCTION("GOOGLEFINANCE(""Currency:BRLMXN"")*D626"),2122.7173599999996)</f>
        <v>2122.71736</v>
      </c>
      <c r="F626" s="6">
        <f>IFERROR(__xludf.DUMMYFUNCTION("GOOGLEFINANCE(""Currency:BRLPEN"")*D626"),409.67132799999996)</f>
        <v>409.671328</v>
      </c>
      <c r="G626" s="2" t="str">
        <f t="array" ref="G626">_xlfn.XLOOKUP(B626,Vendedores!$A$2:$A$41,Vendedores!$B$2:$B$41,"No hay datos")</f>
        <v>No hay datos</v>
      </c>
      <c r="H626" s="2" t="str">
        <f t="array" ref="H626">_xlfn.XLOOKUP(B626,Vendedores!$A$2:$A$41,Vendedores!$C$2:$C$41,"No hay datos")</f>
        <v>No hay datos</v>
      </c>
      <c r="I626" s="2" t="str">
        <f t="array" ref="I626">_xlfn.XLOOKUP(B626,Vendedores!$A$2:$A$41,Vendedores!$D$2:$D$41,"No hay datos")</f>
        <v>No hay datos</v>
      </c>
      <c r="J626" s="2" t="str">
        <f t="array" ref="J626">_xlfn.XLOOKUP(A626,Productos!$A$2:$A$61,Productos!$B$2:$F$61)</f>
        <v>#N/A</v>
      </c>
    </row>
    <row r="627">
      <c r="A627" s="2" t="str">
        <f>IFERROR(__xludf.DUMMYFUNCTION("""COMPUTED_VALUE"""),"PR026")</f>
        <v>PR026</v>
      </c>
      <c r="B627" s="2" t="str">
        <f>IFERROR(__xludf.DUMMYFUNCTION("""COMPUTED_VALUE"""),"VD045")</f>
        <v>VD045</v>
      </c>
      <c r="C627" s="2">
        <f>IFERROR(__xludf.DUMMYFUNCTION("""COMPUTED_VALUE"""),16.0)</f>
        <v>16</v>
      </c>
      <c r="D627" s="6">
        <f>IFERROR(__xludf.DUMMYFUNCTION("""COMPUTED_VALUE"""),5822.34)</f>
        <v>5822.34</v>
      </c>
      <c r="E627" s="6">
        <f>IFERROR(__xludf.DUMMYFUNCTION("GOOGLEFINANCE(""Currency:BRLMXN"")*D627"),19778.48898)</f>
        <v>19778.48898</v>
      </c>
      <c r="F627" s="6">
        <f>IFERROR(__xludf.DUMMYFUNCTION("GOOGLEFINANCE(""Currency:BRLPEN"")*D627"),3817.126104)</f>
        <v>3817.126104</v>
      </c>
      <c r="G627" s="2" t="str">
        <f t="array" ref="G627">_xlfn.XLOOKUP(B627,Vendedores!$A$2:$A$41,Vendedores!$B$2:$B$41,"No hay datos")</f>
        <v>No hay datos</v>
      </c>
      <c r="H627" s="2" t="str">
        <f t="array" ref="H627">_xlfn.XLOOKUP(B627,Vendedores!$A$2:$A$41,Vendedores!$C$2:$C$41,"No hay datos")</f>
        <v>No hay datos</v>
      </c>
      <c r="I627" s="2" t="str">
        <f t="array" ref="I627">_xlfn.XLOOKUP(B627,Vendedores!$A$2:$A$41,Vendedores!$D$2:$D$41,"No hay datos")</f>
        <v>No hay datos</v>
      </c>
      <c r="J627" s="2" t="str">
        <f t="array" ref="J627">_xlfn.XLOOKUP(A627,Productos!$A$2:$A$61,Productos!$B$2:$F$61)</f>
        <v>#N/A</v>
      </c>
    </row>
    <row r="628">
      <c r="A628" s="2" t="str">
        <f>IFERROR(__xludf.DUMMYFUNCTION("""COMPUTED_VALUE"""),"PR048")</f>
        <v>PR048</v>
      </c>
      <c r="B628" s="2" t="str">
        <f>IFERROR(__xludf.DUMMYFUNCTION("""COMPUTED_VALUE"""),"VD029")</f>
        <v>VD029</v>
      </c>
      <c r="C628" s="2">
        <f>IFERROR(__xludf.DUMMYFUNCTION("""COMPUTED_VALUE"""),20.0)</f>
        <v>20</v>
      </c>
      <c r="D628" s="6">
        <f>IFERROR(__xludf.DUMMYFUNCTION("""COMPUTED_VALUE"""),6145.88)</f>
        <v>6145.88</v>
      </c>
      <c r="E628" s="6">
        <f>IFERROR(__xludf.DUMMYFUNCTION("GOOGLEFINANCE(""Currency:BRLMXN"")*D628"),20877.55436)</f>
        <v>20877.55436</v>
      </c>
      <c r="F628" s="6">
        <f>IFERROR(__xludf.DUMMYFUNCTION("GOOGLEFINANCE(""Currency:BRLPEN"")*D628"),4029.2389279999998)</f>
        <v>4029.238928</v>
      </c>
      <c r="G628" s="2" t="str">
        <f t="array" ref="G628">_xlfn.XLOOKUP(B628,Vendedores!$A$2:$A$41,Vendedores!$B$2:$B$41,"No hay datos")</f>
        <v>No hay datos</v>
      </c>
      <c r="H628" s="2" t="str">
        <f t="array" ref="H628">_xlfn.XLOOKUP(B628,Vendedores!$A$2:$A$41,Vendedores!$C$2:$C$41,"No hay datos")</f>
        <v>No hay datos</v>
      </c>
      <c r="I628" s="2" t="str">
        <f t="array" ref="I628">_xlfn.XLOOKUP(B628,Vendedores!$A$2:$A$41,Vendedores!$D$2:$D$41,"No hay datos")</f>
        <v>No hay datos</v>
      </c>
      <c r="J628" s="2" t="str">
        <f t="array" ref="J628">_xlfn.XLOOKUP(A628,Productos!$A$2:$A$61,Productos!$B$2:$F$61)</f>
        <v>#N/A</v>
      </c>
    </row>
    <row r="629">
      <c r="A629" s="2" t="str">
        <f>IFERROR(__xludf.DUMMYFUNCTION("""COMPUTED_VALUE"""),"PR021")</f>
        <v>PR021</v>
      </c>
      <c r="B629" s="2" t="str">
        <f>IFERROR(__xludf.DUMMYFUNCTION("""COMPUTED_VALUE"""),"VD045")</f>
        <v>VD045</v>
      </c>
      <c r="C629" s="2">
        <f>IFERROR(__xludf.DUMMYFUNCTION("""COMPUTED_VALUE"""),6.0)</f>
        <v>6</v>
      </c>
      <c r="D629" s="6">
        <f>IFERROR(__xludf.DUMMYFUNCTION("""COMPUTED_VALUE"""),1817.4)</f>
        <v>1817.4</v>
      </c>
      <c r="E629" s="6">
        <f>IFERROR(__xludf.DUMMYFUNCTION("GOOGLEFINANCE(""Currency:BRLMXN"")*D629"),6173.7078)</f>
        <v>6173.7078</v>
      </c>
      <c r="F629" s="6">
        <f>IFERROR(__xludf.DUMMYFUNCTION("GOOGLEFINANCE(""Currency:BRLPEN"")*D629"),1191.4874399999999)</f>
        <v>1191.48744</v>
      </c>
      <c r="G629" s="2" t="str">
        <f t="array" ref="G629">_xlfn.XLOOKUP(B629,Vendedores!$A$2:$A$41,Vendedores!$B$2:$B$41,"No hay datos")</f>
        <v>No hay datos</v>
      </c>
      <c r="H629" s="2" t="str">
        <f t="array" ref="H629">_xlfn.XLOOKUP(B629,Vendedores!$A$2:$A$41,Vendedores!$C$2:$C$41,"No hay datos")</f>
        <v>No hay datos</v>
      </c>
      <c r="I629" s="2" t="str">
        <f t="array" ref="I629">_xlfn.XLOOKUP(B629,Vendedores!$A$2:$A$41,Vendedores!$D$2:$D$41,"No hay datos")</f>
        <v>No hay datos</v>
      </c>
      <c r="J629" s="2" t="str">
        <f t="array" ref="J629">_xlfn.XLOOKUP(A629,Productos!$A$2:$A$61,Productos!$B$2:$F$61)</f>
        <v>#N/A</v>
      </c>
    </row>
    <row r="630">
      <c r="A630" s="2" t="str">
        <f>IFERROR(__xludf.DUMMYFUNCTION("""COMPUTED_VALUE"""),"PR047")</f>
        <v>PR047</v>
      </c>
      <c r="B630" s="2" t="str">
        <f>IFERROR(__xludf.DUMMYFUNCTION("""COMPUTED_VALUE"""),"VD030")</f>
        <v>VD030</v>
      </c>
      <c r="C630" s="2">
        <f>IFERROR(__xludf.DUMMYFUNCTION("""COMPUTED_VALUE"""),14.0)</f>
        <v>14</v>
      </c>
      <c r="D630" s="6">
        <f>IFERROR(__xludf.DUMMYFUNCTION("""COMPUTED_VALUE"""),4180.36)</f>
        <v>4180.36</v>
      </c>
      <c r="E630" s="6">
        <f>IFERROR(__xludf.DUMMYFUNCTION("GOOGLEFINANCE(""Currency:BRLMXN"")*D630"),14200.682919999997)</f>
        <v>14200.68292</v>
      </c>
      <c r="F630" s="6">
        <f>IFERROR(__xludf.DUMMYFUNCTION("GOOGLEFINANCE(""Currency:BRLPEN"")*D630"),2740.6440159999997)</f>
        <v>2740.644016</v>
      </c>
      <c r="G630" s="2" t="str">
        <f t="array" ref="G630">_xlfn.XLOOKUP(B630,Vendedores!$A$2:$A$41,Vendedores!$B$2:$B$41,"No hay datos")</f>
        <v>No hay datos</v>
      </c>
      <c r="H630" s="2" t="str">
        <f t="array" ref="H630">_xlfn.XLOOKUP(B630,Vendedores!$A$2:$A$41,Vendedores!$C$2:$C$41,"No hay datos")</f>
        <v>No hay datos</v>
      </c>
      <c r="I630" s="2" t="str">
        <f t="array" ref="I630">_xlfn.XLOOKUP(B630,Vendedores!$A$2:$A$41,Vendedores!$D$2:$D$41,"No hay datos")</f>
        <v>No hay datos</v>
      </c>
      <c r="J630" s="2" t="str">
        <f t="array" ref="J630">_xlfn.XLOOKUP(A630,Productos!$A$2:$A$61,Productos!$B$2:$F$61)</f>
        <v>#N/A</v>
      </c>
    </row>
    <row r="631">
      <c r="A631" s="2" t="str">
        <f>IFERROR(__xludf.DUMMYFUNCTION("""COMPUTED_VALUE"""),"PR002")</f>
        <v>PR002</v>
      </c>
      <c r="B631" s="2" t="str">
        <f>IFERROR(__xludf.DUMMYFUNCTION("""COMPUTED_VALUE"""),"VD030")</f>
        <v>VD030</v>
      </c>
      <c r="C631" s="2">
        <f>IFERROR(__xludf.DUMMYFUNCTION("""COMPUTED_VALUE"""),8.0)</f>
        <v>8</v>
      </c>
      <c r="D631" s="6">
        <f>IFERROR(__xludf.DUMMYFUNCTION("""COMPUTED_VALUE"""),609.53)</f>
        <v>609.53</v>
      </c>
      <c r="E631" s="6">
        <f>IFERROR(__xludf.DUMMYFUNCTION("GOOGLEFINANCE(""Currency:BRLMXN"")*D631"),2070.57341)</f>
        <v>2070.57341</v>
      </c>
      <c r="F631" s="6">
        <f>IFERROR(__xludf.DUMMYFUNCTION("GOOGLEFINANCE(""Currency:BRLPEN"")*D631"),399.60786799999994)</f>
        <v>399.607868</v>
      </c>
      <c r="G631" s="2" t="str">
        <f t="array" ref="G631">_xlfn.XLOOKUP(B631,Vendedores!$A$2:$A$41,Vendedores!$B$2:$B$41,"No hay datos")</f>
        <v>No hay datos</v>
      </c>
      <c r="H631" s="2" t="str">
        <f t="array" ref="H631">_xlfn.XLOOKUP(B631,Vendedores!$A$2:$A$41,Vendedores!$C$2:$C$41,"No hay datos")</f>
        <v>No hay datos</v>
      </c>
      <c r="I631" s="2" t="str">
        <f t="array" ref="I631">_xlfn.XLOOKUP(B631,Vendedores!$A$2:$A$41,Vendedores!$D$2:$D$41,"No hay datos")</f>
        <v>No hay datos</v>
      </c>
      <c r="J631" s="2" t="str">
        <f t="array" ref="J631">_xlfn.XLOOKUP(A631,Productos!$A$2:$A$61,Productos!$B$2:$F$61)</f>
        <v>#N/A</v>
      </c>
    </row>
    <row r="632">
      <c r="A632" s="2" t="str">
        <f>IFERROR(__xludf.DUMMYFUNCTION("""COMPUTED_VALUE"""),"PR048")</f>
        <v>PR048</v>
      </c>
      <c r="B632" s="2" t="str">
        <f>IFERROR(__xludf.DUMMYFUNCTION("""COMPUTED_VALUE"""),"VD040")</f>
        <v>VD040</v>
      </c>
      <c r="C632" s="2">
        <f>IFERROR(__xludf.DUMMYFUNCTION("""COMPUTED_VALUE"""),4.0)</f>
        <v>4</v>
      </c>
      <c r="D632" s="6">
        <f>IFERROR(__xludf.DUMMYFUNCTION("""COMPUTED_VALUE"""),1263.96)</f>
        <v>1263.96</v>
      </c>
      <c r="E632" s="6">
        <f>IFERROR(__xludf.DUMMYFUNCTION("GOOGLEFINANCE(""Currency:BRLMXN"")*D632"),4293.67212)</f>
        <v>4293.67212</v>
      </c>
      <c r="F632" s="6">
        <f>IFERROR(__xludf.DUMMYFUNCTION("GOOGLEFINANCE(""Currency:BRLPEN"")*D632"),828.6521759999999)</f>
        <v>828.652176</v>
      </c>
      <c r="G632" s="2" t="str">
        <f t="array" ref="G632">_xlfn.XLOOKUP(B632,Vendedores!$A$2:$A$41,Vendedores!$B$2:$B$41,"No hay datos")</f>
        <v>No hay datos</v>
      </c>
      <c r="H632" s="2" t="str">
        <f t="array" ref="H632">_xlfn.XLOOKUP(B632,Vendedores!$A$2:$A$41,Vendedores!$C$2:$C$41,"No hay datos")</f>
        <v>No hay datos</v>
      </c>
      <c r="I632" s="2" t="str">
        <f t="array" ref="I632">_xlfn.XLOOKUP(B632,Vendedores!$A$2:$A$41,Vendedores!$D$2:$D$41,"No hay datos")</f>
        <v>No hay datos</v>
      </c>
      <c r="J632" s="2" t="str">
        <f t="array" ref="J632">_xlfn.XLOOKUP(A632,Productos!$A$2:$A$61,Productos!$B$2:$F$61)</f>
        <v>#N/A</v>
      </c>
    </row>
    <row r="633">
      <c r="A633" s="2" t="str">
        <f>IFERROR(__xludf.DUMMYFUNCTION("""COMPUTED_VALUE"""),"PR017")</f>
        <v>PR017</v>
      </c>
      <c r="B633" s="2" t="str">
        <f>IFERROR(__xludf.DUMMYFUNCTION("""COMPUTED_VALUE"""),"VD019")</f>
        <v>VD019</v>
      </c>
      <c r="C633" s="2">
        <f>IFERROR(__xludf.DUMMYFUNCTION("""COMPUTED_VALUE"""),10.0)</f>
        <v>10</v>
      </c>
      <c r="D633" s="6">
        <f>IFERROR(__xludf.DUMMYFUNCTION("""COMPUTED_VALUE"""),304.98)</f>
        <v>304.98</v>
      </c>
      <c r="E633" s="6">
        <f>IFERROR(__xludf.DUMMYFUNCTION("GOOGLEFINANCE(""Currency:BRLMXN"")*D633"),1036.01706)</f>
        <v>1036.01706</v>
      </c>
      <c r="F633" s="6">
        <f>IFERROR(__xludf.DUMMYFUNCTION("GOOGLEFINANCE(""Currency:BRLPEN"")*D633"),199.944888)</f>
        <v>199.944888</v>
      </c>
      <c r="G633" s="2" t="str">
        <f t="array" ref="G633">_xlfn.XLOOKUP(B633,Vendedores!$A$2:$A$41,Vendedores!$B$2:$B$41,"No hay datos")</f>
        <v>No hay datos</v>
      </c>
      <c r="H633" s="2" t="str">
        <f t="array" ref="H633">_xlfn.XLOOKUP(B633,Vendedores!$A$2:$A$41,Vendedores!$C$2:$C$41,"No hay datos")</f>
        <v>No hay datos</v>
      </c>
      <c r="I633" s="2" t="str">
        <f t="array" ref="I633">_xlfn.XLOOKUP(B633,Vendedores!$A$2:$A$41,Vendedores!$D$2:$D$41,"No hay datos")</f>
        <v>No hay datos</v>
      </c>
      <c r="J633" s="2" t="str">
        <f t="array" ref="J633">_xlfn.XLOOKUP(A633,Productos!$A$2:$A$61,Productos!$B$2:$F$61)</f>
        <v>#N/A</v>
      </c>
    </row>
    <row r="634">
      <c r="A634" s="2" t="str">
        <f>IFERROR(__xludf.DUMMYFUNCTION("""COMPUTED_VALUE"""),"PR058")</f>
        <v>PR058</v>
      </c>
      <c r="B634" s="2" t="str">
        <f>IFERROR(__xludf.DUMMYFUNCTION("""COMPUTED_VALUE"""),"VD046")</f>
        <v>VD046</v>
      </c>
      <c r="C634" s="2">
        <f>IFERROR(__xludf.DUMMYFUNCTION("""COMPUTED_VALUE"""),1.0)</f>
        <v>1</v>
      </c>
      <c r="D634" s="6">
        <f>IFERROR(__xludf.DUMMYFUNCTION("""COMPUTED_VALUE"""),189.0)</f>
        <v>189</v>
      </c>
      <c r="E634" s="6">
        <f>IFERROR(__xludf.DUMMYFUNCTION("GOOGLEFINANCE(""Currency:BRLMXN"")*D634"),642.033)</f>
        <v>642.033</v>
      </c>
      <c r="F634" s="6">
        <f>IFERROR(__xludf.DUMMYFUNCTION("GOOGLEFINANCE(""Currency:BRLPEN"")*D634"),123.90839999999999)</f>
        <v>123.9084</v>
      </c>
      <c r="G634" s="2" t="str">
        <f t="array" ref="G634">_xlfn.XLOOKUP(B634,Vendedores!$A$2:$A$41,Vendedores!$B$2:$B$41,"No hay datos")</f>
        <v>No hay datos</v>
      </c>
      <c r="H634" s="2" t="str">
        <f t="array" ref="H634">_xlfn.XLOOKUP(B634,Vendedores!$A$2:$A$41,Vendedores!$C$2:$C$41,"No hay datos")</f>
        <v>No hay datos</v>
      </c>
      <c r="I634" s="2" t="str">
        <f t="array" ref="I634">_xlfn.XLOOKUP(B634,Vendedores!$A$2:$A$41,Vendedores!$D$2:$D$41,"No hay datos")</f>
        <v>No hay datos</v>
      </c>
      <c r="J634" s="2" t="str">
        <f t="array" ref="J634">_xlfn.XLOOKUP(A634,Productos!$A$2:$A$61,Productos!$B$2:$F$61)</f>
        <v>#N/A</v>
      </c>
    </row>
    <row r="635">
      <c r="A635" s="2" t="str">
        <f>IFERROR(__xludf.DUMMYFUNCTION("""COMPUTED_VALUE"""),"PR040")</f>
        <v>PR040</v>
      </c>
      <c r="B635" s="2" t="str">
        <f>IFERROR(__xludf.DUMMYFUNCTION("""COMPUTED_VALUE"""),"VD020")</f>
        <v>VD020</v>
      </c>
      <c r="C635" s="2">
        <f>IFERROR(__xludf.DUMMYFUNCTION("""COMPUTED_VALUE"""),10.0)</f>
        <v>10</v>
      </c>
      <c r="D635" s="6">
        <f>IFERROR(__xludf.DUMMYFUNCTION("""COMPUTED_VALUE"""),770.0)</f>
        <v>770</v>
      </c>
      <c r="E635" s="6">
        <f>IFERROR(__xludf.DUMMYFUNCTION("GOOGLEFINANCE(""Currency:BRLMXN"")*D635"),2615.69)</f>
        <v>2615.69</v>
      </c>
      <c r="F635" s="6">
        <f>IFERROR(__xludf.DUMMYFUNCTION("GOOGLEFINANCE(""Currency:BRLPEN"")*D635"),504.81199999999995)</f>
        <v>504.812</v>
      </c>
      <c r="G635" s="2" t="str">
        <f t="array" ref="G635">_xlfn.XLOOKUP(B635,Vendedores!$A$2:$A$41,Vendedores!$B$2:$B$41,"No hay datos")</f>
        <v>No hay datos</v>
      </c>
      <c r="H635" s="2" t="str">
        <f t="array" ref="H635">_xlfn.XLOOKUP(B635,Vendedores!$A$2:$A$41,Vendedores!$C$2:$C$41,"No hay datos")</f>
        <v>No hay datos</v>
      </c>
      <c r="I635" s="2" t="str">
        <f t="array" ref="I635">_xlfn.XLOOKUP(B635,Vendedores!$A$2:$A$41,Vendedores!$D$2:$D$41,"No hay datos")</f>
        <v>No hay datos</v>
      </c>
      <c r="J635" s="2" t="str">
        <f t="array" ref="J635">_xlfn.XLOOKUP(A635,Productos!$A$2:$A$61,Productos!$B$2:$F$61)</f>
        <v>#N/A</v>
      </c>
    </row>
    <row r="636">
      <c r="A636" s="2" t="str">
        <f>IFERROR(__xludf.DUMMYFUNCTION("""COMPUTED_VALUE"""),"PR014")</f>
        <v>PR014</v>
      </c>
      <c r="B636" s="2" t="str">
        <f>IFERROR(__xludf.DUMMYFUNCTION("""COMPUTED_VALUE"""),"VD028")</f>
        <v>VD028</v>
      </c>
      <c r="C636" s="2">
        <f>IFERROR(__xludf.DUMMYFUNCTION("""COMPUTED_VALUE"""),8.0)</f>
        <v>8</v>
      </c>
      <c r="D636" s="6">
        <f>IFERROR(__xludf.DUMMYFUNCTION("""COMPUTED_VALUE"""),331.97)</f>
        <v>331.97</v>
      </c>
      <c r="E636" s="6">
        <f>IFERROR(__xludf.DUMMYFUNCTION("GOOGLEFINANCE(""Currency:BRLMXN"")*D636"),1127.70209)</f>
        <v>1127.70209</v>
      </c>
      <c r="F636" s="6">
        <f>IFERROR(__xludf.DUMMYFUNCTION("GOOGLEFINANCE(""Currency:BRLPEN"")*D636"),217.639532)</f>
        <v>217.639532</v>
      </c>
      <c r="G636" s="2" t="str">
        <f t="array" ref="G636">_xlfn.XLOOKUP(B636,Vendedores!$A$2:$A$41,Vendedores!$B$2:$B$41,"No hay datos")</f>
        <v>No hay datos</v>
      </c>
      <c r="H636" s="2" t="str">
        <f t="array" ref="H636">_xlfn.XLOOKUP(B636,Vendedores!$A$2:$A$41,Vendedores!$C$2:$C$41,"No hay datos")</f>
        <v>No hay datos</v>
      </c>
      <c r="I636" s="2" t="str">
        <f t="array" ref="I636">_xlfn.XLOOKUP(B636,Vendedores!$A$2:$A$41,Vendedores!$D$2:$D$41,"No hay datos")</f>
        <v>No hay datos</v>
      </c>
      <c r="J636" s="2" t="str">
        <f t="array" ref="J636">_xlfn.XLOOKUP(A636,Productos!$A$2:$A$61,Productos!$B$2:$F$61)</f>
        <v>#N/A</v>
      </c>
    </row>
    <row r="637">
      <c r="A637" s="2" t="str">
        <f>IFERROR(__xludf.DUMMYFUNCTION("""COMPUTED_VALUE"""),"PR021")</f>
        <v>PR021</v>
      </c>
      <c r="B637" s="2" t="str">
        <f>IFERROR(__xludf.DUMMYFUNCTION("""COMPUTED_VALUE"""),"VD022")</f>
        <v>VD022</v>
      </c>
      <c r="C637" s="2">
        <f>IFERROR(__xludf.DUMMYFUNCTION("""COMPUTED_VALUE"""),8.0)</f>
        <v>8</v>
      </c>
      <c r="D637" s="6">
        <f>IFERROR(__xludf.DUMMYFUNCTION("""COMPUTED_VALUE"""),2447.43)</f>
        <v>2447.43</v>
      </c>
      <c r="E637" s="6">
        <f>IFERROR(__xludf.DUMMYFUNCTION("GOOGLEFINANCE(""Currency:BRLMXN"")*D637"),8313.919709999998)</f>
        <v>8313.91971</v>
      </c>
      <c r="F637" s="6">
        <f>IFERROR(__xludf.DUMMYFUNCTION("GOOGLEFINANCE(""Currency:BRLPEN"")*D637"),1604.5351079999998)</f>
        <v>1604.535108</v>
      </c>
      <c r="G637" s="2" t="str">
        <f t="array" ref="G637">_xlfn.XLOOKUP(B637,Vendedores!$A$2:$A$41,Vendedores!$B$2:$B$41,"No hay datos")</f>
        <v>No hay datos</v>
      </c>
      <c r="H637" s="2" t="str">
        <f t="array" ref="H637">_xlfn.XLOOKUP(B637,Vendedores!$A$2:$A$41,Vendedores!$C$2:$C$41,"No hay datos")</f>
        <v>No hay datos</v>
      </c>
      <c r="I637" s="2" t="str">
        <f t="array" ref="I637">_xlfn.XLOOKUP(B637,Vendedores!$A$2:$A$41,Vendedores!$D$2:$D$41,"No hay datos")</f>
        <v>No hay datos</v>
      </c>
      <c r="J637" s="2" t="str">
        <f t="array" ref="J637">_xlfn.XLOOKUP(A637,Productos!$A$2:$A$61,Productos!$B$2:$F$61)</f>
        <v>#N/A</v>
      </c>
    </row>
    <row r="638">
      <c r="A638" s="2" t="str">
        <f>IFERROR(__xludf.DUMMYFUNCTION("""COMPUTED_VALUE"""),"PR028")</f>
        <v>PR028</v>
      </c>
      <c r="B638" s="2" t="str">
        <f>IFERROR(__xludf.DUMMYFUNCTION("""COMPUTED_VALUE"""),"VD021")</f>
        <v>VD021</v>
      </c>
      <c r="C638" s="2">
        <f>IFERROR(__xludf.DUMMYFUNCTION("""COMPUTED_VALUE"""),10.0)</f>
        <v>10</v>
      </c>
      <c r="D638" s="6">
        <f>IFERROR(__xludf.DUMMYFUNCTION("""COMPUTED_VALUE"""),2723.91)</f>
        <v>2723.91</v>
      </c>
      <c r="E638" s="6">
        <f>IFERROR(__xludf.DUMMYFUNCTION("GOOGLEFINANCE(""Currency:BRLMXN"")*D638"),9253.12227)</f>
        <v>9253.12227</v>
      </c>
      <c r="F638" s="6">
        <f>IFERROR(__xludf.DUMMYFUNCTION("GOOGLEFINANCE(""Currency:BRLPEN"")*D638"),1785.7953959999998)</f>
        <v>1785.795396</v>
      </c>
      <c r="G638" s="2" t="str">
        <f t="array" ref="G638">_xlfn.XLOOKUP(B638,Vendedores!$A$2:$A$41,Vendedores!$B$2:$B$41,"No hay datos")</f>
        <v>No hay datos</v>
      </c>
      <c r="H638" s="2" t="str">
        <f t="array" ref="H638">_xlfn.XLOOKUP(B638,Vendedores!$A$2:$A$41,Vendedores!$C$2:$C$41,"No hay datos")</f>
        <v>No hay datos</v>
      </c>
      <c r="I638" s="2" t="str">
        <f t="array" ref="I638">_xlfn.XLOOKUP(B638,Vendedores!$A$2:$A$41,Vendedores!$D$2:$D$41,"No hay datos")</f>
        <v>No hay datos</v>
      </c>
      <c r="J638" s="2" t="str">
        <f t="array" ref="J638">_xlfn.XLOOKUP(A638,Productos!$A$2:$A$61,Productos!$B$2:$F$61)</f>
        <v>#N/A</v>
      </c>
    </row>
    <row r="639">
      <c r="A639" s="2" t="str">
        <f>IFERROR(__xludf.DUMMYFUNCTION("""COMPUTED_VALUE"""),"PR052")</f>
        <v>PR052</v>
      </c>
      <c r="B639" s="2" t="str">
        <f>IFERROR(__xludf.DUMMYFUNCTION("""COMPUTED_VALUE"""),"VD018")</f>
        <v>VD018</v>
      </c>
      <c r="C639" s="2">
        <f>IFERROR(__xludf.DUMMYFUNCTION("""COMPUTED_VALUE"""),5.0)</f>
        <v>5</v>
      </c>
      <c r="D639" s="6">
        <f>IFERROR(__xludf.DUMMYFUNCTION("""COMPUTED_VALUE"""),259.48)</f>
        <v>259.48</v>
      </c>
      <c r="E639" s="6">
        <f>IFERROR(__xludf.DUMMYFUNCTION("GOOGLEFINANCE(""Currency:BRLMXN"")*D639"),881.45356)</f>
        <v>881.45356</v>
      </c>
      <c r="F639" s="6">
        <f>IFERROR(__xludf.DUMMYFUNCTION("GOOGLEFINANCE(""Currency:BRLPEN"")*D639"),170.11508800000001)</f>
        <v>170.115088</v>
      </c>
      <c r="G639" s="2" t="str">
        <f t="array" ref="G639">_xlfn.XLOOKUP(B639,Vendedores!$A$2:$A$41,Vendedores!$B$2:$B$41,"No hay datos")</f>
        <v>No hay datos</v>
      </c>
      <c r="H639" s="2" t="str">
        <f t="array" ref="H639">_xlfn.XLOOKUP(B639,Vendedores!$A$2:$A$41,Vendedores!$C$2:$C$41,"No hay datos")</f>
        <v>No hay datos</v>
      </c>
      <c r="I639" s="2" t="str">
        <f t="array" ref="I639">_xlfn.XLOOKUP(B639,Vendedores!$A$2:$A$41,Vendedores!$D$2:$D$41,"No hay datos")</f>
        <v>No hay datos</v>
      </c>
      <c r="J639" s="2" t="str">
        <f t="array" ref="J639">_xlfn.XLOOKUP(A639,Productos!$A$2:$A$61,Productos!$B$2:$F$61)</f>
        <v>#N/A</v>
      </c>
    </row>
    <row r="640">
      <c r="A640" s="2" t="str">
        <f>IFERROR(__xludf.DUMMYFUNCTION("""COMPUTED_VALUE"""),"PR042")</f>
        <v>PR042</v>
      </c>
      <c r="B640" s="2" t="str">
        <f>IFERROR(__xludf.DUMMYFUNCTION("""COMPUTED_VALUE"""),"VD011")</f>
        <v>VD011</v>
      </c>
      <c r="C640" s="2">
        <f>IFERROR(__xludf.DUMMYFUNCTION("""COMPUTED_VALUE"""),9.0)</f>
        <v>9</v>
      </c>
      <c r="D640" s="6">
        <f>IFERROR(__xludf.DUMMYFUNCTION("""COMPUTED_VALUE"""),523.75)</f>
        <v>523.75</v>
      </c>
      <c r="E640" s="6">
        <f>IFERROR(__xludf.DUMMYFUNCTION("GOOGLEFINANCE(""Currency:BRLMXN"")*D640"),1779.1787499999998)</f>
        <v>1779.17875</v>
      </c>
      <c r="F640" s="6">
        <f>IFERROR(__xludf.DUMMYFUNCTION("GOOGLEFINANCE(""Currency:BRLPEN"")*D640"),343.3705)</f>
        <v>343.3705</v>
      </c>
      <c r="G640" s="2" t="str">
        <f t="array" ref="G640">_xlfn.XLOOKUP(B640,Vendedores!$A$2:$A$41,Vendedores!$B$2:$B$41,"No hay datos")</f>
        <v>No hay datos</v>
      </c>
      <c r="H640" s="2" t="str">
        <f t="array" ref="H640">_xlfn.XLOOKUP(B640,Vendedores!$A$2:$A$41,Vendedores!$C$2:$C$41,"No hay datos")</f>
        <v>No hay datos</v>
      </c>
      <c r="I640" s="2" t="str">
        <f t="array" ref="I640">_xlfn.XLOOKUP(B640,Vendedores!$A$2:$A$41,Vendedores!$D$2:$D$41,"No hay datos")</f>
        <v>No hay datos</v>
      </c>
      <c r="J640" s="2" t="str">
        <f t="array" ref="J640">_xlfn.XLOOKUP(A640,Productos!$A$2:$A$61,Productos!$B$2:$F$61)</f>
        <v>#N/A</v>
      </c>
    </row>
    <row r="641">
      <c r="A641" s="2" t="str">
        <f>IFERROR(__xludf.DUMMYFUNCTION("""COMPUTED_VALUE"""),"PR034")</f>
        <v>PR034</v>
      </c>
      <c r="B641" s="2" t="str">
        <f>IFERROR(__xludf.DUMMYFUNCTION("""COMPUTED_VALUE"""),"VD033")</f>
        <v>VD033</v>
      </c>
      <c r="C641" s="2">
        <f>IFERROR(__xludf.DUMMYFUNCTION("""COMPUTED_VALUE"""),6.0)</f>
        <v>6</v>
      </c>
      <c r="D641" s="6">
        <f>IFERROR(__xludf.DUMMYFUNCTION("""COMPUTED_VALUE"""),539.4)</f>
        <v>539.4</v>
      </c>
      <c r="E641" s="6">
        <f>IFERROR(__xludf.DUMMYFUNCTION("GOOGLEFINANCE(""Currency:BRLMXN"")*D641"),1832.3418)</f>
        <v>1832.3418</v>
      </c>
      <c r="F641" s="6">
        <f>IFERROR(__xludf.DUMMYFUNCTION("GOOGLEFINANCE(""Currency:BRLPEN"")*D641"),353.63063999999997)</f>
        <v>353.63064</v>
      </c>
      <c r="G641" s="2" t="str">
        <f t="array" ref="G641">_xlfn.XLOOKUP(B641,Vendedores!$A$2:$A$41,Vendedores!$B$2:$B$41,"No hay datos")</f>
        <v>No hay datos</v>
      </c>
      <c r="H641" s="2" t="str">
        <f t="array" ref="H641">_xlfn.XLOOKUP(B641,Vendedores!$A$2:$A$41,Vendedores!$C$2:$C$41,"No hay datos")</f>
        <v>No hay datos</v>
      </c>
      <c r="I641" s="2" t="str">
        <f t="array" ref="I641">_xlfn.XLOOKUP(B641,Vendedores!$A$2:$A$41,Vendedores!$D$2:$D$41,"No hay datos")</f>
        <v>No hay datos</v>
      </c>
      <c r="J641" s="2" t="str">
        <f t="array" ref="J641">_xlfn.XLOOKUP(A641,Productos!$A$2:$A$61,Productos!$B$2:$F$61)</f>
        <v>#N/A</v>
      </c>
    </row>
    <row r="642">
      <c r="A642" s="2" t="str">
        <f>IFERROR(__xludf.DUMMYFUNCTION("""COMPUTED_VALUE"""),"PR040")</f>
        <v>PR040</v>
      </c>
      <c r="B642" s="2" t="str">
        <f>IFERROR(__xludf.DUMMYFUNCTION("""COMPUTED_VALUE"""),"VD011")</f>
        <v>VD011</v>
      </c>
      <c r="C642" s="2">
        <f>IFERROR(__xludf.DUMMYFUNCTION("""COMPUTED_VALUE"""),2.0)</f>
        <v>2</v>
      </c>
      <c r="D642" s="6">
        <f>IFERROR(__xludf.DUMMYFUNCTION("""COMPUTED_VALUE"""),140.0)</f>
        <v>140</v>
      </c>
      <c r="E642" s="6">
        <f>IFERROR(__xludf.DUMMYFUNCTION("GOOGLEFINANCE(""Currency:BRLMXN"")*D642"),475.58)</f>
        <v>475.58</v>
      </c>
      <c r="F642" s="6">
        <f>IFERROR(__xludf.DUMMYFUNCTION("GOOGLEFINANCE(""Currency:BRLPEN"")*D642"),91.78399999999999)</f>
        <v>91.784</v>
      </c>
      <c r="G642" s="2" t="str">
        <f t="array" ref="G642">_xlfn.XLOOKUP(B642,Vendedores!$A$2:$A$41,Vendedores!$B$2:$B$41,"No hay datos")</f>
        <v>No hay datos</v>
      </c>
      <c r="H642" s="2" t="str">
        <f t="array" ref="H642">_xlfn.XLOOKUP(B642,Vendedores!$A$2:$A$41,Vendedores!$C$2:$C$41,"No hay datos")</f>
        <v>No hay datos</v>
      </c>
      <c r="I642" s="2" t="str">
        <f t="array" ref="I642">_xlfn.XLOOKUP(B642,Vendedores!$A$2:$A$41,Vendedores!$D$2:$D$41,"No hay datos")</f>
        <v>No hay datos</v>
      </c>
      <c r="J642" s="2" t="str">
        <f t="array" ref="J642">_xlfn.XLOOKUP(A642,Productos!$A$2:$A$61,Productos!$B$2:$F$61)</f>
        <v>#N/A</v>
      </c>
    </row>
    <row r="643">
      <c r="A643" s="2" t="str">
        <f>IFERROR(__xludf.DUMMYFUNCTION("""COMPUTED_VALUE"""),"PR004")</f>
        <v>PR004</v>
      </c>
      <c r="B643" s="2" t="str">
        <f>IFERROR(__xludf.DUMMYFUNCTION("""COMPUTED_VALUE"""),"VD012")</f>
        <v>VD012</v>
      </c>
      <c r="C643" s="2">
        <f>IFERROR(__xludf.DUMMYFUNCTION("""COMPUTED_VALUE"""),6.0)</f>
        <v>6</v>
      </c>
      <c r="D643" s="6">
        <f>IFERROR(__xludf.DUMMYFUNCTION("""COMPUTED_VALUE"""),948.3)</f>
        <v>948.3</v>
      </c>
      <c r="E643" s="6">
        <f>IFERROR(__xludf.DUMMYFUNCTION("GOOGLEFINANCE(""Currency:BRLMXN"")*D643"),3221.3750999999997)</f>
        <v>3221.3751</v>
      </c>
      <c r="F643" s="6">
        <f>IFERROR(__xludf.DUMMYFUNCTION("GOOGLEFINANCE(""Currency:BRLPEN"")*D643"),621.70548)</f>
        <v>621.70548</v>
      </c>
      <c r="G643" s="2" t="str">
        <f t="array" ref="G643">_xlfn.XLOOKUP(B643,Vendedores!$A$2:$A$41,Vendedores!$B$2:$B$41,"No hay datos")</f>
        <v>No hay datos</v>
      </c>
      <c r="H643" s="2" t="str">
        <f t="array" ref="H643">_xlfn.XLOOKUP(B643,Vendedores!$A$2:$A$41,Vendedores!$C$2:$C$41,"No hay datos")</f>
        <v>No hay datos</v>
      </c>
      <c r="I643" s="2" t="str">
        <f t="array" ref="I643">_xlfn.XLOOKUP(B643,Vendedores!$A$2:$A$41,Vendedores!$D$2:$D$41,"No hay datos")</f>
        <v>No hay datos</v>
      </c>
      <c r="J643" s="2" t="str">
        <f t="array" ref="J643">_xlfn.XLOOKUP(A643,Productos!$A$2:$A$61,Productos!$B$2:$F$61)</f>
        <v>#N/A</v>
      </c>
    </row>
    <row r="644">
      <c r="A644" s="2" t="str">
        <f>IFERROR(__xludf.DUMMYFUNCTION("""COMPUTED_VALUE"""),"PR050")</f>
        <v>PR050</v>
      </c>
      <c r="B644" s="2" t="str">
        <f>IFERROR(__xludf.DUMMYFUNCTION("""COMPUTED_VALUE"""),"VD040")</f>
        <v>VD040</v>
      </c>
      <c r="C644" s="2">
        <f>IFERROR(__xludf.DUMMYFUNCTION("""COMPUTED_VALUE"""),6.0)</f>
        <v>6</v>
      </c>
      <c r="D644" s="6">
        <f>IFERROR(__xludf.DUMMYFUNCTION("""COMPUTED_VALUE"""),213.19)</f>
        <v>213.19</v>
      </c>
      <c r="E644" s="6">
        <f>IFERROR(__xludf.DUMMYFUNCTION("GOOGLEFINANCE(""Currency:BRLMXN"")*D644"),724.20643)</f>
        <v>724.20643</v>
      </c>
      <c r="F644" s="6">
        <f>IFERROR(__xludf.DUMMYFUNCTION("GOOGLEFINANCE(""Currency:BRLPEN"")*D644"),139.767364)</f>
        <v>139.767364</v>
      </c>
      <c r="G644" s="2" t="str">
        <f t="array" ref="G644">_xlfn.XLOOKUP(B644,Vendedores!$A$2:$A$41,Vendedores!$B$2:$B$41,"No hay datos")</f>
        <v>No hay datos</v>
      </c>
      <c r="H644" s="2" t="str">
        <f t="array" ref="H644">_xlfn.XLOOKUP(B644,Vendedores!$A$2:$A$41,Vendedores!$C$2:$C$41,"No hay datos")</f>
        <v>No hay datos</v>
      </c>
      <c r="I644" s="2" t="str">
        <f t="array" ref="I644">_xlfn.XLOOKUP(B644,Vendedores!$A$2:$A$41,Vendedores!$D$2:$D$41,"No hay datos")</f>
        <v>No hay datos</v>
      </c>
      <c r="J644" s="2" t="str">
        <f t="array" ref="J644">_xlfn.XLOOKUP(A644,Productos!$A$2:$A$61,Productos!$B$2:$F$61)</f>
        <v>#N/A</v>
      </c>
    </row>
    <row r="645">
      <c r="A645" s="2" t="str">
        <f>IFERROR(__xludf.DUMMYFUNCTION("""COMPUTED_VALUE"""),"PR059")</f>
        <v>PR059</v>
      </c>
      <c r="B645" s="2" t="str">
        <f>IFERROR(__xludf.DUMMYFUNCTION("""COMPUTED_VALUE"""),"VD027")</f>
        <v>VD027</v>
      </c>
      <c r="C645" s="2">
        <f>IFERROR(__xludf.DUMMYFUNCTION("""COMPUTED_VALUE"""),2.0)</f>
        <v>2</v>
      </c>
      <c r="D645" s="6">
        <f>IFERROR(__xludf.DUMMYFUNCTION("""COMPUTED_VALUE"""),378.0)</f>
        <v>378</v>
      </c>
      <c r="E645" s="6">
        <f>IFERROR(__xludf.DUMMYFUNCTION("GOOGLEFINANCE(""Currency:BRLMXN"")*D645"),1284.066)</f>
        <v>1284.066</v>
      </c>
      <c r="F645" s="6">
        <f>IFERROR(__xludf.DUMMYFUNCTION("GOOGLEFINANCE(""Currency:BRLPEN"")*D645"),247.81679999999997)</f>
        <v>247.8168</v>
      </c>
      <c r="G645" s="2" t="str">
        <f t="array" ref="G645">_xlfn.XLOOKUP(B645,Vendedores!$A$2:$A$41,Vendedores!$B$2:$B$41,"No hay datos")</f>
        <v>No hay datos</v>
      </c>
      <c r="H645" s="2" t="str">
        <f t="array" ref="H645">_xlfn.XLOOKUP(B645,Vendedores!$A$2:$A$41,Vendedores!$C$2:$C$41,"No hay datos")</f>
        <v>No hay datos</v>
      </c>
      <c r="I645" s="2" t="str">
        <f t="array" ref="I645">_xlfn.XLOOKUP(B645,Vendedores!$A$2:$A$41,Vendedores!$D$2:$D$41,"No hay datos")</f>
        <v>No hay datos</v>
      </c>
      <c r="J645" s="2" t="str">
        <f t="array" ref="J645">_xlfn.XLOOKUP(A645,Productos!$A$2:$A$61,Productos!$B$2:$F$61)</f>
        <v>#N/A</v>
      </c>
    </row>
    <row r="646">
      <c r="A646" s="2" t="str">
        <f>IFERROR(__xludf.DUMMYFUNCTION("""COMPUTED_VALUE"""),"PR058")</f>
        <v>PR058</v>
      </c>
      <c r="B646" s="2" t="str">
        <f>IFERROR(__xludf.DUMMYFUNCTION("""COMPUTED_VALUE"""),"VD031")</f>
        <v>VD031</v>
      </c>
      <c r="C646" s="2">
        <f>IFERROR(__xludf.DUMMYFUNCTION("""COMPUTED_VALUE"""),5.0)</f>
        <v>5</v>
      </c>
      <c r="D646" s="6">
        <f>IFERROR(__xludf.DUMMYFUNCTION("""COMPUTED_VALUE"""),927.0)</f>
        <v>927</v>
      </c>
      <c r="E646" s="6">
        <f>IFERROR(__xludf.DUMMYFUNCTION("GOOGLEFINANCE(""Currency:BRLMXN"")*D646"),3149.019)</f>
        <v>3149.019</v>
      </c>
      <c r="F646" s="6">
        <f>IFERROR(__xludf.DUMMYFUNCTION("GOOGLEFINANCE(""Currency:BRLPEN"")*D646"),607.7411999999999)</f>
        <v>607.7412</v>
      </c>
      <c r="G646" s="2" t="str">
        <f t="array" ref="G646">_xlfn.XLOOKUP(B646,Vendedores!$A$2:$A$41,Vendedores!$B$2:$B$41,"No hay datos")</f>
        <v>No hay datos</v>
      </c>
      <c r="H646" s="2" t="str">
        <f t="array" ref="H646">_xlfn.XLOOKUP(B646,Vendedores!$A$2:$A$41,Vendedores!$C$2:$C$41,"No hay datos")</f>
        <v>No hay datos</v>
      </c>
      <c r="I646" s="2" t="str">
        <f t="array" ref="I646">_xlfn.XLOOKUP(B646,Vendedores!$A$2:$A$41,Vendedores!$D$2:$D$41,"No hay datos")</f>
        <v>No hay datos</v>
      </c>
      <c r="J646" s="2" t="str">
        <f t="array" ref="J646">_xlfn.XLOOKUP(A646,Productos!$A$2:$A$61,Productos!$B$2:$F$61)</f>
        <v>#N/A</v>
      </c>
    </row>
    <row r="647">
      <c r="A647" s="2" t="str">
        <f>IFERROR(__xludf.DUMMYFUNCTION("""COMPUTED_VALUE"""),"PR039")</f>
        <v>PR039</v>
      </c>
      <c r="B647" s="2" t="str">
        <f>IFERROR(__xludf.DUMMYFUNCTION("""COMPUTED_VALUE"""),"VD048")</f>
        <v>VD048</v>
      </c>
      <c r="C647" s="2">
        <f>IFERROR(__xludf.DUMMYFUNCTION("""COMPUTED_VALUE"""),1.0)</f>
        <v>1</v>
      </c>
      <c r="D647" s="6">
        <f>IFERROR(__xludf.DUMMYFUNCTION("""COMPUTED_VALUE"""),153.3)</f>
        <v>153.3</v>
      </c>
      <c r="E647" s="6">
        <f>IFERROR(__xludf.DUMMYFUNCTION("GOOGLEFINANCE(""Currency:BRLMXN"")*D647"),520.7601)</f>
        <v>520.7601</v>
      </c>
      <c r="F647" s="6">
        <f>IFERROR(__xludf.DUMMYFUNCTION("GOOGLEFINANCE(""Currency:BRLPEN"")*D647"),100.50348)</f>
        <v>100.50348</v>
      </c>
      <c r="G647" s="2" t="str">
        <f t="array" ref="G647">_xlfn.XLOOKUP(B647,Vendedores!$A$2:$A$41,Vendedores!$B$2:$B$41,"No hay datos")</f>
        <v>No hay datos</v>
      </c>
      <c r="H647" s="2" t="str">
        <f t="array" ref="H647">_xlfn.XLOOKUP(B647,Vendedores!$A$2:$A$41,Vendedores!$C$2:$C$41,"No hay datos")</f>
        <v>No hay datos</v>
      </c>
      <c r="I647" s="2" t="str">
        <f t="array" ref="I647">_xlfn.XLOOKUP(B647,Vendedores!$A$2:$A$41,Vendedores!$D$2:$D$41,"No hay datos")</f>
        <v>No hay datos</v>
      </c>
      <c r="J647" s="2" t="str">
        <f t="array" ref="J647">_xlfn.XLOOKUP(A647,Productos!$A$2:$A$61,Productos!$B$2:$F$61)</f>
        <v>#N/A</v>
      </c>
    </row>
    <row r="648">
      <c r="A648" s="2" t="str">
        <f>IFERROR(__xludf.DUMMYFUNCTION("""COMPUTED_VALUE"""),"PR001")</f>
        <v>PR001</v>
      </c>
      <c r="B648" s="2" t="str">
        <f>IFERROR(__xludf.DUMMYFUNCTION("""COMPUTED_VALUE"""),"VD028")</f>
        <v>VD028</v>
      </c>
      <c r="C648" s="2">
        <f>IFERROR(__xludf.DUMMYFUNCTION("""COMPUTED_VALUE"""),5.0)</f>
        <v>5</v>
      </c>
      <c r="D648" s="6">
        <f>IFERROR(__xludf.DUMMYFUNCTION("""COMPUTED_VALUE"""),336.09)</f>
        <v>336.09</v>
      </c>
      <c r="E648" s="6">
        <f>IFERROR(__xludf.DUMMYFUNCTION("GOOGLEFINANCE(""Currency:BRLMXN"")*D648"),1141.6977299999999)</f>
        <v>1141.69773</v>
      </c>
      <c r="F648" s="6">
        <f>IFERROR(__xludf.DUMMYFUNCTION("GOOGLEFINANCE(""Currency:BRLPEN"")*D648"),220.34060399999996)</f>
        <v>220.340604</v>
      </c>
      <c r="G648" s="2" t="str">
        <f t="array" ref="G648">_xlfn.XLOOKUP(B648,Vendedores!$A$2:$A$41,Vendedores!$B$2:$B$41,"No hay datos")</f>
        <v>No hay datos</v>
      </c>
      <c r="H648" s="2" t="str">
        <f t="array" ref="H648">_xlfn.XLOOKUP(B648,Vendedores!$A$2:$A$41,Vendedores!$C$2:$C$41,"No hay datos")</f>
        <v>No hay datos</v>
      </c>
      <c r="I648" s="2" t="str">
        <f t="array" ref="I648">_xlfn.XLOOKUP(B648,Vendedores!$A$2:$A$41,Vendedores!$D$2:$D$41,"No hay datos")</f>
        <v>No hay datos</v>
      </c>
      <c r="J648" s="2" t="str">
        <f t="array" ref="J648">_xlfn.XLOOKUP(A648,Productos!$A$2:$A$61,Productos!$B$2:$F$61)</f>
        <v>#N/A</v>
      </c>
    </row>
    <row r="649">
      <c r="A649" s="2" t="str">
        <f>IFERROR(__xludf.DUMMYFUNCTION("""COMPUTED_VALUE"""),"PR006")</f>
        <v>PR006</v>
      </c>
      <c r="B649" s="2" t="str">
        <f>IFERROR(__xludf.DUMMYFUNCTION("""COMPUTED_VALUE"""),"VD027")</f>
        <v>VD027</v>
      </c>
      <c r="C649" s="2">
        <f>IFERROR(__xludf.DUMMYFUNCTION("""COMPUTED_VALUE"""),8.0)</f>
        <v>8</v>
      </c>
      <c r="D649" s="6">
        <f>IFERROR(__xludf.DUMMYFUNCTION("""COMPUTED_VALUE"""),347.93)</f>
        <v>347.93</v>
      </c>
      <c r="E649" s="6">
        <f>IFERROR(__xludf.DUMMYFUNCTION("GOOGLEFINANCE(""Currency:BRLMXN"")*D649"),1181.91821)</f>
        <v>1181.91821</v>
      </c>
      <c r="F649" s="6">
        <f>IFERROR(__xludf.DUMMYFUNCTION("GOOGLEFINANCE(""Currency:BRLPEN"")*D649"),228.10290799999999)</f>
        <v>228.102908</v>
      </c>
      <c r="G649" s="2" t="str">
        <f t="array" ref="G649">_xlfn.XLOOKUP(B649,Vendedores!$A$2:$A$41,Vendedores!$B$2:$B$41,"No hay datos")</f>
        <v>No hay datos</v>
      </c>
      <c r="H649" s="2" t="str">
        <f t="array" ref="H649">_xlfn.XLOOKUP(B649,Vendedores!$A$2:$A$41,Vendedores!$C$2:$C$41,"No hay datos")</f>
        <v>No hay datos</v>
      </c>
      <c r="I649" s="2" t="str">
        <f t="array" ref="I649">_xlfn.XLOOKUP(B649,Vendedores!$A$2:$A$41,Vendedores!$D$2:$D$41,"No hay datos")</f>
        <v>No hay datos</v>
      </c>
      <c r="J649" s="2" t="str">
        <f t="array" ref="J649">_xlfn.XLOOKUP(A649,Productos!$A$2:$A$61,Productos!$B$2:$F$61)</f>
        <v>#N/A</v>
      </c>
    </row>
    <row r="650">
      <c r="A650" s="2" t="str">
        <f>IFERROR(__xludf.DUMMYFUNCTION("""COMPUTED_VALUE"""),"PR049")</f>
        <v>PR049</v>
      </c>
      <c r="B650" s="2" t="str">
        <f>IFERROR(__xludf.DUMMYFUNCTION("""COMPUTED_VALUE"""),"VD017")</f>
        <v>VD017</v>
      </c>
      <c r="C650" s="2">
        <f>IFERROR(__xludf.DUMMYFUNCTION("""COMPUTED_VALUE"""),16.0)</f>
        <v>16</v>
      </c>
      <c r="D650" s="6">
        <f>IFERROR(__xludf.DUMMYFUNCTION("""COMPUTED_VALUE"""),536.93)</f>
        <v>536.93</v>
      </c>
      <c r="E650" s="6">
        <f>IFERROR(__xludf.DUMMYFUNCTION("GOOGLEFINANCE(""Currency:BRLMXN"")*D650"),1823.9512099999997)</f>
        <v>1823.95121</v>
      </c>
      <c r="F650" s="6">
        <f>IFERROR(__xludf.DUMMYFUNCTION("GOOGLEFINANCE(""Currency:BRLPEN"")*D650"),352.01130799999993)</f>
        <v>352.011308</v>
      </c>
      <c r="G650" s="2" t="str">
        <f t="array" ref="G650">_xlfn.XLOOKUP(B650,Vendedores!$A$2:$A$41,Vendedores!$B$2:$B$41,"No hay datos")</f>
        <v>No hay datos</v>
      </c>
      <c r="H650" s="2" t="str">
        <f t="array" ref="H650">_xlfn.XLOOKUP(B650,Vendedores!$A$2:$A$41,Vendedores!$C$2:$C$41,"No hay datos")</f>
        <v>No hay datos</v>
      </c>
      <c r="I650" s="2" t="str">
        <f t="array" ref="I650">_xlfn.XLOOKUP(B650,Vendedores!$A$2:$A$41,Vendedores!$D$2:$D$41,"No hay datos")</f>
        <v>No hay datos</v>
      </c>
      <c r="J650" s="2" t="str">
        <f t="array" ref="J650">_xlfn.XLOOKUP(A650,Productos!$A$2:$A$61,Productos!$B$2:$F$61)</f>
        <v>#N/A</v>
      </c>
    </row>
    <row r="651">
      <c r="A651" s="2" t="str">
        <f>IFERROR(__xludf.DUMMYFUNCTION("""COMPUTED_VALUE"""),"PR029")</f>
        <v>PR029</v>
      </c>
      <c r="B651" s="2" t="str">
        <f>IFERROR(__xludf.DUMMYFUNCTION("""COMPUTED_VALUE"""),"VD035")</f>
        <v>VD035</v>
      </c>
      <c r="C651" s="2">
        <f>IFERROR(__xludf.DUMMYFUNCTION("""COMPUTED_VALUE"""),8.0)</f>
        <v>8</v>
      </c>
      <c r="D651" s="6">
        <f>IFERROR(__xludf.DUMMYFUNCTION("""COMPUTED_VALUE"""),2121.6)</f>
        <v>2121.6</v>
      </c>
      <c r="E651" s="6">
        <f>IFERROR(__xludf.DUMMYFUNCTION("GOOGLEFINANCE(""Currency:BRLMXN"")*D651"),7207.075199999999)</f>
        <v>7207.0752</v>
      </c>
      <c r="F651" s="6">
        <f>IFERROR(__xludf.DUMMYFUNCTION("GOOGLEFINANCE(""Currency:BRLPEN"")*D651"),1390.92096)</f>
        <v>1390.92096</v>
      </c>
      <c r="G651" s="2" t="str">
        <f t="array" ref="G651">_xlfn.XLOOKUP(B651,Vendedores!$A$2:$A$41,Vendedores!$B$2:$B$41,"No hay datos")</f>
        <v>No hay datos</v>
      </c>
      <c r="H651" s="2" t="str">
        <f t="array" ref="H651">_xlfn.XLOOKUP(B651,Vendedores!$A$2:$A$41,Vendedores!$C$2:$C$41,"No hay datos")</f>
        <v>No hay datos</v>
      </c>
      <c r="I651" s="2" t="str">
        <f t="array" ref="I651">_xlfn.XLOOKUP(B651,Vendedores!$A$2:$A$41,Vendedores!$D$2:$D$41,"No hay datos")</f>
        <v>No hay datos</v>
      </c>
      <c r="J651" s="2" t="str">
        <f t="array" ref="J651">_xlfn.XLOOKUP(A651,Productos!$A$2:$A$61,Productos!$B$2:$F$61)</f>
        <v>#N/A</v>
      </c>
    </row>
    <row r="652">
      <c r="A652" s="2" t="str">
        <f>IFERROR(__xludf.DUMMYFUNCTION("""COMPUTED_VALUE"""),"PR053")</f>
        <v>PR053</v>
      </c>
      <c r="B652" s="2" t="str">
        <f>IFERROR(__xludf.DUMMYFUNCTION("""COMPUTED_VALUE"""),"VD017")</f>
        <v>VD017</v>
      </c>
      <c r="C652" s="2">
        <f>IFERROR(__xludf.DUMMYFUNCTION("""COMPUTED_VALUE"""),3.0)</f>
        <v>3</v>
      </c>
      <c r="D652" s="6">
        <f>IFERROR(__xludf.DUMMYFUNCTION("""COMPUTED_VALUE"""),164.67)</f>
        <v>164.67</v>
      </c>
      <c r="E652" s="6">
        <f>IFERROR(__xludf.DUMMYFUNCTION("GOOGLEFINANCE(""Currency:BRLMXN"")*D652"),559.3839899999999)</f>
        <v>559.38399</v>
      </c>
      <c r="F652" s="6">
        <f>IFERROR(__xludf.DUMMYFUNCTION("GOOGLEFINANCE(""Currency:BRLPEN"")*D652"),107.95765199999998)</f>
        <v>107.957652</v>
      </c>
      <c r="G652" s="2" t="str">
        <f t="array" ref="G652">_xlfn.XLOOKUP(B652,Vendedores!$A$2:$A$41,Vendedores!$B$2:$B$41,"No hay datos")</f>
        <v>No hay datos</v>
      </c>
      <c r="H652" s="2" t="str">
        <f t="array" ref="H652">_xlfn.XLOOKUP(B652,Vendedores!$A$2:$A$41,Vendedores!$C$2:$C$41,"No hay datos")</f>
        <v>No hay datos</v>
      </c>
      <c r="I652" s="2" t="str">
        <f t="array" ref="I652">_xlfn.XLOOKUP(B652,Vendedores!$A$2:$A$41,Vendedores!$D$2:$D$41,"No hay datos")</f>
        <v>No hay datos</v>
      </c>
      <c r="J652" s="2" t="str">
        <f t="array" ref="J652">_xlfn.XLOOKUP(A652,Productos!$A$2:$A$61,Productos!$B$2:$F$61)</f>
        <v>#N/A</v>
      </c>
    </row>
    <row r="653">
      <c r="A653" s="2" t="str">
        <f>IFERROR(__xludf.DUMMYFUNCTION("""COMPUTED_VALUE"""),"PR058")</f>
        <v>PR058</v>
      </c>
      <c r="B653" s="2" t="str">
        <f>IFERROR(__xludf.DUMMYFUNCTION("""COMPUTED_VALUE"""),"VD038")</f>
        <v>VD038</v>
      </c>
      <c r="C653" s="2">
        <f>IFERROR(__xludf.DUMMYFUNCTION("""COMPUTED_VALUE"""),5.0)</f>
        <v>5</v>
      </c>
      <c r="D653" s="6">
        <f>IFERROR(__xludf.DUMMYFUNCTION("""COMPUTED_VALUE"""),909.0)</f>
        <v>909</v>
      </c>
      <c r="E653" s="6">
        <f>IFERROR(__xludf.DUMMYFUNCTION("GOOGLEFINANCE(""Currency:BRLMXN"")*D653"),3087.8729999999996)</f>
        <v>3087.873</v>
      </c>
      <c r="F653" s="6">
        <f>IFERROR(__xludf.DUMMYFUNCTION("GOOGLEFINANCE(""Currency:BRLPEN"")*D653"),595.9404)</f>
        <v>595.9404</v>
      </c>
      <c r="G653" s="2" t="str">
        <f t="array" ref="G653">_xlfn.XLOOKUP(B653,Vendedores!$A$2:$A$41,Vendedores!$B$2:$B$41,"No hay datos")</f>
        <v>No hay datos</v>
      </c>
      <c r="H653" s="2" t="str">
        <f t="array" ref="H653">_xlfn.XLOOKUP(B653,Vendedores!$A$2:$A$41,Vendedores!$C$2:$C$41,"No hay datos")</f>
        <v>No hay datos</v>
      </c>
      <c r="I653" s="2" t="str">
        <f t="array" ref="I653">_xlfn.XLOOKUP(B653,Vendedores!$A$2:$A$41,Vendedores!$D$2:$D$41,"No hay datos")</f>
        <v>No hay datos</v>
      </c>
      <c r="J653" s="2" t="str">
        <f t="array" ref="J653">_xlfn.XLOOKUP(A653,Productos!$A$2:$A$61,Productos!$B$2:$F$61)</f>
        <v>#N/A</v>
      </c>
    </row>
    <row r="654">
      <c r="A654" s="2" t="str">
        <f>IFERROR(__xludf.DUMMYFUNCTION("""COMPUTED_VALUE"""),"PR054")</f>
        <v>PR054</v>
      </c>
      <c r="B654" s="2" t="str">
        <f>IFERROR(__xludf.DUMMYFUNCTION("""COMPUTED_VALUE"""),"VD021")</f>
        <v>VD021</v>
      </c>
      <c r="C654" s="2">
        <f>IFERROR(__xludf.DUMMYFUNCTION("""COMPUTED_VALUE"""),12.0)</f>
        <v>12</v>
      </c>
      <c r="D654" s="6">
        <f>IFERROR(__xludf.DUMMYFUNCTION("""COMPUTED_VALUE"""),604.79)</f>
        <v>604.79</v>
      </c>
      <c r="E654" s="6">
        <f>IFERROR(__xludf.DUMMYFUNCTION("GOOGLEFINANCE(""Currency:BRLMXN"")*D654"),2054.4716299999995)</f>
        <v>2054.47163</v>
      </c>
      <c r="F654" s="6">
        <f>IFERROR(__xludf.DUMMYFUNCTION("GOOGLEFINANCE(""Currency:BRLPEN"")*D654"),396.500324)</f>
        <v>396.500324</v>
      </c>
      <c r="G654" s="2" t="str">
        <f t="array" ref="G654">_xlfn.XLOOKUP(B654,Vendedores!$A$2:$A$41,Vendedores!$B$2:$B$41,"No hay datos")</f>
        <v>No hay datos</v>
      </c>
      <c r="H654" s="2" t="str">
        <f t="array" ref="H654">_xlfn.XLOOKUP(B654,Vendedores!$A$2:$A$41,Vendedores!$C$2:$C$41,"No hay datos")</f>
        <v>No hay datos</v>
      </c>
      <c r="I654" s="2" t="str">
        <f t="array" ref="I654">_xlfn.XLOOKUP(B654,Vendedores!$A$2:$A$41,Vendedores!$D$2:$D$41,"No hay datos")</f>
        <v>No hay datos</v>
      </c>
      <c r="J654" s="2" t="str">
        <f t="array" ref="J654">_xlfn.XLOOKUP(A654,Productos!$A$2:$A$61,Productos!$B$2:$F$61)</f>
        <v>#N/A</v>
      </c>
    </row>
    <row r="655">
      <c r="A655" s="2" t="str">
        <f>IFERROR(__xludf.DUMMYFUNCTION("""COMPUTED_VALUE"""),"PR035")</f>
        <v>PR035</v>
      </c>
      <c r="B655" s="2" t="str">
        <f>IFERROR(__xludf.DUMMYFUNCTION("""COMPUTED_VALUE"""),"VD039")</f>
        <v>VD039</v>
      </c>
      <c r="C655" s="2">
        <f>IFERROR(__xludf.DUMMYFUNCTION("""COMPUTED_VALUE"""),1.0)</f>
        <v>1</v>
      </c>
      <c r="D655" s="6">
        <f>IFERROR(__xludf.DUMMYFUNCTION("""COMPUTED_VALUE"""),94.14)</f>
        <v>94.14</v>
      </c>
      <c r="E655" s="6">
        <f>IFERROR(__xludf.DUMMYFUNCTION("GOOGLEFINANCE(""Currency:BRLMXN"")*D655"),319.79357999999996)</f>
        <v>319.79358</v>
      </c>
      <c r="F655" s="6">
        <f>IFERROR(__xludf.DUMMYFUNCTION("GOOGLEFINANCE(""Currency:BRLPEN"")*D655"),61.718183999999994)</f>
        <v>61.718184</v>
      </c>
      <c r="G655" s="2" t="str">
        <f t="array" ref="G655">_xlfn.XLOOKUP(B655,Vendedores!$A$2:$A$41,Vendedores!$B$2:$B$41,"No hay datos")</f>
        <v>No hay datos</v>
      </c>
      <c r="H655" s="2" t="str">
        <f t="array" ref="H655">_xlfn.XLOOKUP(B655,Vendedores!$A$2:$A$41,Vendedores!$C$2:$C$41,"No hay datos")</f>
        <v>No hay datos</v>
      </c>
      <c r="I655" s="2" t="str">
        <f t="array" ref="I655">_xlfn.XLOOKUP(B655,Vendedores!$A$2:$A$41,Vendedores!$D$2:$D$41,"No hay datos")</f>
        <v>No hay datos</v>
      </c>
      <c r="J655" s="2" t="str">
        <f t="array" ref="J655">_xlfn.XLOOKUP(A655,Productos!$A$2:$A$61,Productos!$B$2:$F$61)</f>
        <v>#N/A</v>
      </c>
    </row>
    <row r="656">
      <c r="A656" s="2" t="str">
        <f>IFERROR(__xludf.DUMMYFUNCTION("""COMPUTED_VALUE"""),"PR013")</f>
        <v>PR013</v>
      </c>
      <c r="B656" s="2" t="str">
        <f>IFERROR(__xludf.DUMMYFUNCTION("""COMPUTED_VALUE"""),"VD020")</f>
        <v>VD020</v>
      </c>
      <c r="C656" s="2">
        <f>IFERROR(__xludf.DUMMYFUNCTION("""COMPUTED_VALUE"""),18.0)</f>
        <v>18</v>
      </c>
      <c r="D656" s="6">
        <f>IFERROR(__xludf.DUMMYFUNCTION("""COMPUTED_VALUE"""),761.29)</f>
        <v>761.29</v>
      </c>
      <c r="E656" s="6">
        <f>IFERROR(__xludf.DUMMYFUNCTION("GOOGLEFINANCE(""Currency:BRLMXN"")*D656"),2586.1021299999998)</f>
        <v>2586.10213</v>
      </c>
      <c r="F656" s="6">
        <f>IFERROR(__xludf.DUMMYFUNCTION("GOOGLEFINANCE(""Currency:BRLPEN"")*D656"),499.10172399999993)</f>
        <v>499.101724</v>
      </c>
      <c r="G656" s="2" t="str">
        <f t="array" ref="G656">_xlfn.XLOOKUP(B656,Vendedores!$A$2:$A$41,Vendedores!$B$2:$B$41,"No hay datos")</f>
        <v>No hay datos</v>
      </c>
      <c r="H656" s="2" t="str">
        <f t="array" ref="H656">_xlfn.XLOOKUP(B656,Vendedores!$A$2:$A$41,Vendedores!$C$2:$C$41,"No hay datos")</f>
        <v>No hay datos</v>
      </c>
      <c r="I656" s="2" t="str">
        <f t="array" ref="I656">_xlfn.XLOOKUP(B656,Vendedores!$A$2:$A$41,Vendedores!$D$2:$D$41,"No hay datos")</f>
        <v>No hay datos</v>
      </c>
      <c r="J656" s="2" t="str">
        <f t="array" ref="J656">_xlfn.XLOOKUP(A656,Productos!$A$2:$A$61,Productos!$B$2:$F$61)</f>
        <v>#N/A</v>
      </c>
    </row>
    <row r="657">
      <c r="A657" s="2" t="str">
        <f>IFERROR(__xludf.DUMMYFUNCTION("""COMPUTED_VALUE"""),"PR011")</f>
        <v>PR011</v>
      </c>
      <c r="B657" s="2" t="str">
        <f>IFERROR(__xludf.DUMMYFUNCTION("""COMPUTED_VALUE"""),"VD032")</f>
        <v>VD032</v>
      </c>
      <c r="C657" s="2">
        <f>IFERROR(__xludf.DUMMYFUNCTION("""COMPUTED_VALUE"""),18.0)</f>
        <v>18</v>
      </c>
      <c r="D657" s="6">
        <f>IFERROR(__xludf.DUMMYFUNCTION("""COMPUTED_VALUE"""),886.41)</f>
        <v>886.41</v>
      </c>
      <c r="E657" s="6">
        <f>IFERROR(__xludf.DUMMYFUNCTION("GOOGLEFINANCE(""Currency:BRLMXN"")*D657"),3011.1347699999997)</f>
        <v>3011.13477</v>
      </c>
      <c r="F657" s="6">
        <f>IFERROR(__xludf.DUMMYFUNCTION("GOOGLEFINANCE(""Currency:BRLPEN"")*D657"),581.1303959999999)</f>
        <v>581.130396</v>
      </c>
      <c r="G657" s="2" t="str">
        <f t="array" ref="G657">_xlfn.XLOOKUP(B657,Vendedores!$A$2:$A$41,Vendedores!$B$2:$B$41,"No hay datos")</f>
        <v>No hay datos</v>
      </c>
      <c r="H657" s="2" t="str">
        <f t="array" ref="H657">_xlfn.XLOOKUP(B657,Vendedores!$A$2:$A$41,Vendedores!$C$2:$C$41,"No hay datos")</f>
        <v>No hay datos</v>
      </c>
      <c r="I657" s="2" t="str">
        <f t="array" ref="I657">_xlfn.XLOOKUP(B657,Vendedores!$A$2:$A$41,Vendedores!$D$2:$D$41,"No hay datos")</f>
        <v>No hay datos</v>
      </c>
      <c r="J657" s="2" t="str">
        <f t="array" ref="J657">_xlfn.XLOOKUP(A657,Productos!$A$2:$A$61,Productos!$B$2:$F$61)</f>
        <v>#N/A</v>
      </c>
    </row>
    <row r="658">
      <c r="A658" s="2" t="str">
        <f>IFERROR(__xludf.DUMMYFUNCTION("""COMPUTED_VALUE"""),"PR037")</f>
        <v>PR037</v>
      </c>
      <c r="B658" s="2" t="str">
        <f>IFERROR(__xludf.DUMMYFUNCTION("""COMPUTED_VALUE"""),"VD010")</f>
        <v>VD010</v>
      </c>
      <c r="C658" s="2">
        <f>IFERROR(__xludf.DUMMYFUNCTION("""COMPUTED_VALUE"""),10.0)</f>
        <v>10</v>
      </c>
      <c r="D658" s="6">
        <f>IFERROR(__xludf.DUMMYFUNCTION("""COMPUTED_VALUE"""),1540.0)</f>
        <v>1540</v>
      </c>
      <c r="E658" s="6">
        <f>IFERROR(__xludf.DUMMYFUNCTION("GOOGLEFINANCE(""Currency:BRLMXN"")*D658"),5231.38)</f>
        <v>5231.38</v>
      </c>
      <c r="F658" s="6">
        <f>IFERROR(__xludf.DUMMYFUNCTION("GOOGLEFINANCE(""Currency:BRLPEN"")*D658"),1009.6239999999999)</f>
        <v>1009.624</v>
      </c>
      <c r="G658" s="2" t="str">
        <f t="array" ref="G658">_xlfn.XLOOKUP(B658,Vendedores!$A$2:$A$41,Vendedores!$B$2:$B$41,"No hay datos")</f>
        <v>No hay datos</v>
      </c>
      <c r="H658" s="2" t="str">
        <f t="array" ref="H658">_xlfn.XLOOKUP(B658,Vendedores!$A$2:$A$41,Vendedores!$C$2:$C$41,"No hay datos")</f>
        <v>No hay datos</v>
      </c>
      <c r="I658" s="2" t="str">
        <f t="array" ref="I658">_xlfn.XLOOKUP(B658,Vendedores!$A$2:$A$41,Vendedores!$D$2:$D$41,"No hay datos")</f>
        <v>No hay datos</v>
      </c>
      <c r="J658" s="2" t="str">
        <f t="array" ref="J658">_xlfn.XLOOKUP(A658,Productos!$A$2:$A$61,Productos!$B$2:$F$61)</f>
        <v>#N/A</v>
      </c>
    </row>
    <row r="659">
      <c r="A659" s="2" t="str">
        <f>IFERROR(__xludf.DUMMYFUNCTION("""COMPUTED_VALUE"""),"PR038")</f>
        <v>PR038</v>
      </c>
      <c r="B659" s="2" t="str">
        <f>IFERROR(__xludf.DUMMYFUNCTION("""COMPUTED_VALUE"""),"VD040")</f>
        <v>VD040</v>
      </c>
      <c r="C659" s="2">
        <f>IFERROR(__xludf.DUMMYFUNCTION("""COMPUTED_VALUE"""),6.0)</f>
        <v>6</v>
      </c>
      <c r="D659" s="6">
        <f>IFERROR(__xludf.DUMMYFUNCTION("""COMPUTED_VALUE"""),908.84)</f>
        <v>908.84</v>
      </c>
      <c r="E659" s="6">
        <f>IFERROR(__xludf.DUMMYFUNCTION("GOOGLEFINANCE(""Currency:BRLMXN"")*D659"),3087.32948)</f>
        <v>3087.32948</v>
      </c>
      <c r="F659" s="6">
        <f>IFERROR(__xludf.DUMMYFUNCTION("GOOGLEFINANCE(""Currency:BRLPEN"")*D659"),595.835504)</f>
        <v>595.835504</v>
      </c>
      <c r="G659" s="2" t="str">
        <f t="array" ref="G659">_xlfn.XLOOKUP(B659,Vendedores!$A$2:$A$41,Vendedores!$B$2:$B$41,"No hay datos")</f>
        <v>No hay datos</v>
      </c>
      <c r="H659" s="2" t="str">
        <f t="array" ref="H659">_xlfn.XLOOKUP(B659,Vendedores!$A$2:$A$41,Vendedores!$C$2:$C$41,"No hay datos")</f>
        <v>No hay datos</v>
      </c>
      <c r="I659" s="2" t="str">
        <f t="array" ref="I659">_xlfn.XLOOKUP(B659,Vendedores!$A$2:$A$41,Vendedores!$D$2:$D$41,"No hay datos")</f>
        <v>No hay datos</v>
      </c>
      <c r="J659" s="2" t="str">
        <f t="array" ref="J659">_xlfn.XLOOKUP(A659,Productos!$A$2:$A$61,Productos!$B$2:$F$61)</f>
        <v>#N/A</v>
      </c>
    </row>
    <row r="660">
      <c r="A660" s="2" t="str">
        <f>IFERROR(__xludf.DUMMYFUNCTION("""COMPUTED_VALUE"""),"PR049")</f>
        <v>PR049</v>
      </c>
      <c r="B660" s="2" t="str">
        <f>IFERROR(__xludf.DUMMYFUNCTION("""COMPUTED_VALUE"""),"VD020")</f>
        <v>VD020</v>
      </c>
      <c r="C660" s="2">
        <f>IFERROR(__xludf.DUMMYFUNCTION("""COMPUTED_VALUE"""),2.0)</f>
        <v>2</v>
      </c>
      <c r="D660" s="6">
        <f>IFERROR(__xludf.DUMMYFUNCTION("""COMPUTED_VALUE"""),68.43)</f>
        <v>68.43</v>
      </c>
      <c r="E660" s="6">
        <f>IFERROR(__xludf.DUMMYFUNCTION("GOOGLEFINANCE(""Currency:BRLMXN"")*D660"),232.45671000000002)</f>
        <v>232.45671</v>
      </c>
      <c r="F660" s="6">
        <f>IFERROR(__xludf.DUMMYFUNCTION("GOOGLEFINANCE(""Currency:BRLPEN"")*D660"),44.862708000000005)</f>
        <v>44.862708</v>
      </c>
      <c r="G660" s="2" t="str">
        <f t="array" ref="G660">_xlfn.XLOOKUP(B660,Vendedores!$A$2:$A$41,Vendedores!$B$2:$B$41,"No hay datos")</f>
        <v>No hay datos</v>
      </c>
      <c r="H660" s="2" t="str">
        <f t="array" ref="H660">_xlfn.XLOOKUP(B660,Vendedores!$A$2:$A$41,Vendedores!$C$2:$C$41,"No hay datos")</f>
        <v>No hay datos</v>
      </c>
      <c r="I660" s="2" t="str">
        <f t="array" ref="I660">_xlfn.XLOOKUP(B660,Vendedores!$A$2:$A$41,Vendedores!$D$2:$D$41,"No hay datos")</f>
        <v>No hay datos</v>
      </c>
      <c r="J660" s="2" t="str">
        <f t="array" ref="J660">_xlfn.XLOOKUP(A660,Productos!$A$2:$A$61,Productos!$B$2:$F$61)</f>
        <v>#N/A</v>
      </c>
    </row>
    <row r="661">
      <c r="A661" s="2" t="str">
        <f>IFERROR(__xludf.DUMMYFUNCTION("""COMPUTED_VALUE"""),"PR006")</f>
        <v>PR006</v>
      </c>
      <c r="B661" s="2" t="str">
        <f>IFERROR(__xludf.DUMMYFUNCTION("""COMPUTED_VALUE"""),"VD048")</f>
        <v>VD048</v>
      </c>
      <c r="C661" s="2">
        <f>IFERROR(__xludf.DUMMYFUNCTION("""COMPUTED_VALUE"""),7.0)</f>
        <v>7</v>
      </c>
      <c r="D661" s="6">
        <f>IFERROR(__xludf.DUMMYFUNCTION("""COMPUTED_VALUE"""),307.23)</f>
        <v>307.23</v>
      </c>
      <c r="E661" s="6">
        <f>IFERROR(__xludf.DUMMYFUNCTION("GOOGLEFINANCE(""Currency:BRLMXN"")*D661"),1043.66031)</f>
        <v>1043.66031</v>
      </c>
      <c r="F661" s="6">
        <f>IFERROR(__xludf.DUMMYFUNCTION("GOOGLEFINANCE(""Currency:BRLPEN"")*D661"),201.419988)</f>
        <v>201.419988</v>
      </c>
      <c r="G661" s="2" t="str">
        <f t="array" ref="G661">_xlfn.XLOOKUP(B661,Vendedores!$A$2:$A$41,Vendedores!$B$2:$B$41,"No hay datos")</f>
        <v>No hay datos</v>
      </c>
      <c r="H661" s="2" t="str">
        <f t="array" ref="H661">_xlfn.XLOOKUP(B661,Vendedores!$A$2:$A$41,Vendedores!$C$2:$C$41,"No hay datos")</f>
        <v>No hay datos</v>
      </c>
      <c r="I661" s="2" t="str">
        <f t="array" ref="I661">_xlfn.XLOOKUP(B661,Vendedores!$A$2:$A$41,Vendedores!$D$2:$D$41,"No hay datos")</f>
        <v>No hay datos</v>
      </c>
      <c r="J661" s="2" t="str">
        <f t="array" ref="J661">_xlfn.XLOOKUP(A661,Productos!$A$2:$A$61,Productos!$B$2:$F$61)</f>
        <v>#N/A</v>
      </c>
    </row>
    <row r="662">
      <c r="A662" s="2" t="str">
        <f>IFERROR(__xludf.DUMMYFUNCTION("""COMPUTED_VALUE"""),"PR058")</f>
        <v>PR058</v>
      </c>
      <c r="B662" s="2" t="str">
        <f>IFERROR(__xludf.DUMMYFUNCTION("""COMPUTED_VALUE"""),"VD021")</f>
        <v>VD021</v>
      </c>
      <c r="C662" s="2">
        <f>IFERROR(__xludf.DUMMYFUNCTION("""COMPUTED_VALUE"""),6.0)</f>
        <v>6</v>
      </c>
      <c r="D662" s="6">
        <f>IFERROR(__xludf.DUMMYFUNCTION("""COMPUTED_VALUE"""),1166.4)</f>
        <v>1166.4</v>
      </c>
      <c r="E662" s="6">
        <f>IFERROR(__xludf.DUMMYFUNCTION("GOOGLEFINANCE(""Currency:BRLMXN"")*D662"),3962.2608)</f>
        <v>3962.2608</v>
      </c>
      <c r="F662" s="6">
        <f>IFERROR(__xludf.DUMMYFUNCTION("GOOGLEFINANCE(""Currency:BRLPEN"")*D662"),764.6918400000001)</f>
        <v>764.69184</v>
      </c>
      <c r="G662" s="2" t="str">
        <f t="array" ref="G662">_xlfn.XLOOKUP(B662,Vendedores!$A$2:$A$41,Vendedores!$B$2:$B$41,"No hay datos")</f>
        <v>No hay datos</v>
      </c>
      <c r="H662" s="2" t="str">
        <f t="array" ref="H662">_xlfn.XLOOKUP(B662,Vendedores!$A$2:$A$41,Vendedores!$C$2:$C$41,"No hay datos")</f>
        <v>No hay datos</v>
      </c>
      <c r="I662" s="2" t="str">
        <f t="array" ref="I662">_xlfn.XLOOKUP(B662,Vendedores!$A$2:$A$41,Vendedores!$D$2:$D$41,"No hay datos")</f>
        <v>No hay datos</v>
      </c>
      <c r="J662" s="2" t="str">
        <f t="array" ref="J662">_xlfn.XLOOKUP(A662,Productos!$A$2:$A$61,Productos!$B$2:$F$61)</f>
        <v>#N/A</v>
      </c>
    </row>
    <row r="663">
      <c r="A663" s="2" t="str">
        <f>IFERROR(__xludf.DUMMYFUNCTION("""COMPUTED_VALUE"""),"PR059")</f>
        <v>PR059</v>
      </c>
      <c r="B663" s="2" t="str">
        <f>IFERROR(__xludf.DUMMYFUNCTION("""COMPUTED_VALUE"""),"VD033")</f>
        <v>VD033</v>
      </c>
      <c r="C663" s="2">
        <f>IFERROR(__xludf.DUMMYFUNCTION("""COMPUTED_VALUE"""),6.0)</f>
        <v>6</v>
      </c>
      <c r="D663" s="6">
        <f>IFERROR(__xludf.DUMMYFUNCTION("""COMPUTED_VALUE"""),1166.4)</f>
        <v>1166.4</v>
      </c>
      <c r="E663" s="6">
        <f>IFERROR(__xludf.DUMMYFUNCTION("GOOGLEFINANCE(""Currency:BRLMXN"")*D663"),3962.2608)</f>
        <v>3962.2608</v>
      </c>
      <c r="F663" s="6">
        <f>IFERROR(__xludf.DUMMYFUNCTION("GOOGLEFINANCE(""Currency:BRLPEN"")*D663"),764.6918400000001)</f>
        <v>764.69184</v>
      </c>
      <c r="G663" s="2" t="str">
        <f t="array" ref="G663">_xlfn.XLOOKUP(B663,Vendedores!$A$2:$A$41,Vendedores!$B$2:$B$41,"No hay datos")</f>
        <v>No hay datos</v>
      </c>
      <c r="H663" s="2" t="str">
        <f t="array" ref="H663">_xlfn.XLOOKUP(B663,Vendedores!$A$2:$A$41,Vendedores!$C$2:$C$41,"No hay datos")</f>
        <v>No hay datos</v>
      </c>
      <c r="I663" s="2" t="str">
        <f t="array" ref="I663">_xlfn.XLOOKUP(B663,Vendedores!$A$2:$A$41,Vendedores!$D$2:$D$41,"No hay datos")</f>
        <v>No hay datos</v>
      </c>
      <c r="J663" s="2" t="str">
        <f t="array" ref="J663">_xlfn.XLOOKUP(A663,Productos!$A$2:$A$61,Productos!$B$2:$F$61)</f>
        <v>#N/A</v>
      </c>
    </row>
    <row r="664">
      <c r="A664" s="2" t="str">
        <f>IFERROR(__xludf.DUMMYFUNCTION("""COMPUTED_VALUE"""),"PR051")</f>
        <v>PR051</v>
      </c>
      <c r="B664" s="2" t="str">
        <f>IFERROR(__xludf.DUMMYFUNCTION("""COMPUTED_VALUE"""),"VD024")</f>
        <v>VD024</v>
      </c>
      <c r="C664" s="2">
        <f>IFERROR(__xludf.DUMMYFUNCTION("""COMPUTED_VALUE"""),1.0)</f>
        <v>1</v>
      </c>
      <c r="D664" s="6">
        <f>IFERROR(__xludf.DUMMYFUNCTION("""COMPUTED_VALUE"""),33.56)</f>
        <v>33.56</v>
      </c>
      <c r="E664" s="6">
        <f>IFERROR(__xludf.DUMMYFUNCTION("GOOGLEFINANCE(""Currency:BRLMXN"")*D664"),114.00332)</f>
        <v>114.00332</v>
      </c>
      <c r="F664" s="6">
        <f>IFERROR(__xludf.DUMMYFUNCTION("GOOGLEFINANCE(""Currency:BRLPEN"")*D664"),22.001936)</f>
        <v>22.001936</v>
      </c>
      <c r="G664" s="2" t="str">
        <f t="array" ref="G664">_xlfn.XLOOKUP(B664,Vendedores!$A$2:$A$41,Vendedores!$B$2:$B$41,"No hay datos")</f>
        <v>No hay datos</v>
      </c>
      <c r="H664" s="2" t="str">
        <f t="array" ref="H664">_xlfn.XLOOKUP(B664,Vendedores!$A$2:$A$41,Vendedores!$C$2:$C$41,"No hay datos")</f>
        <v>No hay datos</v>
      </c>
      <c r="I664" s="2" t="str">
        <f t="array" ref="I664">_xlfn.XLOOKUP(B664,Vendedores!$A$2:$A$41,Vendedores!$D$2:$D$41,"No hay datos")</f>
        <v>No hay datos</v>
      </c>
      <c r="J664" s="2" t="str">
        <f t="array" ref="J664">_xlfn.XLOOKUP(A664,Productos!$A$2:$A$61,Productos!$B$2:$F$61)</f>
        <v>#N/A</v>
      </c>
    </row>
    <row r="665">
      <c r="A665" s="2" t="str">
        <f>IFERROR(__xludf.DUMMYFUNCTION("""COMPUTED_VALUE"""),"PR038")</f>
        <v>PR038</v>
      </c>
      <c r="B665" s="2" t="str">
        <f>IFERROR(__xludf.DUMMYFUNCTION("""COMPUTED_VALUE"""),"VD013")</f>
        <v>VD013</v>
      </c>
      <c r="C665" s="2">
        <f>IFERROR(__xludf.DUMMYFUNCTION("""COMPUTED_VALUE"""),7.0)</f>
        <v>7</v>
      </c>
      <c r="D665" s="6">
        <f>IFERROR(__xludf.DUMMYFUNCTION("""COMPUTED_VALUE"""),1020.31)</f>
        <v>1020.31</v>
      </c>
      <c r="E665" s="6">
        <f>IFERROR(__xludf.DUMMYFUNCTION("GOOGLEFINANCE(""Currency:BRLMXN"")*D665"),3465.9930699999995)</f>
        <v>3465.99307</v>
      </c>
      <c r="F665" s="6">
        <f>IFERROR(__xludf.DUMMYFUNCTION("GOOGLEFINANCE(""Currency:BRLPEN"")*D665"),668.9152359999999)</f>
        <v>668.915236</v>
      </c>
      <c r="G665" s="2" t="str">
        <f t="array" ref="G665">_xlfn.XLOOKUP(B665,Vendedores!$A$2:$A$41,Vendedores!$B$2:$B$41,"No hay datos")</f>
        <v>No hay datos</v>
      </c>
      <c r="H665" s="2" t="str">
        <f t="array" ref="H665">_xlfn.XLOOKUP(B665,Vendedores!$A$2:$A$41,Vendedores!$C$2:$C$41,"No hay datos")</f>
        <v>No hay datos</v>
      </c>
      <c r="I665" s="2" t="str">
        <f t="array" ref="I665">_xlfn.XLOOKUP(B665,Vendedores!$A$2:$A$41,Vendedores!$D$2:$D$41,"No hay datos")</f>
        <v>No hay datos</v>
      </c>
      <c r="J665" s="2" t="str">
        <f t="array" ref="J665">_xlfn.XLOOKUP(A665,Productos!$A$2:$A$61,Productos!$B$2:$F$61)</f>
        <v>#N/A</v>
      </c>
    </row>
    <row r="666">
      <c r="A666" s="2" t="str">
        <f>IFERROR(__xludf.DUMMYFUNCTION("""COMPUTED_VALUE"""),"PR005")</f>
        <v>PR005</v>
      </c>
      <c r="B666" s="2" t="str">
        <f>IFERROR(__xludf.DUMMYFUNCTION("""COMPUTED_VALUE"""),"VD048")</f>
        <v>VD048</v>
      </c>
      <c r="C666" s="2">
        <f>IFERROR(__xludf.DUMMYFUNCTION("""COMPUTED_VALUE"""),1.0)</f>
        <v>1</v>
      </c>
      <c r="D666" s="6">
        <f>IFERROR(__xludf.DUMMYFUNCTION("""COMPUTED_VALUE"""),275.49)</f>
        <v>275.49</v>
      </c>
      <c r="E666" s="6">
        <f>IFERROR(__xludf.DUMMYFUNCTION("GOOGLEFINANCE(""Currency:BRLMXN"")*D666"),935.83953)</f>
        <v>935.83953</v>
      </c>
      <c r="F666" s="6">
        <f>IFERROR(__xludf.DUMMYFUNCTION("GOOGLEFINANCE(""Currency:BRLPEN"")*D666"),180.611244)</f>
        <v>180.611244</v>
      </c>
      <c r="G666" s="2" t="str">
        <f t="array" ref="G666">_xlfn.XLOOKUP(B666,Vendedores!$A$2:$A$41,Vendedores!$B$2:$B$41,"No hay datos")</f>
        <v>No hay datos</v>
      </c>
      <c r="H666" s="2" t="str">
        <f t="array" ref="H666">_xlfn.XLOOKUP(B666,Vendedores!$A$2:$A$41,Vendedores!$C$2:$C$41,"No hay datos")</f>
        <v>No hay datos</v>
      </c>
      <c r="I666" s="2" t="str">
        <f t="array" ref="I666">_xlfn.XLOOKUP(B666,Vendedores!$A$2:$A$41,Vendedores!$D$2:$D$41,"No hay datos")</f>
        <v>No hay datos</v>
      </c>
      <c r="J666" s="2" t="str">
        <f t="array" ref="J666">_xlfn.XLOOKUP(A666,Productos!$A$2:$A$61,Productos!$B$2:$F$61)</f>
        <v>#N/A</v>
      </c>
    </row>
    <row r="667">
      <c r="A667" s="2" t="str">
        <f>IFERROR(__xludf.DUMMYFUNCTION("""COMPUTED_VALUE"""),"PR008")</f>
        <v>PR008</v>
      </c>
      <c r="B667" s="2" t="str">
        <f>IFERROR(__xludf.DUMMYFUNCTION("""COMPUTED_VALUE"""),"VD015")</f>
        <v>VD015</v>
      </c>
      <c r="C667" s="2">
        <f>IFERROR(__xludf.DUMMYFUNCTION("""COMPUTED_VALUE"""),20.0)</f>
        <v>20</v>
      </c>
      <c r="D667" s="6">
        <f>IFERROR(__xludf.DUMMYFUNCTION("""COMPUTED_VALUE"""),1977.8)</f>
        <v>1977.8</v>
      </c>
      <c r="E667" s="6">
        <f>IFERROR(__xludf.DUMMYFUNCTION("GOOGLEFINANCE(""Currency:BRLMXN"")*D667"),6718.5866)</f>
        <v>6718.5866</v>
      </c>
      <c r="F667" s="6">
        <f>IFERROR(__xludf.DUMMYFUNCTION("GOOGLEFINANCE(""Currency:BRLPEN"")*D667"),1296.6456799999999)</f>
        <v>1296.64568</v>
      </c>
      <c r="G667" s="2" t="str">
        <f t="array" ref="G667">_xlfn.XLOOKUP(B667,Vendedores!$A$2:$A$41,Vendedores!$B$2:$B$41,"No hay datos")</f>
        <v>No hay datos</v>
      </c>
      <c r="H667" s="2" t="str">
        <f t="array" ref="H667">_xlfn.XLOOKUP(B667,Vendedores!$A$2:$A$41,Vendedores!$C$2:$C$41,"No hay datos")</f>
        <v>No hay datos</v>
      </c>
      <c r="I667" s="2" t="str">
        <f t="array" ref="I667">_xlfn.XLOOKUP(B667,Vendedores!$A$2:$A$41,Vendedores!$D$2:$D$41,"No hay datos")</f>
        <v>No hay datos</v>
      </c>
      <c r="J667" s="2" t="str">
        <f t="array" ref="J667">_xlfn.XLOOKUP(A667,Productos!$A$2:$A$61,Productos!$B$2:$F$61)</f>
        <v>#N/A</v>
      </c>
    </row>
    <row r="668">
      <c r="A668" s="2" t="str">
        <f>IFERROR(__xludf.DUMMYFUNCTION("""COMPUTED_VALUE"""),"PR044")</f>
        <v>PR044</v>
      </c>
      <c r="B668" s="2" t="str">
        <f>IFERROR(__xludf.DUMMYFUNCTION("""COMPUTED_VALUE"""),"VD046")</f>
        <v>VD046</v>
      </c>
      <c r="C668" s="2">
        <f>IFERROR(__xludf.DUMMYFUNCTION("""COMPUTED_VALUE"""),5.0)</f>
        <v>5</v>
      </c>
      <c r="D668" s="6">
        <f>IFERROR(__xludf.DUMMYFUNCTION("""COMPUTED_VALUE"""),387.88)</f>
        <v>387.88</v>
      </c>
      <c r="E668" s="6">
        <f>IFERROR(__xludf.DUMMYFUNCTION("GOOGLEFINANCE(""Currency:BRLMXN"")*D668"),1317.62836)</f>
        <v>1317.62836</v>
      </c>
      <c r="F668" s="6">
        <f>IFERROR(__xludf.DUMMYFUNCTION("GOOGLEFINANCE(""Currency:BRLPEN"")*D668"),254.29412799999997)</f>
        <v>254.294128</v>
      </c>
      <c r="G668" s="2" t="str">
        <f t="array" ref="G668">_xlfn.XLOOKUP(B668,Vendedores!$A$2:$A$41,Vendedores!$B$2:$B$41,"No hay datos")</f>
        <v>No hay datos</v>
      </c>
      <c r="H668" s="2" t="str">
        <f t="array" ref="H668">_xlfn.XLOOKUP(B668,Vendedores!$A$2:$A$41,Vendedores!$C$2:$C$41,"No hay datos")</f>
        <v>No hay datos</v>
      </c>
      <c r="I668" s="2" t="str">
        <f t="array" ref="I668">_xlfn.XLOOKUP(B668,Vendedores!$A$2:$A$41,Vendedores!$D$2:$D$41,"No hay datos")</f>
        <v>No hay datos</v>
      </c>
      <c r="J668" s="2" t="str">
        <f t="array" ref="J668">_xlfn.XLOOKUP(A668,Productos!$A$2:$A$61,Productos!$B$2:$F$61)</f>
        <v>#N/A</v>
      </c>
    </row>
    <row r="669">
      <c r="A669" s="2" t="str">
        <f>IFERROR(__xludf.DUMMYFUNCTION("""COMPUTED_VALUE"""),"PR022")</f>
        <v>PR022</v>
      </c>
      <c r="B669" s="2" t="str">
        <f>IFERROR(__xludf.DUMMYFUNCTION("""COMPUTED_VALUE"""),"VD021")</f>
        <v>VD021</v>
      </c>
      <c r="C669" s="2">
        <f>IFERROR(__xludf.DUMMYFUNCTION("""COMPUTED_VALUE"""),3.0)</f>
        <v>3</v>
      </c>
      <c r="D669" s="6">
        <f>IFERROR(__xludf.DUMMYFUNCTION("""COMPUTED_VALUE"""),963.0)</f>
        <v>963</v>
      </c>
      <c r="E669" s="6">
        <f>IFERROR(__xludf.DUMMYFUNCTION("GOOGLEFINANCE(""Currency:BRLMXN"")*D669"),3271.3109999999997)</f>
        <v>3271.311</v>
      </c>
      <c r="F669" s="6">
        <f>IFERROR(__xludf.DUMMYFUNCTION("GOOGLEFINANCE(""Currency:BRLPEN"")*D669"),631.3428)</f>
        <v>631.3428</v>
      </c>
      <c r="G669" s="2" t="str">
        <f t="array" ref="G669">_xlfn.XLOOKUP(B669,Vendedores!$A$2:$A$41,Vendedores!$B$2:$B$41,"No hay datos")</f>
        <v>No hay datos</v>
      </c>
      <c r="H669" s="2" t="str">
        <f t="array" ref="H669">_xlfn.XLOOKUP(B669,Vendedores!$A$2:$A$41,Vendedores!$C$2:$C$41,"No hay datos")</f>
        <v>No hay datos</v>
      </c>
      <c r="I669" s="2" t="str">
        <f t="array" ref="I669">_xlfn.XLOOKUP(B669,Vendedores!$A$2:$A$41,Vendedores!$D$2:$D$41,"No hay datos")</f>
        <v>No hay datos</v>
      </c>
      <c r="J669" s="2" t="str">
        <f t="array" ref="J669">_xlfn.XLOOKUP(A669,Productos!$A$2:$A$61,Productos!$B$2:$F$61)</f>
        <v>#N/A</v>
      </c>
    </row>
    <row r="670">
      <c r="A670" s="2" t="str">
        <f>IFERROR(__xludf.DUMMYFUNCTION("""COMPUTED_VALUE"""),"PR017")</f>
        <v>PR017</v>
      </c>
      <c r="B670" s="2" t="str">
        <f>IFERROR(__xludf.DUMMYFUNCTION("""COMPUTED_VALUE"""),"VD042")</f>
        <v>VD042</v>
      </c>
      <c r="C670" s="2">
        <f>IFERROR(__xludf.DUMMYFUNCTION("""COMPUTED_VALUE"""),4.0)</f>
        <v>4</v>
      </c>
      <c r="D670" s="6">
        <f>IFERROR(__xludf.DUMMYFUNCTION("""COMPUTED_VALUE"""),121.99)</f>
        <v>121.99</v>
      </c>
      <c r="E670" s="6">
        <f>IFERROR(__xludf.DUMMYFUNCTION("GOOGLEFINANCE(""Currency:BRLMXN"")*D670"),414.40002999999996)</f>
        <v>414.40003</v>
      </c>
      <c r="F670" s="6">
        <f>IFERROR(__xludf.DUMMYFUNCTION("GOOGLEFINANCE(""Currency:BRLPEN"")*D670"),79.976644)</f>
        <v>79.976644</v>
      </c>
      <c r="G670" s="2" t="str">
        <f t="array" ref="G670">_xlfn.XLOOKUP(B670,Vendedores!$A$2:$A$41,Vendedores!$B$2:$B$41,"No hay datos")</f>
        <v>No hay datos</v>
      </c>
      <c r="H670" s="2" t="str">
        <f t="array" ref="H670">_xlfn.XLOOKUP(B670,Vendedores!$A$2:$A$41,Vendedores!$C$2:$C$41,"No hay datos")</f>
        <v>No hay datos</v>
      </c>
      <c r="I670" s="2" t="str">
        <f t="array" ref="I670">_xlfn.XLOOKUP(B670,Vendedores!$A$2:$A$41,Vendedores!$D$2:$D$41,"No hay datos")</f>
        <v>No hay datos</v>
      </c>
      <c r="J670" s="2" t="str">
        <f t="array" ref="J670">_xlfn.XLOOKUP(A670,Productos!$A$2:$A$61,Productos!$B$2:$F$61)</f>
        <v>#N/A</v>
      </c>
    </row>
    <row r="671">
      <c r="A671" s="2" t="str">
        <f>IFERROR(__xludf.DUMMYFUNCTION("""COMPUTED_VALUE"""),"PR008")</f>
        <v>PR008</v>
      </c>
      <c r="B671" s="2" t="str">
        <f>IFERROR(__xludf.DUMMYFUNCTION("""COMPUTED_VALUE"""),"VD043")</f>
        <v>VD043</v>
      </c>
      <c r="C671" s="2">
        <f>IFERROR(__xludf.DUMMYFUNCTION("""COMPUTED_VALUE"""),10.0)</f>
        <v>10</v>
      </c>
      <c r="D671" s="6">
        <f>IFERROR(__xludf.DUMMYFUNCTION("""COMPUTED_VALUE"""),943.95)</f>
        <v>943.95</v>
      </c>
      <c r="E671" s="6">
        <f>IFERROR(__xludf.DUMMYFUNCTION("GOOGLEFINANCE(""Currency:BRLMXN"")*D671"),3206.59815)</f>
        <v>3206.59815</v>
      </c>
      <c r="F671" s="6">
        <f>IFERROR(__xludf.DUMMYFUNCTION("GOOGLEFINANCE(""Currency:BRLPEN"")*D671"),618.85362)</f>
        <v>618.85362</v>
      </c>
      <c r="G671" s="2" t="str">
        <f t="array" ref="G671">_xlfn.XLOOKUP(B671,Vendedores!$A$2:$A$41,Vendedores!$B$2:$B$41,"No hay datos")</f>
        <v>No hay datos</v>
      </c>
      <c r="H671" s="2" t="str">
        <f t="array" ref="H671">_xlfn.XLOOKUP(B671,Vendedores!$A$2:$A$41,Vendedores!$C$2:$C$41,"No hay datos")</f>
        <v>No hay datos</v>
      </c>
      <c r="I671" s="2" t="str">
        <f t="array" ref="I671">_xlfn.XLOOKUP(B671,Vendedores!$A$2:$A$41,Vendedores!$D$2:$D$41,"No hay datos")</f>
        <v>No hay datos</v>
      </c>
      <c r="J671" s="2" t="str">
        <f t="array" ref="J671">_xlfn.XLOOKUP(A671,Productos!$A$2:$A$61,Productos!$B$2:$F$61)</f>
        <v>#N/A</v>
      </c>
    </row>
    <row r="672">
      <c r="A672" s="2" t="str">
        <f>IFERROR(__xludf.DUMMYFUNCTION("""COMPUTED_VALUE"""),"PR047")</f>
        <v>PR047</v>
      </c>
      <c r="B672" s="2" t="str">
        <f>IFERROR(__xludf.DUMMYFUNCTION("""COMPUTED_VALUE"""),"VD025")</f>
        <v>VD025</v>
      </c>
      <c r="C672" s="2">
        <f>IFERROR(__xludf.DUMMYFUNCTION("""COMPUTED_VALUE"""),6.0)</f>
        <v>6</v>
      </c>
      <c r="D672" s="6">
        <f>IFERROR(__xludf.DUMMYFUNCTION("""COMPUTED_VALUE"""),1861.16)</f>
        <v>1861.16</v>
      </c>
      <c r="E672" s="6">
        <f>IFERROR(__xludf.DUMMYFUNCTION("GOOGLEFINANCE(""Currency:BRLMXN"")*D672"),6322.36052)</f>
        <v>6322.36052</v>
      </c>
      <c r="F672" s="6">
        <f>IFERROR(__xludf.DUMMYFUNCTION("GOOGLEFINANCE(""Currency:BRLPEN"")*D672"),1220.176496)</f>
        <v>1220.176496</v>
      </c>
      <c r="G672" s="2" t="str">
        <f t="array" ref="G672">_xlfn.XLOOKUP(B672,Vendedores!$A$2:$A$41,Vendedores!$B$2:$B$41,"No hay datos")</f>
        <v>No hay datos</v>
      </c>
      <c r="H672" s="2" t="str">
        <f t="array" ref="H672">_xlfn.XLOOKUP(B672,Vendedores!$A$2:$A$41,Vendedores!$C$2:$C$41,"No hay datos")</f>
        <v>No hay datos</v>
      </c>
      <c r="I672" s="2" t="str">
        <f t="array" ref="I672">_xlfn.XLOOKUP(B672,Vendedores!$A$2:$A$41,Vendedores!$D$2:$D$41,"No hay datos")</f>
        <v>No hay datos</v>
      </c>
      <c r="J672" s="2" t="str">
        <f t="array" ref="J672">_xlfn.XLOOKUP(A672,Productos!$A$2:$A$61,Productos!$B$2:$F$61)</f>
        <v>#N/A</v>
      </c>
    </row>
    <row r="673">
      <c r="A673" s="2" t="str">
        <f>IFERROR(__xludf.DUMMYFUNCTION("""COMPUTED_VALUE"""),"PR041")</f>
        <v>PR041</v>
      </c>
      <c r="B673" s="2" t="str">
        <f>IFERROR(__xludf.DUMMYFUNCTION("""COMPUTED_VALUE"""),"VD041")</f>
        <v>VD041</v>
      </c>
      <c r="C673" s="2">
        <f>IFERROR(__xludf.DUMMYFUNCTION("""COMPUTED_VALUE"""),2.0)</f>
        <v>2</v>
      </c>
      <c r="D673" s="6">
        <f>IFERROR(__xludf.DUMMYFUNCTION("""COMPUTED_VALUE"""),116.39)</f>
        <v>116.39</v>
      </c>
      <c r="E673" s="6">
        <f>IFERROR(__xludf.DUMMYFUNCTION("GOOGLEFINANCE(""Currency:BRLMXN"")*D673"),395.37683)</f>
        <v>395.37683</v>
      </c>
      <c r="F673" s="6">
        <f>IFERROR(__xludf.DUMMYFUNCTION("GOOGLEFINANCE(""Currency:BRLPEN"")*D673"),76.305284)</f>
        <v>76.305284</v>
      </c>
      <c r="G673" s="2" t="str">
        <f t="array" ref="G673">_xlfn.XLOOKUP(B673,Vendedores!$A$2:$A$41,Vendedores!$B$2:$B$41,"No hay datos")</f>
        <v>No hay datos</v>
      </c>
      <c r="H673" s="2" t="str">
        <f t="array" ref="H673">_xlfn.XLOOKUP(B673,Vendedores!$A$2:$A$41,Vendedores!$C$2:$C$41,"No hay datos")</f>
        <v>No hay datos</v>
      </c>
      <c r="I673" s="2" t="str">
        <f t="array" ref="I673">_xlfn.XLOOKUP(B673,Vendedores!$A$2:$A$41,Vendedores!$D$2:$D$41,"No hay datos")</f>
        <v>No hay datos</v>
      </c>
      <c r="J673" s="2" t="str">
        <f t="array" ref="J673">_xlfn.XLOOKUP(A673,Productos!$A$2:$A$61,Productos!$B$2:$F$61)</f>
        <v>#N/A</v>
      </c>
    </row>
    <row r="674">
      <c r="A674" s="2" t="str">
        <f>IFERROR(__xludf.DUMMYFUNCTION("""COMPUTED_VALUE"""),"PR051")</f>
        <v>PR051</v>
      </c>
      <c r="B674" s="2" t="str">
        <f>IFERROR(__xludf.DUMMYFUNCTION("""COMPUTED_VALUE"""),"VD044")</f>
        <v>VD044</v>
      </c>
      <c r="C674" s="2">
        <f>IFERROR(__xludf.DUMMYFUNCTION("""COMPUTED_VALUE"""),10.0)</f>
        <v>10</v>
      </c>
      <c r="D674" s="6">
        <f>IFERROR(__xludf.DUMMYFUNCTION("""COMPUTED_VALUE"""),358.61)</f>
        <v>358.61</v>
      </c>
      <c r="E674" s="6">
        <f>IFERROR(__xludf.DUMMYFUNCTION("GOOGLEFINANCE(""Currency:BRLMXN"")*D674"),1218.19817)</f>
        <v>1218.19817</v>
      </c>
      <c r="F674" s="6">
        <f>IFERROR(__xludf.DUMMYFUNCTION("GOOGLEFINANCE(""Currency:BRLPEN"")*D674"),235.104716)</f>
        <v>235.104716</v>
      </c>
      <c r="G674" s="2" t="str">
        <f t="array" ref="G674">_xlfn.XLOOKUP(B674,Vendedores!$A$2:$A$41,Vendedores!$B$2:$B$41,"No hay datos")</f>
        <v>No hay datos</v>
      </c>
      <c r="H674" s="2" t="str">
        <f t="array" ref="H674">_xlfn.XLOOKUP(B674,Vendedores!$A$2:$A$41,Vendedores!$C$2:$C$41,"No hay datos")</f>
        <v>No hay datos</v>
      </c>
      <c r="I674" s="2" t="str">
        <f t="array" ref="I674">_xlfn.XLOOKUP(B674,Vendedores!$A$2:$A$41,Vendedores!$D$2:$D$41,"No hay datos")</f>
        <v>No hay datos</v>
      </c>
      <c r="J674" s="2" t="str">
        <f t="array" ref="J674">_xlfn.XLOOKUP(A674,Productos!$A$2:$A$61,Productos!$B$2:$F$61)</f>
        <v>#N/A</v>
      </c>
    </row>
    <row r="675">
      <c r="A675" s="2" t="str">
        <f>IFERROR(__xludf.DUMMYFUNCTION("""COMPUTED_VALUE"""),"PR001")</f>
        <v>PR001</v>
      </c>
      <c r="B675" s="2" t="str">
        <f>IFERROR(__xludf.DUMMYFUNCTION("""COMPUTED_VALUE"""),"VD032")</f>
        <v>VD032</v>
      </c>
      <c r="C675" s="2">
        <f>IFERROR(__xludf.DUMMYFUNCTION("""COMPUTED_VALUE"""),6.0)</f>
        <v>6</v>
      </c>
      <c r="D675" s="6">
        <f>IFERROR(__xludf.DUMMYFUNCTION("""COMPUTED_VALUE"""),427.03)</f>
        <v>427.03</v>
      </c>
      <c r="E675" s="6">
        <f>IFERROR(__xludf.DUMMYFUNCTION("GOOGLEFINANCE(""Currency:BRLMXN"")*D675"),1450.6209099999999)</f>
        <v>1450.62091</v>
      </c>
      <c r="F675" s="6">
        <f>IFERROR(__xludf.DUMMYFUNCTION("GOOGLEFINANCE(""Currency:BRLPEN"")*D675"),279.96086799999995)</f>
        <v>279.960868</v>
      </c>
      <c r="G675" s="2" t="str">
        <f t="array" ref="G675">_xlfn.XLOOKUP(B675,Vendedores!$A$2:$A$41,Vendedores!$B$2:$B$41,"No hay datos")</f>
        <v>No hay datos</v>
      </c>
      <c r="H675" s="2" t="str">
        <f t="array" ref="H675">_xlfn.XLOOKUP(B675,Vendedores!$A$2:$A$41,Vendedores!$C$2:$C$41,"No hay datos")</f>
        <v>No hay datos</v>
      </c>
      <c r="I675" s="2" t="str">
        <f t="array" ref="I675">_xlfn.XLOOKUP(B675,Vendedores!$A$2:$A$41,Vendedores!$D$2:$D$41,"No hay datos")</f>
        <v>No hay datos</v>
      </c>
      <c r="J675" s="2" t="str">
        <f t="array" ref="J675">_xlfn.XLOOKUP(A675,Productos!$A$2:$A$61,Productos!$B$2:$F$61)</f>
        <v>#N/A</v>
      </c>
    </row>
    <row r="676">
      <c r="A676" s="2" t="str">
        <f>IFERROR(__xludf.DUMMYFUNCTION("""COMPUTED_VALUE"""),"PR010")</f>
        <v>PR010</v>
      </c>
      <c r="B676" s="2" t="str">
        <f>IFERROR(__xludf.DUMMYFUNCTION("""COMPUTED_VALUE"""),"VD037")</f>
        <v>VD037</v>
      </c>
      <c r="C676" s="2">
        <f>IFERROR(__xludf.DUMMYFUNCTION("""COMPUTED_VALUE"""),20.0)</f>
        <v>20</v>
      </c>
      <c r="D676" s="6">
        <f>IFERROR(__xludf.DUMMYFUNCTION("""COMPUTED_VALUE"""),942.9)</f>
        <v>942.9</v>
      </c>
      <c r="E676" s="6">
        <f>IFERROR(__xludf.DUMMYFUNCTION("GOOGLEFINANCE(""Currency:BRLMXN"")*D676"),3203.0312999999996)</f>
        <v>3203.0313</v>
      </c>
      <c r="F676" s="6">
        <f>IFERROR(__xludf.DUMMYFUNCTION("GOOGLEFINANCE(""Currency:BRLPEN"")*D676"),618.1652399999999)</f>
        <v>618.16524</v>
      </c>
      <c r="G676" s="2" t="str">
        <f t="array" ref="G676">_xlfn.XLOOKUP(B676,Vendedores!$A$2:$A$41,Vendedores!$B$2:$B$41,"No hay datos")</f>
        <v>No hay datos</v>
      </c>
      <c r="H676" s="2" t="str">
        <f t="array" ref="H676">_xlfn.XLOOKUP(B676,Vendedores!$A$2:$A$41,Vendedores!$C$2:$C$41,"No hay datos")</f>
        <v>No hay datos</v>
      </c>
      <c r="I676" s="2" t="str">
        <f t="array" ref="I676">_xlfn.XLOOKUP(B676,Vendedores!$A$2:$A$41,Vendedores!$D$2:$D$41,"No hay datos")</f>
        <v>No hay datos</v>
      </c>
      <c r="J676" s="2" t="str">
        <f t="array" ref="J676">_xlfn.XLOOKUP(A676,Productos!$A$2:$A$61,Productos!$B$2:$F$61)</f>
        <v>#N/A</v>
      </c>
    </row>
    <row r="677">
      <c r="A677" s="2" t="str">
        <f>IFERROR(__xludf.DUMMYFUNCTION("""COMPUTED_VALUE"""),"PR047")</f>
        <v>PR047</v>
      </c>
      <c r="B677" s="2" t="str">
        <f>IFERROR(__xludf.DUMMYFUNCTION("""COMPUTED_VALUE"""),"VD033")</f>
        <v>VD033</v>
      </c>
      <c r="C677" s="2">
        <f>IFERROR(__xludf.DUMMYFUNCTION("""COMPUTED_VALUE"""),8.0)</f>
        <v>8</v>
      </c>
      <c r="D677" s="6">
        <f>IFERROR(__xludf.DUMMYFUNCTION("""COMPUTED_VALUE"""),2388.78)</f>
        <v>2388.78</v>
      </c>
      <c r="E677" s="6">
        <f>IFERROR(__xludf.DUMMYFUNCTION("GOOGLEFINANCE(""Currency:BRLMXN"")*D677"),8114.68566)</f>
        <v>8114.68566</v>
      </c>
      <c r="F677" s="6">
        <f>IFERROR(__xludf.DUMMYFUNCTION("GOOGLEFINANCE(""Currency:BRLPEN"")*D677"),1566.084168)</f>
        <v>1566.084168</v>
      </c>
      <c r="G677" s="2" t="str">
        <f t="array" ref="G677">_xlfn.XLOOKUP(B677,Vendedores!$A$2:$A$41,Vendedores!$B$2:$B$41,"No hay datos")</f>
        <v>No hay datos</v>
      </c>
      <c r="H677" s="2" t="str">
        <f t="array" ref="H677">_xlfn.XLOOKUP(B677,Vendedores!$A$2:$A$41,Vendedores!$C$2:$C$41,"No hay datos")</f>
        <v>No hay datos</v>
      </c>
      <c r="I677" s="2" t="str">
        <f t="array" ref="I677">_xlfn.XLOOKUP(B677,Vendedores!$A$2:$A$41,Vendedores!$D$2:$D$41,"No hay datos")</f>
        <v>No hay datos</v>
      </c>
      <c r="J677" s="2" t="str">
        <f t="array" ref="J677">_xlfn.XLOOKUP(A677,Productos!$A$2:$A$61,Productos!$B$2:$F$61)</f>
        <v>#N/A</v>
      </c>
    </row>
    <row r="678">
      <c r="A678" s="2" t="str">
        <f>IFERROR(__xludf.DUMMYFUNCTION("""COMPUTED_VALUE"""),"PR029")</f>
        <v>PR029</v>
      </c>
      <c r="B678" s="2" t="str">
        <f>IFERROR(__xludf.DUMMYFUNCTION("""COMPUTED_VALUE"""),"VD013")</f>
        <v>VD013</v>
      </c>
      <c r="C678" s="2">
        <f>IFERROR(__xludf.DUMMYFUNCTION("""COMPUTED_VALUE"""),14.0)</f>
        <v>14</v>
      </c>
      <c r="D678" s="6">
        <f>IFERROR(__xludf.DUMMYFUNCTION("""COMPUTED_VALUE"""),3641.4)</f>
        <v>3641.4</v>
      </c>
      <c r="E678" s="6">
        <f>IFERROR(__xludf.DUMMYFUNCTION("GOOGLEFINANCE(""Currency:BRLMXN"")*D678"),12369.835799999999)</f>
        <v>12369.8358</v>
      </c>
      <c r="F678" s="6">
        <f>IFERROR(__xludf.DUMMYFUNCTION("GOOGLEFINANCE(""Currency:BRLPEN"")*D678"),2387.30184)</f>
        <v>2387.30184</v>
      </c>
      <c r="G678" s="2" t="str">
        <f t="array" ref="G678">_xlfn.XLOOKUP(B678,Vendedores!$A$2:$A$41,Vendedores!$B$2:$B$41,"No hay datos")</f>
        <v>No hay datos</v>
      </c>
      <c r="H678" s="2" t="str">
        <f t="array" ref="H678">_xlfn.XLOOKUP(B678,Vendedores!$A$2:$A$41,Vendedores!$C$2:$C$41,"No hay datos")</f>
        <v>No hay datos</v>
      </c>
      <c r="I678" s="2" t="str">
        <f t="array" ref="I678">_xlfn.XLOOKUP(B678,Vendedores!$A$2:$A$41,Vendedores!$D$2:$D$41,"No hay datos")</f>
        <v>No hay datos</v>
      </c>
      <c r="J678" s="2" t="str">
        <f t="array" ref="J678">_xlfn.XLOOKUP(A678,Productos!$A$2:$A$61,Productos!$B$2:$F$61)</f>
        <v>#N/A</v>
      </c>
    </row>
    <row r="679">
      <c r="A679" s="2" t="str">
        <f>IFERROR(__xludf.DUMMYFUNCTION("""COMPUTED_VALUE"""),"PR031")</f>
        <v>PR031</v>
      </c>
      <c r="B679" s="2" t="str">
        <f>IFERROR(__xludf.DUMMYFUNCTION("""COMPUTED_VALUE"""),"VD036")</f>
        <v>VD036</v>
      </c>
      <c r="C679" s="2">
        <f>IFERROR(__xludf.DUMMYFUNCTION("""COMPUTED_VALUE"""),2.0)</f>
        <v>2</v>
      </c>
      <c r="D679" s="6">
        <f>IFERROR(__xludf.DUMMYFUNCTION("""COMPUTED_VALUE"""),499.8)</f>
        <v>499.8</v>
      </c>
      <c r="E679" s="6">
        <f>IFERROR(__xludf.DUMMYFUNCTION("GOOGLEFINANCE(""Currency:BRLMXN"")*D679"),1697.8206)</f>
        <v>1697.8206</v>
      </c>
      <c r="F679" s="6">
        <f>IFERROR(__xludf.DUMMYFUNCTION("GOOGLEFINANCE(""Currency:BRLPEN"")*D679"),327.66888)</f>
        <v>327.66888</v>
      </c>
      <c r="G679" s="2" t="str">
        <f t="array" ref="G679">_xlfn.XLOOKUP(B679,Vendedores!$A$2:$A$41,Vendedores!$B$2:$B$41,"No hay datos")</f>
        <v>No hay datos</v>
      </c>
      <c r="H679" s="2" t="str">
        <f t="array" ref="H679">_xlfn.XLOOKUP(B679,Vendedores!$A$2:$A$41,Vendedores!$C$2:$C$41,"No hay datos")</f>
        <v>No hay datos</v>
      </c>
      <c r="I679" s="2" t="str">
        <f t="array" ref="I679">_xlfn.XLOOKUP(B679,Vendedores!$A$2:$A$41,Vendedores!$D$2:$D$41,"No hay datos")</f>
        <v>No hay datos</v>
      </c>
      <c r="J679" s="2" t="str">
        <f t="array" ref="J679">_xlfn.XLOOKUP(A679,Productos!$A$2:$A$61,Productos!$B$2:$F$61)</f>
        <v>#N/A</v>
      </c>
    </row>
    <row r="680">
      <c r="A680" s="2" t="str">
        <f>IFERROR(__xludf.DUMMYFUNCTION("""COMPUTED_VALUE"""),"PR032")</f>
        <v>PR032</v>
      </c>
      <c r="B680" s="2" t="str">
        <f>IFERROR(__xludf.DUMMYFUNCTION("""COMPUTED_VALUE"""),"VD021")</f>
        <v>VD021</v>
      </c>
      <c r="C680" s="2">
        <f>IFERROR(__xludf.DUMMYFUNCTION("""COMPUTED_VALUE"""),3.0)</f>
        <v>3</v>
      </c>
      <c r="D680" s="6">
        <f>IFERROR(__xludf.DUMMYFUNCTION("""COMPUTED_VALUE"""),772.5)</f>
        <v>772.5</v>
      </c>
      <c r="E680" s="6">
        <f>IFERROR(__xludf.DUMMYFUNCTION("GOOGLEFINANCE(""Currency:BRLMXN"")*D680"),2624.1825)</f>
        <v>2624.1825</v>
      </c>
      <c r="F680" s="6">
        <f>IFERROR(__xludf.DUMMYFUNCTION("GOOGLEFINANCE(""Currency:BRLPEN"")*D680"),506.45099999999996)</f>
        <v>506.451</v>
      </c>
      <c r="G680" s="2" t="str">
        <f t="array" ref="G680">_xlfn.XLOOKUP(B680,Vendedores!$A$2:$A$41,Vendedores!$B$2:$B$41,"No hay datos")</f>
        <v>No hay datos</v>
      </c>
      <c r="H680" s="2" t="str">
        <f t="array" ref="H680">_xlfn.XLOOKUP(B680,Vendedores!$A$2:$A$41,Vendedores!$C$2:$C$41,"No hay datos")</f>
        <v>No hay datos</v>
      </c>
      <c r="I680" s="2" t="str">
        <f t="array" ref="I680">_xlfn.XLOOKUP(B680,Vendedores!$A$2:$A$41,Vendedores!$D$2:$D$41,"No hay datos")</f>
        <v>No hay datos</v>
      </c>
      <c r="J680" s="2" t="str">
        <f t="array" ref="J680">_xlfn.XLOOKUP(A680,Productos!$A$2:$A$61,Productos!$B$2:$F$61)</f>
        <v>#N/A</v>
      </c>
    </row>
    <row r="681">
      <c r="A681" s="2" t="str">
        <f>IFERROR(__xludf.DUMMYFUNCTION("""COMPUTED_VALUE"""),"PR037")</f>
        <v>PR037</v>
      </c>
      <c r="B681" s="2" t="str">
        <f>IFERROR(__xludf.DUMMYFUNCTION("""COMPUTED_VALUE"""),"VD049")</f>
        <v>VD049</v>
      </c>
      <c r="C681" s="2">
        <f>IFERROR(__xludf.DUMMYFUNCTION("""COMPUTED_VALUE"""),3.0)</f>
        <v>3</v>
      </c>
      <c r="D681" s="6">
        <f>IFERROR(__xludf.DUMMYFUNCTION("""COMPUTED_VALUE"""),432.6)</f>
        <v>432.6</v>
      </c>
      <c r="E681" s="6">
        <f>IFERROR(__xludf.DUMMYFUNCTION("GOOGLEFINANCE(""Currency:BRLMXN"")*D681"),1469.5422)</f>
        <v>1469.5422</v>
      </c>
      <c r="F681" s="6">
        <f>IFERROR(__xludf.DUMMYFUNCTION("GOOGLEFINANCE(""Currency:BRLPEN"")*D681"),283.61256)</f>
        <v>283.61256</v>
      </c>
      <c r="G681" s="2" t="str">
        <f t="array" ref="G681">_xlfn.XLOOKUP(B681,Vendedores!$A$2:$A$41,Vendedores!$B$2:$B$41,"No hay datos")</f>
        <v>No hay datos</v>
      </c>
      <c r="H681" s="2" t="str">
        <f t="array" ref="H681">_xlfn.XLOOKUP(B681,Vendedores!$A$2:$A$41,Vendedores!$C$2:$C$41,"No hay datos")</f>
        <v>No hay datos</v>
      </c>
      <c r="I681" s="2" t="str">
        <f t="array" ref="I681">_xlfn.XLOOKUP(B681,Vendedores!$A$2:$A$41,Vendedores!$D$2:$D$41,"No hay datos")</f>
        <v>No hay datos</v>
      </c>
      <c r="J681" s="2" t="str">
        <f t="array" ref="J681">_xlfn.XLOOKUP(A681,Productos!$A$2:$A$61,Productos!$B$2:$F$61)</f>
        <v>#N/A</v>
      </c>
    </row>
    <row r="682">
      <c r="A682" s="2" t="str">
        <f>IFERROR(__xludf.DUMMYFUNCTION("""COMPUTED_VALUE"""),"PR018")</f>
        <v>PR018</v>
      </c>
      <c r="B682" s="2" t="str">
        <f>IFERROR(__xludf.DUMMYFUNCTION("""COMPUTED_VALUE"""),"VD026")</f>
        <v>VD026</v>
      </c>
      <c r="C682" s="2">
        <f>IFERROR(__xludf.DUMMYFUNCTION("""COMPUTED_VALUE"""),3.0)</f>
        <v>3</v>
      </c>
      <c r="D682" s="6">
        <f>IFERROR(__xludf.DUMMYFUNCTION("""COMPUTED_VALUE"""),107.58)</f>
        <v>107.58</v>
      </c>
      <c r="E682" s="6">
        <f>IFERROR(__xludf.DUMMYFUNCTION("GOOGLEFINANCE(""Currency:BRLMXN"")*D682"),365.44926)</f>
        <v>365.44926</v>
      </c>
      <c r="F682" s="6">
        <f>IFERROR(__xludf.DUMMYFUNCTION("GOOGLEFINANCE(""Currency:BRLPEN"")*D682"),70.52944799999999)</f>
        <v>70.529448</v>
      </c>
      <c r="G682" s="2" t="str">
        <f t="array" ref="G682">_xlfn.XLOOKUP(B682,Vendedores!$A$2:$A$41,Vendedores!$B$2:$B$41,"No hay datos")</f>
        <v>No hay datos</v>
      </c>
      <c r="H682" s="2" t="str">
        <f t="array" ref="H682">_xlfn.XLOOKUP(B682,Vendedores!$A$2:$A$41,Vendedores!$C$2:$C$41,"No hay datos")</f>
        <v>No hay datos</v>
      </c>
      <c r="I682" s="2" t="str">
        <f t="array" ref="I682">_xlfn.XLOOKUP(B682,Vendedores!$A$2:$A$41,Vendedores!$D$2:$D$41,"No hay datos")</f>
        <v>No hay datos</v>
      </c>
      <c r="J682" s="2" t="str">
        <f t="array" ref="J682">_xlfn.XLOOKUP(A682,Productos!$A$2:$A$61,Productos!$B$2:$F$61)</f>
        <v>#N/A</v>
      </c>
    </row>
    <row r="683">
      <c r="A683" s="2" t="str">
        <f>IFERROR(__xludf.DUMMYFUNCTION("""COMPUTED_VALUE"""),"PR048")</f>
        <v>PR048</v>
      </c>
      <c r="B683" s="2" t="str">
        <f>IFERROR(__xludf.DUMMYFUNCTION("""COMPUTED_VALUE"""),"VD040")</f>
        <v>VD040</v>
      </c>
      <c r="C683" s="2">
        <f>IFERROR(__xludf.DUMMYFUNCTION("""COMPUTED_VALUE"""),2.0)</f>
        <v>2</v>
      </c>
      <c r="D683" s="6">
        <f>IFERROR(__xludf.DUMMYFUNCTION("""COMPUTED_VALUE"""),591.4)</f>
        <v>591.4</v>
      </c>
      <c r="E683" s="6">
        <f>IFERROR(__xludf.DUMMYFUNCTION("GOOGLEFINANCE(""Currency:BRLMXN"")*D683"),2008.9857999999997)</f>
        <v>2008.9858</v>
      </c>
      <c r="F683" s="6">
        <f>IFERROR(__xludf.DUMMYFUNCTION("GOOGLEFINANCE(""Currency:BRLPEN"")*D683"),387.72184)</f>
        <v>387.72184</v>
      </c>
      <c r="G683" s="2" t="str">
        <f t="array" ref="G683">_xlfn.XLOOKUP(B683,Vendedores!$A$2:$A$41,Vendedores!$B$2:$B$41,"No hay datos")</f>
        <v>No hay datos</v>
      </c>
      <c r="H683" s="2" t="str">
        <f t="array" ref="H683">_xlfn.XLOOKUP(B683,Vendedores!$A$2:$A$41,Vendedores!$C$2:$C$41,"No hay datos")</f>
        <v>No hay datos</v>
      </c>
      <c r="I683" s="2" t="str">
        <f t="array" ref="I683">_xlfn.XLOOKUP(B683,Vendedores!$A$2:$A$41,Vendedores!$D$2:$D$41,"No hay datos")</f>
        <v>No hay datos</v>
      </c>
      <c r="J683" s="2" t="str">
        <f t="array" ref="J683">_xlfn.XLOOKUP(A683,Productos!$A$2:$A$61,Productos!$B$2:$F$61)</f>
        <v>#N/A</v>
      </c>
    </row>
    <row r="684">
      <c r="A684" s="2" t="str">
        <f>IFERROR(__xludf.DUMMYFUNCTION("""COMPUTED_VALUE"""),"PR011")</f>
        <v>PR011</v>
      </c>
      <c r="B684" s="2" t="str">
        <f>IFERROR(__xludf.DUMMYFUNCTION("""COMPUTED_VALUE"""),"VD036")</f>
        <v>VD036</v>
      </c>
      <c r="C684" s="2">
        <f>IFERROR(__xludf.DUMMYFUNCTION("""COMPUTED_VALUE"""),9.0)</f>
        <v>9</v>
      </c>
      <c r="D684" s="6">
        <f>IFERROR(__xludf.DUMMYFUNCTION("""COMPUTED_VALUE"""),464.31)</f>
        <v>464.31</v>
      </c>
      <c r="E684" s="6">
        <f>IFERROR(__xludf.DUMMYFUNCTION("GOOGLEFINANCE(""Currency:BRLMXN"")*D684"),1577.26107)</f>
        <v>1577.26107</v>
      </c>
      <c r="F684" s="6">
        <f>IFERROR(__xludf.DUMMYFUNCTION("GOOGLEFINANCE(""Currency:BRLPEN"")*D684"),304.401636)</f>
        <v>304.401636</v>
      </c>
      <c r="G684" s="2" t="str">
        <f t="array" ref="G684">_xlfn.XLOOKUP(B684,Vendedores!$A$2:$A$41,Vendedores!$B$2:$B$41,"No hay datos")</f>
        <v>No hay datos</v>
      </c>
      <c r="H684" s="2" t="str">
        <f t="array" ref="H684">_xlfn.XLOOKUP(B684,Vendedores!$A$2:$A$41,Vendedores!$C$2:$C$41,"No hay datos")</f>
        <v>No hay datos</v>
      </c>
      <c r="I684" s="2" t="str">
        <f t="array" ref="I684">_xlfn.XLOOKUP(B684,Vendedores!$A$2:$A$41,Vendedores!$D$2:$D$41,"No hay datos")</f>
        <v>No hay datos</v>
      </c>
      <c r="J684" s="2" t="str">
        <f t="array" ref="J684">_xlfn.XLOOKUP(A684,Productos!$A$2:$A$61,Productos!$B$2:$F$61)</f>
        <v>#N/A</v>
      </c>
    </row>
    <row r="685">
      <c r="A685" s="2" t="str">
        <f>IFERROR(__xludf.DUMMYFUNCTION("""COMPUTED_VALUE"""),"PR021")</f>
        <v>PR021</v>
      </c>
      <c r="B685" s="2" t="str">
        <f>IFERROR(__xludf.DUMMYFUNCTION("""COMPUTED_VALUE"""),"VD019")</f>
        <v>VD019</v>
      </c>
      <c r="C685" s="2">
        <f>IFERROR(__xludf.DUMMYFUNCTION("""COMPUTED_VALUE"""),2.0)</f>
        <v>2</v>
      </c>
      <c r="D685" s="6">
        <f>IFERROR(__xludf.DUMMYFUNCTION("""COMPUTED_VALUE"""),623.97)</f>
        <v>623.97</v>
      </c>
      <c r="E685" s="6">
        <f>IFERROR(__xludf.DUMMYFUNCTION("GOOGLEFINANCE(""Currency:BRLMXN"")*D685"),2119.6260899999997)</f>
        <v>2119.62609</v>
      </c>
      <c r="F685" s="6">
        <f>IFERROR(__xludf.DUMMYFUNCTION("GOOGLEFINANCE(""Currency:BRLPEN"")*D685"),409.074732)</f>
        <v>409.074732</v>
      </c>
      <c r="G685" s="2" t="str">
        <f t="array" ref="G685">_xlfn.XLOOKUP(B685,Vendedores!$A$2:$A$41,Vendedores!$B$2:$B$41,"No hay datos")</f>
        <v>No hay datos</v>
      </c>
      <c r="H685" s="2" t="str">
        <f t="array" ref="H685">_xlfn.XLOOKUP(B685,Vendedores!$A$2:$A$41,Vendedores!$C$2:$C$41,"No hay datos")</f>
        <v>No hay datos</v>
      </c>
      <c r="I685" s="2" t="str">
        <f t="array" ref="I685">_xlfn.XLOOKUP(B685,Vendedores!$A$2:$A$41,Vendedores!$D$2:$D$41,"No hay datos")</f>
        <v>No hay datos</v>
      </c>
      <c r="J685" s="2" t="str">
        <f t="array" ref="J685">_xlfn.XLOOKUP(A685,Productos!$A$2:$A$61,Productos!$B$2:$F$61)</f>
        <v>#N/A</v>
      </c>
    </row>
    <row r="686">
      <c r="A686" s="2" t="str">
        <f>IFERROR(__xludf.DUMMYFUNCTION("""COMPUTED_VALUE"""),"PR021")</f>
        <v>PR021</v>
      </c>
      <c r="B686" s="2" t="str">
        <f>IFERROR(__xludf.DUMMYFUNCTION("""COMPUTED_VALUE"""),"VD038")</f>
        <v>VD038</v>
      </c>
      <c r="C686" s="2">
        <f>IFERROR(__xludf.DUMMYFUNCTION("""COMPUTED_VALUE"""),6.0)</f>
        <v>6</v>
      </c>
      <c r="D686" s="6">
        <f>IFERROR(__xludf.DUMMYFUNCTION("""COMPUTED_VALUE"""),1926.44)</f>
        <v>1926.44</v>
      </c>
      <c r="E686" s="6">
        <f>IFERROR(__xludf.DUMMYFUNCTION("GOOGLEFINANCE(""Currency:BRLMXN"")*D686"),6544.11668)</f>
        <v>6544.11668</v>
      </c>
      <c r="F686" s="6">
        <f>IFERROR(__xludf.DUMMYFUNCTION("GOOGLEFINANCE(""Currency:BRLPEN"")*D686"),1262.974064)</f>
        <v>1262.974064</v>
      </c>
      <c r="G686" s="2" t="str">
        <f t="array" ref="G686">_xlfn.XLOOKUP(B686,Vendedores!$A$2:$A$41,Vendedores!$B$2:$B$41,"No hay datos")</f>
        <v>No hay datos</v>
      </c>
      <c r="H686" s="2" t="str">
        <f t="array" ref="H686">_xlfn.XLOOKUP(B686,Vendedores!$A$2:$A$41,Vendedores!$C$2:$C$41,"No hay datos")</f>
        <v>No hay datos</v>
      </c>
      <c r="I686" s="2" t="str">
        <f t="array" ref="I686">_xlfn.XLOOKUP(B686,Vendedores!$A$2:$A$41,Vendedores!$D$2:$D$41,"No hay datos")</f>
        <v>No hay datos</v>
      </c>
      <c r="J686" s="2" t="str">
        <f t="array" ref="J686">_xlfn.XLOOKUP(A686,Productos!$A$2:$A$61,Productos!$B$2:$F$61)</f>
        <v>#N/A</v>
      </c>
    </row>
    <row r="687">
      <c r="A687" s="2" t="str">
        <f>IFERROR(__xludf.DUMMYFUNCTION("""COMPUTED_VALUE"""),"PR049")</f>
        <v>PR049</v>
      </c>
      <c r="B687" s="2" t="str">
        <f>IFERROR(__xludf.DUMMYFUNCTION("""COMPUTED_VALUE"""),"VD021")</f>
        <v>VD021</v>
      </c>
      <c r="C687" s="2">
        <f>IFERROR(__xludf.DUMMYFUNCTION("""COMPUTED_VALUE"""),2.0)</f>
        <v>2</v>
      </c>
      <c r="D687" s="6">
        <f>IFERROR(__xludf.DUMMYFUNCTION("""COMPUTED_VALUE"""),67.77)</f>
        <v>67.77</v>
      </c>
      <c r="E687" s="6">
        <f>IFERROR(__xludf.DUMMYFUNCTION("GOOGLEFINANCE(""Currency:BRLMXN"")*D687"),230.21468999999996)</f>
        <v>230.21469</v>
      </c>
      <c r="F687" s="6">
        <f>IFERROR(__xludf.DUMMYFUNCTION("GOOGLEFINANCE(""Currency:BRLPEN"")*D687"),44.430012)</f>
        <v>44.430012</v>
      </c>
      <c r="G687" s="2" t="str">
        <f t="array" ref="G687">_xlfn.XLOOKUP(B687,Vendedores!$A$2:$A$41,Vendedores!$B$2:$B$41,"No hay datos")</f>
        <v>No hay datos</v>
      </c>
      <c r="H687" s="2" t="str">
        <f t="array" ref="H687">_xlfn.XLOOKUP(B687,Vendedores!$A$2:$A$41,Vendedores!$C$2:$C$41,"No hay datos")</f>
        <v>No hay datos</v>
      </c>
      <c r="I687" s="2" t="str">
        <f t="array" ref="I687">_xlfn.XLOOKUP(B687,Vendedores!$A$2:$A$41,Vendedores!$D$2:$D$41,"No hay datos")</f>
        <v>No hay datos</v>
      </c>
      <c r="J687" s="2" t="str">
        <f t="array" ref="J687">_xlfn.XLOOKUP(A687,Productos!$A$2:$A$61,Productos!$B$2:$F$61)</f>
        <v>#N/A</v>
      </c>
    </row>
    <row r="688">
      <c r="A688" s="2" t="str">
        <f>IFERROR(__xludf.DUMMYFUNCTION("""COMPUTED_VALUE"""),"PR056")</f>
        <v>PR056</v>
      </c>
      <c r="B688" s="2" t="str">
        <f>IFERROR(__xludf.DUMMYFUNCTION("""COMPUTED_VALUE"""),"VD030")</f>
        <v>VD030</v>
      </c>
      <c r="C688" s="2">
        <f>IFERROR(__xludf.DUMMYFUNCTION("""COMPUTED_VALUE"""),7.0)</f>
        <v>7</v>
      </c>
      <c r="D688" s="6">
        <f>IFERROR(__xludf.DUMMYFUNCTION("""COMPUTED_VALUE"""),692.23)</f>
        <v>692.23</v>
      </c>
      <c r="E688" s="6">
        <f>IFERROR(__xludf.DUMMYFUNCTION("GOOGLEFINANCE(""Currency:BRLMXN"")*D688"),2351.50531)</f>
        <v>2351.50531</v>
      </c>
      <c r="F688" s="6">
        <f>IFERROR(__xludf.DUMMYFUNCTION("GOOGLEFINANCE(""Currency:BRLPEN"")*D688"),453.825988)</f>
        <v>453.825988</v>
      </c>
      <c r="G688" s="2" t="str">
        <f t="array" ref="G688">_xlfn.XLOOKUP(B688,Vendedores!$A$2:$A$41,Vendedores!$B$2:$B$41,"No hay datos")</f>
        <v>No hay datos</v>
      </c>
      <c r="H688" s="2" t="str">
        <f t="array" ref="H688">_xlfn.XLOOKUP(B688,Vendedores!$A$2:$A$41,Vendedores!$C$2:$C$41,"No hay datos")</f>
        <v>No hay datos</v>
      </c>
      <c r="I688" s="2" t="str">
        <f t="array" ref="I688">_xlfn.XLOOKUP(B688,Vendedores!$A$2:$A$41,Vendedores!$D$2:$D$41,"No hay datos")</f>
        <v>No hay datos</v>
      </c>
      <c r="J688" s="2" t="str">
        <f t="array" ref="J688">_xlfn.XLOOKUP(A688,Productos!$A$2:$A$61,Productos!$B$2:$F$61)</f>
        <v>#N/A</v>
      </c>
    </row>
    <row r="689">
      <c r="A689" s="2" t="str">
        <f>IFERROR(__xludf.DUMMYFUNCTION("""COMPUTED_VALUE"""),"PR005")</f>
        <v>PR005</v>
      </c>
      <c r="B689" s="2" t="str">
        <f>IFERROR(__xludf.DUMMYFUNCTION("""COMPUTED_VALUE"""),"VD028")</f>
        <v>VD028</v>
      </c>
      <c r="C689" s="2">
        <f>IFERROR(__xludf.DUMMYFUNCTION("""COMPUTED_VALUE"""),6.0)</f>
        <v>6</v>
      </c>
      <c r="D689" s="6">
        <f>IFERROR(__xludf.DUMMYFUNCTION("""COMPUTED_VALUE"""),1684.15)</f>
        <v>1684.15</v>
      </c>
      <c r="E689" s="6">
        <f>IFERROR(__xludf.DUMMYFUNCTION("GOOGLEFINANCE(""Currency:BRLMXN"")*D689"),5721.0575499999995)</f>
        <v>5721.05755</v>
      </c>
      <c r="F689" s="6">
        <f>IFERROR(__xludf.DUMMYFUNCTION("GOOGLEFINANCE(""Currency:BRLPEN"")*D689"),1104.1287399999999)</f>
        <v>1104.12874</v>
      </c>
      <c r="G689" s="2" t="str">
        <f t="array" ref="G689">_xlfn.XLOOKUP(B689,Vendedores!$A$2:$A$41,Vendedores!$B$2:$B$41,"No hay datos")</f>
        <v>No hay datos</v>
      </c>
      <c r="H689" s="2" t="str">
        <f t="array" ref="H689">_xlfn.XLOOKUP(B689,Vendedores!$A$2:$A$41,Vendedores!$C$2:$C$41,"No hay datos")</f>
        <v>No hay datos</v>
      </c>
      <c r="I689" s="2" t="str">
        <f t="array" ref="I689">_xlfn.XLOOKUP(B689,Vendedores!$A$2:$A$41,Vendedores!$D$2:$D$41,"No hay datos")</f>
        <v>No hay datos</v>
      </c>
      <c r="J689" s="2" t="str">
        <f t="array" ref="J689">_xlfn.XLOOKUP(A689,Productos!$A$2:$A$61,Productos!$B$2:$F$61)</f>
        <v>#N/A</v>
      </c>
    </row>
    <row r="690">
      <c r="A690" s="2" t="str">
        <f>IFERROR(__xludf.DUMMYFUNCTION("""COMPUTED_VALUE"""),"PR029")</f>
        <v>PR029</v>
      </c>
      <c r="B690" s="2" t="str">
        <f>IFERROR(__xludf.DUMMYFUNCTION("""COMPUTED_VALUE"""),"VD010")</f>
        <v>VD010</v>
      </c>
      <c r="C690" s="2">
        <f>IFERROR(__xludf.DUMMYFUNCTION("""COMPUTED_VALUE"""),8.0)</f>
        <v>8</v>
      </c>
      <c r="D690" s="6">
        <f>IFERROR(__xludf.DUMMYFUNCTION("""COMPUTED_VALUE"""),2060.4)</f>
        <v>2060.4</v>
      </c>
      <c r="E690" s="6">
        <f>IFERROR(__xludf.DUMMYFUNCTION("GOOGLEFINANCE(""Currency:BRLMXN"")*D690"),6999.1788)</f>
        <v>6999.1788</v>
      </c>
      <c r="F690" s="6">
        <f>IFERROR(__xludf.DUMMYFUNCTION("GOOGLEFINANCE(""Currency:BRLPEN"")*D690"),1350.79824)</f>
        <v>1350.79824</v>
      </c>
      <c r="G690" s="2" t="str">
        <f t="array" ref="G690">_xlfn.XLOOKUP(B690,Vendedores!$A$2:$A$41,Vendedores!$B$2:$B$41,"No hay datos")</f>
        <v>No hay datos</v>
      </c>
      <c r="H690" s="2" t="str">
        <f t="array" ref="H690">_xlfn.XLOOKUP(B690,Vendedores!$A$2:$A$41,Vendedores!$C$2:$C$41,"No hay datos")</f>
        <v>No hay datos</v>
      </c>
      <c r="I690" s="2" t="str">
        <f t="array" ref="I690">_xlfn.XLOOKUP(B690,Vendedores!$A$2:$A$41,Vendedores!$D$2:$D$41,"No hay datos")</f>
        <v>No hay datos</v>
      </c>
      <c r="J690" s="2" t="str">
        <f t="array" ref="J690">_xlfn.XLOOKUP(A690,Productos!$A$2:$A$61,Productos!$B$2:$F$61)</f>
        <v>#N/A</v>
      </c>
    </row>
    <row r="691">
      <c r="A691" s="2" t="str">
        <f>IFERROR(__xludf.DUMMYFUNCTION("""COMPUTED_VALUE"""),"PR054")</f>
        <v>PR054</v>
      </c>
      <c r="B691" s="2" t="str">
        <f>IFERROR(__xludf.DUMMYFUNCTION("""COMPUTED_VALUE"""),"VD032")</f>
        <v>VD032</v>
      </c>
      <c r="C691" s="2">
        <f>IFERROR(__xludf.DUMMYFUNCTION("""COMPUTED_VALUE"""),10.0)</f>
        <v>10</v>
      </c>
      <c r="D691" s="6">
        <f>IFERROR(__xludf.DUMMYFUNCTION("""COMPUTED_VALUE"""),538.92)</f>
        <v>538.92</v>
      </c>
      <c r="E691" s="6">
        <f>IFERROR(__xludf.DUMMYFUNCTION("GOOGLEFINANCE(""Currency:BRLMXN"")*D691"),1830.7112399999999)</f>
        <v>1830.71124</v>
      </c>
      <c r="F691" s="6">
        <f>IFERROR(__xludf.DUMMYFUNCTION("GOOGLEFINANCE(""Currency:BRLPEN"")*D691"),353.3159519999999)</f>
        <v>353.315952</v>
      </c>
      <c r="G691" s="2" t="str">
        <f t="array" ref="G691">_xlfn.XLOOKUP(B691,Vendedores!$A$2:$A$41,Vendedores!$B$2:$B$41,"No hay datos")</f>
        <v>No hay datos</v>
      </c>
      <c r="H691" s="2" t="str">
        <f t="array" ref="H691">_xlfn.XLOOKUP(B691,Vendedores!$A$2:$A$41,Vendedores!$C$2:$C$41,"No hay datos")</f>
        <v>No hay datos</v>
      </c>
      <c r="I691" s="2" t="str">
        <f t="array" ref="I691">_xlfn.XLOOKUP(B691,Vendedores!$A$2:$A$41,Vendedores!$D$2:$D$41,"No hay datos")</f>
        <v>No hay datos</v>
      </c>
      <c r="J691" s="2" t="str">
        <f t="array" ref="J691">_xlfn.XLOOKUP(A691,Productos!$A$2:$A$61,Productos!$B$2:$F$61)</f>
        <v>#N/A</v>
      </c>
    </row>
    <row r="692">
      <c r="A692" s="2" t="str">
        <f>IFERROR(__xludf.DUMMYFUNCTION("""COMPUTED_VALUE"""),"PR038")</f>
        <v>PR038</v>
      </c>
      <c r="B692" s="2" t="str">
        <f>IFERROR(__xludf.DUMMYFUNCTION("""COMPUTED_VALUE"""),"VD040")</f>
        <v>VD040</v>
      </c>
      <c r="C692" s="2">
        <f>IFERROR(__xludf.DUMMYFUNCTION("""COMPUTED_VALUE"""),6.0)</f>
        <v>6</v>
      </c>
      <c r="D692" s="6">
        <f>IFERROR(__xludf.DUMMYFUNCTION("""COMPUTED_VALUE"""),917.42)</f>
        <v>917.42</v>
      </c>
      <c r="E692" s="6">
        <f>IFERROR(__xludf.DUMMYFUNCTION("GOOGLEFINANCE(""Currency:BRLMXN"")*D692"),3116.47574)</f>
        <v>3116.47574</v>
      </c>
      <c r="F692" s="6">
        <f>IFERROR(__xludf.DUMMYFUNCTION("GOOGLEFINANCE(""Currency:BRLPEN"")*D692"),601.4605519999999)</f>
        <v>601.460552</v>
      </c>
      <c r="G692" s="2" t="str">
        <f t="array" ref="G692">_xlfn.XLOOKUP(B692,Vendedores!$A$2:$A$41,Vendedores!$B$2:$B$41,"No hay datos")</f>
        <v>No hay datos</v>
      </c>
      <c r="H692" s="2" t="str">
        <f t="array" ref="H692">_xlfn.XLOOKUP(B692,Vendedores!$A$2:$A$41,Vendedores!$C$2:$C$41,"No hay datos")</f>
        <v>No hay datos</v>
      </c>
      <c r="I692" s="2" t="str">
        <f t="array" ref="I692">_xlfn.XLOOKUP(B692,Vendedores!$A$2:$A$41,Vendedores!$D$2:$D$41,"No hay datos")</f>
        <v>No hay datos</v>
      </c>
      <c r="J692" s="2" t="str">
        <f t="array" ref="J692">_xlfn.XLOOKUP(A692,Productos!$A$2:$A$61,Productos!$B$2:$F$61)</f>
        <v>#N/A</v>
      </c>
    </row>
    <row r="693">
      <c r="A693" s="2" t="str">
        <f>IFERROR(__xludf.DUMMYFUNCTION("""COMPUTED_VALUE"""),"PR042")</f>
        <v>PR042</v>
      </c>
      <c r="B693" s="2" t="str">
        <f>IFERROR(__xludf.DUMMYFUNCTION("""COMPUTED_VALUE"""),"VD012")</f>
        <v>VD012</v>
      </c>
      <c r="C693" s="2">
        <f>IFERROR(__xludf.DUMMYFUNCTION("""COMPUTED_VALUE"""),8.0)</f>
        <v>8</v>
      </c>
      <c r="D693" s="6">
        <f>IFERROR(__xludf.DUMMYFUNCTION("""COMPUTED_VALUE"""),452.38)</f>
        <v>452.38</v>
      </c>
      <c r="E693" s="6">
        <f>IFERROR(__xludf.DUMMYFUNCTION("GOOGLEFINANCE(""Currency:BRLMXN"")*D693"),1536.7348599999998)</f>
        <v>1536.73486</v>
      </c>
      <c r="F693" s="6">
        <f>IFERROR(__xludf.DUMMYFUNCTION("GOOGLEFINANCE(""Currency:BRLPEN"")*D693"),296.58032799999995)</f>
        <v>296.580328</v>
      </c>
      <c r="G693" s="2" t="str">
        <f t="array" ref="G693">_xlfn.XLOOKUP(B693,Vendedores!$A$2:$A$41,Vendedores!$B$2:$B$41,"No hay datos")</f>
        <v>No hay datos</v>
      </c>
      <c r="H693" s="2" t="str">
        <f t="array" ref="H693">_xlfn.XLOOKUP(B693,Vendedores!$A$2:$A$41,Vendedores!$C$2:$C$41,"No hay datos")</f>
        <v>No hay datos</v>
      </c>
      <c r="I693" s="2" t="str">
        <f t="array" ref="I693">_xlfn.XLOOKUP(B693,Vendedores!$A$2:$A$41,Vendedores!$D$2:$D$41,"No hay datos")</f>
        <v>No hay datos</v>
      </c>
      <c r="J693" s="2" t="str">
        <f t="array" ref="J693">_xlfn.XLOOKUP(A693,Productos!$A$2:$A$61,Productos!$B$2:$F$61)</f>
        <v>#N/A</v>
      </c>
    </row>
    <row r="694">
      <c r="A694" s="2" t="str">
        <f>IFERROR(__xludf.DUMMYFUNCTION("""COMPUTED_VALUE"""),"PR028")</f>
        <v>PR028</v>
      </c>
      <c r="B694" s="2" t="str">
        <f>IFERROR(__xludf.DUMMYFUNCTION("""COMPUTED_VALUE"""),"VD032")</f>
        <v>VD032</v>
      </c>
      <c r="C694" s="2">
        <f>IFERROR(__xludf.DUMMYFUNCTION("""COMPUTED_VALUE"""),9.0)</f>
        <v>9</v>
      </c>
      <c r="D694" s="6">
        <f>IFERROR(__xludf.DUMMYFUNCTION("""COMPUTED_VALUE"""),2429.03)</f>
        <v>2429.03</v>
      </c>
      <c r="E694" s="6">
        <f>IFERROR(__xludf.DUMMYFUNCTION("GOOGLEFINANCE(""Currency:BRLMXN"")*D694"),8251.41491)</f>
        <v>8251.41491</v>
      </c>
      <c r="F694" s="6">
        <f>IFERROR(__xludf.DUMMYFUNCTION("GOOGLEFINANCE(""Currency:BRLPEN"")*D694"),1592.472068)</f>
        <v>1592.472068</v>
      </c>
      <c r="G694" s="2" t="str">
        <f t="array" ref="G694">_xlfn.XLOOKUP(B694,Vendedores!$A$2:$A$41,Vendedores!$B$2:$B$41,"No hay datos")</f>
        <v>No hay datos</v>
      </c>
      <c r="H694" s="2" t="str">
        <f t="array" ref="H694">_xlfn.XLOOKUP(B694,Vendedores!$A$2:$A$41,Vendedores!$C$2:$C$41,"No hay datos")</f>
        <v>No hay datos</v>
      </c>
      <c r="I694" s="2" t="str">
        <f t="array" ref="I694">_xlfn.XLOOKUP(B694,Vendedores!$A$2:$A$41,Vendedores!$D$2:$D$41,"No hay datos")</f>
        <v>No hay datos</v>
      </c>
      <c r="J694" s="2" t="str">
        <f t="array" ref="J694">_xlfn.XLOOKUP(A694,Productos!$A$2:$A$61,Productos!$B$2:$F$61)</f>
        <v>#N/A</v>
      </c>
    </row>
    <row r="695">
      <c r="A695" s="2" t="str">
        <f>IFERROR(__xludf.DUMMYFUNCTION("""COMPUTED_VALUE"""),"PR039")</f>
        <v>PR039</v>
      </c>
      <c r="B695" s="2" t="str">
        <f>IFERROR(__xludf.DUMMYFUNCTION("""COMPUTED_VALUE"""),"VD027")</f>
        <v>VD027</v>
      </c>
      <c r="C695" s="2">
        <f>IFERROR(__xludf.DUMMYFUNCTION("""COMPUTED_VALUE"""),6.0)</f>
        <v>6</v>
      </c>
      <c r="D695" s="6">
        <f>IFERROR(__xludf.DUMMYFUNCTION("""COMPUTED_VALUE"""),928.56)</f>
        <v>928.56</v>
      </c>
      <c r="E695" s="6">
        <f>IFERROR(__xludf.DUMMYFUNCTION("GOOGLEFINANCE(""Currency:BRLMXN"")*D695"),3154.3183199999994)</f>
        <v>3154.31832</v>
      </c>
      <c r="F695" s="6">
        <f>IFERROR(__xludf.DUMMYFUNCTION("GOOGLEFINANCE(""Currency:BRLPEN"")*D695"),608.763936)</f>
        <v>608.763936</v>
      </c>
      <c r="G695" s="2" t="str">
        <f t="array" ref="G695">_xlfn.XLOOKUP(B695,Vendedores!$A$2:$A$41,Vendedores!$B$2:$B$41,"No hay datos")</f>
        <v>No hay datos</v>
      </c>
      <c r="H695" s="2" t="str">
        <f t="array" ref="H695">_xlfn.XLOOKUP(B695,Vendedores!$A$2:$A$41,Vendedores!$C$2:$C$41,"No hay datos")</f>
        <v>No hay datos</v>
      </c>
      <c r="I695" s="2" t="str">
        <f t="array" ref="I695">_xlfn.XLOOKUP(B695,Vendedores!$A$2:$A$41,Vendedores!$D$2:$D$41,"No hay datos")</f>
        <v>No hay datos</v>
      </c>
      <c r="J695" s="2" t="str">
        <f t="array" ref="J695">_xlfn.XLOOKUP(A695,Productos!$A$2:$A$61,Productos!$B$2:$F$61)</f>
        <v>#N/A</v>
      </c>
    </row>
    <row r="696">
      <c r="A696" s="2" t="str">
        <f>IFERROR(__xludf.DUMMYFUNCTION("""COMPUTED_VALUE"""),"PR010")</f>
        <v>PR010</v>
      </c>
      <c r="B696" s="2" t="str">
        <f>IFERROR(__xludf.DUMMYFUNCTION("""COMPUTED_VALUE"""),"VD027")</f>
        <v>VD027</v>
      </c>
      <c r="C696" s="2">
        <f>IFERROR(__xludf.DUMMYFUNCTION("""COMPUTED_VALUE"""),1.0)</f>
        <v>1</v>
      </c>
      <c r="D696" s="6">
        <f>IFERROR(__xludf.DUMMYFUNCTION("""COMPUTED_VALUE"""),45.8)</f>
        <v>45.8</v>
      </c>
      <c r="E696" s="6">
        <f>IFERROR(__xludf.DUMMYFUNCTION("GOOGLEFINANCE(""Currency:BRLMXN"")*D696"),155.58259999999999)</f>
        <v>155.5826</v>
      </c>
      <c r="F696" s="6">
        <f>IFERROR(__xludf.DUMMYFUNCTION("GOOGLEFINANCE(""Currency:BRLPEN"")*D696"),30.026479999999996)</f>
        <v>30.02648</v>
      </c>
      <c r="G696" s="2" t="str">
        <f t="array" ref="G696">_xlfn.XLOOKUP(B696,Vendedores!$A$2:$A$41,Vendedores!$B$2:$B$41,"No hay datos")</f>
        <v>No hay datos</v>
      </c>
      <c r="H696" s="2" t="str">
        <f t="array" ref="H696">_xlfn.XLOOKUP(B696,Vendedores!$A$2:$A$41,Vendedores!$C$2:$C$41,"No hay datos")</f>
        <v>No hay datos</v>
      </c>
      <c r="I696" s="2" t="str">
        <f t="array" ref="I696">_xlfn.XLOOKUP(B696,Vendedores!$A$2:$A$41,Vendedores!$D$2:$D$41,"No hay datos")</f>
        <v>No hay datos</v>
      </c>
      <c r="J696" s="2" t="str">
        <f t="array" ref="J696">_xlfn.XLOOKUP(A696,Productos!$A$2:$A$61,Productos!$B$2:$F$61)</f>
        <v>#N/A</v>
      </c>
    </row>
    <row r="697">
      <c r="A697" s="2" t="str">
        <f>IFERROR(__xludf.DUMMYFUNCTION("""COMPUTED_VALUE"""),"PR050")</f>
        <v>PR050</v>
      </c>
      <c r="B697" s="2" t="str">
        <f>IFERROR(__xludf.DUMMYFUNCTION("""COMPUTED_VALUE"""),"VD029")</f>
        <v>VD029</v>
      </c>
      <c r="C697" s="2">
        <f>IFERROR(__xludf.DUMMYFUNCTION("""COMPUTED_VALUE"""),16.0)</f>
        <v>16</v>
      </c>
      <c r="D697" s="6">
        <f>IFERROR(__xludf.DUMMYFUNCTION("""COMPUTED_VALUE"""),526.4)</f>
        <v>526.4</v>
      </c>
      <c r="E697" s="6">
        <f>IFERROR(__xludf.DUMMYFUNCTION("GOOGLEFINANCE(""Currency:BRLMXN"")*D697"),1788.1807999999999)</f>
        <v>1788.1808</v>
      </c>
      <c r="F697" s="6">
        <f>IFERROR(__xludf.DUMMYFUNCTION("GOOGLEFINANCE(""Currency:BRLPEN"")*D697"),345.10783999999995)</f>
        <v>345.10784</v>
      </c>
      <c r="G697" s="2" t="str">
        <f t="array" ref="G697">_xlfn.XLOOKUP(B697,Vendedores!$A$2:$A$41,Vendedores!$B$2:$B$41,"No hay datos")</f>
        <v>No hay datos</v>
      </c>
      <c r="H697" s="2" t="str">
        <f t="array" ref="H697">_xlfn.XLOOKUP(B697,Vendedores!$A$2:$A$41,Vendedores!$C$2:$C$41,"No hay datos")</f>
        <v>No hay datos</v>
      </c>
      <c r="I697" s="2" t="str">
        <f t="array" ref="I697">_xlfn.XLOOKUP(B697,Vendedores!$A$2:$A$41,Vendedores!$D$2:$D$41,"No hay datos")</f>
        <v>No hay datos</v>
      </c>
      <c r="J697" s="2" t="str">
        <f t="array" ref="J697">_xlfn.XLOOKUP(A697,Productos!$A$2:$A$61,Productos!$B$2:$F$61)</f>
        <v>#N/A</v>
      </c>
    </row>
    <row r="698">
      <c r="A698" s="2" t="str">
        <f>IFERROR(__xludf.DUMMYFUNCTION("""COMPUTED_VALUE"""),"PR046")</f>
        <v>PR046</v>
      </c>
      <c r="B698" s="2" t="str">
        <f>IFERROR(__xludf.DUMMYFUNCTION("""COMPUTED_VALUE"""),"VD025")</f>
        <v>VD025</v>
      </c>
      <c r="C698" s="2">
        <f>IFERROR(__xludf.DUMMYFUNCTION("""COMPUTED_VALUE"""),6.0)</f>
        <v>6</v>
      </c>
      <c r="D698" s="6">
        <f>IFERROR(__xludf.DUMMYFUNCTION("""COMPUTED_VALUE"""),1826.37)</f>
        <v>1826.37</v>
      </c>
      <c r="E698" s="6">
        <f>IFERROR(__xludf.DUMMYFUNCTION("GOOGLEFINANCE(""Currency:BRLMXN"")*D698"),6204.178889999999)</f>
        <v>6204.17889</v>
      </c>
      <c r="F698" s="6">
        <f>IFERROR(__xludf.DUMMYFUNCTION("GOOGLEFINANCE(""Currency:BRLPEN"")*D698"),1197.368172)</f>
        <v>1197.368172</v>
      </c>
      <c r="G698" s="2" t="str">
        <f t="array" ref="G698">_xlfn.XLOOKUP(B698,Vendedores!$A$2:$A$41,Vendedores!$B$2:$B$41,"No hay datos")</f>
        <v>No hay datos</v>
      </c>
      <c r="H698" s="2" t="str">
        <f t="array" ref="H698">_xlfn.XLOOKUP(B698,Vendedores!$A$2:$A$41,Vendedores!$C$2:$C$41,"No hay datos")</f>
        <v>No hay datos</v>
      </c>
      <c r="I698" s="2" t="str">
        <f t="array" ref="I698">_xlfn.XLOOKUP(B698,Vendedores!$A$2:$A$41,Vendedores!$D$2:$D$41,"No hay datos")</f>
        <v>No hay datos</v>
      </c>
      <c r="J698" s="2" t="str">
        <f t="array" ref="J698">_xlfn.XLOOKUP(A698,Productos!$A$2:$A$61,Productos!$B$2:$F$61)</f>
        <v>#N/A</v>
      </c>
    </row>
    <row r="699">
      <c r="A699" s="2" t="str">
        <f>IFERROR(__xludf.DUMMYFUNCTION("""COMPUTED_VALUE"""),"PR036")</f>
        <v>PR036</v>
      </c>
      <c r="B699" s="2" t="str">
        <f>IFERROR(__xludf.DUMMYFUNCTION("""COMPUTED_VALUE"""),"VD024")</f>
        <v>VD024</v>
      </c>
      <c r="C699" s="2">
        <f>IFERROR(__xludf.DUMMYFUNCTION("""COMPUTED_VALUE"""),2.0)</f>
        <v>2</v>
      </c>
      <c r="D699" s="6">
        <f>IFERROR(__xludf.DUMMYFUNCTION("""COMPUTED_VALUE"""),203.83)</f>
        <v>203.83</v>
      </c>
      <c r="E699" s="6">
        <f>IFERROR(__xludf.DUMMYFUNCTION("GOOGLEFINANCE(""Currency:BRLMXN"")*D699"),692.41051)</f>
        <v>692.41051</v>
      </c>
      <c r="F699" s="6">
        <f>IFERROR(__xludf.DUMMYFUNCTION("GOOGLEFINANCE(""Currency:BRLPEN"")*D699"),133.630948)</f>
        <v>133.630948</v>
      </c>
      <c r="G699" s="2" t="str">
        <f t="array" ref="G699">_xlfn.XLOOKUP(B699,Vendedores!$A$2:$A$41,Vendedores!$B$2:$B$41,"No hay datos")</f>
        <v>No hay datos</v>
      </c>
      <c r="H699" s="2" t="str">
        <f t="array" ref="H699">_xlfn.XLOOKUP(B699,Vendedores!$A$2:$A$41,Vendedores!$C$2:$C$41,"No hay datos")</f>
        <v>No hay datos</v>
      </c>
      <c r="I699" s="2" t="str">
        <f t="array" ref="I699">_xlfn.XLOOKUP(B699,Vendedores!$A$2:$A$41,Vendedores!$D$2:$D$41,"No hay datos")</f>
        <v>No hay datos</v>
      </c>
      <c r="J699" s="2" t="str">
        <f t="array" ref="J699">_xlfn.XLOOKUP(A699,Productos!$A$2:$A$61,Productos!$B$2:$F$61)</f>
        <v>#N/A</v>
      </c>
    </row>
    <row r="700">
      <c r="A700" s="2" t="str">
        <f>IFERROR(__xludf.DUMMYFUNCTION("""COMPUTED_VALUE"""),"PR047")</f>
        <v>PR047</v>
      </c>
      <c r="B700" s="2" t="str">
        <f>IFERROR(__xludf.DUMMYFUNCTION("""COMPUTED_VALUE"""),"VD035")</f>
        <v>VD035</v>
      </c>
      <c r="C700" s="2">
        <f>IFERROR(__xludf.DUMMYFUNCTION("""COMPUTED_VALUE"""),1.0)</f>
        <v>1</v>
      </c>
      <c r="D700" s="6">
        <f>IFERROR(__xludf.DUMMYFUNCTION("""COMPUTED_VALUE"""),313.09)</f>
        <v>313.09</v>
      </c>
      <c r="E700" s="6">
        <f>IFERROR(__xludf.DUMMYFUNCTION("GOOGLEFINANCE(""Currency:BRLMXN"")*D700"),1063.5667299999998)</f>
        <v>1063.56673</v>
      </c>
      <c r="F700" s="6">
        <f>IFERROR(__xludf.DUMMYFUNCTION("GOOGLEFINANCE(""Currency:BRLPEN"")*D700"),205.26180399999998)</f>
        <v>205.261804</v>
      </c>
      <c r="G700" s="2" t="str">
        <f t="array" ref="G700">_xlfn.XLOOKUP(B700,Vendedores!$A$2:$A$41,Vendedores!$B$2:$B$41,"No hay datos")</f>
        <v>No hay datos</v>
      </c>
      <c r="H700" s="2" t="str">
        <f t="array" ref="H700">_xlfn.XLOOKUP(B700,Vendedores!$A$2:$A$41,Vendedores!$C$2:$C$41,"No hay datos")</f>
        <v>No hay datos</v>
      </c>
      <c r="I700" s="2" t="str">
        <f t="array" ref="I700">_xlfn.XLOOKUP(B700,Vendedores!$A$2:$A$41,Vendedores!$D$2:$D$41,"No hay datos")</f>
        <v>No hay datos</v>
      </c>
      <c r="J700" s="2" t="str">
        <f t="array" ref="J700">_xlfn.XLOOKUP(A700,Productos!$A$2:$A$61,Productos!$B$2:$F$61)</f>
        <v>#N/A</v>
      </c>
    </row>
    <row r="701">
      <c r="A701" s="2" t="str">
        <f>IFERROR(__xludf.DUMMYFUNCTION("""COMPUTED_VALUE"""),"PR014")</f>
        <v>PR014</v>
      </c>
      <c r="B701" s="2" t="str">
        <f>IFERROR(__xludf.DUMMYFUNCTION("""COMPUTED_VALUE"""),"VD028")</f>
        <v>VD028</v>
      </c>
      <c r="C701" s="2">
        <f>IFERROR(__xludf.DUMMYFUNCTION("""COMPUTED_VALUE"""),4.0)</f>
        <v>4</v>
      </c>
      <c r="D701" s="6">
        <f>IFERROR(__xludf.DUMMYFUNCTION("""COMPUTED_VALUE"""),161.2)</f>
        <v>161.2</v>
      </c>
      <c r="E701" s="6">
        <f>IFERROR(__xludf.DUMMYFUNCTION("GOOGLEFINANCE(""Currency:BRLMXN"")*D701"),547.5963999999999)</f>
        <v>547.5964</v>
      </c>
      <c r="F701" s="6">
        <f>IFERROR(__xludf.DUMMYFUNCTION("GOOGLEFINANCE(""Currency:BRLPEN"")*D701"),105.68271999999999)</f>
        <v>105.68272</v>
      </c>
      <c r="G701" s="2" t="str">
        <f t="array" ref="G701">_xlfn.XLOOKUP(B701,Vendedores!$A$2:$A$41,Vendedores!$B$2:$B$41,"No hay datos")</f>
        <v>No hay datos</v>
      </c>
      <c r="H701" s="2" t="str">
        <f t="array" ref="H701">_xlfn.XLOOKUP(B701,Vendedores!$A$2:$A$41,Vendedores!$C$2:$C$41,"No hay datos")</f>
        <v>No hay datos</v>
      </c>
      <c r="I701" s="2" t="str">
        <f t="array" ref="I701">_xlfn.XLOOKUP(B701,Vendedores!$A$2:$A$41,Vendedores!$D$2:$D$41,"No hay datos")</f>
        <v>No hay datos</v>
      </c>
      <c r="J701" s="2" t="str">
        <f t="array" ref="J701">_xlfn.XLOOKUP(A701,Productos!$A$2:$A$61,Productos!$B$2:$F$61)</f>
        <v>#N/A</v>
      </c>
    </row>
    <row r="702">
      <c r="A702" s="2" t="str">
        <f>IFERROR(__xludf.DUMMYFUNCTION("""COMPUTED_VALUE"""),"PR039")</f>
        <v>PR039</v>
      </c>
      <c r="B702" s="2" t="str">
        <f>IFERROR(__xludf.DUMMYFUNCTION("""COMPUTED_VALUE"""),"VD012")</f>
        <v>VD012</v>
      </c>
      <c r="C702" s="2">
        <f>IFERROR(__xludf.DUMMYFUNCTION("""COMPUTED_VALUE"""),20.0)</f>
        <v>20</v>
      </c>
      <c r="D702" s="6">
        <f>IFERROR(__xludf.DUMMYFUNCTION("""COMPUTED_VALUE"""),3124.4)</f>
        <v>3124.4</v>
      </c>
      <c r="E702" s="6">
        <f>IFERROR(__xludf.DUMMYFUNCTION("GOOGLEFINANCE(""Currency:BRLMXN"")*D702"),10613.5868)</f>
        <v>10613.5868</v>
      </c>
      <c r="F702" s="6">
        <f>IFERROR(__xludf.DUMMYFUNCTION("GOOGLEFINANCE(""Currency:BRLPEN"")*D702"),2048.35664)</f>
        <v>2048.35664</v>
      </c>
      <c r="G702" s="2" t="str">
        <f t="array" ref="G702">_xlfn.XLOOKUP(B702,Vendedores!$A$2:$A$41,Vendedores!$B$2:$B$41,"No hay datos")</f>
        <v>No hay datos</v>
      </c>
      <c r="H702" s="2" t="str">
        <f t="array" ref="H702">_xlfn.XLOOKUP(B702,Vendedores!$A$2:$A$41,Vendedores!$C$2:$C$41,"No hay datos")</f>
        <v>No hay datos</v>
      </c>
      <c r="I702" s="2" t="str">
        <f t="array" ref="I702">_xlfn.XLOOKUP(B702,Vendedores!$A$2:$A$41,Vendedores!$D$2:$D$41,"No hay datos")</f>
        <v>No hay datos</v>
      </c>
      <c r="J702" s="2" t="str">
        <f t="array" ref="J702">_xlfn.XLOOKUP(A702,Productos!$A$2:$A$61,Productos!$B$2:$F$61)</f>
        <v>#N/A</v>
      </c>
    </row>
    <row r="703">
      <c r="A703" s="2" t="str">
        <f>IFERROR(__xludf.DUMMYFUNCTION("""COMPUTED_VALUE"""),"PR051")</f>
        <v>PR051</v>
      </c>
      <c r="B703" s="2" t="str">
        <f>IFERROR(__xludf.DUMMYFUNCTION("""COMPUTED_VALUE"""),"VD034")</f>
        <v>VD034</v>
      </c>
      <c r="C703" s="2">
        <f>IFERROR(__xludf.DUMMYFUNCTION("""COMPUTED_VALUE"""),6.0)</f>
        <v>6</v>
      </c>
      <c r="D703" s="6">
        <f>IFERROR(__xludf.DUMMYFUNCTION("""COMPUTED_VALUE"""),211.22)</f>
        <v>211.22</v>
      </c>
      <c r="E703" s="6">
        <f>IFERROR(__xludf.DUMMYFUNCTION("GOOGLEFINANCE(""Currency:BRLMXN"")*D703"),717.51434)</f>
        <v>717.51434</v>
      </c>
      <c r="F703" s="6">
        <f>IFERROR(__xludf.DUMMYFUNCTION("GOOGLEFINANCE(""Currency:BRLPEN"")*D703"),138.475832)</f>
        <v>138.475832</v>
      </c>
      <c r="G703" s="2" t="str">
        <f t="array" ref="G703">_xlfn.XLOOKUP(B703,Vendedores!$A$2:$A$41,Vendedores!$B$2:$B$41,"No hay datos")</f>
        <v>No hay datos</v>
      </c>
      <c r="H703" s="2" t="str">
        <f t="array" ref="H703">_xlfn.XLOOKUP(B703,Vendedores!$A$2:$A$41,Vendedores!$C$2:$C$41,"No hay datos")</f>
        <v>No hay datos</v>
      </c>
      <c r="I703" s="2" t="str">
        <f t="array" ref="I703">_xlfn.XLOOKUP(B703,Vendedores!$A$2:$A$41,Vendedores!$D$2:$D$41,"No hay datos")</f>
        <v>No hay datos</v>
      </c>
      <c r="J703" s="2" t="str">
        <f t="array" ref="J703">_xlfn.XLOOKUP(A703,Productos!$A$2:$A$61,Productos!$B$2:$F$61)</f>
        <v>#N/A</v>
      </c>
    </row>
    <row r="704">
      <c r="A704" s="2" t="str">
        <f>IFERROR(__xludf.DUMMYFUNCTION("""COMPUTED_VALUE"""),"PR060")</f>
        <v>PR060</v>
      </c>
      <c r="B704" s="2" t="str">
        <f>IFERROR(__xludf.DUMMYFUNCTION("""COMPUTED_VALUE"""),"VD043")</f>
        <v>VD043</v>
      </c>
      <c r="C704" s="2">
        <f>IFERROR(__xludf.DUMMYFUNCTION("""COMPUTED_VALUE"""),8.0)</f>
        <v>8</v>
      </c>
      <c r="D704" s="6">
        <f>IFERROR(__xludf.DUMMYFUNCTION("""COMPUTED_VALUE"""),1483.2)</f>
        <v>1483.2</v>
      </c>
      <c r="E704" s="6">
        <f>IFERROR(__xludf.DUMMYFUNCTION("GOOGLEFINANCE(""Currency:BRLMXN"")*D704"),5038.4304)</f>
        <v>5038.4304</v>
      </c>
      <c r="F704" s="6">
        <f>IFERROR(__xludf.DUMMYFUNCTION("GOOGLEFINANCE(""Currency:BRLPEN"")*D704"),972.3859199999999)</f>
        <v>972.38592</v>
      </c>
      <c r="G704" s="2" t="str">
        <f t="array" ref="G704">_xlfn.XLOOKUP(B704,Vendedores!$A$2:$A$41,Vendedores!$B$2:$B$41,"No hay datos")</f>
        <v>No hay datos</v>
      </c>
      <c r="H704" s="2" t="str">
        <f t="array" ref="H704">_xlfn.XLOOKUP(B704,Vendedores!$A$2:$A$41,Vendedores!$C$2:$C$41,"No hay datos")</f>
        <v>No hay datos</v>
      </c>
      <c r="I704" s="2" t="str">
        <f t="array" ref="I704">_xlfn.XLOOKUP(B704,Vendedores!$A$2:$A$41,Vendedores!$D$2:$D$41,"No hay datos")</f>
        <v>No hay datos</v>
      </c>
      <c r="J704" s="2" t="str">
        <f t="array" ref="J704">_xlfn.XLOOKUP(A704,Productos!$A$2:$A$61,Productos!$B$2:$F$61)</f>
        <v>#N/A</v>
      </c>
    </row>
    <row r="705">
      <c r="A705" s="2" t="str">
        <f>IFERROR(__xludf.DUMMYFUNCTION("""COMPUTED_VALUE"""),"PR050")</f>
        <v>PR050</v>
      </c>
      <c r="B705" s="2" t="str">
        <f>IFERROR(__xludf.DUMMYFUNCTION("""COMPUTED_VALUE"""),"VD040")</f>
        <v>VD040</v>
      </c>
      <c r="C705" s="2">
        <f>IFERROR(__xludf.DUMMYFUNCTION("""COMPUTED_VALUE"""),10.0)</f>
        <v>10</v>
      </c>
      <c r="D705" s="6">
        <f>IFERROR(__xludf.DUMMYFUNCTION("""COMPUTED_VALUE"""),329.0)</f>
        <v>329</v>
      </c>
      <c r="E705" s="6">
        <f>IFERROR(__xludf.DUMMYFUNCTION("GOOGLEFINANCE(""Currency:BRLMXN"")*D705"),1117.6129999999998)</f>
        <v>1117.613</v>
      </c>
      <c r="F705" s="6">
        <f>IFERROR(__xludf.DUMMYFUNCTION("GOOGLEFINANCE(""Currency:BRLPEN"")*D705"),215.6924)</f>
        <v>215.6924</v>
      </c>
      <c r="G705" s="2" t="str">
        <f t="array" ref="G705">_xlfn.XLOOKUP(B705,Vendedores!$A$2:$A$41,Vendedores!$B$2:$B$41,"No hay datos")</f>
        <v>No hay datos</v>
      </c>
      <c r="H705" s="2" t="str">
        <f t="array" ref="H705">_xlfn.XLOOKUP(B705,Vendedores!$A$2:$A$41,Vendedores!$C$2:$C$41,"No hay datos")</f>
        <v>No hay datos</v>
      </c>
      <c r="I705" s="2" t="str">
        <f t="array" ref="I705">_xlfn.XLOOKUP(B705,Vendedores!$A$2:$A$41,Vendedores!$D$2:$D$41,"No hay datos")</f>
        <v>No hay datos</v>
      </c>
      <c r="J705" s="2" t="str">
        <f t="array" ref="J705">_xlfn.XLOOKUP(A705,Productos!$A$2:$A$61,Productos!$B$2:$F$61)</f>
        <v>#N/A</v>
      </c>
    </row>
    <row r="706">
      <c r="A706" s="2" t="str">
        <f>IFERROR(__xludf.DUMMYFUNCTION("""COMPUTED_VALUE"""),"PR044")</f>
        <v>PR044</v>
      </c>
      <c r="B706" s="2" t="str">
        <f>IFERROR(__xludf.DUMMYFUNCTION("""COMPUTED_VALUE"""),"VD012")</f>
        <v>VD012</v>
      </c>
      <c r="C706" s="2">
        <f>IFERROR(__xludf.DUMMYFUNCTION("""COMPUTED_VALUE"""),4.0)</f>
        <v>4</v>
      </c>
      <c r="D706" s="6">
        <f>IFERROR(__xludf.DUMMYFUNCTION("""COMPUTED_VALUE"""),301.6)</f>
        <v>301.6</v>
      </c>
      <c r="E706" s="6">
        <f>IFERROR(__xludf.DUMMYFUNCTION("GOOGLEFINANCE(""Currency:BRLMXN"")*D706"),1024.5352)</f>
        <v>1024.5352</v>
      </c>
      <c r="F706" s="6">
        <f>IFERROR(__xludf.DUMMYFUNCTION("GOOGLEFINANCE(""Currency:BRLPEN"")*D706"),197.72896)</f>
        <v>197.72896</v>
      </c>
      <c r="G706" s="2" t="str">
        <f t="array" ref="G706">_xlfn.XLOOKUP(B706,Vendedores!$A$2:$A$41,Vendedores!$B$2:$B$41,"No hay datos")</f>
        <v>No hay datos</v>
      </c>
      <c r="H706" s="2" t="str">
        <f t="array" ref="H706">_xlfn.XLOOKUP(B706,Vendedores!$A$2:$A$41,Vendedores!$C$2:$C$41,"No hay datos")</f>
        <v>No hay datos</v>
      </c>
      <c r="I706" s="2" t="str">
        <f t="array" ref="I706">_xlfn.XLOOKUP(B706,Vendedores!$A$2:$A$41,Vendedores!$D$2:$D$41,"No hay datos")</f>
        <v>No hay datos</v>
      </c>
      <c r="J706" s="2" t="str">
        <f t="array" ref="J706">_xlfn.XLOOKUP(A706,Productos!$A$2:$A$61,Productos!$B$2:$F$61)</f>
        <v>#N/A</v>
      </c>
    </row>
    <row r="707">
      <c r="A707" s="2" t="str">
        <f>IFERROR(__xludf.DUMMYFUNCTION("""COMPUTED_VALUE"""),"PR013")</f>
        <v>PR013</v>
      </c>
      <c r="B707" s="2" t="str">
        <f>IFERROR(__xludf.DUMMYFUNCTION("""COMPUTED_VALUE"""),"VD031")</f>
        <v>VD031</v>
      </c>
      <c r="C707" s="2">
        <f>IFERROR(__xludf.DUMMYFUNCTION("""COMPUTED_VALUE"""),14.0)</f>
        <v>14</v>
      </c>
      <c r="D707" s="6">
        <f>IFERROR(__xludf.DUMMYFUNCTION("""COMPUTED_VALUE"""),608.87)</f>
        <v>608.87</v>
      </c>
      <c r="E707" s="6">
        <f>IFERROR(__xludf.DUMMYFUNCTION("GOOGLEFINANCE(""Currency:BRLMXN"")*D707"),2068.33139)</f>
        <v>2068.33139</v>
      </c>
      <c r="F707" s="6">
        <f>IFERROR(__xludf.DUMMYFUNCTION("GOOGLEFINANCE(""Currency:BRLPEN"")*D707"),399.175172)</f>
        <v>399.175172</v>
      </c>
      <c r="G707" s="2" t="str">
        <f t="array" ref="G707">_xlfn.XLOOKUP(B707,Vendedores!$A$2:$A$41,Vendedores!$B$2:$B$41,"No hay datos")</f>
        <v>No hay datos</v>
      </c>
      <c r="H707" s="2" t="str">
        <f t="array" ref="H707">_xlfn.XLOOKUP(B707,Vendedores!$A$2:$A$41,Vendedores!$C$2:$C$41,"No hay datos")</f>
        <v>No hay datos</v>
      </c>
      <c r="I707" s="2" t="str">
        <f t="array" ref="I707">_xlfn.XLOOKUP(B707,Vendedores!$A$2:$A$41,Vendedores!$D$2:$D$41,"No hay datos")</f>
        <v>No hay datos</v>
      </c>
      <c r="J707" s="2" t="str">
        <f t="array" ref="J707">_xlfn.XLOOKUP(A707,Productos!$A$2:$A$61,Productos!$B$2:$F$61)</f>
        <v>#N/A</v>
      </c>
    </row>
    <row r="708">
      <c r="A708" s="2" t="str">
        <f>IFERROR(__xludf.DUMMYFUNCTION("""COMPUTED_VALUE"""),"PR002")</f>
        <v>PR002</v>
      </c>
      <c r="B708" s="2" t="str">
        <f>IFERROR(__xludf.DUMMYFUNCTION("""COMPUTED_VALUE"""),"VD027")</f>
        <v>VD027</v>
      </c>
      <c r="C708" s="2">
        <f>IFERROR(__xludf.DUMMYFUNCTION("""COMPUTED_VALUE"""),6.0)</f>
        <v>6</v>
      </c>
      <c r="D708" s="6">
        <f>IFERROR(__xludf.DUMMYFUNCTION("""COMPUTED_VALUE"""),452.95)</f>
        <v>452.95</v>
      </c>
      <c r="E708" s="6">
        <f>IFERROR(__xludf.DUMMYFUNCTION("GOOGLEFINANCE(""Currency:BRLMXN"")*D708"),1538.67115)</f>
        <v>1538.67115</v>
      </c>
      <c r="F708" s="6">
        <f>IFERROR(__xludf.DUMMYFUNCTION("GOOGLEFINANCE(""Currency:BRLPEN"")*D708"),296.95401999999996)</f>
        <v>296.95402</v>
      </c>
      <c r="G708" s="2" t="str">
        <f t="array" ref="G708">_xlfn.XLOOKUP(B708,Vendedores!$A$2:$A$41,Vendedores!$B$2:$B$41,"No hay datos")</f>
        <v>No hay datos</v>
      </c>
      <c r="H708" s="2" t="str">
        <f t="array" ref="H708">_xlfn.XLOOKUP(B708,Vendedores!$A$2:$A$41,Vendedores!$C$2:$C$41,"No hay datos")</f>
        <v>No hay datos</v>
      </c>
      <c r="I708" s="2" t="str">
        <f t="array" ref="I708">_xlfn.XLOOKUP(B708,Vendedores!$A$2:$A$41,Vendedores!$D$2:$D$41,"No hay datos")</f>
        <v>No hay datos</v>
      </c>
      <c r="J708" s="2" t="str">
        <f t="array" ref="J708">_xlfn.XLOOKUP(A708,Productos!$A$2:$A$61,Productos!$B$2:$F$61)</f>
        <v>#N/A</v>
      </c>
    </row>
    <row r="709">
      <c r="A709" s="2" t="str">
        <f>IFERROR(__xludf.DUMMYFUNCTION("""COMPUTED_VALUE"""),"PR031")</f>
        <v>PR031</v>
      </c>
      <c r="B709" s="2" t="str">
        <f>IFERROR(__xludf.DUMMYFUNCTION("""COMPUTED_VALUE"""),"VD024")</f>
        <v>VD024</v>
      </c>
      <c r="C709" s="2">
        <f>IFERROR(__xludf.DUMMYFUNCTION("""COMPUTED_VALUE"""),6.0)</f>
        <v>6</v>
      </c>
      <c r="D709" s="6">
        <f>IFERROR(__xludf.DUMMYFUNCTION("""COMPUTED_VALUE"""),1499.4)</f>
        <v>1499.4</v>
      </c>
      <c r="E709" s="6">
        <f>IFERROR(__xludf.DUMMYFUNCTION("GOOGLEFINANCE(""Currency:BRLMXN"")*D709"),5093.4618)</f>
        <v>5093.4618</v>
      </c>
      <c r="F709" s="6">
        <f>IFERROR(__xludf.DUMMYFUNCTION("GOOGLEFINANCE(""Currency:BRLPEN"")*D709"),983.00664)</f>
        <v>983.00664</v>
      </c>
      <c r="G709" s="2" t="str">
        <f t="array" ref="G709">_xlfn.XLOOKUP(B709,Vendedores!$A$2:$A$41,Vendedores!$B$2:$B$41,"No hay datos")</f>
        <v>No hay datos</v>
      </c>
      <c r="H709" s="2" t="str">
        <f t="array" ref="H709">_xlfn.XLOOKUP(B709,Vendedores!$A$2:$A$41,Vendedores!$C$2:$C$41,"No hay datos")</f>
        <v>No hay datos</v>
      </c>
      <c r="I709" s="2" t="str">
        <f t="array" ref="I709">_xlfn.XLOOKUP(B709,Vendedores!$A$2:$A$41,Vendedores!$D$2:$D$41,"No hay datos")</f>
        <v>No hay datos</v>
      </c>
      <c r="J709" s="2" t="str">
        <f t="array" ref="J709">_xlfn.XLOOKUP(A709,Productos!$A$2:$A$61,Productos!$B$2:$F$61)</f>
        <v>#N/A</v>
      </c>
    </row>
    <row r="710">
      <c r="A710" s="2" t="str">
        <f>IFERROR(__xludf.DUMMYFUNCTION("""COMPUTED_VALUE"""),"PR052")</f>
        <v>PR052</v>
      </c>
      <c r="B710" s="2" t="str">
        <f>IFERROR(__xludf.DUMMYFUNCTION("""COMPUTED_VALUE"""),"VD041")</f>
        <v>VD041</v>
      </c>
      <c r="C710" s="2">
        <f>IFERROR(__xludf.DUMMYFUNCTION("""COMPUTED_VALUE"""),14.0)</f>
        <v>14</v>
      </c>
      <c r="D710" s="6">
        <f>IFERROR(__xludf.DUMMYFUNCTION("""COMPUTED_VALUE"""),754.49)</f>
        <v>754.49</v>
      </c>
      <c r="E710" s="6">
        <f>IFERROR(__xludf.DUMMYFUNCTION("GOOGLEFINANCE(""Currency:BRLMXN"")*D710"),2563.0025299999998)</f>
        <v>2563.00253</v>
      </c>
      <c r="F710" s="6">
        <f>IFERROR(__xludf.DUMMYFUNCTION("GOOGLEFINANCE(""Currency:BRLPEN"")*D710"),494.643644)</f>
        <v>494.643644</v>
      </c>
      <c r="G710" s="2" t="str">
        <f t="array" ref="G710">_xlfn.XLOOKUP(B710,Vendedores!$A$2:$A$41,Vendedores!$B$2:$B$41,"No hay datos")</f>
        <v>No hay datos</v>
      </c>
      <c r="H710" s="2" t="str">
        <f t="array" ref="H710">_xlfn.XLOOKUP(B710,Vendedores!$A$2:$A$41,Vendedores!$C$2:$C$41,"No hay datos")</f>
        <v>No hay datos</v>
      </c>
      <c r="I710" s="2" t="str">
        <f t="array" ref="I710">_xlfn.XLOOKUP(B710,Vendedores!$A$2:$A$41,Vendedores!$D$2:$D$41,"No hay datos")</f>
        <v>No hay datos</v>
      </c>
      <c r="J710" s="2" t="str">
        <f t="array" ref="J710">_xlfn.XLOOKUP(A710,Productos!$A$2:$A$61,Productos!$B$2:$F$61)</f>
        <v>#N/A</v>
      </c>
    </row>
    <row r="711">
      <c r="A711" s="2" t="str">
        <f>IFERROR(__xludf.DUMMYFUNCTION("""COMPUTED_VALUE"""),"PR058")</f>
        <v>PR058</v>
      </c>
      <c r="B711" s="2" t="str">
        <f>IFERROR(__xludf.DUMMYFUNCTION("""COMPUTED_VALUE"""),"VD030")</f>
        <v>VD030</v>
      </c>
      <c r="C711" s="2">
        <f>IFERROR(__xludf.DUMMYFUNCTION("""COMPUTED_VALUE"""),2.0)</f>
        <v>2</v>
      </c>
      <c r="D711" s="6">
        <f>IFERROR(__xludf.DUMMYFUNCTION("""COMPUTED_VALUE"""),363.6)</f>
        <v>363.6</v>
      </c>
      <c r="E711" s="6">
        <f>IFERROR(__xludf.DUMMYFUNCTION("GOOGLEFINANCE(""Currency:BRLMXN"")*D711"),1235.1492)</f>
        <v>1235.1492</v>
      </c>
      <c r="F711" s="6">
        <f>IFERROR(__xludf.DUMMYFUNCTION("GOOGLEFINANCE(""Currency:BRLPEN"")*D711"),238.37616)</f>
        <v>238.37616</v>
      </c>
      <c r="G711" s="2" t="str">
        <f t="array" ref="G711">_xlfn.XLOOKUP(B711,Vendedores!$A$2:$A$41,Vendedores!$B$2:$B$41,"No hay datos")</f>
        <v>No hay datos</v>
      </c>
      <c r="H711" s="2" t="str">
        <f t="array" ref="H711">_xlfn.XLOOKUP(B711,Vendedores!$A$2:$A$41,Vendedores!$C$2:$C$41,"No hay datos")</f>
        <v>No hay datos</v>
      </c>
      <c r="I711" s="2" t="str">
        <f t="array" ref="I711">_xlfn.XLOOKUP(B711,Vendedores!$A$2:$A$41,Vendedores!$D$2:$D$41,"No hay datos")</f>
        <v>No hay datos</v>
      </c>
      <c r="J711" s="2" t="str">
        <f t="array" ref="J711">_xlfn.XLOOKUP(A711,Productos!$A$2:$A$61,Productos!$B$2:$F$61)</f>
        <v>#N/A</v>
      </c>
    </row>
    <row r="712">
      <c r="A712" s="2" t="str">
        <f>IFERROR(__xludf.DUMMYFUNCTION("""COMPUTED_VALUE"""),"PR034")</f>
        <v>PR034</v>
      </c>
      <c r="B712" s="2" t="str">
        <f>IFERROR(__xludf.DUMMYFUNCTION("""COMPUTED_VALUE"""),"VD013")</f>
        <v>VD013</v>
      </c>
      <c r="C712" s="2">
        <f>IFERROR(__xludf.DUMMYFUNCTION("""COMPUTED_VALUE"""),7.0)</f>
        <v>7</v>
      </c>
      <c r="D712" s="6">
        <f>IFERROR(__xludf.DUMMYFUNCTION("""COMPUTED_VALUE"""),667.06)</f>
        <v>667.06</v>
      </c>
      <c r="E712" s="6">
        <f>IFERROR(__xludf.DUMMYFUNCTION("GOOGLEFINANCE(""Currency:BRLMXN"")*D712"),2266.0028199999997)</f>
        <v>2266.00282</v>
      </c>
      <c r="F712" s="6">
        <f>IFERROR(__xludf.DUMMYFUNCTION("GOOGLEFINANCE(""Currency:BRLPEN"")*D712"),437.3245359999999)</f>
        <v>437.324536</v>
      </c>
      <c r="G712" s="2" t="str">
        <f t="array" ref="G712">_xlfn.XLOOKUP(B712,Vendedores!$A$2:$A$41,Vendedores!$B$2:$B$41,"No hay datos")</f>
        <v>No hay datos</v>
      </c>
      <c r="H712" s="2" t="str">
        <f t="array" ref="H712">_xlfn.XLOOKUP(B712,Vendedores!$A$2:$A$41,Vendedores!$C$2:$C$41,"No hay datos")</f>
        <v>No hay datos</v>
      </c>
      <c r="I712" s="2" t="str">
        <f t="array" ref="I712">_xlfn.XLOOKUP(B712,Vendedores!$A$2:$A$41,Vendedores!$D$2:$D$41,"No hay datos")</f>
        <v>No hay datos</v>
      </c>
      <c r="J712" s="2" t="str">
        <f t="array" ref="J712">_xlfn.XLOOKUP(A712,Productos!$A$2:$A$61,Productos!$B$2:$F$61)</f>
        <v>#N/A</v>
      </c>
    </row>
    <row r="713">
      <c r="A713" s="2" t="str">
        <f>IFERROR(__xludf.DUMMYFUNCTION("""COMPUTED_VALUE"""),"PR052")</f>
        <v>PR052</v>
      </c>
      <c r="B713" s="2" t="str">
        <f>IFERROR(__xludf.DUMMYFUNCTION("""COMPUTED_VALUE"""),"VD041")</f>
        <v>VD041</v>
      </c>
      <c r="C713" s="2">
        <f>IFERROR(__xludf.DUMMYFUNCTION("""COMPUTED_VALUE"""),18.0)</f>
        <v>18</v>
      </c>
      <c r="D713" s="6">
        <f>IFERROR(__xludf.DUMMYFUNCTION("""COMPUTED_VALUE"""),970.06)</f>
        <v>970.06</v>
      </c>
      <c r="E713" s="6">
        <f>IFERROR(__xludf.DUMMYFUNCTION("GOOGLEFINANCE(""Currency:BRLMXN"")*D713"),3295.2938199999994)</f>
        <v>3295.29382</v>
      </c>
      <c r="F713" s="6">
        <f>IFERROR(__xludf.DUMMYFUNCTION("GOOGLEFINANCE(""Currency:BRLPEN"")*D713"),635.971336)</f>
        <v>635.971336</v>
      </c>
      <c r="G713" s="2" t="str">
        <f t="array" ref="G713">_xlfn.XLOOKUP(B713,Vendedores!$A$2:$A$41,Vendedores!$B$2:$B$41,"No hay datos")</f>
        <v>No hay datos</v>
      </c>
      <c r="H713" s="2" t="str">
        <f t="array" ref="H713">_xlfn.XLOOKUP(B713,Vendedores!$A$2:$A$41,Vendedores!$C$2:$C$41,"No hay datos")</f>
        <v>No hay datos</v>
      </c>
      <c r="I713" s="2" t="str">
        <f t="array" ref="I713">_xlfn.XLOOKUP(B713,Vendedores!$A$2:$A$41,Vendedores!$D$2:$D$41,"No hay datos")</f>
        <v>No hay datos</v>
      </c>
      <c r="J713" s="2" t="str">
        <f t="array" ref="J713">_xlfn.XLOOKUP(A713,Productos!$A$2:$A$61,Productos!$B$2:$F$61)</f>
        <v>#N/A</v>
      </c>
    </row>
    <row r="714">
      <c r="A714" s="2" t="str">
        <f>IFERROR(__xludf.DUMMYFUNCTION("""COMPUTED_VALUE"""),"PR046")</f>
        <v>PR046</v>
      </c>
      <c r="B714" s="2" t="str">
        <f>IFERROR(__xludf.DUMMYFUNCTION("""COMPUTED_VALUE"""),"VD019")</f>
        <v>VD019</v>
      </c>
      <c r="C714" s="2">
        <f>IFERROR(__xludf.DUMMYFUNCTION("""COMPUTED_VALUE"""),4.0)</f>
        <v>4</v>
      </c>
      <c r="D714" s="6">
        <f>IFERROR(__xludf.DUMMYFUNCTION("""COMPUTED_VALUE"""),1240.77)</f>
        <v>1240.77</v>
      </c>
      <c r="E714" s="6">
        <f>IFERROR(__xludf.DUMMYFUNCTION("GOOGLEFINANCE(""Currency:BRLMXN"")*D714"),4214.895689999999)</f>
        <v>4214.89569</v>
      </c>
      <c r="F714" s="6">
        <f>IFERROR(__xludf.DUMMYFUNCTION("GOOGLEFINANCE(""Currency:BRLPEN"")*D714"),813.448812)</f>
        <v>813.448812</v>
      </c>
      <c r="G714" s="2" t="str">
        <f t="array" ref="G714">_xlfn.XLOOKUP(B714,Vendedores!$A$2:$A$41,Vendedores!$B$2:$B$41,"No hay datos")</f>
        <v>No hay datos</v>
      </c>
      <c r="H714" s="2" t="str">
        <f t="array" ref="H714">_xlfn.XLOOKUP(B714,Vendedores!$A$2:$A$41,Vendedores!$C$2:$C$41,"No hay datos")</f>
        <v>No hay datos</v>
      </c>
      <c r="I714" s="2" t="str">
        <f t="array" ref="I714">_xlfn.XLOOKUP(B714,Vendedores!$A$2:$A$41,Vendedores!$D$2:$D$41,"No hay datos")</f>
        <v>No hay datos</v>
      </c>
      <c r="J714" s="2" t="str">
        <f t="array" ref="J714">_xlfn.XLOOKUP(A714,Productos!$A$2:$A$61,Productos!$B$2:$F$61)</f>
        <v>#N/A</v>
      </c>
    </row>
    <row r="715">
      <c r="A715" s="2" t="str">
        <f>IFERROR(__xludf.DUMMYFUNCTION("""COMPUTED_VALUE"""),"PR056")</f>
        <v>PR056</v>
      </c>
      <c r="B715" s="2" t="str">
        <f>IFERROR(__xludf.DUMMYFUNCTION("""COMPUTED_VALUE"""),"VD039")</f>
        <v>VD039</v>
      </c>
      <c r="C715" s="2">
        <f>IFERROR(__xludf.DUMMYFUNCTION("""COMPUTED_VALUE"""),14.0)</f>
        <v>14</v>
      </c>
      <c r="D715" s="6">
        <f>IFERROR(__xludf.DUMMYFUNCTION("""COMPUTED_VALUE"""),1334.12)</f>
        <v>1334.12</v>
      </c>
      <c r="E715" s="6">
        <f>IFERROR(__xludf.DUMMYFUNCTION("GOOGLEFINANCE(""Currency:BRLMXN"")*D715"),4532.005639999999)</f>
        <v>4532.00564</v>
      </c>
      <c r="F715" s="6">
        <f>IFERROR(__xludf.DUMMYFUNCTION("GOOGLEFINANCE(""Currency:BRLPEN"")*D715"),874.6490719999998)</f>
        <v>874.649072</v>
      </c>
      <c r="G715" s="2" t="str">
        <f t="array" ref="G715">_xlfn.XLOOKUP(B715,Vendedores!$A$2:$A$41,Vendedores!$B$2:$B$41,"No hay datos")</f>
        <v>No hay datos</v>
      </c>
      <c r="H715" s="2" t="str">
        <f t="array" ref="H715">_xlfn.XLOOKUP(B715,Vendedores!$A$2:$A$41,Vendedores!$C$2:$C$41,"No hay datos")</f>
        <v>No hay datos</v>
      </c>
      <c r="I715" s="2" t="str">
        <f t="array" ref="I715">_xlfn.XLOOKUP(B715,Vendedores!$A$2:$A$41,Vendedores!$D$2:$D$41,"No hay datos")</f>
        <v>No hay datos</v>
      </c>
      <c r="J715" s="2" t="str">
        <f t="array" ref="J715">_xlfn.XLOOKUP(A715,Productos!$A$2:$A$61,Productos!$B$2:$F$61)</f>
        <v>#N/A</v>
      </c>
    </row>
    <row r="716">
      <c r="A716" s="2" t="str">
        <f>IFERROR(__xludf.DUMMYFUNCTION("""COMPUTED_VALUE"""),"PR034")</f>
        <v>PR034</v>
      </c>
      <c r="B716" s="2" t="str">
        <f>IFERROR(__xludf.DUMMYFUNCTION("""COMPUTED_VALUE"""),"VD042")</f>
        <v>VD042</v>
      </c>
      <c r="C716" s="2">
        <f>IFERROR(__xludf.DUMMYFUNCTION("""COMPUTED_VALUE"""),10.0)</f>
        <v>10</v>
      </c>
      <c r="D716" s="6">
        <f>IFERROR(__xludf.DUMMYFUNCTION("""COMPUTED_VALUE"""),988.9)</f>
        <v>988.9</v>
      </c>
      <c r="E716" s="6">
        <f>IFERROR(__xludf.DUMMYFUNCTION("GOOGLEFINANCE(""Currency:BRLMXN"")*D716"),3359.2933)</f>
        <v>3359.2933</v>
      </c>
      <c r="F716" s="6">
        <f>IFERROR(__xludf.DUMMYFUNCTION("GOOGLEFINANCE(""Currency:BRLPEN"")*D716"),648.3228399999999)</f>
        <v>648.32284</v>
      </c>
      <c r="G716" s="2" t="str">
        <f t="array" ref="G716">_xlfn.XLOOKUP(B716,Vendedores!$A$2:$A$41,Vendedores!$B$2:$B$41,"No hay datos")</f>
        <v>No hay datos</v>
      </c>
      <c r="H716" s="2" t="str">
        <f t="array" ref="H716">_xlfn.XLOOKUP(B716,Vendedores!$A$2:$A$41,Vendedores!$C$2:$C$41,"No hay datos")</f>
        <v>No hay datos</v>
      </c>
      <c r="I716" s="2" t="str">
        <f t="array" ref="I716">_xlfn.XLOOKUP(B716,Vendedores!$A$2:$A$41,Vendedores!$D$2:$D$41,"No hay datos")</f>
        <v>No hay datos</v>
      </c>
      <c r="J716" s="2" t="str">
        <f t="array" ref="J716">_xlfn.XLOOKUP(A716,Productos!$A$2:$A$61,Productos!$B$2:$F$61)</f>
        <v>#N/A</v>
      </c>
    </row>
    <row r="717">
      <c r="A717" s="2" t="str">
        <f>IFERROR(__xludf.DUMMYFUNCTION("""COMPUTED_VALUE"""),"PR029")</f>
        <v>PR029</v>
      </c>
      <c r="B717" s="2" t="str">
        <f>IFERROR(__xludf.DUMMYFUNCTION("""COMPUTED_VALUE"""),"VD043")</f>
        <v>VD043</v>
      </c>
      <c r="C717" s="2">
        <f>IFERROR(__xludf.DUMMYFUNCTION("""COMPUTED_VALUE"""),1.0)</f>
        <v>1</v>
      </c>
      <c r="D717" s="6">
        <f>IFERROR(__xludf.DUMMYFUNCTION("""COMPUTED_VALUE"""),267.75)</f>
        <v>267.75</v>
      </c>
      <c r="E717" s="6">
        <f>IFERROR(__xludf.DUMMYFUNCTION("GOOGLEFINANCE(""Currency:BRLMXN"")*D717"),909.54675)</f>
        <v>909.54675</v>
      </c>
      <c r="F717" s="6">
        <f>IFERROR(__xludf.DUMMYFUNCTION("GOOGLEFINANCE(""Currency:BRLPEN"")*D717"),175.5369)</f>
        <v>175.5369</v>
      </c>
      <c r="G717" s="2" t="str">
        <f t="array" ref="G717">_xlfn.XLOOKUP(B717,Vendedores!$A$2:$A$41,Vendedores!$B$2:$B$41,"No hay datos")</f>
        <v>No hay datos</v>
      </c>
      <c r="H717" s="2" t="str">
        <f t="array" ref="H717">_xlfn.XLOOKUP(B717,Vendedores!$A$2:$A$41,Vendedores!$C$2:$C$41,"No hay datos")</f>
        <v>No hay datos</v>
      </c>
      <c r="I717" s="2" t="str">
        <f t="array" ref="I717">_xlfn.XLOOKUP(B717,Vendedores!$A$2:$A$41,Vendedores!$D$2:$D$41,"No hay datos")</f>
        <v>No hay datos</v>
      </c>
      <c r="J717" s="2" t="str">
        <f t="array" ref="J717">_xlfn.XLOOKUP(A717,Productos!$A$2:$A$61,Productos!$B$2:$F$61)</f>
        <v>#N/A</v>
      </c>
    </row>
    <row r="718">
      <c r="A718" s="2" t="str">
        <f>IFERROR(__xludf.DUMMYFUNCTION("""COMPUTED_VALUE"""),"PR043")</f>
        <v>PR043</v>
      </c>
      <c r="B718" s="2" t="str">
        <f>IFERROR(__xludf.DUMMYFUNCTION("""COMPUTED_VALUE"""),"VD023")</f>
        <v>VD023</v>
      </c>
      <c r="C718" s="2">
        <f>IFERROR(__xludf.DUMMYFUNCTION("""COMPUTED_VALUE"""),8.0)</f>
        <v>8</v>
      </c>
      <c r="D718" s="6">
        <f>IFERROR(__xludf.DUMMYFUNCTION("""COMPUTED_VALUE"""),603.2)</f>
        <v>603.2</v>
      </c>
      <c r="E718" s="6">
        <f>IFERROR(__xludf.DUMMYFUNCTION("GOOGLEFINANCE(""Currency:BRLMXN"")*D718"),2049.0704)</f>
        <v>2049.0704</v>
      </c>
      <c r="F718" s="6">
        <f>IFERROR(__xludf.DUMMYFUNCTION("GOOGLEFINANCE(""Currency:BRLPEN"")*D718"),395.45792)</f>
        <v>395.45792</v>
      </c>
      <c r="G718" s="2" t="str">
        <f t="array" ref="G718">_xlfn.XLOOKUP(B718,Vendedores!$A$2:$A$41,Vendedores!$B$2:$B$41,"No hay datos")</f>
        <v>No hay datos</v>
      </c>
      <c r="H718" s="2" t="str">
        <f t="array" ref="H718">_xlfn.XLOOKUP(B718,Vendedores!$A$2:$A$41,Vendedores!$C$2:$C$41,"No hay datos")</f>
        <v>No hay datos</v>
      </c>
      <c r="I718" s="2" t="str">
        <f t="array" ref="I718">_xlfn.XLOOKUP(B718,Vendedores!$A$2:$A$41,Vendedores!$D$2:$D$41,"No hay datos")</f>
        <v>No hay datos</v>
      </c>
      <c r="J718" s="2" t="str">
        <f t="array" ref="J718">_xlfn.XLOOKUP(A718,Productos!$A$2:$A$61,Productos!$B$2:$F$61)</f>
        <v>#N/A</v>
      </c>
    </row>
    <row r="719">
      <c r="A719" s="2" t="str">
        <f>IFERROR(__xludf.DUMMYFUNCTION("""COMPUTED_VALUE"""),"PR014")</f>
        <v>PR014</v>
      </c>
      <c r="B719" s="2" t="str">
        <f>IFERROR(__xludf.DUMMYFUNCTION("""COMPUTED_VALUE"""),"VD035")</f>
        <v>VD035</v>
      </c>
      <c r="C719" s="2">
        <f>IFERROR(__xludf.DUMMYFUNCTION("""COMPUTED_VALUE"""),5.0)</f>
        <v>5</v>
      </c>
      <c r="D719" s="6">
        <f>IFERROR(__xludf.DUMMYFUNCTION("""COMPUTED_VALUE"""),211.47)</f>
        <v>211.47</v>
      </c>
      <c r="E719" s="6">
        <f>IFERROR(__xludf.DUMMYFUNCTION("GOOGLEFINANCE(""Currency:BRLMXN"")*D719"),718.3635899999999)</f>
        <v>718.36359</v>
      </c>
      <c r="F719" s="6">
        <f>IFERROR(__xludf.DUMMYFUNCTION("GOOGLEFINANCE(""Currency:BRLPEN"")*D719"),138.63973199999998)</f>
        <v>138.639732</v>
      </c>
      <c r="G719" s="2" t="str">
        <f t="array" ref="G719">_xlfn.XLOOKUP(B719,Vendedores!$A$2:$A$41,Vendedores!$B$2:$B$41,"No hay datos")</f>
        <v>No hay datos</v>
      </c>
      <c r="H719" s="2" t="str">
        <f t="array" ref="H719">_xlfn.XLOOKUP(B719,Vendedores!$A$2:$A$41,Vendedores!$C$2:$C$41,"No hay datos")</f>
        <v>No hay datos</v>
      </c>
      <c r="I719" s="2" t="str">
        <f t="array" ref="I719">_xlfn.XLOOKUP(B719,Vendedores!$A$2:$A$41,Vendedores!$D$2:$D$41,"No hay datos")</f>
        <v>No hay datos</v>
      </c>
      <c r="J719" s="2" t="str">
        <f t="array" ref="J719">_xlfn.XLOOKUP(A719,Productos!$A$2:$A$61,Productos!$B$2:$F$61)</f>
        <v>#N/A</v>
      </c>
    </row>
    <row r="720">
      <c r="A720" s="2" t="str">
        <f>IFERROR(__xludf.DUMMYFUNCTION("""COMPUTED_VALUE"""),"PR019")</f>
        <v>PR019</v>
      </c>
      <c r="B720" s="2" t="str">
        <f>IFERROR(__xludf.DUMMYFUNCTION("""COMPUTED_VALUE"""),"VD018")</f>
        <v>VD018</v>
      </c>
      <c r="C720" s="2">
        <f>IFERROR(__xludf.DUMMYFUNCTION("""COMPUTED_VALUE"""),18.0)</f>
        <v>18</v>
      </c>
      <c r="D720" s="6">
        <f>IFERROR(__xludf.DUMMYFUNCTION("""COMPUTED_VALUE"""),925.15)</f>
        <v>925.15</v>
      </c>
      <c r="E720" s="6">
        <f>IFERROR(__xludf.DUMMYFUNCTION("GOOGLEFINANCE(""Currency:BRLMXN"")*D720"),3142.7345499999997)</f>
        <v>3142.73455</v>
      </c>
      <c r="F720" s="6">
        <f>IFERROR(__xludf.DUMMYFUNCTION("GOOGLEFINANCE(""Currency:BRLPEN"")*D720"),606.52834)</f>
        <v>606.52834</v>
      </c>
      <c r="G720" s="2" t="str">
        <f t="array" ref="G720">_xlfn.XLOOKUP(B720,Vendedores!$A$2:$A$41,Vendedores!$B$2:$B$41,"No hay datos")</f>
        <v>No hay datos</v>
      </c>
      <c r="H720" s="2" t="str">
        <f t="array" ref="H720">_xlfn.XLOOKUP(B720,Vendedores!$A$2:$A$41,Vendedores!$C$2:$C$41,"No hay datos")</f>
        <v>No hay datos</v>
      </c>
      <c r="I720" s="2" t="str">
        <f t="array" ref="I720">_xlfn.XLOOKUP(B720,Vendedores!$A$2:$A$41,Vendedores!$D$2:$D$41,"No hay datos")</f>
        <v>No hay datos</v>
      </c>
      <c r="J720" s="2" t="str">
        <f t="array" ref="J720">_xlfn.XLOOKUP(A720,Productos!$A$2:$A$61,Productos!$B$2:$F$61)</f>
        <v>#N/A</v>
      </c>
    </row>
    <row r="721">
      <c r="A721" s="2" t="str">
        <f>IFERROR(__xludf.DUMMYFUNCTION("""COMPUTED_VALUE"""),"PR057")</f>
        <v>PR057</v>
      </c>
      <c r="B721" s="2" t="str">
        <f>IFERROR(__xludf.DUMMYFUNCTION("""COMPUTED_VALUE"""),"VD028")</f>
        <v>VD028</v>
      </c>
      <c r="C721" s="2">
        <f>IFERROR(__xludf.DUMMYFUNCTION("""COMPUTED_VALUE"""),6.0)</f>
        <v>6</v>
      </c>
      <c r="D721" s="6">
        <f>IFERROR(__xludf.DUMMYFUNCTION("""COMPUTED_VALUE"""),539.4)</f>
        <v>539.4</v>
      </c>
      <c r="E721" s="6">
        <f>IFERROR(__xludf.DUMMYFUNCTION("GOOGLEFINANCE(""Currency:BRLMXN"")*D721"),1832.3418)</f>
        <v>1832.3418</v>
      </c>
      <c r="F721" s="6">
        <f>IFERROR(__xludf.DUMMYFUNCTION("GOOGLEFINANCE(""Currency:BRLPEN"")*D721"),353.63063999999997)</f>
        <v>353.63064</v>
      </c>
      <c r="G721" s="2" t="str">
        <f t="array" ref="G721">_xlfn.XLOOKUP(B721,Vendedores!$A$2:$A$41,Vendedores!$B$2:$B$41,"No hay datos")</f>
        <v>No hay datos</v>
      </c>
      <c r="H721" s="2" t="str">
        <f t="array" ref="H721">_xlfn.XLOOKUP(B721,Vendedores!$A$2:$A$41,Vendedores!$C$2:$C$41,"No hay datos")</f>
        <v>No hay datos</v>
      </c>
      <c r="I721" s="2" t="str">
        <f t="array" ref="I721">_xlfn.XLOOKUP(B721,Vendedores!$A$2:$A$41,Vendedores!$D$2:$D$41,"No hay datos")</f>
        <v>No hay datos</v>
      </c>
      <c r="J721" s="2" t="str">
        <f t="array" ref="J721">_xlfn.XLOOKUP(A721,Productos!$A$2:$A$61,Productos!$B$2:$F$61)</f>
        <v>#N/A</v>
      </c>
    </row>
    <row r="722">
      <c r="A722" s="2" t="str">
        <f>IFERROR(__xludf.DUMMYFUNCTION("""COMPUTED_VALUE"""),"PR047")</f>
        <v>PR047</v>
      </c>
      <c r="B722" s="2" t="str">
        <f>IFERROR(__xludf.DUMMYFUNCTION("""COMPUTED_VALUE"""),"VD047")</f>
        <v>VD047</v>
      </c>
      <c r="C722" s="2">
        <f>IFERROR(__xludf.DUMMYFUNCTION("""COMPUTED_VALUE"""),8.0)</f>
        <v>8</v>
      </c>
      <c r="D722" s="6">
        <f>IFERROR(__xludf.DUMMYFUNCTION("""COMPUTED_VALUE"""),2458.35)</f>
        <v>2458.35</v>
      </c>
      <c r="E722" s="6">
        <f>IFERROR(__xludf.DUMMYFUNCTION("GOOGLEFINANCE(""Currency:BRLMXN"")*D722"),8351.014949999999)</f>
        <v>8351.01495</v>
      </c>
      <c r="F722" s="6">
        <f>IFERROR(__xludf.DUMMYFUNCTION("GOOGLEFINANCE(""Currency:BRLPEN"")*D722"),1611.6942599999998)</f>
        <v>1611.69426</v>
      </c>
      <c r="G722" s="2" t="str">
        <f t="array" ref="G722">_xlfn.XLOOKUP(B722,Vendedores!$A$2:$A$41,Vendedores!$B$2:$B$41,"No hay datos")</f>
        <v>No hay datos</v>
      </c>
      <c r="H722" s="2" t="str">
        <f t="array" ref="H722">_xlfn.XLOOKUP(B722,Vendedores!$A$2:$A$41,Vendedores!$C$2:$C$41,"No hay datos")</f>
        <v>No hay datos</v>
      </c>
      <c r="I722" s="2" t="str">
        <f t="array" ref="I722">_xlfn.XLOOKUP(B722,Vendedores!$A$2:$A$41,Vendedores!$D$2:$D$41,"No hay datos")</f>
        <v>No hay datos</v>
      </c>
      <c r="J722" s="2" t="str">
        <f t="array" ref="J722">_xlfn.XLOOKUP(A722,Productos!$A$2:$A$61,Productos!$B$2:$F$61)</f>
        <v>#N/A</v>
      </c>
    </row>
    <row r="723">
      <c r="A723" s="2" t="str">
        <f>IFERROR(__xludf.DUMMYFUNCTION("""COMPUTED_VALUE"""),"PR012")</f>
        <v>PR012</v>
      </c>
      <c r="B723" s="2" t="str">
        <f>IFERROR(__xludf.DUMMYFUNCTION("""COMPUTED_VALUE"""),"VD042")</f>
        <v>VD042</v>
      </c>
      <c r="C723" s="2">
        <f>IFERROR(__xludf.DUMMYFUNCTION("""COMPUTED_VALUE"""),16.0)</f>
        <v>16</v>
      </c>
      <c r="D723" s="6">
        <f>IFERROR(__xludf.DUMMYFUNCTION("""COMPUTED_VALUE"""),837.17)</f>
        <v>837.17</v>
      </c>
      <c r="E723" s="6">
        <f>IFERROR(__xludf.DUMMYFUNCTION("GOOGLEFINANCE(""Currency:BRLMXN"")*D723"),2843.86649)</f>
        <v>2843.86649</v>
      </c>
      <c r="F723" s="6">
        <f>IFERROR(__xludf.DUMMYFUNCTION("GOOGLEFINANCE(""Currency:BRLPEN"")*D723"),548.8486519999999)</f>
        <v>548.848652</v>
      </c>
      <c r="G723" s="2" t="str">
        <f t="array" ref="G723">_xlfn.XLOOKUP(B723,Vendedores!$A$2:$A$41,Vendedores!$B$2:$B$41,"No hay datos")</f>
        <v>No hay datos</v>
      </c>
      <c r="H723" s="2" t="str">
        <f t="array" ref="H723">_xlfn.XLOOKUP(B723,Vendedores!$A$2:$A$41,Vendedores!$C$2:$C$41,"No hay datos")</f>
        <v>No hay datos</v>
      </c>
      <c r="I723" s="2" t="str">
        <f t="array" ref="I723">_xlfn.XLOOKUP(B723,Vendedores!$A$2:$A$41,Vendedores!$D$2:$D$41,"No hay datos")</f>
        <v>No hay datos</v>
      </c>
      <c r="J723" s="2" t="str">
        <f t="array" ref="J723">_xlfn.XLOOKUP(A723,Productos!$A$2:$A$61,Productos!$B$2:$F$61)</f>
        <v>#N/A</v>
      </c>
    </row>
    <row r="724">
      <c r="A724" s="2" t="str">
        <f>IFERROR(__xludf.DUMMYFUNCTION("""COMPUTED_VALUE"""),"PR016")</f>
        <v>PR016</v>
      </c>
      <c r="B724" s="2" t="str">
        <f>IFERROR(__xludf.DUMMYFUNCTION("""COMPUTED_VALUE"""),"VD048")</f>
        <v>VD048</v>
      </c>
      <c r="C724" s="2">
        <f>IFERROR(__xludf.DUMMYFUNCTION("""COMPUTED_VALUE"""),14.0)</f>
        <v>14</v>
      </c>
      <c r="D724" s="6">
        <f>IFERROR(__xludf.DUMMYFUNCTION("""COMPUTED_VALUE"""),391.61)</f>
        <v>391.61</v>
      </c>
      <c r="E724" s="6">
        <f>IFERROR(__xludf.DUMMYFUNCTION("GOOGLEFINANCE(""Currency:BRLMXN"")*D724"),1330.29917)</f>
        <v>1330.29917</v>
      </c>
      <c r="F724" s="6">
        <f>IFERROR(__xludf.DUMMYFUNCTION("GOOGLEFINANCE(""Currency:BRLPEN"")*D724"),256.739516)</f>
        <v>256.739516</v>
      </c>
      <c r="G724" s="2" t="str">
        <f t="array" ref="G724">_xlfn.XLOOKUP(B724,Vendedores!$A$2:$A$41,Vendedores!$B$2:$B$41,"No hay datos")</f>
        <v>No hay datos</v>
      </c>
      <c r="H724" s="2" t="str">
        <f t="array" ref="H724">_xlfn.XLOOKUP(B724,Vendedores!$A$2:$A$41,Vendedores!$C$2:$C$41,"No hay datos")</f>
        <v>No hay datos</v>
      </c>
      <c r="I724" s="2" t="str">
        <f t="array" ref="I724">_xlfn.XLOOKUP(B724,Vendedores!$A$2:$A$41,Vendedores!$D$2:$D$41,"No hay datos")</f>
        <v>No hay datos</v>
      </c>
      <c r="J724" s="2" t="str">
        <f t="array" ref="J724">_xlfn.XLOOKUP(A724,Productos!$A$2:$A$61,Productos!$B$2:$F$61)</f>
        <v>#N/A</v>
      </c>
    </row>
    <row r="725">
      <c r="A725" s="2" t="str">
        <f>IFERROR(__xludf.DUMMYFUNCTION("""COMPUTED_VALUE"""),"PR047")</f>
        <v>PR047</v>
      </c>
      <c r="B725" s="2" t="str">
        <f>IFERROR(__xludf.DUMMYFUNCTION("""COMPUTED_VALUE"""),"VD049")</f>
        <v>VD049</v>
      </c>
      <c r="C725" s="2">
        <f>IFERROR(__xludf.DUMMYFUNCTION("""COMPUTED_VALUE"""),2.0)</f>
        <v>2</v>
      </c>
      <c r="D725" s="6">
        <f>IFERROR(__xludf.DUMMYFUNCTION("""COMPUTED_VALUE"""),620.39)</f>
        <v>620.39</v>
      </c>
      <c r="E725" s="6">
        <f>IFERROR(__xludf.DUMMYFUNCTION("GOOGLEFINANCE(""Currency:BRLMXN"")*D725"),2107.46483)</f>
        <v>2107.46483</v>
      </c>
      <c r="F725" s="6">
        <f>IFERROR(__xludf.DUMMYFUNCTION("GOOGLEFINANCE(""Currency:BRLPEN"")*D725"),406.72768399999995)</f>
        <v>406.727684</v>
      </c>
      <c r="G725" s="2" t="str">
        <f t="array" ref="G725">_xlfn.XLOOKUP(B725,Vendedores!$A$2:$A$41,Vendedores!$B$2:$B$41,"No hay datos")</f>
        <v>No hay datos</v>
      </c>
      <c r="H725" s="2" t="str">
        <f t="array" ref="H725">_xlfn.XLOOKUP(B725,Vendedores!$A$2:$A$41,Vendedores!$C$2:$C$41,"No hay datos")</f>
        <v>No hay datos</v>
      </c>
      <c r="I725" s="2" t="str">
        <f t="array" ref="I725">_xlfn.XLOOKUP(B725,Vendedores!$A$2:$A$41,Vendedores!$D$2:$D$41,"No hay datos")</f>
        <v>No hay datos</v>
      </c>
      <c r="J725" s="2" t="str">
        <f t="array" ref="J725">_xlfn.XLOOKUP(A725,Productos!$A$2:$A$61,Productos!$B$2:$F$61)</f>
        <v>#N/A</v>
      </c>
    </row>
    <row r="726">
      <c r="A726" s="2" t="str">
        <f>IFERROR(__xludf.DUMMYFUNCTION("""COMPUTED_VALUE"""),"PR048")</f>
        <v>PR048</v>
      </c>
      <c r="B726" s="2" t="str">
        <f>IFERROR(__xludf.DUMMYFUNCTION("""COMPUTED_VALUE"""),"VD036")</f>
        <v>VD036</v>
      </c>
      <c r="C726" s="2">
        <f>IFERROR(__xludf.DUMMYFUNCTION("""COMPUTED_VALUE"""),4.0)</f>
        <v>4</v>
      </c>
      <c r="D726" s="6">
        <f>IFERROR(__xludf.DUMMYFUNCTION("""COMPUTED_VALUE"""),1275.56)</f>
        <v>1275.56</v>
      </c>
      <c r="E726" s="6">
        <f>IFERROR(__xludf.DUMMYFUNCTION("GOOGLEFINANCE(""Currency:BRLMXN"")*D726"),4333.077319999999)</f>
        <v>4333.07732</v>
      </c>
      <c r="F726" s="6">
        <f>IFERROR(__xludf.DUMMYFUNCTION("GOOGLEFINANCE(""Currency:BRLPEN"")*D726"),836.257136)</f>
        <v>836.257136</v>
      </c>
      <c r="G726" s="2" t="str">
        <f t="array" ref="G726">_xlfn.XLOOKUP(B726,Vendedores!$A$2:$A$41,Vendedores!$B$2:$B$41,"No hay datos")</f>
        <v>No hay datos</v>
      </c>
      <c r="H726" s="2" t="str">
        <f t="array" ref="H726">_xlfn.XLOOKUP(B726,Vendedores!$A$2:$A$41,Vendedores!$C$2:$C$41,"No hay datos")</f>
        <v>No hay datos</v>
      </c>
      <c r="I726" s="2" t="str">
        <f t="array" ref="I726">_xlfn.XLOOKUP(B726,Vendedores!$A$2:$A$41,Vendedores!$D$2:$D$41,"No hay datos")</f>
        <v>No hay datos</v>
      </c>
      <c r="J726" s="2" t="str">
        <f t="array" ref="J726">_xlfn.XLOOKUP(A726,Productos!$A$2:$A$61,Productos!$B$2:$F$61)</f>
        <v>#N/A</v>
      </c>
    </row>
    <row r="727">
      <c r="A727" s="2" t="str">
        <f>IFERROR(__xludf.DUMMYFUNCTION("""COMPUTED_VALUE"""),"PR020")</f>
        <v>PR020</v>
      </c>
      <c r="B727" s="2" t="str">
        <f>IFERROR(__xludf.DUMMYFUNCTION("""COMPUTED_VALUE"""),"VD038")</f>
        <v>VD038</v>
      </c>
      <c r="C727" s="2">
        <f>IFERROR(__xludf.DUMMYFUNCTION("""COMPUTED_VALUE"""),4.0)</f>
        <v>4</v>
      </c>
      <c r="D727" s="6">
        <f>IFERROR(__xludf.DUMMYFUNCTION("""COMPUTED_VALUE"""),1235.59)</f>
        <v>1235.59</v>
      </c>
      <c r="E727" s="6">
        <f>IFERROR(__xludf.DUMMYFUNCTION("GOOGLEFINANCE(""Currency:BRLMXN"")*D727"),4197.29923)</f>
        <v>4197.29923</v>
      </c>
      <c r="F727" s="6">
        <f>IFERROR(__xludf.DUMMYFUNCTION("GOOGLEFINANCE(""Currency:BRLPEN"")*D727"),810.0528039999999)</f>
        <v>810.052804</v>
      </c>
      <c r="G727" s="2" t="str">
        <f t="array" ref="G727">_xlfn.XLOOKUP(B727,Vendedores!$A$2:$A$41,Vendedores!$B$2:$B$41,"No hay datos")</f>
        <v>No hay datos</v>
      </c>
      <c r="H727" s="2" t="str">
        <f t="array" ref="H727">_xlfn.XLOOKUP(B727,Vendedores!$A$2:$A$41,Vendedores!$C$2:$C$41,"No hay datos")</f>
        <v>No hay datos</v>
      </c>
      <c r="I727" s="2" t="str">
        <f t="array" ref="I727">_xlfn.XLOOKUP(B727,Vendedores!$A$2:$A$41,Vendedores!$D$2:$D$41,"No hay datos")</f>
        <v>No hay datos</v>
      </c>
      <c r="J727" s="2" t="str">
        <f t="array" ref="J727">_xlfn.XLOOKUP(A727,Productos!$A$2:$A$61,Productos!$B$2:$F$61)</f>
        <v>#N/A</v>
      </c>
    </row>
    <row r="728">
      <c r="A728" s="2" t="str">
        <f>IFERROR(__xludf.DUMMYFUNCTION("""COMPUTED_VALUE"""),"PR011")</f>
        <v>PR011</v>
      </c>
      <c r="B728" s="2" t="str">
        <f>IFERROR(__xludf.DUMMYFUNCTION("""COMPUTED_VALUE"""),"VD018")</f>
        <v>VD018</v>
      </c>
      <c r="C728" s="2">
        <f>IFERROR(__xludf.DUMMYFUNCTION("""COMPUTED_VALUE"""),6.0)</f>
        <v>6</v>
      </c>
      <c r="D728" s="6">
        <f>IFERROR(__xludf.DUMMYFUNCTION("""COMPUTED_VALUE"""),309.54)</f>
        <v>309.54</v>
      </c>
      <c r="E728" s="6">
        <f>IFERROR(__xludf.DUMMYFUNCTION("GOOGLEFINANCE(""Currency:BRLMXN"")*D728"),1051.50738)</f>
        <v>1051.50738</v>
      </c>
      <c r="F728" s="6">
        <f>IFERROR(__xludf.DUMMYFUNCTION("GOOGLEFINANCE(""Currency:BRLPEN"")*D728"),202.934424)</f>
        <v>202.934424</v>
      </c>
      <c r="G728" s="2" t="str">
        <f t="array" ref="G728">_xlfn.XLOOKUP(B728,Vendedores!$A$2:$A$41,Vendedores!$B$2:$B$41,"No hay datos")</f>
        <v>No hay datos</v>
      </c>
      <c r="H728" s="2" t="str">
        <f t="array" ref="H728">_xlfn.XLOOKUP(B728,Vendedores!$A$2:$A$41,Vendedores!$C$2:$C$41,"No hay datos")</f>
        <v>No hay datos</v>
      </c>
      <c r="I728" s="2" t="str">
        <f t="array" ref="I728">_xlfn.XLOOKUP(B728,Vendedores!$A$2:$A$41,Vendedores!$D$2:$D$41,"No hay datos")</f>
        <v>No hay datos</v>
      </c>
      <c r="J728" s="2" t="str">
        <f t="array" ref="J728">_xlfn.XLOOKUP(A728,Productos!$A$2:$A$61,Productos!$B$2:$F$61)</f>
        <v>#N/A</v>
      </c>
    </row>
    <row r="729">
      <c r="A729" s="2" t="str">
        <f>IFERROR(__xludf.DUMMYFUNCTION("""COMPUTED_VALUE"""),"PR049")</f>
        <v>PR049</v>
      </c>
      <c r="B729" s="2" t="str">
        <f>IFERROR(__xludf.DUMMYFUNCTION("""COMPUTED_VALUE"""),"VD043")</f>
        <v>VD043</v>
      </c>
      <c r="C729" s="2">
        <f>IFERROR(__xludf.DUMMYFUNCTION("""COMPUTED_VALUE"""),7.0)</f>
        <v>7</v>
      </c>
      <c r="D729" s="6">
        <f>IFERROR(__xludf.DUMMYFUNCTION("""COMPUTED_VALUE"""),244.12)</f>
        <v>244.12</v>
      </c>
      <c r="E729" s="6">
        <f>IFERROR(__xludf.DUMMYFUNCTION("GOOGLEFINANCE(""Currency:BRLMXN"")*D729"),829.27564)</f>
        <v>829.27564</v>
      </c>
      <c r="F729" s="6">
        <f>IFERROR(__xludf.DUMMYFUNCTION("GOOGLEFINANCE(""Currency:BRLPEN"")*D729"),160.045072)</f>
        <v>160.045072</v>
      </c>
      <c r="G729" s="2" t="str">
        <f t="array" ref="G729">_xlfn.XLOOKUP(B729,Vendedores!$A$2:$A$41,Vendedores!$B$2:$B$41,"No hay datos")</f>
        <v>No hay datos</v>
      </c>
      <c r="H729" s="2" t="str">
        <f t="array" ref="H729">_xlfn.XLOOKUP(B729,Vendedores!$A$2:$A$41,Vendedores!$C$2:$C$41,"No hay datos")</f>
        <v>No hay datos</v>
      </c>
      <c r="I729" s="2" t="str">
        <f t="array" ref="I729">_xlfn.XLOOKUP(B729,Vendedores!$A$2:$A$41,Vendedores!$D$2:$D$41,"No hay datos")</f>
        <v>No hay datos</v>
      </c>
      <c r="J729" s="2" t="str">
        <f t="array" ref="J729">_xlfn.XLOOKUP(A729,Productos!$A$2:$A$61,Productos!$B$2:$F$61)</f>
        <v>#N/A</v>
      </c>
    </row>
    <row r="730">
      <c r="A730" s="2" t="str">
        <f>IFERROR(__xludf.DUMMYFUNCTION("""COMPUTED_VALUE"""),"PR018")</f>
        <v>PR018</v>
      </c>
      <c r="B730" s="2" t="str">
        <f>IFERROR(__xludf.DUMMYFUNCTION("""COMPUTED_VALUE"""),"VD033")</f>
        <v>VD033</v>
      </c>
      <c r="C730" s="2">
        <f>IFERROR(__xludf.DUMMYFUNCTION("""COMPUTED_VALUE"""),4.0)</f>
        <v>4</v>
      </c>
      <c r="D730" s="6">
        <f>IFERROR(__xludf.DUMMYFUNCTION("""COMPUTED_VALUE"""),135.55)</f>
        <v>135.55</v>
      </c>
      <c r="E730" s="6">
        <f>IFERROR(__xludf.DUMMYFUNCTION("GOOGLEFINANCE(""Currency:BRLMXN"")*D730"),460.46335)</f>
        <v>460.46335</v>
      </c>
      <c r="F730" s="6">
        <f>IFERROR(__xludf.DUMMYFUNCTION("GOOGLEFINANCE(""Currency:BRLPEN"")*D730"),88.86658)</f>
        <v>88.86658</v>
      </c>
      <c r="G730" s="2" t="str">
        <f t="array" ref="G730">_xlfn.XLOOKUP(B730,Vendedores!$A$2:$A$41,Vendedores!$B$2:$B$41,"No hay datos")</f>
        <v>No hay datos</v>
      </c>
      <c r="H730" s="2" t="str">
        <f t="array" ref="H730">_xlfn.XLOOKUP(B730,Vendedores!$A$2:$A$41,Vendedores!$C$2:$C$41,"No hay datos")</f>
        <v>No hay datos</v>
      </c>
      <c r="I730" s="2" t="str">
        <f t="array" ref="I730">_xlfn.XLOOKUP(B730,Vendedores!$A$2:$A$41,Vendedores!$D$2:$D$41,"No hay datos")</f>
        <v>No hay datos</v>
      </c>
      <c r="J730" s="2" t="str">
        <f t="array" ref="J730">_xlfn.XLOOKUP(A730,Productos!$A$2:$A$61,Productos!$B$2:$F$61)</f>
        <v>#N/A</v>
      </c>
    </row>
    <row r="731">
      <c r="A731" s="2" t="str">
        <f>IFERROR(__xludf.DUMMYFUNCTION("""COMPUTED_VALUE"""),"PR051")</f>
        <v>PR051</v>
      </c>
      <c r="B731" s="2" t="str">
        <f>IFERROR(__xludf.DUMMYFUNCTION("""COMPUTED_VALUE"""),"VD010")</f>
        <v>VD010</v>
      </c>
      <c r="C731" s="2">
        <f>IFERROR(__xludf.DUMMYFUNCTION("""COMPUTED_VALUE"""),9.0)</f>
        <v>9</v>
      </c>
      <c r="D731" s="6">
        <f>IFERROR(__xludf.DUMMYFUNCTION("""COMPUTED_VALUE"""),296.1)</f>
        <v>296.1</v>
      </c>
      <c r="E731" s="6">
        <f>IFERROR(__xludf.DUMMYFUNCTION("GOOGLEFINANCE(""Currency:BRLMXN"")*D731"),1005.8517)</f>
        <v>1005.8517</v>
      </c>
      <c r="F731" s="6">
        <f>IFERROR(__xludf.DUMMYFUNCTION("GOOGLEFINANCE(""Currency:BRLPEN"")*D731"),194.12316)</f>
        <v>194.12316</v>
      </c>
      <c r="G731" s="2" t="str">
        <f t="array" ref="G731">_xlfn.XLOOKUP(B731,Vendedores!$A$2:$A$41,Vendedores!$B$2:$B$41,"No hay datos")</f>
        <v>No hay datos</v>
      </c>
      <c r="H731" s="2" t="str">
        <f t="array" ref="H731">_xlfn.XLOOKUP(B731,Vendedores!$A$2:$A$41,Vendedores!$C$2:$C$41,"No hay datos")</f>
        <v>No hay datos</v>
      </c>
      <c r="I731" s="2" t="str">
        <f t="array" ref="I731">_xlfn.XLOOKUP(B731,Vendedores!$A$2:$A$41,Vendedores!$D$2:$D$41,"No hay datos")</f>
        <v>No hay datos</v>
      </c>
      <c r="J731" s="2" t="str">
        <f t="array" ref="J731">_xlfn.XLOOKUP(A731,Productos!$A$2:$A$61,Productos!$B$2:$F$61)</f>
        <v>#N/A</v>
      </c>
    </row>
    <row r="732">
      <c r="A732" s="2" t="str">
        <f>IFERROR(__xludf.DUMMYFUNCTION("""COMPUTED_VALUE"""),"PR007")</f>
        <v>PR007</v>
      </c>
      <c r="B732" s="2" t="str">
        <f>IFERROR(__xludf.DUMMYFUNCTION("""COMPUTED_VALUE"""),"VD041")</f>
        <v>VD041</v>
      </c>
      <c r="C732" s="2">
        <f>IFERROR(__xludf.DUMMYFUNCTION("""COMPUTED_VALUE"""),4.0)</f>
        <v>4</v>
      </c>
      <c r="D732" s="6">
        <f>IFERROR(__xludf.DUMMYFUNCTION("""COMPUTED_VALUE"""),353.91)</f>
        <v>353.91</v>
      </c>
      <c r="E732" s="6">
        <f>IFERROR(__xludf.DUMMYFUNCTION("GOOGLEFINANCE(""Currency:BRLMXN"")*D732"),1202.23227)</f>
        <v>1202.23227</v>
      </c>
      <c r="F732" s="6">
        <f>IFERROR(__xludf.DUMMYFUNCTION("GOOGLEFINANCE(""Currency:BRLPEN"")*D732"),232.023396)</f>
        <v>232.023396</v>
      </c>
      <c r="G732" s="2" t="str">
        <f t="array" ref="G732">_xlfn.XLOOKUP(B732,Vendedores!$A$2:$A$41,Vendedores!$B$2:$B$41,"No hay datos")</f>
        <v>No hay datos</v>
      </c>
      <c r="H732" s="2" t="str">
        <f t="array" ref="H732">_xlfn.XLOOKUP(B732,Vendedores!$A$2:$A$41,Vendedores!$C$2:$C$41,"No hay datos")</f>
        <v>No hay datos</v>
      </c>
      <c r="I732" s="2" t="str">
        <f t="array" ref="I732">_xlfn.XLOOKUP(B732,Vendedores!$A$2:$A$41,Vendedores!$D$2:$D$41,"No hay datos")</f>
        <v>No hay datos</v>
      </c>
      <c r="J732" s="2" t="str">
        <f t="array" ref="J732">_xlfn.XLOOKUP(A732,Productos!$A$2:$A$61,Productos!$B$2:$F$61)</f>
        <v>#N/A</v>
      </c>
    </row>
    <row r="733">
      <c r="A733" s="2" t="str">
        <f>IFERROR(__xludf.DUMMYFUNCTION("""COMPUTED_VALUE"""),"PR008")</f>
        <v>PR008</v>
      </c>
      <c r="B733" s="2" t="str">
        <f>IFERROR(__xludf.DUMMYFUNCTION("""COMPUTED_VALUE"""),"VD046")</f>
        <v>VD046</v>
      </c>
      <c r="C733" s="2">
        <f>IFERROR(__xludf.DUMMYFUNCTION("""COMPUTED_VALUE"""),3.0)</f>
        <v>3</v>
      </c>
      <c r="D733" s="6">
        <f>IFERROR(__xludf.DUMMYFUNCTION("""COMPUTED_VALUE"""),288.58)</f>
        <v>288.58</v>
      </c>
      <c r="E733" s="6">
        <f>IFERROR(__xludf.DUMMYFUNCTION("GOOGLEFINANCE(""Currency:BRLMXN"")*D733"),980.3062599999998)</f>
        <v>980.30626</v>
      </c>
      <c r="F733" s="6">
        <f>IFERROR(__xludf.DUMMYFUNCTION("GOOGLEFINANCE(""Currency:BRLPEN"")*D733"),189.19304799999998)</f>
        <v>189.193048</v>
      </c>
      <c r="G733" s="2" t="str">
        <f t="array" ref="G733">_xlfn.XLOOKUP(B733,Vendedores!$A$2:$A$41,Vendedores!$B$2:$B$41,"No hay datos")</f>
        <v>No hay datos</v>
      </c>
      <c r="H733" s="2" t="str">
        <f t="array" ref="H733">_xlfn.XLOOKUP(B733,Vendedores!$A$2:$A$41,Vendedores!$C$2:$C$41,"No hay datos")</f>
        <v>No hay datos</v>
      </c>
      <c r="I733" s="2" t="str">
        <f t="array" ref="I733">_xlfn.XLOOKUP(B733,Vendedores!$A$2:$A$41,Vendedores!$D$2:$D$41,"No hay datos")</f>
        <v>No hay datos</v>
      </c>
      <c r="J733" s="2" t="str">
        <f t="array" ref="J733">_xlfn.XLOOKUP(A733,Productos!$A$2:$A$61,Productos!$B$2:$F$61)</f>
        <v>#N/A</v>
      </c>
    </row>
    <row r="734">
      <c r="A734" s="2" t="str">
        <f>IFERROR(__xludf.DUMMYFUNCTION("""COMPUTED_VALUE"""),"PR053")</f>
        <v>PR053</v>
      </c>
      <c r="B734" s="2" t="str">
        <f>IFERROR(__xludf.DUMMYFUNCTION("""COMPUTED_VALUE"""),"VD029")</f>
        <v>VD029</v>
      </c>
      <c r="C734" s="2">
        <f>IFERROR(__xludf.DUMMYFUNCTION("""COMPUTED_VALUE"""),8.0)</f>
        <v>8</v>
      </c>
      <c r="D734" s="6">
        <f>IFERROR(__xludf.DUMMYFUNCTION("""COMPUTED_VALUE"""),415.17)</f>
        <v>415.17</v>
      </c>
      <c r="E734" s="6">
        <f>IFERROR(__xludf.DUMMYFUNCTION("GOOGLEFINANCE(""Currency:BRLMXN"")*D734"),1410.33249)</f>
        <v>1410.33249</v>
      </c>
      <c r="F734" s="6">
        <f>IFERROR(__xludf.DUMMYFUNCTION("GOOGLEFINANCE(""Currency:BRLPEN"")*D734"),272.185452)</f>
        <v>272.185452</v>
      </c>
      <c r="G734" s="2" t="str">
        <f t="array" ref="G734">_xlfn.XLOOKUP(B734,Vendedores!$A$2:$A$41,Vendedores!$B$2:$B$41,"No hay datos")</f>
        <v>No hay datos</v>
      </c>
      <c r="H734" s="2" t="str">
        <f t="array" ref="H734">_xlfn.XLOOKUP(B734,Vendedores!$A$2:$A$41,Vendedores!$C$2:$C$41,"No hay datos")</f>
        <v>No hay datos</v>
      </c>
      <c r="I734" s="2" t="str">
        <f t="array" ref="I734">_xlfn.XLOOKUP(B734,Vendedores!$A$2:$A$41,Vendedores!$D$2:$D$41,"No hay datos")</f>
        <v>No hay datos</v>
      </c>
      <c r="J734" s="2" t="str">
        <f t="array" ref="J734">_xlfn.XLOOKUP(A734,Productos!$A$2:$A$61,Productos!$B$2:$F$61)</f>
        <v>#N/A</v>
      </c>
    </row>
    <row r="735">
      <c r="A735" s="2" t="str">
        <f>IFERROR(__xludf.DUMMYFUNCTION("""COMPUTED_VALUE"""),"PR060")</f>
        <v>PR060</v>
      </c>
      <c r="B735" s="2" t="str">
        <f>IFERROR(__xludf.DUMMYFUNCTION("""COMPUTED_VALUE"""),"VD015")</f>
        <v>VD015</v>
      </c>
      <c r="C735" s="2">
        <f>IFERROR(__xludf.DUMMYFUNCTION("""COMPUTED_VALUE"""),20.0)</f>
        <v>20</v>
      </c>
      <c r="D735" s="6">
        <f>IFERROR(__xludf.DUMMYFUNCTION("""COMPUTED_VALUE"""),3744.0)</f>
        <v>3744</v>
      </c>
      <c r="E735" s="6">
        <f>IFERROR(__xludf.DUMMYFUNCTION("GOOGLEFINANCE(""Currency:BRLMXN"")*D735"),12718.367999999999)</f>
        <v>12718.368</v>
      </c>
      <c r="F735" s="6">
        <f>IFERROR(__xludf.DUMMYFUNCTION("GOOGLEFINANCE(""Currency:BRLPEN"")*D735"),2454.5663999999997)</f>
        <v>2454.5664</v>
      </c>
      <c r="G735" s="2" t="str">
        <f t="array" ref="G735">_xlfn.XLOOKUP(B735,Vendedores!$A$2:$A$41,Vendedores!$B$2:$B$41,"No hay datos")</f>
        <v>No hay datos</v>
      </c>
      <c r="H735" s="2" t="str">
        <f t="array" ref="H735">_xlfn.XLOOKUP(B735,Vendedores!$A$2:$A$41,Vendedores!$C$2:$C$41,"No hay datos")</f>
        <v>No hay datos</v>
      </c>
      <c r="I735" s="2" t="str">
        <f t="array" ref="I735">_xlfn.XLOOKUP(B735,Vendedores!$A$2:$A$41,Vendedores!$D$2:$D$41,"No hay datos")</f>
        <v>No hay datos</v>
      </c>
      <c r="J735" s="2" t="str">
        <f t="array" ref="J735">_xlfn.XLOOKUP(A735,Productos!$A$2:$A$61,Productos!$B$2:$F$61)</f>
        <v>#N/A</v>
      </c>
    </row>
    <row r="736">
      <c r="A736" s="2" t="str">
        <f>IFERROR(__xludf.DUMMYFUNCTION("""COMPUTED_VALUE"""),"PR037")</f>
        <v>PR037</v>
      </c>
      <c r="B736" s="2" t="str">
        <f>IFERROR(__xludf.DUMMYFUNCTION("""COMPUTED_VALUE"""),"VD040")</f>
        <v>VD040</v>
      </c>
      <c r="C736" s="2">
        <f>IFERROR(__xludf.DUMMYFUNCTION("""COMPUTED_VALUE"""),9.0)</f>
        <v>9</v>
      </c>
      <c r="D736" s="6">
        <f>IFERROR(__xludf.DUMMYFUNCTION("""COMPUTED_VALUE"""),1335.6)</f>
        <v>1335.6</v>
      </c>
      <c r="E736" s="6">
        <f>IFERROR(__xludf.DUMMYFUNCTION("GOOGLEFINANCE(""Currency:BRLMXN"")*D736"),4537.0332)</f>
        <v>4537.0332</v>
      </c>
      <c r="F736" s="6">
        <f>IFERROR(__xludf.DUMMYFUNCTION("GOOGLEFINANCE(""Currency:BRLPEN"")*D736"),875.6193599999999)</f>
        <v>875.61936</v>
      </c>
      <c r="G736" s="2" t="str">
        <f t="array" ref="G736">_xlfn.XLOOKUP(B736,Vendedores!$A$2:$A$41,Vendedores!$B$2:$B$41,"No hay datos")</f>
        <v>No hay datos</v>
      </c>
      <c r="H736" s="2" t="str">
        <f t="array" ref="H736">_xlfn.XLOOKUP(B736,Vendedores!$A$2:$A$41,Vendedores!$C$2:$C$41,"No hay datos")</f>
        <v>No hay datos</v>
      </c>
      <c r="I736" s="2" t="str">
        <f t="array" ref="I736">_xlfn.XLOOKUP(B736,Vendedores!$A$2:$A$41,Vendedores!$D$2:$D$41,"No hay datos")</f>
        <v>No hay datos</v>
      </c>
      <c r="J736" s="2" t="str">
        <f t="array" ref="J736">_xlfn.XLOOKUP(A736,Productos!$A$2:$A$61,Productos!$B$2:$F$61)</f>
        <v>#N/A</v>
      </c>
    </row>
    <row r="737">
      <c r="A737" s="2" t="str">
        <f>IFERROR(__xludf.DUMMYFUNCTION("""COMPUTED_VALUE"""),"PR050")</f>
        <v>PR050</v>
      </c>
      <c r="B737" s="2" t="str">
        <f>IFERROR(__xludf.DUMMYFUNCTION("""COMPUTED_VALUE"""),"VD028")</f>
        <v>VD028</v>
      </c>
      <c r="C737" s="2">
        <f>IFERROR(__xludf.DUMMYFUNCTION("""COMPUTED_VALUE"""),2.0)</f>
        <v>2</v>
      </c>
      <c r="D737" s="6">
        <f>IFERROR(__xludf.DUMMYFUNCTION("""COMPUTED_VALUE"""),66.46)</f>
        <v>66.46</v>
      </c>
      <c r="E737" s="6">
        <f>IFERROR(__xludf.DUMMYFUNCTION("GOOGLEFINANCE(""Currency:BRLMXN"")*D737"),225.76461999999998)</f>
        <v>225.76462</v>
      </c>
      <c r="F737" s="6">
        <f>IFERROR(__xludf.DUMMYFUNCTION("GOOGLEFINANCE(""Currency:BRLPEN"")*D737"),43.571175999999994)</f>
        <v>43.571176</v>
      </c>
      <c r="G737" s="2" t="str">
        <f t="array" ref="G737">_xlfn.XLOOKUP(B737,Vendedores!$A$2:$A$41,Vendedores!$B$2:$B$41,"No hay datos")</f>
        <v>No hay datos</v>
      </c>
      <c r="H737" s="2" t="str">
        <f t="array" ref="H737">_xlfn.XLOOKUP(B737,Vendedores!$A$2:$A$41,Vendedores!$C$2:$C$41,"No hay datos")</f>
        <v>No hay datos</v>
      </c>
      <c r="I737" s="2" t="str">
        <f t="array" ref="I737">_xlfn.XLOOKUP(B737,Vendedores!$A$2:$A$41,Vendedores!$D$2:$D$41,"No hay datos")</f>
        <v>No hay datos</v>
      </c>
      <c r="J737" s="2" t="str">
        <f t="array" ref="J737">_xlfn.XLOOKUP(A737,Productos!$A$2:$A$61,Productos!$B$2:$F$61)</f>
        <v>#N/A</v>
      </c>
    </row>
    <row r="738">
      <c r="A738" s="2" t="str">
        <f>IFERROR(__xludf.DUMMYFUNCTION("""COMPUTED_VALUE"""),"PR013")</f>
        <v>PR013</v>
      </c>
      <c r="B738" s="2" t="str">
        <f>IFERROR(__xludf.DUMMYFUNCTION("""COMPUTED_VALUE"""),"VD017")</f>
        <v>VD017</v>
      </c>
      <c r="C738" s="2">
        <f>IFERROR(__xludf.DUMMYFUNCTION("""COMPUTED_VALUE"""),8.0)</f>
        <v>8</v>
      </c>
      <c r="D738" s="6">
        <f>IFERROR(__xludf.DUMMYFUNCTION("""COMPUTED_VALUE"""),351.12)</f>
        <v>351.12</v>
      </c>
      <c r="E738" s="6">
        <f>IFERROR(__xludf.DUMMYFUNCTION("GOOGLEFINANCE(""Currency:BRLMXN"")*D738"),1192.7546399999999)</f>
        <v>1192.75464</v>
      </c>
      <c r="F738" s="6">
        <f>IFERROR(__xludf.DUMMYFUNCTION("GOOGLEFINANCE(""Currency:BRLPEN"")*D738"),230.19427199999998)</f>
        <v>230.194272</v>
      </c>
      <c r="G738" s="2" t="str">
        <f t="array" ref="G738">_xlfn.XLOOKUP(B738,Vendedores!$A$2:$A$41,Vendedores!$B$2:$B$41,"No hay datos")</f>
        <v>No hay datos</v>
      </c>
      <c r="H738" s="2" t="str">
        <f t="array" ref="H738">_xlfn.XLOOKUP(B738,Vendedores!$A$2:$A$41,Vendedores!$C$2:$C$41,"No hay datos")</f>
        <v>No hay datos</v>
      </c>
      <c r="I738" s="2" t="str">
        <f t="array" ref="I738">_xlfn.XLOOKUP(B738,Vendedores!$A$2:$A$41,Vendedores!$D$2:$D$41,"No hay datos")</f>
        <v>No hay datos</v>
      </c>
      <c r="J738" s="2" t="str">
        <f t="array" ref="J738">_xlfn.XLOOKUP(A738,Productos!$A$2:$A$61,Productos!$B$2:$F$61)</f>
        <v>#N/A</v>
      </c>
    </row>
    <row r="739">
      <c r="A739" s="2" t="str">
        <f>IFERROR(__xludf.DUMMYFUNCTION("""COMPUTED_VALUE"""),"PR024")</f>
        <v>PR024</v>
      </c>
      <c r="B739" s="2" t="str">
        <f>IFERROR(__xludf.DUMMYFUNCTION("""COMPUTED_VALUE"""),"VD043")</f>
        <v>VD043</v>
      </c>
      <c r="C739" s="2">
        <f>IFERROR(__xludf.DUMMYFUNCTION("""COMPUTED_VALUE"""),10.0)</f>
        <v>10</v>
      </c>
      <c r="D739" s="6">
        <f>IFERROR(__xludf.DUMMYFUNCTION("""COMPUTED_VALUE"""),2650.98)</f>
        <v>2650.98</v>
      </c>
      <c r="E739" s="6">
        <f>IFERROR(__xludf.DUMMYFUNCTION("GOOGLEFINANCE(""Currency:BRLMXN"")*D739"),9005.37906)</f>
        <v>9005.37906</v>
      </c>
      <c r="F739" s="6">
        <f>IFERROR(__xludf.DUMMYFUNCTION("GOOGLEFINANCE(""Currency:BRLPEN"")*D739"),1737.9824879999999)</f>
        <v>1737.982488</v>
      </c>
      <c r="G739" s="2" t="str">
        <f t="array" ref="G739">_xlfn.XLOOKUP(B739,Vendedores!$A$2:$A$41,Vendedores!$B$2:$B$41,"No hay datos")</f>
        <v>No hay datos</v>
      </c>
      <c r="H739" s="2" t="str">
        <f t="array" ref="H739">_xlfn.XLOOKUP(B739,Vendedores!$A$2:$A$41,Vendedores!$C$2:$C$41,"No hay datos")</f>
        <v>No hay datos</v>
      </c>
      <c r="I739" s="2" t="str">
        <f t="array" ref="I739">_xlfn.XLOOKUP(B739,Vendedores!$A$2:$A$41,Vendedores!$D$2:$D$41,"No hay datos")</f>
        <v>No hay datos</v>
      </c>
      <c r="J739" s="2" t="str">
        <f t="array" ref="J739">_xlfn.XLOOKUP(A739,Productos!$A$2:$A$61,Productos!$B$2:$F$61)</f>
        <v>#N/A</v>
      </c>
    </row>
    <row r="740">
      <c r="A740" s="2" t="str">
        <f>IFERROR(__xludf.DUMMYFUNCTION("""COMPUTED_VALUE"""),"PR001")</f>
        <v>PR001</v>
      </c>
      <c r="B740" s="2" t="str">
        <f>IFERROR(__xludf.DUMMYFUNCTION("""COMPUTED_VALUE"""),"VD038")</f>
        <v>VD038</v>
      </c>
      <c r="C740" s="2">
        <f>IFERROR(__xludf.DUMMYFUNCTION("""COMPUTED_VALUE"""),14.0)</f>
        <v>14</v>
      </c>
      <c r="D740" s="6">
        <f>IFERROR(__xludf.DUMMYFUNCTION("""COMPUTED_VALUE"""),987.18)</f>
        <v>987.18</v>
      </c>
      <c r="E740" s="6">
        <f>IFERROR(__xludf.DUMMYFUNCTION("GOOGLEFINANCE(""Currency:BRLMXN"")*D740"),3353.4504599999996)</f>
        <v>3353.45046</v>
      </c>
      <c r="F740" s="6">
        <f>IFERROR(__xludf.DUMMYFUNCTION("GOOGLEFINANCE(""Currency:BRLPEN"")*D740"),647.195208)</f>
        <v>647.195208</v>
      </c>
      <c r="G740" s="2" t="str">
        <f t="array" ref="G740">_xlfn.XLOOKUP(B740,Vendedores!$A$2:$A$41,Vendedores!$B$2:$B$41,"No hay datos")</f>
        <v>No hay datos</v>
      </c>
      <c r="H740" s="2" t="str">
        <f t="array" ref="H740">_xlfn.XLOOKUP(B740,Vendedores!$A$2:$A$41,Vendedores!$C$2:$C$41,"No hay datos")</f>
        <v>No hay datos</v>
      </c>
      <c r="I740" s="2" t="str">
        <f t="array" ref="I740">_xlfn.XLOOKUP(B740,Vendedores!$A$2:$A$41,Vendedores!$D$2:$D$41,"No hay datos")</f>
        <v>No hay datos</v>
      </c>
      <c r="J740" s="2" t="str">
        <f t="array" ref="J740">_xlfn.XLOOKUP(A740,Productos!$A$2:$A$61,Productos!$B$2:$F$61)</f>
        <v>#N/A</v>
      </c>
    </row>
    <row r="741">
      <c r="A741" s="2" t="str">
        <f>IFERROR(__xludf.DUMMYFUNCTION("""COMPUTED_VALUE"""),"PR004")</f>
        <v>PR004</v>
      </c>
      <c r="B741" s="2" t="str">
        <f>IFERROR(__xludf.DUMMYFUNCTION("""COMPUTED_VALUE"""),"VD019")</f>
        <v>VD019</v>
      </c>
      <c r="C741" s="2">
        <f>IFERROR(__xludf.DUMMYFUNCTION("""COMPUTED_VALUE"""),1.0)</f>
        <v>1</v>
      </c>
      <c r="D741" s="6">
        <f>IFERROR(__xludf.DUMMYFUNCTION("""COMPUTED_VALUE"""),150.8)</f>
        <v>150.8</v>
      </c>
      <c r="E741" s="6">
        <f>IFERROR(__xludf.DUMMYFUNCTION("GOOGLEFINANCE(""Currency:BRLMXN"")*D741"),512.2676)</f>
        <v>512.2676</v>
      </c>
      <c r="F741" s="6">
        <f>IFERROR(__xludf.DUMMYFUNCTION("GOOGLEFINANCE(""Currency:BRLPEN"")*D741"),98.86448)</f>
        <v>98.86448</v>
      </c>
      <c r="G741" s="2" t="str">
        <f t="array" ref="G741">_xlfn.XLOOKUP(B741,Vendedores!$A$2:$A$41,Vendedores!$B$2:$B$41,"No hay datos")</f>
        <v>No hay datos</v>
      </c>
      <c r="H741" s="2" t="str">
        <f t="array" ref="H741">_xlfn.XLOOKUP(B741,Vendedores!$A$2:$A$41,Vendedores!$C$2:$C$41,"No hay datos")</f>
        <v>No hay datos</v>
      </c>
      <c r="I741" s="2" t="str">
        <f t="array" ref="I741">_xlfn.XLOOKUP(B741,Vendedores!$A$2:$A$41,Vendedores!$D$2:$D$41,"No hay datos")</f>
        <v>No hay datos</v>
      </c>
      <c r="J741" s="2" t="str">
        <f t="array" ref="J741">_xlfn.XLOOKUP(A741,Productos!$A$2:$A$61,Productos!$B$2:$F$61)</f>
        <v>#N/A</v>
      </c>
    </row>
    <row r="742">
      <c r="A742" s="2" t="str">
        <f>IFERROR(__xludf.DUMMYFUNCTION("""COMPUTED_VALUE"""),"PR041")</f>
        <v>PR041</v>
      </c>
      <c r="B742" s="2" t="str">
        <f>IFERROR(__xludf.DUMMYFUNCTION("""COMPUTED_VALUE"""),"VD017")</f>
        <v>VD017</v>
      </c>
      <c r="C742" s="2">
        <f>IFERROR(__xludf.DUMMYFUNCTION("""COMPUTED_VALUE"""),4.0)</f>
        <v>4</v>
      </c>
      <c r="D742" s="6">
        <f>IFERROR(__xludf.DUMMYFUNCTION("""COMPUTED_VALUE"""),228.38)</f>
        <v>228.38</v>
      </c>
      <c r="E742" s="6">
        <f>IFERROR(__xludf.DUMMYFUNCTION("GOOGLEFINANCE(""Currency:BRLMXN"")*D742"),775.8068599999999)</f>
        <v>775.80686</v>
      </c>
      <c r="F742" s="6">
        <f>IFERROR(__xludf.DUMMYFUNCTION("GOOGLEFINANCE(""Currency:BRLPEN"")*D742"),149.72592799999998)</f>
        <v>149.725928</v>
      </c>
      <c r="G742" s="2" t="str">
        <f t="array" ref="G742">_xlfn.XLOOKUP(B742,Vendedores!$A$2:$A$41,Vendedores!$B$2:$B$41,"No hay datos")</f>
        <v>No hay datos</v>
      </c>
      <c r="H742" s="2" t="str">
        <f t="array" ref="H742">_xlfn.XLOOKUP(B742,Vendedores!$A$2:$A$41,Vendedores!$C$2:$C$41,"No hay datos")</f>
        <v>No hay datos</v>
      </c>
      <c r="I742" s="2" t="str">
        <f t="array" ref="I742">_xlfn.XLOOKUP(B742,Vendedores!$A$2:$A$41,Vendedores!$D$2:$D$41,"No hay datos")</f>
        <v>No hay datos</v>
      </c>
      <c r="J742" s="2" t="str">
        <f t="array" ref="J742">_xlfn.XLOOKUP(A742,Productos!$A$2:$A$61,Productos!$B$2:$F$61)</f>
        <v>#N/A</v>
      </c>
    </row>
    <row r="743">
      <c r="A743" s="2" t="str">
        <f>IFERROR(__xludf.DUMMYFUNCTION("""COMPUTED_VALUE"""),"PR055")</f>
        <v>PR055</v>
      </c>
      <c r="B743" s="2" t="str">
        <f>IFERROR(__xludf.DUMMYFUNCTION("""COMPUTED_VALUE"""),"VD040")</f>
        <v>VD040</v>
      </c>
      <c r="C743" s="2">
        <f>IFERROR(__xludf.DUMMYFUNCTION("""COMPUTED_VALUE"""),16.0)</f>
        <v>16</v>
      </c>
      <c r="D743" s="6">
        <f>IFERROR(__xludf.DUMMYFUNCTION("""COMPUTED_VALUE"""),1495.94)</f>
        <v>1495.94</v>
      </c>
      <c r="E743" s="6">
        <f>IFERROR(__xludf.DUMMYFUNCTION("GOOGLEFINANCE(""Currency:BRLMXN"")*D743"),5081.70818)</f>
        <v>5081.70818</v>
      </c>
      <c r="F743" s="6">
        <f>IFERROR(__xludf.DUMMYFUNCTION("GOOGLEFINANCE(""Currency:BRLPEN"")*D743"),980.738264)</f>
        <v>980.738264</v>
      </c>
      <c r="G743" s="2" t="str">
        <f t="array" ref="G743">_xlfn.XLOOKUP(B743,Vendedores!$A$2:$A$41,Vendedores!$B$2:$B$41,"No hay datos")</f>
        <v>No hay datos</v>
      </c>
      <c r="H743" s="2" t="str">
        <f t="array" ref="H743">_xlfn.XLOOKUP(B743,Vendedores!$A$2:$A$41,Vendedores!$C$2:$C$41,"No hay datos")</f>
        <v>No hay datos</v>
      </c>
      <c r="I743" s="2" t="str">
        <f t="array" ref="I743">_xlfn.XLOOKUP(B743,Vendedores!$A$2:$A$41,Vendedores!$D$2:$D$41,"No hay datos")</f>
        <v>No hay datos</v>
      </c>
      <c r="J743" s="2" t="str">
        <f t="array" ref="J743">_xlfn.XLOOKUP(A743,Productos!$A$2:$A$61,Productos!$B$2:$F$61)</f>
        <v>#N/A</v>
      </c>
    </row>
    <row r="744">
      <c r="A744" s="2" t="str">
        <f>IFERROR(__xludf.DUMMYFUNCTION("""COMPUTED_VALUE"""),"PR048")</f>
        <v>PR048</v>
      </c>
      <c r="B744" s="2" t="str">
        <f>IFERROR(__xludf.DUMMYFUNCTION("""COMPUTED_VALUE"""),"VD045")</f>
        <v>VD045</v>
      </c>
      <c r="C744" s="2">
        <f>IFERROR(__xludf.DUMMYFUNCTION("""COMPUTED_VALUE"""),4.0)</f>
        <v>4</v>
      </c>
      <c r="D744" s="6">
        <f>IFERROR(__xludf.DUMMYFUNCTION("""COMPUTED_VALUE"""),1205.98)</f>
        <v>1205.98</v>
      </c>
      <c r="E744" s="6">
        <f>IFERROR(__xludf.DUMMYFUNCTION("GOOGLEFINANCE(""Currency:BRLMXN"")*D744"),4096.71406)</f>
        <v>4096.71406</v>
      </c>
      <c r="F744" s="6">
        <f>IFERROR(__xludf.DUMMYFUNCTION("GOOGLEFINANCE(""Currency:BRLPEN"")*D744"),790.640488)</f>
        <v>790.640488</v>
      </c>
      <c r="G744" s="2" t="str">
        <f t="array" ref="G744">_xlfn.XLOOKUP(B744,Vendedores!$A$2:$A$41,Vendedores!$B$2:$B$41,"No hay datos")</f>
        <v>No hay datos</v>
      </c>
      <c r="H744" s="2" t="str">
        <f t="array" ref="H744">_xlfn.XLOOKUP(B744,Vendedores!$A$2:$A$41,Vendedores!$C$2:$C$41,"No hay datos")</f>
        <v>No hay datos</v>
      </c>
      <c r="I744" s="2" t="str">
        <f t="array" ref="I744">_xlfn.XLOOKUP(B744,Vendedores!$A$2:$A$41,Vendedores!$D$2:$D$41,"No hay datos")</f>
        <v>No hay datos</v>
      </c>
      <c r="J744" s="2" t="str">
        <f t="array" ref="J744">_xlfn.XLOOKUP(A744,Productos!$A$2:$A$61,Productos!$B$2:$F$61)</f>
        <v>#N/A</v>
      </c>
    </row>
    <row r="745">
      <c r="A745" s="2" t="str">
        <f>IFERROR(__xludf.DUMMYFUNCTION("""COMPUTED_VALUE"""),"PR024")</f>
        <v>PR024</v>
      </c>
      <c r="B745" s="2" t="str">
        <f>IFERROR(__xludf.DUMMYFUNCTION("""COMPUTED_VALUE"""),"VD019")</f>
        <v>VD019</v>
      </c>
      <c r="C745" s="2">
        <f>IFERROR(__xludf.DUMMYFUNCTION("""COMPUTED_VALUE"""),4.0)</f>
        <v>4</v>
      </c>
      <c r="D745" s="6">
        <f>IFERROR(__xludf.DUMMYFUNCTION("""COMPUTED_VALUE"""),1112.37)</f>
        <v>1112.37</v>
      </c>
      <c r="E745" s="6">
        <f>IFERROR(__xludf.DUMMYFUNCTION("GOOGLEFINANCE(""Currency:BRLMXN"")*D745"),3778.7208899999996)</f>
        <v>3778.72089</v>
      </c>
      <c r="F745" s="6">
        <f>IFERROR(__xludf.DUMMYFUNCTION("GOOGLEFINANCE(""Currency:BRLPEN"")*D745"),729.2697719999999)</f>
        <v>729.269772</v>
      </c>
      <c r="G745" s="2" t="str">
        <f t="array" ref="G745">_xlfn.XLOOKUP(B745,Vendedores!$A$2:$A$41,Vendedores!$B$2:$B$41,"No hay datos")</f>
        <v>No hay datos</v>
      </c>
      <c r="H745" s="2" t="str">
        <f t="array" ref="H745">_xlfn.XLOOKUP(B745,Vendedores!$A$2:$A$41,Vendedores!$C$2:$C$41,"No hay datos")</f>
        <v>No hay datos</v>
      </c>
      <c r="I745" s="2" t="str">
        <f t="array" ref="I745">_xlfn.XLOOKUP(B745,Vendedores!$A$2:$A$41,Vendedores!$D$2:$D$41,"No hay datos")</f>
        <v>No hay datos</v>
      </c>
      <c r="J745" s="2" t="str">
        <f t="array" ref="J745">_xlfn.XLOOKUP(A745,Productos!$A$2:$A$61,Productos!$B$2:$F$61)</f>
        <v>#N/A</v>
      </c>
    </row>
    <row r="746">
      <c r="A746" s="2" t="str">
        <f>IFERROR(__xludf.DUMMYFUNCTION("""COMPUTED_VALUE"""),"PR006")</f>
        <v>PR006</v>
      </c>
      <c r="B746" s="2" t="str">
        <f>IFERROR(__xludf.DUMMYFUNCTION("""COMPUTED_VALUE"""),"VD023")</f>
        <v>VD023</v>
      </c>
      <c r="C746" s="2">
        <f>IFERROR(__xludf.DUMMYFUNCTION("""COMPUTED_VALUE"""),14.0)</f>
        <v>14</v>
      </c>
      <c r="D746" s="6">
        <f>IFERROR(__xludf.DUMMYFUNCTION("""COMPUTED_VALUE"""),586.53)</f>
        <v>586.53</v>
      </c>
      <c r="E746" s="6">
        <f>IFERROR(__xludf.DUMMYFUNCTION("GOOGLEFINANCE(""Currency:BRLMXN"")*D746"),1992.4424099999999)</f>
        <v>1992.44241</v>
      </c>
      <c r="F746" s="6">
        <f>IFERROR(__xludf.DUMMYFUNCTION("GOOGLEFINANCE(""Currency:BRLPEN"")*D746"),384.52906799999994)</f>
        <v>384.529068</v>
      </c>
      <c r="G746" s="2" t="str">
        <f t="array" ref="G746">_xlfn.XLOOKUP(B746,Vendedores!$A$2:$A$41,Vendedores!$B$2:$B$41,"No hay datos")</f>
        <v>No hay datos</v>
      </c>
      <c r="H746" s="2" t="str">
        <f t="array" ref="H746">_xlfn.XLOOKUP(B746,Vendedores!$A$2:$A$41,Vendedores!$C$2:$C$41,"No hay datos")</f>
        <v>No hay datos</v>
      </c>
      <c r="I746" s="2" t="str">
        <f t="array" ref="I746">_xlfn.XLOOKUP(B746,Vendedores!$A$2:$A$41,Vendedores!$D$2:$D$41,"No hay datos")</f>
        <v>No hay datos</v>
      </c>
      <c r="J746" s="2" t="str">
        <f t="array" ref="J746">_xlfn.XLOOKUP(A746,Productos!$A$2:$A$61,Productos!$B$2:$F$61)</f>
        <v>#N/A</v>
      </c>
    </row>
    <row r="747">
      <c r="A747" s="2" t="str">
        <f>IFERROR(__xludf.DUMMYFUNCTION("""COMPUTED_VALUE"""),"PR022")</f>
        <v>PR022</v>
      </c>
      <c r="B747" s="2" t="str">
        <f>IFERROR(__xludf.DUMMYFUNCTION("""COMPUTED_VALUE"""),"VD029")</f>
        <v>VD029</v>
      </c>
      <c r="C747" s="2">
        <f>IFERROR(__xludf.DUMMYFUNCTION("""COMPUTED_VALUE"""),7.0)</f>
        <v>7</v>
      </c>
      <c r="D747" s="6">
        <f>IFERROR(__xludf.DUMMYFUNCTION("""COMPUTED_VALUE"""),2100.0)</f>
        <v>2100</v>
      </c>
      <c r="E747" s="6">
        <f>IFERROR(__xludf.DUMMYFUNCTION("GOOGLEFINANCE(""Currency:BRLMXN"")*D747"),7133.7)</f>
        <v>7133.7</v>
      </c>
      <c r="F747" s="6">
        <f>IFERROR(__xludf.DUMMYFUNCTION("GOOGLEFINANCE(""Currency:BRLPEN"")*D747"),1376.76)</f>
        <v>1376.76</v>
      </c>
      <c r="G747" s="2" t="str">
        <f t="array" ref="G747">_xlfn.XLOOKUP(B747,Vendedores!$A$2:$A$41,Vendedores!$B$2:$B$41,"No hay datos")</f>
        <v>No hay datos</v>
      </c>
      <c r="H747" s="2" t="str">
        <f t="array" ref="H747">_xlfn.XLOOKUP(B747,Vendedores!$A$2:$A$41,Vendedores!$C$2:$C$41,"No hay datos")</f>
        <v>No hay datos</v>
      </c>
      <c r="I747" s="2" t="str">
        <f t="array" ref="I747">_xlfn.XLOOKUP(B747,Vendedores!$A$2:$A$41,Vendedores!$D$2:$D$41,"No hay datos")</f>
        <v>No hay datos</v>
      </c>
      <c r="J747" s="2" t="str">
        <f t="array" ref="J747">_xlfn.XLOOKUP(A747,Productos!$A$2:$A$61,Productos!$B$2:$F$61)</f>
        <v>#N/A</v>
      </c>
    </row>
    <row r="748">
      <c r="A748" s="2" t="str">
        <f>IFERROR(__xludf.DUMMYFUNCTION("""COMPUTED_VALUE"""),"PR027")</f>
        <v>PR027</v>
      </c>
      <c r="B748" s="2" t="str">
        <f>IFERROR(__xludf.DUMMYFUNCTION("""COMPUTED_VALUE"""),"VD016")</f>
        <v>VD016</v>
      </c>
      <c r="C748" s="2">
        <f>IFERROR(__xludf.DUMMYFUNCTION("""COMPUTED_VALUE"""),2.0)</f>
        <v>2</v>
      </c>
      <c r="D748" s="6">
        <f>IFERROR(__xludf.DUMMYFUNCTION("""COMPUTED_VALUE"""),242.4)</f>
        <v>242.4</v>
      </c>
      <c r="E748" s="6">
        <f>IFERROR(__xludf.DUMMYFUNCTION("GOOGLEFINANCE(""Currency:BRLMXN"")*D748"),823.4327999999999)</f>
        <v>823.4328</v>
      </c>
      <c r="F748" s="6">
        <f>IFERROR(__xludf.DUMMYFUNCTION("GOOGLEFINANCE(""Currency:BRLPEN"")*D748"),158.91744)</f>
        <v>158.91744</v>
      </c>
      <c r="G748" s="2" t="str">
        <f t="array" ref="G748">_xlfn.XLOOKUP(B748,Vendedores!$A$2:$A$41,Vendedores!$B$2:$B$41,"No hay datos")</f>
        <v>No hay datos</v>
      </c>
      <c r="H748" s="2" t="str">
        <f t="array" ref="H748">_xlfn.XLOOKUP(B748,Vendedores!$A$2:$A$41,Vendedores!$C$2:$C$41,"No hay datos")</f>
        <v>No hay datos</v>
      </c>
      <c r="I748" s="2" t="str">
        <f t="array" ref="I748">_xlfn.XLOOKUP(B748,Vendedores!$A$2:$A$41,Vendedores!$D$2:$D$41,"No hay datos")</f>
        <v>No hay datos</v>
      </c>
      <c r="J748" s="2" t="str">
        <f t="array" ref="J748">_xlfn.XLOOKUP(A748,Productos!$A$2:$A$61,Productos!$B$2:$F$61)</f>
        <v>#N/A</v>
      </c>
    </row>
    <row r="749">
      <c r="A749" s="2" t="str">
        <f>IFERROR(__xludf.DUMMYFUNCTION("""COMPUTED_VALUE"""),"PR017")</f>
        <v>PR017</v>
      </c>
      <c r="B749" s="2" t="str">
        <f>IFERROR(__xludf.DUMMYFUNCTION("""COMPUTED_VALUE"""),"VD029")</f>
        <v>VD029</v>
      </c>
      <c r="C749" s="2">
        <f>IFERROR(__xludf.DUMMYFUNCTION("""COMPUTED_VALUE"""),12.0)</f>
        <v>12</v>
      </c>
      <c r="D749" s="6">
        <f>IFERROR(__xludf.DUMMYFUNCTION("""COMPUTED_VALUE"""),380.33)</f>
        <v>380.33</v>
      </c>
      <c r="E749" s="6">
        <f>IFERROR(__xludf.DUMMYFUNCTION("GOOGLEFINANCE(""Currency:BRLMXN"")*D749"),1291.98101)</f>
        <v>1291.98101</v>
      </c>
      <c r="F749" s="6">
        <f>IFERROR(__xludf.DUMMYFUNCTION("GOOGLEFINANCE(""Currency:BRLPEN"")*D749"),249.34434799999997)</f>
        <v>249.344348</v>
      </c>
      <c r="G749" s="2" t="str">
        <f t="array" ref="G749">_xlfn.XLOOKUP(B749,Vendedores!$A$2:$A$41,Vendedores!$B$2:$B$41,"No hay datos")</f>
        <v>No hay datos</v>
      </c>
      <c r="H749" s="2" t="str">
        <f t="array" ref="H749">_xlfn.XLOOKUP(B749,Vendedores!$A$2:$A$41,Vendedores!$C$2:$C$41,"No hay datos")</f>
        <v>No hay datos</v>
      </c>
      <c r="I749" s="2" t="str">
        <f t="array" ref="I749">_xlfn.XLOOKUP(B749,Vendedores!$A$2:$A$41,Vendedores!$D$2:$D$41,"No hay datos")</f>
        <v>No hay datos</v>
      </c>
      <c r="J749" s="2" t="str">
        <f t="array" ref="J749">_xlfn.XLOOKUP(A749,Productos!$A$2:$A$61,Productos!$B$2:$F$61)</f>
        <v>#N/A</v>
      </c>
    </row>
    <row r="750">
      <c r="A750" s="2" t="str">
        <f>IFERROR(__xludf.DUMMYFUNCTION("""COMPUTED_VALUE"""),"PR018")</f>
        <v>PR018</v>
      </c>
      <c r="B750" s="2" t="str">
        <f>IFERROR(__xludf.DUMMYFUNCTION("""COMPUTED_VALUE"""),"VD049")</f>
        <v>VD049</v>
      </c>
      <c r="C750" s="2">
        <f>IFERROR(__xludf.DUMMYFUNCTION("""COMPUTED_VALUE"""),12.0)</f>
        <v>12</v>
      </c>
      <c r="D750" s="6">
        <f>IFERROR(__xludf.DUMMYFUNCTION("""COMPUTED_VALUE"""),410.59)</f>
        <v>410.59</v>
      </c>
      <c r="E750" s="6">
        <f>IFERROR(__xludf.DUMMYFUNCTION("GOOGLEFINANCE(""Currency:BRLMXN"")*D750"),1394.7742299999998)</f>
        <v>1394.77423</v>
      </c>
      <c r="F750" s="6">
        <f>IFERROR(__xludf.DUMMYFUNCTION("GOOGLEFINANCE(""Currency:BRLPEN"")*D750"),269.182804)</f>
        <v>269.182804</v>
      </c>
      <c r="G750" s="2" t="str">
        <f t="array" ref="G750">_xlfn.XLOOKUP(B750,Vendedores!$A$2:$A$41,Vendedores!$B$2:$B$41,"No hay datos")</f>
        <v>No hay datos</v>
      </c>
      <c r="H750" s="2" t="str">
        <f t="array" ref="H750">_xlfn.XLOOKUP(B750,Vendedores!$A$2:$A$41,Vendedores!$C$2:$C$41,"No hay datos")</f>
        <v>No hay datos</v>
      </c>
      <c r="I750" s="2" t="str">
        <f t="array" ref="I750">_xlfn.XLOOKUP(B750,Vendedores!$A$2:$A$41,Vendedores!$D$2:$D$41,"No hay datos")</f>
        <v>No hay datos</v>
      </c>
      <c r="J750" s="2" t="str">
        <f t="array" ref="J750">_xlfn.XLOOKUP(A750,Productos!$A$2:$A$61,Productos!$B$2:$F$61)</f>
        <v>#N/A</v>
      </c>
    </row>
    <row r="751">
      <c r="A751" s="2" t="str">
        <f>IFERROR(__xludf.DUMMYFUNCTION("""COMPUTED_VALUE"""),"PR003")</f>
        <v>PR003</v>
      </c>
      <c r="B751" s="2" t="str">
        <f>IFERROR(__xludf.DUMMYFUNCTION("""COMPUTED_VALUE"""),"VD024")</f>
        <v>VD024</v>
      </c>
      <c r="C751" s="2">
        <f>IFERROR(__xludf.DUMMYFUNCTION("""COMPUTED_VALUE"""),9.0)</f>
        <v>9</v>
      </c>
      <c r="D751" s="6">
        <f>IFERROR(__xludf.DUMMYFUNCTION("""COMPUTED_VALUE"""),638.1)</f>
        <v>638.1</v>
      </c>
      <c r="E751" s="6">
        <f>IFERROR(__xludf.DUMMYFUNCTION("GOOGLEFINANCE(""Currency:BRLMXN"")*D751"),2167.6257)</f>
        <v>2167.6257</v>
      </c>
      <c r="F751" s="6">
        <f>IFERROR(__xludf.DUMMYFUNCTION("GOOGLEFINANCE(""Currency:BRLPEN"")*D751"),418.33835999999997)</f>
        <v>418.33836</v>
      </c>
      <c r="G751" s="2" t="str">
        <f t="array" ref="G751">_xlfn.XLOOKUP(B751,Vendedores!$A$2:$A$41,Vendedores!$B$2:$B$41,"No hay datos")</f>
        <v>No hay datos</v>
      </c>
      <c r="H751" s="2" t="str">
        <f t="array" ref="H751">_xlfn.XLOOKUP(B751,Vendedores!$A$2:$A$41,Vendedores!$C$2:$C$41,"No hay datos")</f>
        <v>No hay datos</v>
      </c>
      <c r="I751" s="2" t="str">
        <f t="array" ref="I751">_xlfn.XLOOKUP(B751,Vendedores!$A$2:$A$41,Vendedores!$D$2:$D$41,"No hay datos")</f>
        <v>No hay datos</v>
      </c>
      <c r="J751" s="2" t="str">
        <f t="array" ref="J751">_xlfn.XLOOKUP(A751,Productos!$A$2:$A$61,Productos!$B$2:$F$61)</f>
        <v>#N/A</v>
      </c>
    </row>
    <row r="752">
      <c r="A752" s="2" t="str">
        <f>IFERROR(__xludf.DUMMYFUNCTION("""COMPUTED_VALUE"""),"PR021")</f>
        <v>PR021</v>
      </c>
      <c r="B752" s="2" t="str">
        <f>IFERROR(__xludf.DUMMYFUNCTION("""COMPUTED_VALUE"""),"VD046")</f>
        <v>VD046</v>
      </c>
      <c r="C752" s="2">
        <f>IFERROR(__xludf.DUMMYFUNCTION("""COMPUTED_VALUE"""),20.0)</f>
        <v>20</v>
      </c>
      <c r="D752" s="6">
        <f>IFERROR(__xludf.DUMMYFUNCTION("""COMPUTED_VALUE"""),6239.74)</f>
        <v>6239.74</v>
      </c>
      <c r="E752" s="6">
        <f>IFERROR(__xludf.DUMMYFUNCTION("GOOGLEFINANCE(""Currency:BRLMXN"")*D752"),21196.39678)</f>
        <v>21196.39678</v>
      </c>
      <c r="F752" s="6">
        <f>IFERROR(__xludf.DUMMYFUNCTION("GOOGLEFINANCE(""Currency:BRLPEN"")*D752"),4090.7735439999997)</f>
        <v>4090.773544</v>
      </c>
      <c r="G752" s="2" t="str">
        <f t="array" ref="G752">_xlfn.XLOOKUP(B752,Vendedores!$A$2:$A$41,Vendedores!$B$2:$B$41,"No hay datos")</f>
        <v>No hay datos</v>
      </c>
      <c r="H752" s="2" t="str">
        <f t="array" ref="H752">_xlfn.XLOOKUP(B752,Vendedores!$A$2:$A$41,Vendedores!$C$2:$C$41,"No hay datos")</f>
        <v>No hay datos</v>
      </c>
      <c r="I752" s="2" t="str">
        <f t="array" ref="I752">_xlfn.XLOOKUP(B752,Vendedores!$A$2:$A$41,Vendedores!$D$2:$D$41,"No hay datos")</f>
        <v>No hay datos</v>
      </c>
      <c r="J752" s="2" t="str">
        <f t="array" ref="J752">_xlfn.XLOOKUP(A752,Productos!$A$2:$A$61,Productos!$B$2:$F$61)</f>
        <v>#N/A</v>
      </c>
    </row>
    <row r="753">
      <c r="A753" s="2" t="str">
        <f>IFERROR(__xludf.DUMMYFUNCTION("""COMPUTED_VALUE"""),"PR018")</f>
        <v>PR018</v>
      </c>
      <c r="B753" s="2" t="str">
        <f>IFERROR(__xludf.DUMMYFUNCTION("""COMPUTED_VALUE"""),"VD049")</f>
        <v>VD049</v>
      </c>
      <c r="C753" s="2">
        <f>IFERROR(__xludf.DUMMYFUNCTION("""COMPUTED_VALUE"""),8.0)</f>
        <v>8</v>
      </c>
      <c r="D753" s="6">
        <f>IFERROR(__xludf.DUMMYFUNCTION("""COMPUTED_VALUE"""),278.99)</f>
        <v>278.99</v>
      </c>
      <c r="E753" s="6">
        <f>IFERROR(__xludf.DUMMYFUNCTION("GOOGLEFINANCE(""Currency:BRLMXN"")*D753"),947.72903)</f>
        <v>947.72903</v>
      </c>
      <c r="F753" s="6">
        <f>IFERROR(__xludf.DUMMYFUNCTION("GOOGLEFINANCE(""Currency:BRLPEN"")*D753"),182.905844)</f>
        <v>182.905844</v>
      </c>
      <c r="G753" s="2" t="str">
        <f t="array" ref="G753">_xlfn.XLOOKUP(B753,Vendedores!$A$2:$A$41,Vendedores!$B$2:$B$41,"No hay datos")</f>
        <v>No hay datos</v>
      </c>
      <c r="H753" s="2" t="str">
        <f t="array" ref="H753">_xlfn.XLOOKUP(B753,Vendedores!$A$2:$A$41,Vendedores!$C$2:$C$41,"No hay datos")</f>
        <v>No hay datos</v>
      </c>
      <c r="I753" s="2" t="str">
        <f t="array" ref="I753">_xlfn.XLOOKUP(B753,Vendedores!$A$2:$A$41,Vendedores!$D$2:$D$41,"No hay datos")</f>
        <v>No hay datos</v>
      </c>
      <c r="J753" s="2" t="str">
        <f t="array" ref="J753">_xlfn.XLOOKUP(A753,Productos!$A$2:$A$61,Productos!$B$2:$F$61)</f>
        <v>#N/A</v>
      </c>
    </row>
    <row r="754">
      <c r="A754" s="2" t="str">
        <f>IFERROR(__xludf.DUMMYFUNCTION("""COMPUTED_VALUE"""),"PR047")</f>
        <v>PR047</v>
      </c>
      <c r="B754" s="2" t="str">
        <f>IFERROR(__xludf.DUMMYFUNCTION("""COMPUTED_VALUE"""),"VD019")</f>
        <v>VD019</v>
      </c>
      <c r="C754" s="2">
        <f>IFERROR(__xludf.DUMMYFUNCTION("""COMPUTED_VALUE"""),8.0)</f>
        <v>8</v>
      </c>
      <c r="D754" s="6">
        <f>IFERROR(__xludf.DUMMYFUNCTION("""COMPUTED_VALUE"""),2527.93)</f>
        <v>2527.93</v>
      </c>
      <c r="E754" s="6">
        <f>IFERROR(__xludf.DUMMYFUNCTION("GOOGLEFINANCE(""Currency:BRLMXN"")*D754"),8587.378209999999)</f>
        <v>8587.37821</v>
      </c>
      <c r="F754" s="6">
        <f>IFERROR(__xludf.DUMMYFUNCTION("GOOGLEFINANCE(""Currency:BRLPEN"")*D754"),1657.3109079999997)</f>
        <v>1657.310908</v>
      </c>
      <c r="G754" s="2" t="str">
        <f t="array" ref="G754">_xlfn.XLOOKUP(B754,Vendedores!$A$2:$A$41,Vendedores!$B$2:$B$41,"No hay datos")</f>
        <v>No hay datos</v>
      </c>
      <c r="H754" s="2" t="str">
        <f t="array" ref="H754">_xlfn.XLOOKUP(B754,Vendedores!$A$2:$A$41,Vendedores!$C$2:$C$41,"No hay datos")</f>
        <v>No hay datos</v>
      </c>
      <c r="I754" s="2" t="str">
        <f t="array" ref="I754">_xlfn.XLOOKUP(B754,Vendedores!$A$2:$A$41,Vendedores!$D$2:$D$41,"No hay datos")</f>
        <v>No hay datos</v>
      </c>
      <c r="J754" s="2" t="str">
        <f t="array" ref="J754">_xlfn.XLOOKUP(A754,Productos!$A$2:$A$61,Productos!$B$2:$F$61)</f>
        <v>#N/A</v>
      </c>
    </row>
    <row r="755">
      <c r="A755" s="2" t="str">
        <f>IFERROR(__xludf.DUMMYFUNCTION("""COMPUTED_VALUE"""),"PR030")</f>
        <v>PR030</v>
      </c>
      <c r="B755" s="2" t="str">
        <f>IFERROR(__xludf.DUMMYFUNCTION("""COMPUTED_VALUE"""),"VD043")</f>
        <v>VD043</v>
      </c>
      <c r="C755" s="2">
        <f>IFERROR(__xludf.DUMMYFUNCTION("""COMPUTED_VALUE"""),16.0)</f>
        <v>16</v>
      </c>
      <c r="D755" s="6">
        <f>IFERROR(__xludf.DUMMYFUNCTION("""COMPUTED_VALUE"""),4366.32)</f>
        <v>4366.32</v>
      </c>
      <c r="E755" s="6">
        <f>IFERROR(__xludf.DUMMYFUNCTION("GOOGLEFINANCE(""Currency:BRLMXN"")*D755"),14832.389039999998)</f>
        <v>14832.38904</v>
      </c>
      <c r="F755" s="6">
        <f>IFERROR(__xludf.DUMMYFUNCTION("GOOGLEFINANCE(""Currency:BRLPEN"")*D755"),2862.5593919999997)</f>
        <v>2862.559392</v>
      </c>
      <c r="G755" s="2" t="str">
        <f t="array" ref="G755">_xlfn.XLOOKUP(B755,Vendedores!$A$2:$A$41,Vendedores!$B$2:$B$41,"No hay datos")</f>
        <v>No hay datos</v>
      </c>
      <c r="H755" s="2" t="str">
        <f t="array" ref="H755">_xlfn.XLOOKUP(B755,Vendedores!$A$2:$A$41,Vendedores!$C$2:$C$41,"No hay datos")</f>
        <v>No hay datos</v>
      </c>
      <c r="I755" s="2" t="str">
        <f t="array" ref="I755">_xlfn.XLOOKUP(B755,Vendedores!$A$2:$A$41,Vendedores!$D$2:$D$41,"No hay datos")</f>
        <v>No hay datos</v>
      </c>
      <c r="J755" s="2" t="str">
        <f t="array" ref="J755">_xlfn.XLOOKUP(A755,Productos!$A$2:$A$61,Productos!$B$2:$F$61)</f>
        <v>#N/A</v>
      </c>
    </row>
    <row r="756">
      <c r="A756" s="2" t="str">
        <f>IFERROR(__xludf.DUMMYFUNCTION("""COMPUTED_VALUE"""),"PR011")</f>
        <v>PR011</v>
      </c>
      <c r="B756" s="2" t="str">
        <f>IFERROR(__xludf.DUMMYFUNCTION("""COMPUTED_VALUE"""),"VD026")</f>
        <v>VD026</v>
      </c>
      <c r="C756" s="2">
        <f>IFERROR(__xludf.DUMMYFUNCTION("""COMPUTED_VALUE"""),14.0)</f>
        <v>14</v>
      </c>
      <c r="D756" s="6">
        <f>IFERROR(__xludf.DUMMYFUNCTION("""COMPUTED_VALUE"""),709.13)</f>
        <v>709.13</v>
      </c>
      <c r="E756" s="6">
        <f>IFERROR(__xludf.DUMMYFUNCTION("GOOGLEFINANCE(""Currency:BRLMXN"")*D756"),2408.91461)</f>
        <v>2408.91461</v>
      </c>
      <c r="F756" s="6">
        <f>IFERROR(__xludf.DUMMYFUNCTION("GOOGLEFINANCE(""Currency:BRLPEN"")*D756"),464.905628)</f>
        <v>464.905628</v>
      </c>
      <c r="G756" s="2" t="str">
        <f t="array" ref="G756">_xlfn.XLOOKUP(B756,Vendedores!$A$2:$A$41,Vendedores!$B$2:$B$41,"No hay datos")</f>
        <v>No hay datos</v>
      </c>
      <c r="H756" s="2" t="str">
        <f t="array" ref="H756">_xlfn.XLOOKUP(B756,Vendedores!$A$2:$A$41,Vendedores!$C$2:$C$41,"No hay datos")</f>
        <v>No hay datos</v>
      </c>
      <c r="I756" s="2" t="str">
        <f t="array" ref="I756">_xlfn.XLOOKUP(B756,Vendedores!$A$2:$A$41,Vendedores!$D$2:$D$41,"No hay datos")</f>
        <v>No hay datos</v>
      </c>
      <c r="J756" s="2" t="str">
        <f t="array" ref="J756">_xlfn.XLOOKUP(A756,Productos!$A$2:$A$61,Productos!$B$2:$F$61)</f>
        <v>#N/A</v>
      </c>
    </row>
    <row r="757">
      <c r="A757" s="2" t="str">
        <f>IFERROR(__xludf.DUMMYFUNCTION("""COMPUTED_VALUE"""),"PR049")</f>
        <v>PR049</v>
      </c>
      <c r="B757" s="2" t="str">
        <f>IFERROR(__xludf.DUMMYFUNCTION("""COMPUTED_VALUE"""),"VD042")</f>
        <v>VD042</v>
      </c>
      <c r="C757" s="2">
        <f>IFERROR(__xludf.DUMMYFUNCTION("""COMPUTED_VALUE"""),8.0)</f>
        <v>8</v>
      </c>
      <c r="D757" s="6">
        <f>IFERROR(__xludf.DUMMYFUNCTION("""COMPUTED_VALUE"""),289.52)</f>
        <v>289.52</v>
      </c>
      <c r="E757" s="6">
        <f>IFERROR(__xludf.DUMMYFUNCTION("GOOGLEFINANCE(""Currency:BRLMXN"")*D757"),983.4994399999999)</f>
        <v>983.49944</v>
      </c>
      <c r="F757" s="6">
        <f>IFERROR(__xludf.DUMMYFUNCTION("GOOGLEFINANCE(""Currency:BRLPEN"")*D757"),189.80931199999998)</f>
        <v>189.809312</v>
      </c>
      <c r="G757" s="2" t="str">
        <f t="array" ref="G757">_xlfn.XLOOKUP(B757,Vendedores!$A$2:$A$41,Vendedores!$B$2:$B$41,"No hay datos")</f>
        <v>No hay datos</v>
      </c>
      <c r="H757" s="2" t="str">
        <f t="array" ref="H757">_xlfn.XLOOKUP(B757,Vendedores!$A$2:$A$41,Vendedores!$C$2:$C$41,"No hay datos")</f>
        <v>No hay datos</v>
      </c>
      <c r="I757" s="2" t="str">
        <f t="array" ref="I757">_xlfn.XLOOKUP(B757,Vendedores!$A$2:$A$41,Vendedores!$D$2:$D$41,"No hay datos")</f>
        <v>No hay datos</v>
      </c>
      <c r="J757" s="2" t="str">
        <f t="array" ref="J757">_xlfn.XLOOKUP(A757,Productos!$A$2:$A$61,Productos!$B$2:$F$61)</f>
        <v>#N/A</v>
      </c>
    </row>
    <row r="758">
      <c r="A758" s="2" t="str">
        <f>IFERROR(__xludf.DUMMYFUNCTION("""COMPUTED_VALUE"""),"PR057")</f>
        <v>PR057</v>
      </c>
      <c r="B758" s="2" t="str">
        <f>IFERROR(__xludf.DUMMYFUNCTION("""COMPUTED_VALUE"""),"VD034")</f>
        <v>VD034</v>
      </c>
      <c r="C758" s="2">
        <f>IFERROR(__xludf.DUMMYFUNCTION("""COMPUTED_VALUE"""),4.0)</f>
        <v>4</v>
      </c>
      <c r="D758" s="6">
        <f>IFERROR(__xludf.DUMMYFUNCTION("""COMPUTED_VALUE"""),366.79)</f>
        <v>366.79</v>
      </c>
      <c r="E758" s="6">
        <f>IFERROR(__xludf.DUMMYFUNCTION("GOOGLEFINANCE(""Currency:BRLMXN"")*D758"),1245.98563)</f>
        <v>1245.98563</v>
      </c>
      <c r="F758" s="6">
        <f>IFERROR(__xludf.DUMMYFUNCTION("GOOGLEFINANCE(""Currency:BRLPEN"")*D758"),240.467524)</f>
        <v>240.467524</v>
      </c>
      <c r="G758" s="2" t="str">
        <f t="array" ref="G758">_xlfn.XLOOKUP(B758,Vendedores!$A$2:$A$41,Vendedores!$B$2:$B$41,"No hay datos")</f>
        <v>No hay datos</v>
      </c>
      <c r="H758" s="2" t="str">
        <f t="array" ref="H758">_xlfn.XLOOKUP(B758,Vendedores!$A$2:$A$41,Vendedores!$C$2:$C$41,"No hay datos")</f>
        <v>No hay datos</v>
      </c>
      <c r="I758" s="2" t="str">
        <f t="array" ref="I758">_xlfn.XLOOKUP(B758,Vendedores!$A$2:$A$41,Vendedores!$D$2:$D$41,"No hay datos")</f>
        <v>No hay datos</v>
      </c>
      <c r="J758" s="2" t="str">
        <f t="array" ref="J758">_xlfn.XLOOKUP(A758,Productos!$A$2:$A$61,Productos!$B$2:$F$61)</f>
        <v>#N/A</v>
      </c>
    </row>
    <row r="759">
      <c r="A759" s="2" t="str">
        <f>IFERROR(__xludf.DUMMYFUNCTION("""COMPUTED_VALUE"""),"PR049")</f>
        <v>PR049</v>
      </c>
      <c r="B759" s="2" t="str">
        <f>IFERROR(__xludf.DUMMYFUNCTION("""COMPUTED_VALUE"""),"VD049")</f>
        <v>VD049</v>
      </c>
      <c r="C759" s="2">
        <f>IFERROR(__xludf.DUMMYFUNCTION("""COMPUTED_VALUE"""),10.0)</f>
        <v>10</v>
      </c>
      <c r="D759" s="6">
        <f>IFERROR(__xludf.DUMMYFUNCTION("""COMPUTED_VALUE"""),361.9)</f>
        <v>361.9</v>
      </c>
      <c r="E759" s="6">
        <f>IFERROR(__xludf.DUMMYFUNCTION("GOOGLEFINANCE(""Currency:BRLMXN"")*D759"),1229.3743)</f>
        <v>1229.3743</v>
      </c>
      <c r="F759" s="6">
        <f>IFERROR(__xludf.DUMMYFUNCTION("GOOGLEFINANCE(""Currency:BRLPEN"")*D759"),237.26163999999997)</f>
        <v>237.26164</v>
      </c>
      <c r="G759" s="2" t="str">
        <f t="array" ref="G759">_xlfn.XLOOKUP(B759,Vendedores!$A$2:$A$41,Vendedores!$B$2:$B$41,"No hay datos")</f>
        <v>No hay datos</v>
      </c>
      <c r="H759" s="2" t="str">
        <f t="array" ref="H759">_xlfn.XLOOKUP(B759,Vendedores!$A$2:$A$41,Vendedores!$C$2:$C$41,"No hay datos")</f>
        <v>No hay datos</v>
      </c>
      <c r="I759" s="2" t="str">
        <f t="array" ref="I759">_xlfn.XLOOKUP(B759,Vendedores!$A$2:$A$41,Vendedores!$D$2:$D$41,"No hay datos")</f>
        <v>No hay datos</v>
      </c>
      <c r="J759" s="2" t="str">
        <f t="array" ref="J759">_xlfn.XLOOKUP(A759,Productos!$A$2:$A$61,Productos!$B$2:$F$61)</f>
        <v>#N/A</v>
      </c>
    </row>
    <row r="760">
      <c r="A760" s="2" t="str">
        <f>IFERROR(__xludf.DUMMYFUNCTION("""COMPUTED_VALUE"""),"PR037")</f>
        <v>PR037</v>
      </c>
      <c r="B760" s="2" t="str">
        <f>IFERROR(__xludf.DUMMYFUNCTION("""COMPUTED_VALUE"""),"VD029")</f>
        <v>VD029</v>
      </c>
      <c r="C760" s="2">
        <f>IFERROR(__xludf.DUMMYFUNCTION("""COMPUTED_VALUE"""),4.0)</f>
        <v>4</v>
      </c>
      <c r="D760" s="6">
        <f>IFERROR(__xludf.DUMMYFUNCTION("""COMPUTED_VALUE"""),588.0)</f>
        <v>588</v>
      </c>
      <c r="E760" s="6">
        <f>IFERROR(__xludf.DUMMYFUNCTION("GOOGLEFINANCE(""Currency:BRLMXN"")*D760"),1997.436)</f>
        <v>1997.436</v>
      </c>
      <c r="F760" s="6">
        <f>IFERROR(__xludf.DUMMYFUNCTION("GOOGLEFINANCE(""Currency:BRLPEN"")*D760"),385.4928)</f>
        <v>385.4928</v>
      </c>
      <c r="G760" s="2" t="str">
        <f t="array" ref="G760">_xlfn.XLOOKUP(B760,Vendedores!$A$2:$A$41,Vendedores!$B$2:$B$41,"No hay datos")</f>
        <v>No hay datos</v>
      </c>
      <c r="H760" s="2" t="str">
        <f t="array" ref="H760">_xlfn.XLOOKUP(B760,Vendedores!$A$2:$A$41,Vendedores!$C$2:$C$41,"No hay datos")</f>
        <v>No hay datos</v>
      </c>
      <c r="I760" s="2" t="str">
        <f t="array" ref="I760">_xlfn.XLOOKUP(B760,Vendedores!$A$2:$A$41,Vendedores!$D$2:$D$41,"No hay datos")</f>
        <v>No hay datos</v>
      </c>
      <c r="J760" s="2" t="str">
        <f t="array" ref="J760">_xlfn.XLOOKUP(A760,Productos!$A$2:$A$61,Productos!$B$2:$F$61)</f>
        <v>#N/A</v>
      </c>
    </row>
    <row r="761">
      <c r="A761" s="2" t="str">
        <f>IFERROR(__xludf.DUMMYFUNCTION("""COMPUTED_VALUE"""),"PR029")</f>
        <v>PR029</v>
      </c>
      <c r="B761" s="2" t="str">
        <f>IFERROR(__xludf.DUMMYFUNCTION("""COMPUTED_VALUE"""),"VD017")</f>
        <v>VD017</v>
      </c>
      <c r="C761" s="2">
        <f>IFERROR(__xludf.DUMMYFUNCTION("""COMPUTED_VALUE"""),8.0)</f>
        <v>8</v>
      </c>
      <c r="D761" s="6">
        <f>IFERROR(__xludf.DUMMYFUNCTION("""COMPUTED_VALUE"""),2223.6)</f>
        <v>2223.6</v>
      </c>
      <c r="E761" s="6">
        <f>IFERROR(__xludf.DUMMYFUNCTION("GOOGLEFINANCE(""Currency:BRLMXN"")*D761"),7553.569199999999)</f>
        <v>7553.5692</v>
      </c>
      <c r="F761" s="6">
        <f>IFERROR(__xludf.DUMMYFUNCTION("GOOGLEFINANCE(""Currency:BRLPEN"")*D761"),1457.7921599999997)</f>
        <v>1457.79216</v>
      </c>
      <c r="G761" s="2" t="str">
        <f t="array" ref="G761">_xlfn.XLOOKUP(B761,Vendedores!$A$2:$A$41,Vendedores!$B$2:$B$41,"No hay datos")</f>
        <v>No hay datos</v>
      </c>
      <c r="H761" s="2" t="str">
        <f t="array" ref="H761">_xlfn.XLOOKUP(B761,Vendedores!$A$2:$A$41,Vendedores!$C$2:$C$41,"No hay datos")</f>
        <v>No hay datos</v>
      </c>
      <c r="I761" s="2" t="str">
        <f t="array" ref="I761">_xlfn.XLOOKUP(B761,Vendedores!$A$2:$A$41,Vendedores!$D$2:$D$41,"No hay datos")</f>
        <v>No hay datos</v>
      </c>
      <c r="J761" s="2" t="str">
        <f t="array" ref="J761">_xlfn.XLOOKUP(A761,Productos!$A$2:$A$61,Productos!$B$2:$F$61)</f>
        <v>#N/A</v>
      </c>
    </row>
    <row r="762">
      <c r="A762" s="2" t="str">
        <f>IFERROR(__xludf.DUMMYFUNCTION("""COMPUTED_VALUE"""),"PR007")</f>
        <v>PR007</v>
      </c>
      <c r="B762" s="2" t="str">
        <f>IFERROR(__xludf.DUMMYFUNCTION("""COMPUTED_VALUE"""),"VD027")</f>
        <v>VD027</v>
      </c>
      <c r="C762" s="2">
        <f>IFERROR(__xludf.DUMMYFUNCTION("""COMPUTED_VALUE"""),18.0)</f>
        <v>18</v>
      </c>
      <c r="D762" s="6">
        <f>IFERROR(__xludf.DUMMYFUNCTION("""COMPUTED_VALUE"""),1592.59)</f>
        <v>1592.59</v>
      </c>
      <c r="E762" s="6">
        <f>IFERROR(__xludf.DUMMYFUNCTION("GOOGLEFINANCE(""Currency:BRLMXN"")*D762"),5410.028229999999)</f>
        <v>5410.02823</v>
      </c>
      <c r="F762" s="6">
        <f>IFERROR(__xludf.DUMMYFUNCTION("GOOGLEFINANCE(""Currency:BRLPEN"")*D762"),1044.1020039999999)</f>
        <v>1044.102004</v>
      </c>
      <c r="G762" s="2" t="str">
        <f t="array" ref="G762">_xlfn.XLOOKUP(B762,Vendedores!$A$2:$A$41,Vendedores!$B$2:$B$41,"No hay datos")</f>
        <v>No hay datos</v>
      </c>
      <c r="H762" s="2" t="str">
        <f t="array" ref="H762">_xlfn.XLOOKUP(B762,Vendedores!$A$2:$A$41,Vendedores!$C$2:$C$41,"No hay datos")</f>
        <v>No hay datos</v>
      </c>
      <c r="I762" s="2" t="str">
        <f t="array" ref="I762">_xlfn.XLOOKUP(B762,Vendedores!$A$2:$A$41,Vendedores!$D$2:$D$41,"No hay datos")</f>
        <v>No hay datos</v>
      </c>
      <c r="J762" s="2" t="str">
        <f t="array" ref="J762">_xlfn.XLOOKUP(A762,Productos!$A$2:$A$61,Productos!$B$2:$F$61)</f>
        <v>#N/A</v>
      </c>
    </row>
    <row r="763">
      <c r="A763" s="2" t="str">
        <f>IFERROR(__xludf.DUMMYFUNCTION("""COMPUTED_VALUE"""),"PR023")</f>
        <v>PR023</v>
      </c>
      <c r="B763" s="2" t="str">
        <f>IFERROR(__xludf.DUMMYFUNCTION("""COMPUTED_VALUE"""),"VD044")</f>
        <v>VD044</v>
      </c>
      <c r="C763" s="2">
        <f>IFERROR(__xludf.DUMMYFUNCTION("""COMPUTED_VALUE"""),7.0)</f>
        <v>7</v>
      </c>
      <c r="D763" s="6">
        <f>IFERROR(__xludf.DUMMYFUNCTION("""COMPUTED_VALUE"""),1784.29)</f>
        <v>1784.29</v>
      </c>
      <c r="E763" s="6">
        <f>IFERROR(__xludf.DUMMYFUNCTION("GOOGLEFINANCE(""Currency:BRLMXN"")*D763"),6061.23313)</f>
        <v>6061.23313</v>
      </c>
      <c r="F763" s="6">
        <f>IFERROR(__xludf.DUMMYFUNCTION("GOOGLEFINANCE(""Currency:BRLPEN"")*D763"),1169.780524)</f>
        <v>1169.780524</v>
      </c>
      <c r="G763" s="2" t="str">
        <f t="array" ref="G763">_xlfn.XLOOKUP(B763,Vendedores!$A$2:$A$41,Vendedores!$B$2:$B$41,"No hay datos")</f>
        <v>No hay datos</v>
      </c>
      <c r="H763" s="2" t="str">
        <f t="array" ref="H763">_xlfn.XLOOKUP(B763,Vendedores!$A$2:$A$41,Vendedores!$C$2:$C$41,"No hay datos")</f>
        <v>No hay datos</v>
      </c>
      <c r="I763" s="2" t="str">
        <f t="array" ref="I763">_xlfn.XLOOKUP(B763,Vendedores!$A$2:$A$41,Vendedores!$D$2:$D$41,"No hay datos")</f>
        <v>No hay datos</v>
      </c>
      <c r="J763" s="2" t="str">
        <f t="array" ref="J763">_xlfn.XLOOKUP(A763,Productos!$A$2:$A$61,Productos!$B$2:$F$61)</f>
        <v>#N/A</v>
      </c>
    </row>
    <row r="764">
      <c r="A764" s="2" t="str">
        <f>IFERROR(__xludf.DUMMYFUNCTION("""COMPUTED_VALUE"""),"PR003")</f>
        <v>PR003</v>
      </c>
      <c r="B764" s="2" t="str">
        <f>IFERROR(__xludf.DUMMYFUNCTION("""COMPUTED_VALUE"""),"VD011")</f>
        <v>VD011</v>
      </c>
      <c r="C764" s="2">
        <f>IFERROR(__xludf.DUMMYFUNCTION("""COMPUTED_VALUE"""),2.0)</f>
        <v>2</v>
      </c>
      <c r="D764" s="6">
        <f>IFERROR(__xludf.DUMMYFUNCTION("""COMPUTED_VALUE"""),143.22)</f>
        <v>143.22</v>
      </c>
      <c r="E764" s="6">
        <f>IFERROR(__xludf.DUMMYFUNCTION("GOOGLEFINANCE(""Currency:BRLMXN"")*D764"),486.51833999999997)</f>
        <v>486.51834</v>
      </c>
      <c r="F764" s="6">
        <f>IFERROR(__xludf.DUMMYFUNCTION("GOOGLEFINANCE(""Currency:BRLPEN"")*D764"),93.895032)</f>
        <v>93.895032</v>
      </c>
      <c r="G764" s="2" t="str">
        <f t="array" ref="G764">_xlfn.XLOOKUP(B764,Vendedores!$A$2:$A$41,Vendedores!$B$2:$B$41,"No hay datos")</f>
        <v>No hay datos</v>
      </c>
      <c r="H764" s="2" t="str">
        <f t="array" ref="H764">_xlfn.XLOOKUP(B764,Vendedores!$A$2:$A$41,Vendedores!$C$2:$C$41,"No hay datos")</f>
        <v>No hay datos</v>
      </c>
      <c r="I764" s="2" t="str">
        <f t="array" ref="I764">_xlfn.XLOOKUP(B764,Vendedores!$A$2:$A$41,Vendedores!$D$2:$D$41,"No hay datos")</f>
        <v>No hay datos</v>
      </c>
      <c r="J764" s="2" t="str">
        <f t="array" ref="J764">_xlfn.XLOOKUP(A764,Productos!$A$2:$A$61,Productos!$B$2:$F$61)</f>
        <v>#N/A</v>
      </c>
    </row>
    <row r="765">
      <c r="A765" s="2" t="str">
        <f>IFERROR(__xludf.DUMMYFUNCTION("""COMPUTED_VALUE"""),"PR006")</f>
        <v>PR006</v>
      </c>
      <c r="B765" s="2" t="str">
        <f>IFERROR(__xludf.DUMMYFUNCTION("""COMPUTED_VALUE"""),"VD039")</f>
        <v>VD039</v>
      </c>
      <c r="C765" s="2">
        <f>IFERROR(__xludf.DUMMYFUNCTION("""COMPUTED_VALUE"""),10.0)</f>
        <v>10</v>
      </c>
      <c r="D765" s="6">
        <f>IFERROR(__xludf.DUMMYFUNCTION("""COMPUTED_VALUE"""),402.99)</f>
        <v>402.99</v>
      </c>
      <c r="E765" s="6">
        <f>IFERROR(__xludf.DUMMYFUNCTION("GOOGLEFINANCE(""Currency:BRLMXN"")*D765"),1368.95703)</f>
        <v>1368.95703</v>
      </c>
      <c r="F765" s="6">
        <f>IFERROR(__xludf.DUMMYFUNCTION("GOOGLEFINANCE(""Currency:BRLPEN"")*D765"),264.200244)</f>
        <v>264.200244</v>
      </c>
      <c r="G765" s="2" t="str">
        <f t="array" ref="G765">_xlfn.XLOOKUP(B765,Vendedores!$A$2:$A$41,Vendedores!$B$2:$B$41,"No hay datos")</f>
        <v>No hay datos</v>
      </c>
      <c r="H765" s="2" t="str">
        <f t="array" ref="H765">_xlfn.XLOOKUP(B765,Vendedores!$A$2:$A$41,Vendedores!$C$2:$C$41,"No hay datos")</f>
        <v>No hay datos</v>
      </c>
      <c r="I765" s="2" t="str">
        <f t="array" ref="I765">_xlfn.XLOOKUP(B765,Vendedores!$A$2:$A$41,Vendedores!$D$2:$D$41,"No hay datos")</f>
        <v>No hay datos</v>
      </c>
      <c r="J765" s="2" t="str">
        <f t="array" ref="J765">_xlfn.XLOOKUP(A765,Productos!$A$2:$A$61,Productos!$B$2:$F$61)</f>
        <v>#N/A</v>
      </c>
    </row>
    <row r="766">
      <c r="A766" s="2" t="str">
        <f>IFERROR(__xludf.DUMMYFUNCTION("""COMPUTED_VALUE"""),"PR014")</f>
        <v>PR014</v>
      </c>
      <c r="B766" s="2" t="str">
        <f>IFERROR(__xludf.DUMMYFUNCTION("""COMPUTED_VALUE"""),"VD039")</f>
        <v>VD039</v>
      </c>
      <c r="C766" s="2">
        <f>IFERROR(__xludf.DUMMYFUNCTION("""COMPUTED_VALUE"""),7.0)</f>
        <v>7</v>
      </c>
      <c r="D766" s="6">
        <f>IFERROR(__xludf.DUMMYFUNCTION("""COMPUTED_VALUE"""),304.44)</f>
        <v>304.44</v>
      </c>
      <c r="E766" s="6">
        <f>IFERROR(__xludf.DUMMYFUNCTION("GOOGLEFINANCE(""Currency:BRLMXN"")*D766"),1034.18268)</f>
        <v>1034.18268</v>
      </c>
      <c r="F766" s="6">
        <f>IFERROR(__xludf.DUMMYFUNCTION("GOOGLEFINANCE(""Currency:BRLPEN"")*D766"),199.59086399999998)</f>
        <v>199.590864</v>
      </c>
      <c r="G766" s="2" t="str">
        <f t="array" ref="G766">_xlfn.XLOOKUP(B766,Vendedores!$A$2:$A$41,Vendedores!$B$2:$B$41,"No hay datos")</f>
        <v>No hay datos</v>
      </c>
      <c r="H766" s="2" t="str">
        <f t="array" ref="H766">_xlfn.XLOOKUP(B766,Vendedores!$A$2:$A$41,Vendedores!$C$2:$C$41,"No hay datos")</f>
        <v>No hay datos</v>
      </c>
      <c r="I766" s="2" t="str">
        <f t="array" ref="I766">_xlfn.XLOOKUP(B766,Vendedores!$A$2:$A$41,Vendedores!$D$2:$D$41,"No hay datos")</f>
        <v>No hay datos</v>
      </c>
      <c r="J766" s="2" t="str">
        <f t="array" ref="J766">_xlfn.XLOOKUP(A766,Productos!$A$2:$A$61,Productos!$B$2:$F$61)</f>
        <v>#N/A</v>
      </c>
    </row>
    <row r="767">
      <c r="A767" s="2" t="str">
        <f>IFERROR(__xludf.DUMMYFUNCTION("""COMPUTED_VALUE"""),"PR033")</f>
        <v>PR033</v>
      </c>
      <c r="B767" s="2" t="str">
        <f>IFERROR(__xludf.DUMMYFUNCTION("""COMPUTED_VALUE"""),"VD042")</f>
        <v>VD042</v>
      </c>
      <c r="C767" s="2">
        <f>IFERROR(__xludf.DUMMYFUNCTION("""COMPUTED_VALUE"""),9.0)</f>
        <v>9</v>
      </c>
      <c r="D767" s="6">
        <f>IFERROR(__xludf.DUMMYFUNCTION("""COMPUTED_VALUE"""),2409.27)</f>
        <v>2409.27</v>
      </c>
      <c r="E767" s="6">
        <f>IFERROR(__xludf.DUMMYFUNCTION("GOOGLEFINANCE(""Currency:BRLMXN"")*D767"),8184.29019)</f>
        <v>8184.29019</v>
      </c>
      <c r="F767" s="6">
        <f>IFERROR(__xludf.DUMMYFUNCTION("GOOGLEFINANCE(""Currency:BRLPEN"")*D767"),1579.517412)</f>
        <v>1579.517412</v>
      </c>
      <c r="G767" s="2" t="str">
        <f t="array" ref="G767">_xlfn.XLOOKUP(B767,Vendedores!$A$2:$A$41,Vendedores!$B$2:$B$41,"No hay datos")</f>
        <v>No hay datos</v>
      </c>
      <c r="H767" s="2" t="str">
        <f t="array" ref="H767">_xlfn.XLOOKUP(B767,Vendedores!$A$2:$A$41,Vendedores!$C$2:$C$41,"No hay datos")</f>
        <v>No hay datos</v>
      </c>
      <c r="I767" s="2" t="str">
        <f t="array" ref="I767">_xlfn.XLOOKUP(B767,Vendedores!$A$2:$A$41,Vendedores!$D$2:$D$41,"No hay datos")</f>
        <v>No hay datos</v>
      </c>
      <c r="J767" s="2" t="str">
        <f t="array" ref="J767">_xlfn.XLOOKUP(A767,Productos!$A$2:$A$61,Productos!$B$2:$F$61)</f>
        <v>#N/A</v>
      </c>
    </row>
    <row r="768">
      <c r="A768" s="2" t="str">
        <f>IFERROR(__xludf.DUMMYFUNCTION("""COMPUTED_VALUE"""),"PR017")</f>
        <v>PR017</v>
      </c>
      <c r="B768" s="2" t="str">
        <f>IFERROR(__xludf.DUMMYFUNCTION("""COMPUTED_VALUE"""),"VD022")</f>
        <v>VD022</v>
      </c>
      <c r="C768" s="2">
        <f>IFERROR(__xludf.DUMMYFUNCTION("""COMPUTED_VALUE"""),2.0)</f>
        <v>2</v>
      </c>
      <c r="D768" s="6">
        <f>IFERROR(__xludf.DUMMYFUNCTION("""COMPUTED_VALUE"""),63.39)</f>
        <v>63.39</v>
      </c>
      <c r="E768" s="6">
        <f>IFERROR(__xludf.DUMMYFUNCTION("GOOGLEFINANCE(""Currency:BRLMXN"")*D768"),215.33583)</f>
        <v>215.33583</v>
      </c>
      <c r="F768" s="6">
        <f>IFERROR(__xludf.DUMMYFUNCTION("GOOGLEFINANCE(""Currency:BRLPEN"")*D768"),41.558484)</f>
        <v>41.558484</v>
      </c>
      <c r="G768" s="2" t="str">
        <f t="array" ref="G768">_xlfn.XLOOKUP(B768,Vendedores!$A$2:$A$41,Vendedores!$B$2:$B$41,"No hay datos")</f>
        <v>No hay datos</v>
      </c>
      <c r="H768" s="2" t="str">
        <f t="array" ref="H768">_xlfn.XLOOKUP(B768,Vendedores!$A$2:$A$41,Vendedores!$C$2:$C$41,"No hay datos")</f>
        <v>No hay datos</v>
      </c>
      <c r="I768" s="2" t="str">
        <f t="array" ref="I768">_xlfn.XLOOKUP(B768,Vendedores!$A$2:$A$41,Vendedores!$D$2:$D$41,"No hay datos")</f>
        <v>No hay datos</v>
      </c>
      <c r="J768" s="2" t="str">
        <f t="array" ref="J768">_xlfn.XLOOKUP(A768,Productos!$A$2:$A$61,Productos!$B$2:$F$61)</f>
        <v>#N/A</v>
      </c>
    </row>
    <row r="769">
      <c r="A769" s="2" t="str">
        <f>IFERROR(__xludf.DUMMYFUNCTION("""COMPUTED_VALUE"""),"PR038")</f>
        <v>PR038</v>
      </c>
      <c r="B769" s="2" t="str">
        <f>IFERROR(__xludf.DUMMYFUNCTION("""COMPUTED_VALUE"""),"VD010")</f>
        <v>VD010</v>
      </c>
      <c r="C769" s="2">
        <f>IFERROR(__xludf.DUMMYFUNCTION("""COMPUTED_VALUE"""),7.0)</f>
        <v>7</v>
      </c>
      <c r="D769" s="6">
        <f>IFERROR(__xludf.DUMMYFUNCTION("""COMPUTED_VALUE"""),1070.32)</f>
        <v>1070.32</v>
      </c>
      <c r="E769" s="6">
        <f>IFERROR(__xludf.DUMMYFUNCTION("GOOGLEFINANCE(""Currency:BRLMXN"")*D769"),3635.8770399999994)</f>
        <v>3635.87704</v>
      </c>
      <c r="F769" s="6">
        <f>IFERROR(__xludf.DUMMYFUNCTION("GOOGLEFINANCE(""Currency:BRLPEN"")*D769"),701.701792)</f>
        <v>701.701792</v>
      </c>
      <c r="G769" s="2" t="str">
        <f t="array" ref="G769">_xlfn.XLOOKUP(B769,Vendedores!$A$2:$A$41,Vendedores!$B$2:$B$41,"No hay datos")</f>
        <v>No hay datos</v>
      </c>
      <c r="H769" s="2" t="str">
        <f t="array" ref="H769">_xlfn.XLOOKUP(B769,Vendedores!$A$2:$A$41,Vendedores!$C$2:$C$41,"No hay datos")</f>
        <v>No hay datos</v>
      </c>
      <c r="I769" s="2" t="str">
        <f t="array" ref="I769">_xlfn.XLOOKUP(B769,Vendedores!$A$2:$A$41,Vendedores!$D$2:$D$41,"No hay datos")</f>
        <v>No hay datos</v>
      </c>
      <c r="J769" s="2" t="str">
        <f t="array" ref="J769">_xlfn.XLOOKUP(A769,Productos!$A$2:$A$61,Productos!$B$2:$F$61)</f>
        <v>#N/A</v>
      </c>
    </row>
    <row r="770">
      <c r="A770" s="2" t="str">
        <f>IFERROR(__xludf.DUMMYFUNCTION("""COMPUTED_VALUE"""),"PR020")</f>
        <v>PR020</v>
      </c>
      <c r="B770" s="2" t="str">
        <f>IFERROR(__xludf.DUMMYFUNCTION("""COMPUTED_VALUE"""),"VD038")</f>
        <v>VD038</v>
      </c>
      <c r="C770" s="2">
        <f>IFERROR(__xludf.DUMMYFUNCTION("""COMPUTED_VALUE"""),5.0)</f>
        <v>5</v>
      </c>
      <c r="D770" s="6">
        <f>IFERROR(__xludf.DUMMYFUNCTION("""COMPUTED_VALUE"""),1589.47)</f>
        <v>1589.47</v>
      </c>
      <c r="E770" s="6">
        <f>IFERROR(__xludf.DUMMYFUNCTION("GOOGLEFINANCE(""Currency:BRLMXN"")*D770"),5399.42959)</f>
        <v>5399.42959</v>
      </c>
      <c r="F770" s="6">
        <f>IFERROR(__xludf.DUMMYFUNCTION("GOOGLEFINANCE(""Currency:BRLPEN"")*D770"),1042.056532)</f>
        <v>1042.056532</v>
      </c>
      <c r="G770" s="2" t="str">
        <f t="array" ref="G770">_xlfn.XLOOKUP(B770,Vendedores!$A$2:$A$41,Vendedores!$B$2:$B$41,"No hay datos")</f>
        <v>No hay datos</v>
      </c>
      <c r="H770" s="2" t="str">
        <f t="array" ref="H770">_xlfn.XLOOKUP(B770,Vendedores!$A$2:$A$41,Vendedores!$C$2:$C$41,"No hay datos")</f>
        <v>No hay datos</v>
      </c>
      <c r="I770" s="2" t="str">
        <f t="array" ref="I770">_xlfn.XLOOKUP(B770,Vendedores!$A$2:$A$41,Vendedores!$D$2:$D$41,"No hay datos")</f>
        <v>No hay datos</v>
      </c>
      <c r="J770" s="2" t="str">
        <f t="array" ref="J770">_xlfn.XLOOKUP(A770,Productos!$A$2:$A$61,Productos!$B$2:$F$61)</f>
        <v>#N/A</v>
      </c>
    </row>
    <row r="771">
      <c r="A771" s="2" t="str">
        <f>IFERROR(__xludf.DUMMYFUNCTION("""COMPUTED_VALUE"""),"PR005")</f>
        <v>PR005</v>
      </c>
      <c r="B771" s="2" t="str">
        <f>IFERROR(__xludf.DUMMYFUNCTION("""COMPUTED_VALUE"""),"VD047")</f>
        <v>VD047</v>
      </c>
      <c r="C771" s="2">
        <f>IFERROR(__xludf.DUMMYFUNCTION("""COMPUTED_VALUE"""),3.0)</f>
        <v>3</v>
      </c>
      <c r="D771" s="6">
        <f>IFERROR(__xludf.DUMMYFUNCTION("""COMPUTED_VALUE"""),849.87)</f>
        <v>849.87</v>
      </c>
      <c r="E771" s="6">
        <f>IFERROR(__xludf.DUMMYFUNCTION("GOOGLEFINANCE(""Currency:BRLMXN"")*D771"),2887.00839)</f>
        <v>2887.00839</v>
      </c>
      <c r="F771" s="6">
        <f>IFERROR(__xludf.DUMMYFUNCTION("GOOGLEFINANCE(""Currency:BRLPEN"")*D771"),557.174772)</f>
        <v>557.174772</v>
      </c>
      <c r="G771" s="2" t="str">
        <f t="array" ref="G771">_xlfn.XLOOKUP(B771,Vendedores!$A$2:$A$41,Vendedores!$B$2:$B$41,"No hay datos")</f>
        <v>No hay datos</v>
      </c>
      <c r="H771" s="2" t="str">
        <f t="array" ref="H771">_xlfn.XLOOKUP(B771,Vendedores!$A$2:$A$41,Vendedores!$C$2:$C$41,"No hay datos")</f>
        <v>No hay datos</v>
      </c>
      <c r="I771" s="2" t="str">
        <f t="array" ref="I771">_xlfn.XLOOKUP(B771,Vendedores!$A$2:$A$41,Vendedores!$D$2:$D$41,"No hay datos")</f>
        <v>No hay datos</v>
      </c>
      <c r="J771" s="2" t="str">
        <f t="array" ref="J771">_xlfn.XLOOKUP(A771,Productos!$A$2:$A$61,Productos!$B$2:$F$61)</f>
        <v>#N/A</v>
      </c>
    </row>
    <row r="772">
      <c r="A772" s="2" t="str">
        <f>IFERROR(__xludf.DUMMYFUNCTION("""COMPUTED_VALUE"""),"PR058")</f>
        <v>PR058</v>
      </c>
      <c r="B772" s="2" t="str">
        <f>IFERROR(__xludf.DUMMYFUNCTION("""COMPUTED_VALUE"""),"VD014")</f>
        <v>VD014</v>
      </c>
      <c r="C772" s="2">
        <f>IFERROR(__xludf.DUMMYFUNCTION("""COMPUTED_VALUE"""),1.0)</f>
        <v>1</v>
      </c>
      <c r="D772" s="6">
        <f>IFERROR(__xludf.DUMMYFUNCTION("""COMPUTED_VALUE"""),190.8)</f>
        <v>190.8</v>
      </c>
      <c r="E772" s="6">
        <f>IFERROR(__xludf.DUMMYFUNCTION("GOOGLEFINANCE(""Currency:BRLMXN"")*D772"),648.1476)</f>
        <v>648.1476</v>
      </c>
      <c r="F772" s="6">
        <f>IFERROR(__xludf.DUMMYFUNCTION("GOOGLEFINANCE(""Currency:BRLPEN"")*D772"),125.08848)</f>
        <v>125.08848</v>
      </c>
      <c r="G772" s="2" t="str">
        <f t="array" ref="G772">_xlfn.XLOOKUP(B772,Vendedores!$A$2:$A$41,Vendedores!$B$2:$B$41,"No hay datos")</f>
        <v>No hay datos</v>
      </c>
      <c r="H772" s="2" t="str">
        <f t="array" ref="H772">_xlfn.XLOOKUP(B772,Vendedores!$A$2:$A$41,Vendedores!$C$2:$C$41,"No hay datos")</f>
        <v>No hay datos</v>
      </c>
      <c r="I772" s="2" t="str">
        <f t="array" ref="I772">_xlfn.XLOOKUP(B772,Vendedores!$A$2:$A$41,Vendedores!$D$2:$D$41,"No hay datos")</f>
        <v>No hay datos</v>
      </c>
      <c r="J772" s="2" t="str">
        <f t="array" ref="J772">_xlfn.XLOOKUP(A772,Productos!$A$2:$A$61,Productos!$B$2:$F$61)</f>
        <v>#N/A</v>
      </c>
    </row>
    <row r="773">
      <c r="A773" s="2" t="str">
        <f>IFERROR(__xludf.DUMMYFUNCTION("""COMPUTED_VALUE"""),"PR033")</f>
        <v>PR033</v>
      </c>
      <c r="B773" s="2" t="str">
        <f>IFERROR(__xludf.DUMMYFUNCTION("""COMPUTED_VALUE"""),"VD049")</f>
        <v>VD049</v>
      </c>
      <c r="C773" s="2">
        <f>IFERROR(__xludf.DUMMYFUNCTION("""COMPUTED_VALUE"""),2.0)</f>
        <v>2</v>
      </c>
      <c r="D773" s="6">
        <f>IFERROR(__xludf.DUMMYFUNCTION("""COMPUTED_VALUE"""),571.78)</f>
        <v>571.78</v>
      </c>
      <c r="E773" s="6">
        <f>IFERROR(__xludf.DUMMYFUNCTION("GOOGLEFINANCE(""Currency:BRLMXN"")*D773"),1942.3366599999997)</f>
        <v>1942.33666</v>
      </c>
      <c r="F773" s="6">
        <f>IFERROR(__xludf.DUMMYFUNCTION("GOOGLEFINANCE(""Currency:BRLPEN"")*D773"),374.85896799999995)</f>
        <v>374.858968</v>
      </c>
      <c r="G773" s="2" t="str">
        <f t="array" ref="G773">_xlfn.XLOOKUP(B773,Vendedores!$A$2:$A$41,Vendedores!$B$2:$B$41,"No hay datos")</f>
        <v>No hay datos</v>
      </c>
      <c r="H773" s="2" t="str">
        <f t="array" ref="H773">_xlfn.XLOOKUP(B773,Vendedores!$A$2:$A$41,Vendedores!$C$2:$C$41,"No hay datos")</f>
        <v>No hay datos</v>
      </c>
      <c r="I773" s="2" t="str">
        <f t="array" ref="I773">_xlfn.XLOOKUP(B773,Vendedores!$A$2:$A$41,Vendedores!$D$2:$D$41,"No hay datos")</f>
        <v>No hay datos</v>
      </c>
      <c r="J773" s="2" t="str">
        <f t="array" ref="J773">_xlfn.XLOOKUP(A773,Productos!$A$2:$A$61,Productos!$B$2:$F$61)</f>
        <v>#N/A</v>
      </c>
    </row>
    <row r="774">
      <c r="A774" s="2" t="str">
        <f>IFERROR(__xludf.DUMMYFUNCTION("""COMPUTED_VALUE"""),"PR049")</f>
        <v>PR049</v>
      </c>
      <c r="B774" s="2" t="str">
        <f>IFERROR(__xludf.DUMMYFUNCTION("""COMPUTED_VALUE"""),"VD047")</f>
        <v>VD047</v>
      </c>
      <c r="C774" s="2">
        <f>IFERROR(__xludf.DUMMYFUNCTION("""COMPUTED_VALUE"""),1.0)</f>
        <v>1</v>
      </c>
      <c r="D774" s="6">
        <f>IFERROR(__xludf.DUMMYFUNCTION("""COMPUTED_VALUE"""),34.55)</f>
        <v>34.55</v>
      </c>
      <c r="E774" s="6">
        <f>IFERROR(__xludf.DUMMYFUNCTION("GOOGLEFINANCE(""Currency:BRLMXN"")*D774"),117.36634999999998)</f>
        <v>117.36635</v>
      </c>
      <c r="F774" s="6">
        <f>IFERROR(__xludf.DUMMYFUNCTION("GOOGLEFINANCE(""Currency:BRLPEN"")*D774"),22.650979999999997)</f>
        <v>22.65098</v>
      </c>
      <c r="G774" s="2" t="str">
        <f t="array" ref="G774">_xlfn.XLOOKUP(B774,Vendedores!$A$2:$A$41,Vendedores!$B$2:$B$41,"No hay datos")</f>
        <v>No hay datos</v>
      </c>
      <c r="H774" s="2" t="str">
        <f t="array" ref="H774">_xlfn.XLOOKUP(B774,Vendedores!$A$2:$A$41,Vendedores!$C$2:$C$41,"No hay datos")</f>
        <v>No hay datos</v>
      </c>
      <c r="I774" s="2" t="str">
        <f t="array" ref="I774">_xlfn.XLOOKUP(B774,Vendedores!$A$2:$A$41,Vendedores!$D$2:$D$41,"No hay datos")</f>
        <v>No hay datos</v>
      </c>
      <c r="J774" s="2" t="str">
        <f t="array" ref="J774">_xlfn.XLOOKUP(A774,Productos!$A$2:$A$61,Productos!$B$2:$F$61)</f>
        <v>#N/A</v>
      </c>
    </row>
    <row r="775">
      <c r="A775" s="2" t="str">
        <f>IFERROR(__xludf.DUMMYFUNCTION("""COMPUTED_VALUE"""),"PR028")</f>
        <v>PR028</v>
      </c>
      <c r="B775" s="2" t="str">
        <f>IFERROR(__xludf.DUMMYFUNCTION("""COMPUTED_VALUE"""),"VD024")</f>
        <v>VD024</v>
      </c>
      <c r="C775" s="2">
        <f>IFERROR(__xludf.DUMMYFUNCTION("""COMPUTED_VALUE"""),9.0)</f>
        <v>9</v>
      </c>
      <c r="D775" s="6">
        <f>IFERROR(__xludf.DUMMYFUNCTION("""COMPUTED_VALUE"""),2474.01)</f>
        <v>2474.01</v>
      </c>
      <c r="E775" s="6">
        <f>IFERROR(__xludf.DUMMYFUNCTION("GOOGLEFINANCE(""Currency:BRLMXN"")*D775"),8404.21197)</f>
        <v>8404.21197</v>
      </c>
      <c r="F775" s="6">
        <f>IFERROR(__xludf.DUMMYFUNCTION("GOOGLEFINANCE(""Currency:BRLPEN"")*D775"),1621.9609560000001)</f>
        <v>1621.960956</v>
      </c>
      <c r="G775" s="2" t="str">
        <f t="array" ref="G775">_xlfn.XLOOKUP(B775,Vendedores!$A$2:$A$41,Vendedores!$B$2:$B$41,"No hay datos")</f>
        <v>No hay datos</v>
      </c>
      <c r="H775" s="2" t="str">
        <f t="array" ref="H775">_xlfn.XLOOKUP(B775,Vendedores!$A$2:$A$41,Vendedores!$C$2:$C$41,"No hay datos")</f>
        <v>No hay datos</v>
      </c>
      <c r="I775" s="2" t="str">
        <f t="array" ref="I775">_xlfn.XLOOKUP(B775,Vendedores!$A$2:$A$41,Vendedores!$D$2:$D$41,"No hay datos")</f>
        <v>No hay datos</v>
      </c>
      <c r="J775" s="2" t="str">
        <f t="array" ref="J775">_xlfn.XLOOKUP(A775,Productos!$A$2:$A$61,Productos!$B$2:$F$61)</f>
        <v>#N/A</v>
      </c>
    </row>
    <row r="776">
      <c r="A776" s="2" t="str">
        <f>IFERROR(__xludf.DUMMYFUNCTION("""COMPUTED_VALUE"""),"PR034")</f>
        <v>PR034</v>
      </c>
      <c r="B776" s="2" t="str">
        <f>IFERROR(__xludf.DUMMYFUNCTION("""COMPUTED_VALUE"""),"VD029")</f>
        <v>VD029</v>
      </c>
      <c r="C776" s="2">
        <f>IFERROR(__xludf.DUMMYFUNCTION("""COMPUTED_VALUE"""),8.0)</f>
        <v>8</v>
      </c>
      <c r="D776" s="6">
        <f>IFERROR(__xludf.DUMMYFUNCTION("""COMPUTED_VALUE"""),769.54)</f>
        <v>769.54</v>
      </c>
      <c r="E776" s="6">
        <f>IFERROR(__xludf.DUMMYFUNCTION("GOOGLEFINANCE(""Currency:BRLMXN"")*D776"),2614.12738)</f>
        <v>2614.12738</v>
      </c>
      <c r="F776" s="6">
        <f>IFERROR(__xludf.DUMMYFUNCTION("GOOGLEFINANCE(""Currency:BRLPEN"")*D776"),504.51042399999994)</f>
        <v>504.510424</v>
      </c>
      <c r="G776" s="2" t="str">
        <f t="array" ref="G776">_xlfn.XLOOKUP(B776,Vendedores!$A$2:$A$41,Vendedores!$B$2:$B$41,"No hay datos")</f>
        <v>No hay datos</v>
      </c>
      <c r="H776" s="2" t="str">
        <f t="array" ref="H776">_xlfn.XLOOKUP(B776,Vendedores!$A$2:$A$41,Vendedores!$C$2:$C$41,"No hay datos")</f>
        <v>No hay datos</v>
      </c>
      <c r="I776" s="2" t="str">
        <f t="array" ref="I776">_xlfn.XLOOKUP(B776,Vendedores!$A$2:$A$41,Vendedores!$D$2:$D$41,"No hay datos")</f>
        <v>No hay datos</v>
      </c>
      <c r="J776" s="2" t="str">
        <f t="array" ref="J776">_xlfn.XLOOKUP(A776,Productos!$A$2:$A$61,Productos!$B$2:$F$61)</f>
        <v>#N/A</v>
      </c>
    </row>
    <row r="777">
      <c r="A777" s="2" t="str">
        <f>IFERROR(__xludf.DUMMYFUNCTION("""COMPUTED_VALUE"""),"PR057")</f>
        <v>PR057</v>
      </c>
      <c r="B777" s="2" t="str">
        <f>IFERROR(__xludf.DUMMYFUNCTION("""COMPUTED_VALUE"""),"VD024")</f>
        <v>VD024</v>
      </c>
      <c r="C777" s="2">
        <f>IFERROR(__xludf.DUMMYFUNCTION("""COMPUTED_VALUE"""),8.0)</f>
        <v>8</v>
      </c>
      <c r="D777" s="6">
        <f>IFERROR(__xludf.DUMMYFUNCTION("""COMPUTED_VALUE"""),726.39)</f>
        <v>726.39</v>
      </c>
      <c r="E777" s="6">
        <f>IFERROR(__xludf.DUMMYFUNCTION("GOOGLEFINANCE(""Currency:BRLMXN"")*D777"),2467.5468299999998)</f>
        <v>2467.54683</v>
      </c>
      <c r="F777" s="6">
        <f>IFERROR(__xludf.DUMMYFUNCTION("GOOGLEFINANCE(""Currency:BRLPEN"")*D777"),476.22128399999997)</f>
        <v>476.221284</v>
      </c>
      <c r="G777" s="2" t="str">
        <f t="array" ref="G777">_xlfn.XLOOKUP(B777,Vendedores!$A$2:$A$41,Vendedores!$B$2:$B$41,"No hay datos")</f>
        <v>No hay datos</v>
      </c>
      <c r="H777" s="2" t="str">
        <f t="array" ref="H777">_xlfn.XLOOKUP(B777,Vendedores!$A$2:$A$41,Vendedores!$C$2:$C$41,"No hay datos")</f>
        <v>No hay datos</v>
      </c>
      <c r="I777" s="2" t="str">
        <f t="array" ref="I777">_xlfn.XLOOKUP(B777,Vendedores!$A$2:$A$41,Vendedores!$D$2:$D$41,"No hay datos")</f>
        <v>No hay datos</v>
      </c>
      <c r="J777" s="2" t="str">
        <f t="array" ref="J777">_xlfn.XLOOKUP(A777,Productos!$A$2:$A$61,Productos!$B$2:$F$61)</f>
        <v>#N/A</v>
      </c>
    </row>
    <row r="778">
      <c r="A778" s="2" t="str">
        <f>IFERROR(__xludf.DUMMYFUNCTION("""COMPUTED_VALUE"""),"PR007")</f>
        <v>PR007</v>
      </c>
      <c r="B778" s="2" t="str">
        <f>IFERROR(__xludf.DUMMYFUNCTION("""COMPUTED_VALUE"""),"VD048")</f>
        <v>VD048</v>
      </c>
      <c r="C778" s="2">
        <f>IFERROR(__xludf.DUMMYFUNCTION("""COMPUTED_VALUE"""),14.0)</f>
        <v>14</v>
      </c>
      <c r="D778" s="6">
        <f>IFERROR(__xludf.DUMMYFUNCTION("""COMPUTED_VALUE"""),1322.86)</f>
        <v>1322.86</v>
      </c>
      <c r="E778" s="6">
        <f>IFERROR(__xludf.DUMMYFUNCTION("GOOGLEFINANCE(""Currency:BRLMXN"")*D778"),4493.7554199999995)</f>
        <v>4493.75542</v>
      </c>
      <c r="F778" s="6">
        <f>IFERROR(__xludf.DUMMYFUNCTION("GOOGLEFINANCE(""Currency:BRLPEN"")*D778"),867.2670159999999)</f>
        <v>867.267016</v>
      </c>
      <c r="G778" s="2" t="str">
        <f t="array" ref="G778">_xlfn.XLOOKUP(B778,Vendedores!$A$2:$A$41,Vendedores!$B$2:$B$41,"No hay datos")</f>
        <v>No hay datos</v>
      </c>
      <c r="H778" s="2" t="str">
        <f t="array" ref="H778">_xlfn.XLOOKUP(B778,Vendedores!$A$2:$A$41,Vendedores!$C$2:$C$41,"No hay datos")</f>
        <v>No hay datos</v>
      </c>
      <c r="I778" s="2" t="str">
        <f t="array" ref="I778">_xlfn.XLOOKUP(B778,Vendedores!$A$2:$A$41,Vendedores!$D$2:$D$41,"No hay datos")</f>
        <v>No hay datos</v>
      </c>
      <c r="J778" s="2" t="str">
        <f t="array" ref="J778">_xlfn.XLOOKUP(A778,Productos!$A$2:$A$61,Productos!$B$2:$F$61)</f>
        <v>#N/A</v>
      </c>
    </row>
    <row r="779">
      <c r="A779" s="2" t="str">
        <f>IFERROR(__xludf.DUMMYFUNCTION("""COMPUTED_VALUE"""),"PR054")</f>
        <v>PR054</v>
      </c>
      <c r="B779" s="2" t="str">
        <f>IFERROR(__xludf.DUMMYFUNCTION("""COMPUTED_VALUE"""),"VD036")</f>
        <v>VD036</v>
      </c>
      <c r="C779" s="2">
        <f>IFERROR(__xludf.DUMMYFUNCTION("""COMPUTED_VALUE"""),6.0)</f>
        <v>6</v>
      </c>
      <c r="D779" s="6">
        <f>IFERROR(__xludf.DUMMYFUNCTION("""COMPUTED_VALUE"""),317.36)</f>
        <v>317.36</v>
      </c>
      <c r="E779" s="6">
        <f>IFERROR(__xludf.DUMMYFUNCTION("GOOGLEFINANCE(""Currency:BRLMXN"")*D779"),1078.07192)</f>
        <v>1078.07192</v>
      </c>
      <c r="F779" s="6">
        <f>IFERROR(__xludf.DUMMYFUNCTION("GOOGLEFINANCE(""Currency:BRLPEN"")*D779"),208.061216)</f>
        <v>208.061216</v>
      </c>
      <c r="G779" s="2" t="str">
        <f t="array" ref="G779">_xlfn.XLOOKUP(B779,Vendedores!$A$2:$A$41,Vendedores!$B$2:$B$41,"No hay datos")</f>
        <v>No hay datos</v>
      </c>
      <c r="H779" s="2" t="str">
        <f t="array" ref="H779">_xlfn.XLOOKUP(B779,Vendedores!$A$2:$A$41,Vendedores!$C$2:$C$41,"No hay datos")</f>
        <v>No hay datos</v>
      </c>
      <c r="I779" s="2" t="str">
        <f t="array" ref="I779">_xlfn.XLOOKUP(B779,Vendedores!$A$2:$A$41,Vendedores!$D$2:$D$41,"No hay datos")</f>
        <v>No hay datos</v>
      </c>
      <c r="J779" s="2" t="str">
        <f t="array" ref="J779">_xlfn.XLOOKUP(A779,Productos!$A$2:$A$61,Productos!$B$2:$F$61)</f>
        <v>#N/A</v>
      </c>
    </row>
    <row r="780">
      <c r="A780" s="2" t="str">
        <f>IFERROR(__xludf.DUMMYFUNCTION("""COMPUTED_VALUE"""),"PR026")</f>
        <v>PR026</v>
      </c>
      <c r="B780" s="2" t="str">
        <f>IFERROR(__xludf.DUMMYFUNCTION("""COMPUTED_VALUE"""),"VD016")</f>
        <v>VD016</v>
      </c>
      <c r="C780" s="2">
        <f>IFERROR(__xludf.DUMMYFUNCTION("""COMPUTED_VALUE"""),6.0)</f>
        <v>6</v>
      </c>
      <c r="D780" s="6">
        <f>IFERROR(__xludf.DUMMYFUNCTION("""COMPUTED_VALUE"""),2183.38)</f>
        <v>2183.38</v>
      </c>
      <c r="E780" s="6">
        <f>IFERROR(__xludf.DUMMYFUNCTION("GOOGLEFINANCE(""Currency:BRLMXN"")*D780"),7416.94186)</f>
        <v>7416.94186</v>
      </c>
      <c r="F780" s="6">
        <f>IFERROR(__xludf.DUMMYFUNCTION("GOOGLEFINANCE(""Currency:BRLPEN"")*D780"),1431.423928)</f>
        <v>1431.423928</v>
      </c>
      <c r="G780" s="2" t="str">
        <f t="array" ref="G780">_xlfn.XLOOKUP(B780,Vendedores!$A$2:$A$41,Vendedores!$B$2:$B$41,"No hay datos")</f>
        <v>No hay datos</v>
      </c>
      <c r="H780" s="2" t="str">
        <f t="array" ref="H780">_xlfn.XLOOKUP(B780,Vendedores!$A$2:$A$41,Vendedores!$C$2:$C$41,"No hay datos")</f>
        <v>No hay datos</v>
      </c>
      <c r="I780" s="2" t="str">
        <f t="array" ref="I780">_xlfn.XLOOKUP(B780,Vendedores!$A$2:$A$41,Vendedores!$D$2:$D$41,"No hay datos")</f>
        <v>No hay datos</v>
      </c>
      <c r="J780" s="2" t="str">
        <f t="array" ref="J780">_xlfn.XLOOKUP(A780,Productos!$A$2:$A$61,Productos!$B$2:$F$61)</f>
        <v>#N/A</v>
      </c>
    </row>
    <row r="781">
      <c r="A781" s="2" t="str">
        <f>IFERROR(__xludf.DUMMYFUNCTION("""COMPUTED_VALUE"""),"PR024")</f>
        <v>PR024</v>
      </c>
      <c r="B781" s="2" t="str">
        <f>IFERROR(__xludf.DUMMYFUNCTION("""COMPUTED_VALUE"""),"VD037")</f>
        <v>VD037</v>
      </c>
      <c r="C781" s="2">
        <f>IFERROR(__xludf.DUMMYFUNCTION("""COMPUTED_VALUE"""),5.0)</f>
        <v>5</v>
      </c>
      <c r="D781" s="6">
        <f>IFERROR(__xludf.DUMMYFUNCTION("""COMPUTED_VALUE"""),1429.45)</f>
        <v>1429.45</v>
      </c>
      <c r="E781" s="6">
        <f>IFERROR(__xludf.DUMMYFUNCTION("GOOGLEFINANCE(""Currency:BRLMXN"")*D781"),4855.84165)</f>
        <v>4855.84165</v>
      </c>
      <c r="F781" s="6">
        <f>IFERROR(__xludf.DUMMYFUNCTION("GOOGLEFINANCE(""Currency:BRLPEN"")*D781"),937.14742)</f>
        <v>937.14742</v>
      </c>
      <c r="G781" s="2" t="str">
        <f t="array" ref="G781">_xlfn.XLOOKUP(B781,Vendedores!$A$2:$A$41,Vendedores!$B$2:$B$41,"No hay datos")</f>
        <v>No hay datos</v>
      </c>
      <c r="H781" s="2" t="str">
        <f t="array" ref="H781">_xlfn.XLOOKUP(B781,Vendedores!$A$2:$A$41,Vendedores!$C$2:$C$41,"No hay datos")</f>
        <v>No hay datos</v>
      </c>
      <c r="I781" s="2" t="str">
        <f t="array" ref="I781">_xlfn.XLOOKUP(B781,Vendedores!$A$2:$A$41,Vendedores!$D$2:$D$41,"No hay datos")</f>
        <v>No hay datos</v>
      </c>
      <c r="J781" s="2" t="str">
        <f t="array" ref="J781">_xlfn.XLOOKUP(A781,Productos!$A$2:$A$61,Productos!$B$2:$F$61)</f>
        <v>#N/A</v>
      </c>
    </row>
    <row r="782">
      <c r="A782" s="2" t="str">
        <f>IFERROR(__xludf.DUMMYFUNCTION("""COMPUTED_VALUE"""),"PR044")</f>
        <v>PR044</v>
      </c>
      <c r="B782" s="2" t="str">
        <f>IFERROR(__xludf.DUMMYFUNCTION("""COMPUTED_VALUE"""),"VD045")</f>
        <v>VD045</v>
      </c>
      <c r="C782" s="2">
        <f>IFERROR(__xludf.DUMMYFUNCTION("""COMPUTED_VALUE"""),8.0)</f>
        <v>8</v>
      </c>
      <c r="D782" s="6">
        <f>IFERROR(__xludf.DUMMYFUNCTION("""COMPUTED_VALUE"""),620.6)</f>
        <v>620.6</v>
      </c>
      <c r="E782" s="6">
        <f>IFERROR(__xludf.DUMMYFUNCTION("GOOGLEFINANCE(""Currency:BRLMXN"")*D782"),2108.1782)</f>
        <v>2108.1782</v>
      </c>
      <c r="F782" s="6">
        <f>IFERROR(__xludf.DUMMYFUNCTION("GOOGLEFINANCE(""Currency:BRLPEN"")*D782"),406.86536)</f>
        <v>406.86536</v>
      </c>
      <c r="G782" s="2" t="str">
        <f t="array" ref="G782">_xlfn.XLOOKUP(B782,Vendedores!$A$2:$A$41,Vendedores!$B$2:$B$41,"No hay datos")</f>
        <v>No hay datos</v>
      </c>
      <c r="H782" s="2" t="str">
        <f t="array" ref="H782">_xlfn.XLOOKUP(B782,Vendedores!$A$2:$A$41,Vendedores!$C$2:$C$41,"No hay datos")</f>
        <v>No hay datos</v>
      </c>
      <c r="I782" s="2" t="str">
        <f t="array" ref="I782">_xlfn.XLOOKUP(B782,Vendedores!$A$2:$A$41,Vendedores!$D$2:$D$41,"No hay datos")</f>
        <v>No hay datos</v>
      </c>
      <c r="J782" s="2" t="str">
        <f t="array" ref="J782">_xlfn.XLOOKUP(A782,Productos!$A$2:$A$61,Productos!$B$2:$F$61)</f>
        <v>#N/A</v>
      </c>
    </row>
    <row r="783">
      <c r="A783" s="2" t="str">
        <f>IFERROR(__xludf.DUMMYFUNCTION("""COMPUTED_VALUE"""),"PR045")</f>
        <v>PR045</v>
      </c>
      <c r="B783" s="2" t="str">
        <f>IFERROR(__xludf.DUMMYFUNCTION("""COMPUTED_VALUE"""),"VD011")</f>
        <v>VD011</v>
      </c>
      <c r="C783" s="2">
        <f>IFERROR(__xludf.DUMMYFUNCTION("""COMPUTED_VALUE"""),12.0)</f>
        <v>12</v>
      </c>
      <c r="D783" s="6">
        <f>IFERROR(__xludf.DUMMYFUNCTION("""COMPUTED_VALUE"""),887.4)</f>
        <v>887.4</v>
      </c>
      <c r="E783" s="6">
        <f>IFERROR(__xludf.DUMMYFUNCTION("GOOGLEFINANCE(""Currency:BRLMXN"")*D783"),3014.4977999999996)</f>
        <v>3014.4978</v>
      </c>
      <c r="F783" s="6">
        <f>IFERROR(__xludf.DUMMYFUNCTION("GOOGLEFINANCE(""Currency:BRLPEN"")*D783"),581.7794399999999)</f>
        <v>581.77944</v>
      </c>
      <c r="G783" s="2" t="str">
        <f t="array" ref="G783">_xlfn.XLOOKUP(B783,Vendedores!$A$2:$A$41,Vendedores!$B$2:$B$41,"No hay datos")</f>
        <v>No hay datos</v>
      </c>
      <c r="H783" s="2" t="str">
        <f t="array" ref="H783">_xlfn.XLOOKUP(B783,Vendedores!$A$2:$A$41,Vendedores!$C$2:$C$41,"No hay datos")</f>
        <v>No hay datos</v>
      </c>
      <c r="I783" s="2" t="str">
        <f t="array" ref="I783">_xlfn.XLOOKUP(B783,Vendedores!$A$2:$A$41,Vendedores!$D$2:$D$41,"No hay datos")</f>
        <v>No hay datos</v>
      </c>
      <c r="J783" s="2" t="str">
        <f t="array" ref="J783">_xlfn.XLOOKUP(A783,Productos!$A$2:$A$61,Productos!$B$2:$F$61)</f>
        <v>#N/A</v>
      </c>
    </row>
    <row r="784">
      <c r="A784" s="2" t="str">
        <f>IFERROR(__xludf.DUMMYFUNCTION("""COMPUTED_VALUE"""),"PR060")</f>
        <v>PR060</v>
      </c>
      <c r="B784" s="2" t="str">
        <f>IFERROR(__xludf.DUMMYFUNCTION("""COMPUTED_VALUE"""),"VD037")</f>
        <v>VD037</v>
      </c>
      <c r="C784" s="2">
        <f>IFERROR(__xludf.DUMMYFUNCTION("""COMPUTED_VALUE"""),8.0)</f>
        <v>8</v>
      </c>
      <c r="D784" s="6">
        <f>IFERROR(__xludf.DUMMYFUNCTION("""COMPUTED_VALUE"""),1483.2)</f>
        <v>1483.2</v>
      </c>
      <c r="E784" s="6">
        <f>IFERROR(__xludf.DUMMYFUNCTION("GOOGLEFINANCE(""Currency:BRLMXN"")*D784"),5038.4304)</f>
        <v>5038.4304</v>
      </c>
      <c r="F784" s="6">
        <f>IFERROR(__xludf.DUMMYFUNCTION("GOOGLEFINANCE(""Currency:BRLPEN"")*D784"),972.3859199999999)</f>
        <v>972.38592</v>
      </c>
      <c r="G784" s="2" t="str">
        <f t="array" ref="G784">_xlfn.XLOOKUP(B784,Vendedores!$A$2:$A$41,Vendedores!$B$2:$B$41,"No hay datos")</f>
        <v>No hay datos</v>
      </c>
      <c r="H784" s="2" t="str">
        <f t="array" ref="H784">_xlfn.XLOOKUP(B784,Vendedores!$A$2:$A$41,Vendedores!$C$2:$C$41,"No hay datos")</f>
        <v>No hay datos</v>
      </c>
      <c r="I784" s="2" t="str">
        <f t="array" ref="I784">_xlfn.XLOOKUP(B784,Vendedores!$A$2:$A$41,Vendedores!$D$2:$D$41,"No hay datos")</f>
        <v>No hay datos</v>
      </c>
      <c r="J784" s="2" t="str">
        <f t="array" ref="J784">_xlfn.XLOOKUP(A784,Productos!$A$2:$A$61,Productos!$B$2:$F$61)</f>
        <v>#N/A</v>
      </c>
    </row>
    <row r="785">
      <c r="A785" s="2" t="str">
        <f>IFERROR(__xludf.DUMMYFUNCTION("""COMPUTED_VALUE"""),"PR024")</f>
        <v>PR024</v>
      </c>
      <c r="B785" s="2" t="str">
        <f>IFERROR(__xludf.DUMMYFUNCTION("""COMPUTED_VALUE"""),"VD048")</f>
        <v>VD048</v>
      </c>
      <c r="C785" s="2">
        <f>IFERROR(__xludf.DUMMYFUNCTION("""COMPUTED_VALUE"""),2.0)</f>
        <v>2</v>
      </c>
      <c r="D785" s="6">
        <f>IFERROR(__xludf.DUMMYFUNCTION("""COMPUTED_VALUE"""),525.0)</f>
        <v>525</v>
      </c>
      <c r="E785" s="6">
        <f>IFERROR(__xludf.DUMMYFUNCTION("GOOGLEFINANCE(""Currency:BRLMXN"")*D785"),1783.425)</f>
        <v>1783.425</v>
      </c>
      <c r="F785" s="6">
        <f>IFERROR(__xludf.DUMMYFUNCTION("GOOGLEFINANCE(""Currency:BRLPEN"")*D785"),344.19)</f>
        <v>344.19</v>
      </c>
      <c r="G785" s="2" t="str">
        <f t="array" ref="G785">_xlfn.XLOOKUP(B785,Vendedores!$A$2:$A$41,Vendedores!$B$2:$B$41,"No hay datos")</f>
        <v>No hay datos</v>
      </c>
      <c r="H785" s="2" t="str">
        <f t="array" ref="H785">_xlfn.XLOOKUP(B785,Vendedores!$A$2:$A$41,Vendedores!$C$2:$C$41,"No hay datos")</f>
        <v>No hay datos</v>
      </c>
      <c r="I785" s="2" t="str">
        <f t="array" ref="I785">_xlfn.XLOOKUP(B785,Vendedores!$A$2:$A$41,Vendedores!$D$2:$D$41,"No hay datos")</f>
        <v>No hay datos</v>
      </c>
      <c r="J785" s="2" t="str">
        <f t="array" ref="J785">_xlfn.XLOOKUP(A785,Productos!$A$2:$A$61,Productos!$B$2:$F$61)</f>
        <v>#N/A</v>
      </c>
    </row>
    <row r="786">
      <c r="A786" s="2" t="str">
        <f>IFERROR(__xludf.DUMMYFUNCTION("""COMPUTED_VALUE"""),"PR056")</f>
        <v>PR056</v>
      </c>
      <c r="B786" s="2" t="str">
        <f>IFERROR(__xludf.DUMMYFUNCTION("""COMPUTED_VALUE"""),"VD038")</f>
        <v>VD038</v>
      </c>
      <c r="C786" s="2">
        <f>IFERROR(__xludf.DUMMYFUNCTION("""COMPUTED_VALUE"""),9.0)</f>
        <v>9</v>
      </c>
      <c r="D786" s="6">
        <f>IFERROR(__xludf.DUMMYFUNCTION("""COMPUTED_VALUE"""),825.28)</f>
        <v>825.28</v>
      </c>
      <c r="E786" s="6">
        <f>IFERROR(__xludf.DUMMYFUNCTION("GOOGLEFINANCE(""Currency:BRLMXN"")*D786"),2803.4761599999997)</f>
        <v>2803.47616</v>
      </c>
      <c r="F786" s="6">
        <f>IFERROR(__xludf.DUMMYFUNCTION("GOOGLEFINANCE(""Currency:BRLPEN"")*D786"),541.0535679999999)</f>
        <v>541.053568</v>
      </c>
      <c r="G786" s="2" t="str">
        <f t="array" ref="G786">_xlfn.XLOOKUP(B786,Vendedores!$A$2:$A$41,Vendedores!$B$2:$B$41,"No hay datos")</f>
        <v>No hay datos</v>
      </c>
      <c r="H786" s="2" t="str">
        <f t="array" ref="H786">_xlfn.XLOOKUP(B786,Vendedores!$A$2:$A$41,Vendedores!$C$2:$C$41,"No hay datos")</f>
        <v>No hay datos</v>
      </c>
      <c r="I786" s="2" t="str">
        <f t="array" ref="I786">_xlfn.XLOOKUP(B786,Vendedores!$A$2:$A$41,Vendedores!$D$2:$D$41,"No hay datos")</f>
        <v>No hay datos</v>
      </c>
      <c r="J786" s="2" t="str">
        <f t="array" ref="J786">_xlfn.XLOOKUP(A786,Productos!$A$2:$A$61,Productos!$B$2:$F$61)</f>
        <v>#N/A</v>
      </c>
    </row>
    <row r="787">
      <c r="A787" s="2" t="str">
        <f>IFERROR(__xludf.DUMMYFUNCTION("""COMPUTED_VALUE"""),"PR005")</f>
        <v>PR005</v>
      </c>
      <c r="B787" s="2" t="str">
        <f>IFERROR(__xludf.DUMMYFUNCTION("""COMPUTED_VALUE"""),"VD029")</f>
        <v>VD029</v>
      </c>
      <c r="C787" s="2">
        <f>IFERROR(__xludf.DUMMYFUNCTION("""COMPUTED_VALUE"""),2.0)</f>
        <v>2</v>
      </c>
      <c r="D787" s="6">
        <f>IFERROR(__xludf.DUMMYFUNCTION("""COMPUTED_VALUE"""),525.0)</f>
        <v>525</v>
      </c>
      <c r="E787" s="6">
        <f>IFERROR(__xludf.DUMMYFUNCTION("GOOGLEFINANCE(""Currency:BRLMXN"")*D787"),1783.425)</f>
        <v>1783.425</v>
      </c>
      <c r="F787" s="6">
        <f>IFERROR(__xludf.DUMMYFUNCTION("GOOGLEFINANCE(""Currency:BRLPEN"")*D787"),344.19)</f>
        <v>344.19</v>
      </c>
      <c r="G787" s="2" t="str">
        <f t="array" ref="G787">_xlfn.XLOOKUP(B787,Vendedores!$A$2:$A$41,Vendedores!$B$2:$B$41,"No hay datos")</f>
        <v>No hay datos</v>
      </c>
      <c r="H787" s="2" t="str">
        <f t="array" ref="H787">_xlfn.XLOOKUP(B787,Vendedores!$A$2:$A$41,Vendedores!$C$2:$C$41,"No hay datos")</f>
        <v>No hay datos</v>
      </c>
      <c r="I787" s="2" t="str">
        <f t="array" ref="I787">_xlfn.XLOOKUP(B787,Vendedores!$A$2:$A$41,Vendedores!$D$2:$D$41,"No hay datos")</f>
        <v>No hay datos</v>
      </c>
      <c r="J787" s="2" t="str">
        <f t="array" ref="J787">_xlfn.XLOOKUP(A787,Productos!$A$2:$A$61,Productos!$B$2:$F$61)</f>
        <v>#N/A</v>
      </c>
    </row>
    <row r="788">
      <c r="A788" s="2" t="str">
        <f>IFERROR(__xludf.DUMMYFUNCTION("""COMPUTED_VALUE"""),"PR042")</f>
        <v>PR042</v>
      </c>
      <c r="B788" s="2" t="str">
        <f>IFERROR(__xludf.DUMMYFUNCTION("""COMPUTED_VALUE"""),"VD036")</f>
        <v>VD036</v>
      </c>
      <c r="C788" s="2">
        <f>IFERROR(__xludf.DUMMYFUNCTION("""COMPUTED_VALUE"""),9.0)</f>
        <v>9</v>
      </c>
      <c r="D788" s="6">
        <f>IFERROR(__xludf.DUMMYFUNCTION("""COMPUTED_VALUE"""),533.63)</f>
        <v>533.63</v>
      </c>
      <c r="E788" s="6">
        <f>IFERROR(__xludf.DUMMYFUNCTION("GOOGLEFINANCE(""Currency:BRLMXN"")*D788"),1812.74111)</f>
        <v>1812.74111</v>
      </c>
      <c r="F788" s="6">
        <f>IFERROR(__xludf.DUMMYFUNCTION("GOOGLEFINANCE(""Currency:BRLPEN"")*D788"),349.847828)</f>
        <v>349.847828</v>
      </c>
      <c r="G788" s="2" t="str">
        <f t="array" ref="G788">_xlfn.XLOOKUP(B788,Vendedores!$A$2:$A$41,Vendedores!$B$2:$B$41,"No hay datos")</f>
        <v>No hay datos</v>
      </c>
      <c r="H788" s="2" t="str">
        <f t="array" ref="H788">_xlfn.XLOOKUP(B788,Vendedores!$A$2:$A$41,Vendedores!$C$2:$C$41,"No hay datos")</f>
        <v>No hay datos</v>
      </c>
      <c r="I788" s="2" t="str">
        <f t="array" ref="I788">_xlfn.XLOOKUP(B788,Vendedores!$A$2:$A$41,Vendedores!$D$2:$D$41,"No hay datos")</f>
        <v>No hay datos</v>
      </c>
      <c r="J788" s="2" t="str">
        <f t="array" ref="J788">_xlfn.XLOOKUP(A788,Productos!$A$2:$A$61,Productos!$B$2:$F$61)</f>
        <v>#N/A</v>
      </c>
    </row>
    <row r="789">
      <c r="A789" s="2" t="str">
        <f>IFERROR(__xludf.DUMMYFUNCTION("""COMPUTED_VALUE"""),"PR039")</f>
        <v>PR039</v>
      </c>
      <c r="B789" s="2" t="str">
        <f>IFERROR(__xludf.DUMMYFUNCTION("""COMPUTED_VALUE"""),"VD013")</f>
        <v>VD013</v>
      </c>
      <c r="C789" s="2">
        <f>IFERROR(__xludf.DUMMYFUNCTION("""COMPUTED_VALUE"""),9.0)</f>
        <v>9</v>
      </c>
      <c r="D789" s="6">
        <f>IFERROR(__xludf.DUMMYFUNCTION("""COMPUTED_VALUE"""),1379.7)</f>
        <v>1379.7</v>
      </c>
      <c r="E789" s="6">
        <f>IFERROR(__xludf.DUMMYFUNCTION("GOOGLEFINANCE(""Currency:BRLMXN"")*D789"),4686.8409)</f>
        <v>4686.8409</v>
      </c>
      <c r="F789" s="6">
        <f>IFERROR(__xludf.DUMMYFUNCTION("GOOGLEFINANCE(""Currency:BRLPEN"")*D789"),904.5313199999999)</f>
        <v>904.53132</v>
      </c>
      <c r="G789" s="2" t="str">
        <f t="array" ref="G789">_xlfn.XLOOKUP(B789,Vendedores!$A$2:$A$41,Vendedores!$B$2:$B$41,"No hay datos")</f>
        <v>No hay datos</v>
      </c>
      <c r="H789" s="2" t="str">
        <f t="array" ref="H789">_xlfn.XLOOKUP(B789,Vendedores!$A$2:$A$41,Vendedores!$C$2:$C$41,"No hay datos")</f>
        <v>No hay datos</v>
      </c>
      <c r="I789" s="2" t="str">
        <f t="array" ref="I789">_xlfn.XLOOKUP(B789,Vendedores!$A$2:$A$41,Vendedores!$D$2:$D$41,"No hay datos")</f>
        <v>No hay datos</v>
      </c>
      <c r="J789" s="2" t="str">
        <f t="array" ref="J789">_xlfn.XLOOKUP(A789,Productos!$A$2:$A$61,Productos!$B$2:$F$61)</f>
        <v>#N/A</v>
      </c>
    </row>
    <row r="790">
      <c r="A790" s="2" t="str">
        <f>IFERROR(__xludf.DUMMYFUNCTION("""COMPUTED_VALUE"""),"PR021")</f>
        <v>PR021</v>
      </c>
      <c r="B790" s="2" t="str">
        <f>IFERROR(__xludf.DUMMYFUNCTION("""COMPUTED_VALUE"""),"VD027")</f>
        <v>VD027</v>
      </c>
      <c r="C790" s="2">
        <f>IFERROR(__xludf.DUMMYFUNCTION("""COMPUTED_VALUE"""),4.0)</f>
        <v>4</v>
      </c>
      <c r="D790" s="6">
        <f>IFERROR(__xludf.DUMMYFUNCTION("""COMPUTED_VALUE"""),1260.06)</f>
        <v>1260.06</v>
      </c>
      <c r="E790" s="6">
        <f>IFERROR(__xludf.DUMMYFUNCTION("GOOGLEFINANCE(""Currency:BRLMXN"")*D790"),4280.42382)</f>
        <v>4280.42382</v>
      </c>
      <c r="F790" s="6">
        <f>IFERROR(__xludf.DUMMYFUNCTION("GOOGLEFINANCE(""Currency:BRLPEN"")*D790"),826.0953359999999)</f>
        <v>826.095336</v>
      </c>
      <c r="G790" s="2" t="str">
        <f t="array" ref="G790">_xlfn.XLOOKUP(B790,Vendedores!$A$2:$A$41,Vendedores!$B$2:$B$41,"No hay datos")</f>
        <v>No hay datos</v>
      </c>
      <c r="H790" s="2" t="str">
        <f t="array" ref="H790">_xlfn.XLOOKUP(B790,Vendedores!$A$2:$A$41,Vendedores!$C$2:$C$41,"No hay datos")</f>
        <v>No hay datos</v>
      </c>
      <c r="I790" s="2" t="str">
        <f t="array" ref="I790">_xlfn.XLOOKUP(B790,Vendedores!$A$2:$A$41,Vendedores!$D$2:$D$41,"No hay datos")</f>
        <v>No hay datos</v>
      </c>
      <c r="J790" s="2" t="str">
        <f t="array" ref="J790">_xlfn.XLOOKUP(A790,Productos!$A$2:$A$61,Productos!$B$2:$F$61)</f>
        <v>#N/A</v>
      </c>
    </row>
    <row r="791">
      <c r="A791" s="2" t="str">
        <f>IFERROR(__xludf.DUMMYFUNCTION("""COMPUTED_VALUE"""),"PR047")</f>
        <v>PR047</v>
      </c>
      <c r="B791" s="2" t="str">
        <f>IFERROR(__xludf.DUMMYFUNCTION("""COMPUTED_VALUE"""),"VD030")</f>
        <v>VD030</v>
      </c>
      <c r="C791" s="2">
        <f>IFERROR(__xludf.DUMMYFUNCTION("""COMPUTED_VALUE"""),10.0)</f>
        <v>10</v>
      </c>
      <c r="D791" s="6">
        <f>IFERROR(__xludf.DUMMYFUNCTION("""COMPUTED_VALUE"""),3043.95)</f>
        <v>3043.95</v>
      </c>
      <c r="E791" s="6">
        <f>IFERROR(__xludf.DUMMYFUNCTION("GOOGLEFINANCE(""Currency:BRLMXN"")*D791"),10340.298149999999)</f>
        <v>10340.29815</v>
      </c>
      <c r="F791" s="6">
        <f>IFERROR(__xludf.DUMMYFUNCTION("GOOGLEFINANCE(""Currency:BRLPEN"")*D791"),1995.6136199999999)</f>
        <v>1995.61362</v>
      </c>
      <c r="G791" s="2" t="str">
        <f t="array" ref="G791">_xlfn.XLOOKUP(B791,Vendedores!$A$2:$A$41,Vendedores!$B$2:$B$41,"No hay datos")</f>
        <v>No hay datos</v>
      </c>
      <c r="H791" s="2" t="str">
        <f t="array" ref="H791">_xlfn.XLOOKUP(B791,Vendedores!$A$2:$A$41,Vendedores!$C$2:$C$41,"No hay datos")</f>
        <v>No hay datos</v>
      </c>
      <c r="I791" s="2" t="str">
        <f t="array" ref="I791">_xlfn.XLOOKUP(B791,Vendedores!$A$2:$A$41,Vendedores!$D$2:$D$41,"No hay datos")</f>
        <v>No hay datos</v>
      </c>
      <c r="J791" s="2" t="str">
        <f t="array" ref="J791">_xlfn.XLOOKUP(A791,Productos!$A$2:$A$61,Productos!$B$2:$F$61)</f>
        <v>#N/A</v>
      </c>
    </row>
    <row r="792">
      <c r="A792" s="2" t="str">
        <f>IFERROR(__xludf.DUMMYFUNCTION("""COMPUTED_VALUE"""),"PR056")</f>
        <v>PR056</v>
      </c>
      <c r="B792" s="2" t="str">
        <f>IFERROR(__xludf.DUMMYFUNCTION("""COMPUTED_VALUE"""),"VD015")</f>
        <v>VD015</v>
      </c>
      <c r="C792" s="2">
        <f>IFERROR(__xludf.DUMMYFUNCTION("""COMPUTED_VALUE"""),7.0)</f>
        <v>7</v>
      </c>
      <c r="D792" s="6">
        <f>IFERROR(__xludf.DUMMYFUNCTION("""COMPUTED_VALUE"""),635.59)</f>
        <v>635.59</v>
      </c>
      <c r="E792" s="6">
        <f>IFERROR(__xludf.DUMMYFUNCTION("GOOGLEFINANCE(""Currency:BRLMXN"")*D792"),2159.09923)</f>
        <v>2159.09923</v>
      </c>
      <c r="F792" s="6">
        <f>IFERROR(__xludf.DUMMYFUNCTION("GOOGLEFINANCE(""Currency:BRLPEN"")*D792"),416.692804)</f>
        <v>416.692804</v>
      </c>
      <c r="G792" s="2" t="str">
        <f t="array" ref="G792">_xlfn.XLOOKUP(B792,Vendedores!$A$2:$A$41,Vendedores!$B$2:$B$41,"No hay datos")</f>
        <v>No hay datos</v>
      </c>
      <c r="H792" s="2" t="str">
        <f t="array" ref="H792">_xlfn.XLOOKUP(B792,Vendedores!$A$2:$A$41,Vendedores!$C$2:$C$41,"No hay datos")</f>
        <v>No hay datos</v>
      </c>
      <c r="I792" s="2" t="str">
        <f t="array" ref="I792">_xlfn.XLOOKUP(B792,Vendedores!$A$2:$A$41,Vendedores!$D$2:$D$41,"No hay datos")</f>
        <v>No hay datos</v>
      </c>
      <c r="J792" s="2" t="str">
        <f t="array" ref="J792">_xlfn.XLOOKUP(A792,Productos!$A$2:$A$61,Productos!$B$2:$F$61)</f>
        <v>#N/A</v>
      </c>
    </row>
    <row r="793">
      <c r="A793" s="2" t="str">
        <f>IFERROR(__xludf.DUMMYFUNCTION("""COMPUTED_VALUE"""),"PR057")</f>
        <v>PR057</v>
      </c>
      <c r="B793" s="2" t="str">
        <f>IFERROR(__xludf.DUMMYFUNCTION("""COMPUTED_VALUE"""),"VD010")</f>
        <v>VD010</v>
      </c>
      <c r="C793" s="2">
        <f>IFERROR(__xludf.DUMMYFUNCTION("""COMPUTED_VALUE"""),4.0)</f>
        <v>4</v>
      </c>
      <c r="D793" s="6">
        <f>IFERROR(__xludf.DUMMYFUNCTION("""COMPUTED_VALUE"""),381.18)</f>
        <v>381.18</v>
      </c>
      <c r="E793" s="6">
        <f>IFERROR(__xludf.DUMMYFUNCTION("GOOGLEFINANCE(""Currency:BRLMXN"")*D793"),1294.86846)</f>
        <v>1294.86846</v>
      </c>
      <c r="F793" s="6">
        <f>IFERROR(__xludf.DUMMYFUNCTION("GOOGLEFINANCE(""Currency:BRLPEN"")*D793"),249.90160799999998)</f>
        <v>249.901608</v>
      </c>
      <c r="G793" s="2" t="str">
        <f t="array" ref="G793">_xlfn.XLOOKUP(B793,Vendedores!$A$2:$A$41,Vendedores!$B$2:$B$41,"No hay datos")</f>
        <v>No hay datos</v>
      </c>
      <c r="H793" s="2" t="str">
        <f t="array" ref="H793">_xlfn.XLOOKUP(B793,Vendedores!$A$2:$A$41,Vendedores!$C$2:$C$41,"No hay datos")</f>
        <v>No hay datos</v>
      </c>
      <c r="I793" s="2" t="str">
        <f t="array" ref="I793">_xlfn.XLOOKUP(B793,Vendedores!$A$2:$A$41,Vendedores!$D$2:$D$41,"No hay datos")</f>
        <v>No hay datos</v>
      </c>
      <c r="J793" s="2" t="str">
        <f t="array" ref="J793">_xlfn.XLOOKUP(A793,Productos!$A$2:$A$61,Productos!$B$2:$F$61)</f>
        <v>#N/A</v>
      </c>
    </row>
    <row r="794">
      <c r="A794" s="2" t="str">
        <f>IFERROR(__xludf.DUMMYFUNCTION("""COMPUTED_VALUE"""),"PR023")</f>
        <v>PR023</v>
      </c>
      <c r="B794" s="2" t="str">
        <f>IFERROR(__xludf.DUMMYFUNCTION("""COMPUTED_VALUE"""),"VD021")</f>
        <v>VD021</v>
      </c>
      <c r="C794" s="2">
        <f>IFERROR(__xludf.DUMMYFUNCTION("""COMPUTED_VALUE"""),6.0)</f>
        <v>6</v>
      </c>
      <c r="D794" s="6">
        <f>IFERROR(__xludf.DUMMYFUNCTION("""COMPUTED_VALUE"""),1604.36)</f>
        <v>1604.36</v>
      </c>
      <c r="E794" s="6">
        <f>IFERROR(__xludf.DUMMYFUNCTION("GOOGLEFINANCE(""Currency:BRLMXN"")*D794"),5450.01092)</f>
        <v>5450.01092</v>
      </c>
      <c r="F794" s="6">
        <f>IFERROR(__xludf.DUMMYFUNCTION("GOOGLEFINANCE(""Currency:BRLPEN"")*D794"),1051.8184159999998)</f>
        <v>1051.818416</v>
      </c>
      <c r="G794" s="2" t="str">
        <f t="array" ref="G794">_xlfn.XLOOKUP(B794,Vendedores!$A$2:$A$41,Vendedores!$B$2:$B$41,"No hay datos")</f>
        <v>No hay datos</v>
      </c>
      <c r="H794" s="2" t="str">
        <f t="array" ref="H794">_xlfn.XLOOKUP(B794,Vendedores!$A$2:$A$41,Vendedores!$C$2:$C$41,"No hay datos")</f>
        <v>No hay datos</v>
      </c>
      <c r="I794" s="2" t="str">
        <f t="array" ref="I794">_xlfn.XLOOKUP(B794,Vendedores!$A$2:$A$41,Vendedores!$D$2:$D$41,"No hay datos")</f>
        <v>No hay datos</v>
      </c>
      <c r="J794" s="2" t="str">
        <f t="array" ref="J794">_xlfn.XLOOKUP(A794,Productos!$A$2:$A$61,Productos!$B$2:$F$61)</f>
        <v>#N/A</v>
      </c>
    </row>
    <row r="795">
      <c r="A795" s="2" t="str">
        <f>IFERROR(__xludf.DUMMYFUNCTION("""COMPUTED_VALUE"""),"PR001")</f>
        <v>PR001</v>
      </c>
      <c r="B795" s="2" t="str">
        <f>IFERROR(__xludf.DUMMYFUNCTION("""COMPUTED_VALUE"""),"VD036")</f>
        <v>VD036</v>
      </c>
      <c r="C795" s="2">
        <f>IFERROR(__xludf.DUMMYFUNCTION("""COMPUTED_VALUE"""),8.0)</f>
        <v>8</v>
      </c>
      <c r="D795" s="6">
        <f>IFERROR(__xludf.DUMMYFUNCTION("""COMPUTED_VALUE"""),574.65)</f>
        <v>574.65</v>
      </c>
      <c r="E795" s="6">
        <f>IFERROR(__xludf.DUMMYFUNCTION("GOOGLEFINANCE(""Currency:BRLMXN"")*D795"),1952.08605)</f>
        <v>1952.08605</v>
      </c>
      <c r="F795" s="6">
        <f>IFERROR(__xludf.DUMMYFUNCTION("GOOGLEFINANCE(""Currency:BRLPEN"")*D795"),376.74053999999995)</f>
        <v>376.74054</v>
      </c>
      <c r="G795" s="2" t="str">
        <f t="array" ref="G795">_xlfn.XLOOKUP(B795,Vendedores!$A$2:$A$41,Vendedores!$B$2:$B$41,"No hay datos")</f>
        <v>No hay datos</v>
      </c>
      <c r="H795" s="2" t="str">
        <f t="array" ref="H795">_xlfn.XLOOKUP(B795,Vendedores!$A$2:$A$41,Vendedores!$C$2:$C$41,"No hay datos")</f>
        <v>No hay datos</v>
      </c>
      <c r="I795" s="2" t="str">
        <f t="array" ref="I795">_xlfn.XLOOKUP(B795,Vendedores!$A$2:$A$41,Vendedores!$D$2:$D$41,"No hay datos")</f>
        <v>No hay datos</v>
      </c>
      <c r="J795" s="2" t="str">
        <f t="array" ref="J795">_xlfn.XLOOKUP(A795,Productos!$A$2:$A$61,Productos!$B$2:$F$61)</f>
        <v>#N/A</v>
      </c>
    </row>
    <row r="796">
      <c r="A796" s="2" t="str">
        <f>IFERROR(__xludf.DUMMYFUNCTION("""COMPUTED_VALUE"""),"PR043")</f>
        <v>PR043</v>
      </c>
      <c r="B796" s="2" t="str">
        <f>IFERROR(__xludf.DUMMYFUNCTION("""COMPUTED_VALUE"""),"VD040")</f>
        <v>VD040</v>
      </c>
      <c r="C796" s="2">
        <f>IFERROR(__xludf.DUMMYFUNCTION("""COMPUTED_VALUE"""),2.0)</f>
        <v>2</v>
      </c>
      <c r="D796" s="6">
        <f>IFERROR(__xludf.DUMMYFUNCTION("""COMPUTED_VALUE"""),155.15)</f>
        <v>155.15</v>
      </c>
      <c r="E796" s="6">
        <f>IFERROR(__xludf.DUMMYFUNCTION("GOOGLEFINANCE(""Currency:BRLMXN"")*D796"),527.04455)</f>
        <v>527.04455</v>
      </c>
      <c r="F796" s="6">
        <f>IFERROR(__xludf.DUMMYFUNCTION("GOOGLEFINANCE(""Currency:BRLPEN"")*D796"),101.71634)</f>
        <v>101.71634</v>
      </c>
      <c r="G796" s="2" t="str">
        <f t="array" ref="G796">_xlfn.XLOOKUP(B796,Vendedores!$A$2:$A$41,Vendedores!$B$2:$B$41,"No hay datos")</f>
        <v>No hay datos</v>
      </c>
      <c r="H796" s="2" t="str">
        <f t="array" ref="H796">_xlfn.XLOOKUP(B796,Vendedores!$A$2:$A$41,Vendedores!$C$2:$C$41,"No hay datos")</f>
        <v>No hay datos</v>
      </c>
      <c r="I796" s="2" t="str">
        <f t="array" ref="I796">_xlfn.XLOOKUP(B796,Vendedores!$A$2:$A$41,Vendedores!$D$2:$D$41,"No hay datos")</f>
        <v>No hay datos</v>
      </c>
      <c r="J796" s="2" t="str">
        <f t="array" ref="J796">_xlfn.XLOOKUP(A796,Productos!$A$2:$A$61,Productos!$B$2:$F$61)</f>
        <v>#N/A</v>
      </c>
    </row>
    <row r="797">
      <c r="A797" s="2" t="str">
        <f>IFERROR(__xludf.DUMMYFUNCTION("""COMPUTED_VALUE"""),"PR058")</f>
        <v>PR058</v>
      </c>
      <c r="B797" s="2" t="str">
        <f>IFERROR(__xludf.DUMMYFUNCTION("""COMPUTED_VALUE"""),"VD030")</f>
        <v>VD030</v>
      </c>
      <c r="C797" s="2">
        <f>IFERROR(__xludf.DUMMYFUNCTION("""COMPUTED_VALUE"""),4.0)</f>
        <v>4</v>
      </c>
      <c r="D797" s="6">
        <f>IFERROR(__xludf.DUMMYFUNCTION("""COMPUTED_VALUE"""),720.0)</f>
        <v>720</v>
      </c>
      <c r="E797" s="6">
        <f>IFERROR(__xludf.DUMMYFUNCTION("GOOGLEFINANCE(""Currency:BRLMXN"")*D797"),2445.8399999999997)</f>
        <v>2445.84</v>
      </c>
      <c r="F797" s="6">
        <f>IFERROR(__xludf.DUMMYFUNCTION("GOOGLEFINANCE(""Currency:BRLPEN"")*D797"),472.032)</f>
        <v>472.032</v>
      </c>
      <c r="G797" s="2" t="str">
        <f t="array" ref="G797">_xlfn.XLOOKUP(B797,Vendedores!$A$2:$A$41,Vendedores!$B$2:$B$41,"No hay datos")</f>
        <v>No hay datos</v>
      </c>
      <c r="H797" s="2" t="str">
        <f t="array" ref="H797">_xlfn.XLOOKUP(B797,Vendedores!$A$2:$A$41,Vendedores!$C$2:$C$41,"No hay datos")</f>
        <v>No hay datos</v>
      </c>
      <c r="I797" s="2" t="str">
        <f t="array" ref="I797">_xlfn.XLOOKUP(B797,Vendedores!$A$2:$A$41,Vendedores!$D$2:$D$41,"No hay datos")</f>
        <v>No hay datos</v>
      </c>
      <c r="J797" s="2" t="str">
        <f t="array" ref="J797">_xlfn.XLOOKUP(A797,Productos!$A$2:$A$61,Productos!$B$2:$F$61)</f>
        <v>#N/A</v>
      </c>
    </row>
    <row r="798">
      <c r="A798" s="2" t="str">
        <f>IFERROR(__xludf.DUMMYFUNCTION("""COMPUTED_VALUE"""),"PR023")</f>
        <v>PR023</v>
      </c>
      <c r="B798" s="2" t="str">
        <f>IFERROR(__xludf.DUMMYFUNCTION("""COMPUTED_VALUE"""),"VD039")</f>
        <v>VD039</v>
      </c>
      <c r="C798" s="2">
        <f>IFERROR(__xludf.DUMMYFUNCTION("""COMPUTED_VALUE"""),9.0)</f>
        <v>9</v>
      </c>
      <c r="D798" s="6">
        <f>IFERROR(__xludf.DUMMYFUNCTION("""COMPUTED_VALUE"""),2474.01)</f>
        <v>2474.01</v>
      </c>
      <c r="E798" s="6">
        <f>IFERROR(__xludf.DUMMYFUNCTION("GOOGLEFINANCE(""Currency:BRLMXN"")*D798"),8404.21197)</f>
        <v>8404.21197</v>
      </c>
      <c r="F798" s="6">
        <f>IFERROR(__xludf.DUMMYFUNCTION("GOOGLEFINANCE(""Currency:BRLPEN"")*D798"),1621.9609560000001)</f>
        <v>1621.960956</v>
      </c>
      <c r="G798" s="2" t="str">
        <f t="array" ref="G798">_xlfn.XLOOKUP(B798,Vendedores!$A$2:$A$41,Vendedores!$B$2:$B$41,"No hay datos")</f>
        <v>No hay datos</v>
      </c>
      <c r="H798" s="2" t="str">
        <f t="array" ref="H798">_xlfn.XLOOKUP(B798,Vendedores!$A$2:$A$41,Vendedores!$C$2:$C$41,"No hay datos")</f>
        <v>No hay datos</v>
      </c>
      <c r="I798" s="2" t="str">
        <f t="array" ref="I798">_xlfn.XLOOKUP(B798,Vendedores!$A$2:$A$41,Vendedores!$D$2:$D$41,"No hay datos")</f>
        <v>No hay datos</v>
      </c>
      <c r="J798" s="2" t="str">
        <f t="array" ref="J798">_xlfn.XLOOKUP(A798,Productos!$A$2:$A$61,Productos!$B$2:$F$61)</f>
        <v>#N/A</v>
      </c>
    </row>
    <row r="799">
      <c r="A799" s="2" t="str">
        <f>IFERROR(__xludf.DUMMYFUNCTION("""COMPUTED_VALUE"""),"PR012")</f>
        <v>PR012</v>
      </c>
      <c r="B799" s="2" t="str">
        <f>IFERROR(__xludf.DUMMYFUNCTION("""COMPUTED_VALUE"""),"VD032")</f>
        <v>VD032</v>
      </c>
      <c r="C799" s="2">
        <f>IFERROR(__xludf.DUMMYFUNCTION("""COMPUTED_VALUE"""),12.0)</f>
        <v>12</v>
      </c>
      <c r="D799" s="6">
        <f>IFERROR(__xludf.DUMMYFUNCTION("""COMPUTED_VALUE"""),610.27)</f>
        <v>610.27</v>
      </c>
      <c r="E799" s="6">
        <f>IFERROR(__xludf.DUMMYFUNCTION("GOOGLEFINANCE(""Currency:BRLMXN"")*D799"),2073.0871899999997)</f>
        <v>2073.08719</v>
      </c>
      <c r="F799" s="6">
        <f>IFERROR(__xludf.DUMMYFUNCTION("GOOGLEFINANCE(""Currency:BRLPEN"")*D799"),400.093012)</f>
        <v>400.093012</v>
      </c>
      <c r="G799" s="2" t="str">
        <f t="array" ref="G799">_xlfn.XLOOKUP(B799,Vendedores!$A$2:$A$41,Vendedores!$B$2:$B$41,"No hay datos")</f>
        <v>No hay datos</v>
      </c>
      <c r="H799" s="2" t="str">
        <f t="array" ref="H799">_xlfn.XLOOKUP(B799,Vendedores!$A$2:$A$41,Vendedores!$C$2:$C$41,"No hay datos")</f>
        <v>No hay datos</v>
      </c>
      <c r="I799" s="2" t="str">
        <f t="array" ref="I799">_xlfn.XLOOKUP(B799,Vendedores!$A$2:$A$41,Vendedores!$D$2:$D$41,"No hay datos")</f>
        <v>No hay datos</v>
      </c>
      <c r="J799" s="2" t="str">
        <f t="array" ref="J799">_xlfn.XLOOKUP(A799,Productos!$A$2:$A$61,Productos!$B$2:$F$61)</f>
        <v>#N/A</v>
      </c>
    </row>
    <row r="800">
      <c r="A800" s="2" t="str">
        <f>IFERROR(__xludf.DUMMYFUNCTION("""COMPUTED_VALUE"""),"PR026")</f>
        <v>PR026</v>
      </c>
      <c r="B800" s="2" t="str">
        <f>IFERROR(__xludf.DUMMYFUNCTION("""COMPUTED_VALUE"""),"VD043")</f>
        <v>VD043</v>
      </c>
      <c r="C800" s="2">
        <f>IFERROR(__xludf.DUMMYFUNCTION("""COMPUTED_VALUE"""),2.0)</f>
        <v>2</v>
      </c>
      <c r="D800" s="6">
        <f>IFERROR(__xludf.DUMMYFUNCTION("""COMPUTED_VALUE"""),769.78)</f>
        <v>769.78</v>
      </c>
      <c r="E800" s="6">
        <f>IFERROR(__xludf.DUMMYFUNCTION("GOOGLEFINANCE(""Currency:BRLMXN"")*D800"),2614.9426599999997)</f>
        <v>2614.94266</v>
      </c>
      <c r="F800" s="6">
        <f>IFERROR(__xludf.DUMMYFUNCTION("GOOGLEFINANCE(""Currency:BRLPEN"")*D800"),504.66776799999997)</f>
        <v>504.667768</v>
      </c>
      <c r="G800" s="2" t="str">
        <f t="array" ref="G800">_xlfn.XLOOKUP(B800,Vendedores!$A$2:$A$41,Vendedores!$B$2:$B$41,"No hay datos")</f>
        <v>No hay datos</v>
      </c>
      <c r="H800" s="2" t="str">
        <f t="array" ref="H800">_xlfn.XLOOKUP(B800,Vendedores!$A$2:$A$41,Vendedores!$C$2:$C$41,"No hay datos")</f>
        <v>No hay datos</v>
      </c>
      <c r="I800" s="2" t="str">
        <f t="array" ref="I800">_xlfn.XLOOKUP(B800,Vendedores!$A$2:$A$41,Vendedores!$D$2:$D$41,"No hay datos")</f>
        <v>No hay datos</v>
      </c>
      <c r="J800" s="2" t="str">
        <f t="array" ref="J800">_xlfn.XLOOKUP(A800,Productos!$A$2:$A$61,Productos!$B$2:$F$61)</f>
        <v>#N/A</v>
      </c>
    </row>
    <row r="801">
      <c r="A801" s="2" t="str">
        <f>IFERROR(__xludf.DUMMYFUNCTION("""COMPUTED_VALUE"""),"PR002")</f>
        <v>PR002</v>
      </c>
      <c r="B801" s="2" t="str">
        <f>IFERROR(__xludf.DUMMYFUNCTION("""COMPUTED_VALUE"""),"VD036")</f>
        <v>VD036</v>
      </c>
      <c r="C801" s="2">
        <f>IFERROR(__xludf.DUMMYFUNCTION("""COMPUTED_VALUE"""),8.0)</f>
        <v>8</v>
      </c>
      <c r="D801" s="6">
        <f>IFERROR(__xludf.DUMMYFUNCTION("""COMPUTED_VALUE"""),587.16)</f>
        <v>587.16</v>
      </c>
      <c r="E801" s="6">
        <f>IFERROR(__xludf.DUMMYFUNCTION("GOOGLEFINANCE(""Currency:BRLMXN"")*D801"),1994.5825199999997)</f>
        <v>1994.58252</v>
      </c>
      <c r="F801" s="6">
        <f>IFERROR(__xludf.DUMMYFUNCTION("GOOGLEFINANCE(""Currency:BRLPEN"")*D801"),384.94209599999994)</f>
        <v>384.942096</v>
      </c>
      <c r="G801" s="2" t="str">
        <f t="array" ref="G801">_xlfn.XLOOKUP(B801,Vendedores!$A$2:$A$41,Vendedores!$B$2:$B$41,"No hay datos")</f>
        <v>No hay datos</v>
      </c>
      <c r="H801" s="2" t="str">
        <f t="array" ref="H801">_xlfn.XLOOKUP(B801,Vendedores!$A$2:$A$41,Vendedores!$C$2:$C$41,"No hay datos")</f>
        <v>No hay datos</v>
      </c>
      <c r="I801" s="2" t="str">
        <f t="array" ref="I801">_xlfn.XLOOKUP(B801,Vendedores!$A$2:$A$41,Vendedores!$D$2:$D$41,"No hay datos")</f>
        <v>No hay datos</v>
      </c>
      <c r="J801" s="2" t="str">
        <f t="array" ref="J801">_xlfn.XLOOKUP(A801,Productos!$A$2:$A$61,Productos!$B$2:$F$61)</f>
        <v>#N/A</v>
      </c>
    </row>
    <row r="802">
      <c r="A802" s="2" t="str">
        <f>IFERROR(__xludf.DUMMYFUNCTION("""COMPUTED_VALUE"""),"PR028")</f>
        <v>PR028</v>
      </c>
      <c r="B802" s="2" t="str">
        <f>IFERROR(__xludf.DUMMYFUNCTION("""COMPUTED_VALUE"""),"VD043")</f>
        <v>VD043</v>
      </c>
      <c r="C802" s="2">
        <f>IFERROR(__xludf.DUMMYFUNCTION("""COMPUTED_VALUE"""),4.0)</f>
        <v>4</v>
      </c>
      <c r="D802" s="6">
        <f>IFERROR(__xludf.DUMMYFUNCTION("""COMPUTED_VALUE"""),1049.58)</f>
        <v>1049.58</v>
      </c>
      <c r="E802" s="6">
        <f>IFERROR(__xludf.DUMMYFUNCTION("GOOGLEFINANCE(""Currency:BRLMXN"")*D802"),3565.4232599999996)</f>
        <v>3565.42326</v>
      </c>
      <c r="F802" s="6">
        <f>IFERROR(__xludf.DUMMYFUNCTION("GOOGLEFINANCE(""Currency:BRLPEN"")*D802"),688.1046479999999)</f>
        <v>688.104648</v>
      </c>
      <c r="G802" s="2" t="str">
        <f t="array" ref="G802">_xlfn.XLOOKUP(B802,Vendedores!$A$2:$A$41,Vendedores!$B$2:$B$41,"No hay datos")</f>
        <v>No hay datos</v>
      </c>
      <c r="H802" s="2" t="str">
        <f t="array" ref="H802">_xlfn.XLOOKUP(B802,Vendedores!$A$2:$A$41,Vendedores!$C$2:$C$41,"No hay datos")</f>
        <v>No hay datos</v>
      </c>
      <c r="I802" s="2" t="str">
        <f t="array" ref="I802">_xlfn.XLOOKUP(B802,Vendedores!$A$2:$A$41,Vendedores!$D$2:$D$41,"No hay datos")</f>
        <v>No hay datos</v>
      </c>
      <c r="J802" s="2" t="str">
        <f t="array" ref="J802">_xlfn.XLOOKUP(A802,Productos!$A$2:$A$61,Productos!$B$2:$F$61)</f>
        <v>#N/A</v>
      </c>
    </row>
    <row r="803">
      <c r="A803" s="2" t="str">
        <f>IFERROR(__xludf.DUMMYFUNCTION("""COMPUTED_VALUE"""),"PR044")</f>
        <v>PR044</v>
      </c>
      <c r="B803" s="2" t="str">
        <f>IFERROR(__xludf.DUMMYFUNCTION("""COMPUTED_VALUE"""),"VD021")</f>
        <v>VD021</v>
      </c>
      <c r="C803" s="2">
        <f>IFERROR(__xludf.DUMMYFUNCTION("""COMPUTED_VALUE"""),6.0)</f>
        <v>6</v>
      </c>
      <c r="D803" s="6">
        <f>IFERROR(__xludf.DUMMYFUNCTION("""COMPUTED_VALUE"""),439.35)</f>
        <v>439.35</v>
      </c>
      <c r="E803" s="6">
        <f>IFERROR(__xludf.DUMMYFUNCTION("GOOGLEFINANCE(""Currency:BRLMXN"")*D803"),1492.4719499999999)</f>
        <v>1492.47195</v>
      </c>
      <c r="F803" s="6">
        <f>IFERROR(__xludf.DUMMYFUNCTION("GOOGLEFINANCE(""Currency:BRLPEN"")*D803"),288.03786)</f>
        <v>288.03786</v>
      </c>
      <c r="G803" s="2" t="str">
        <f t="array" ref="G803">_xlfn.XLOOKUP(B803,Vendedores!$A$2:$A$41,Vendedores!$B$2:$B$41,"No hay datos")</f>
        <v>No hay datos</v>
      </c>
      <c r="H803" s="2" t="str">
        <f t="array" ref="H803">_xlfn.XLOOKUP(B803,Vendedores!$A$2:$A$41,Vendedores!$C$2:$C$41,"No hay datos")</f>
        <v>No hay datos</v>
      </c>
      <c r="I803" s="2" t="str">
        <f t="array" ref="I803">_xlfn.XLOOKUP(B803,Vendedores!$A$2:$A$41,Vendedores!$D$2:$D$41,"No hay datos")</f>
        <v>No hay datos</v>
      </c>
      <c r="J803" s="2" t="str">
        <f t="array" ref="J803">_xlfn.XLOOKUP(A803,Productos!$A$2:$A$61,Productos!$B$2:$F$61)</f>
        <v>#N/A</v>
      </c>
    </row>
    <row r="804">
      <c r="A804" s="2" t="str">
        <f>IFERROR(__xludf.DUMMYFUNCTION("""COMPUTED_VALUE"""),"PR017")</f>
        <v>PR017</v>
      </c>
      <c r="B804" s="2" t="str">
        <f>IFERROR(__xludf.DUMMYFUNCTION("""COMPUTED_VALUE"""),"VD026")</f>
        <v>VD026</v>
      </c>
      <c r="C804" s="2">
        <f>IFERROR(__xludf.DUMMYFUNCTION("""COMPUTED_VALUE"""),2.0)</f>
        <v>2</v>
      </c>
      <c r="D804" s="6">
        <f>IFERROR(__xludf.DUMMYFUNCTION("""COMPUTED_VALUE"""),65.18)</f>
        <v>65.18</v>
      </c>
      <c r="E804" s="6">
        <f>IFERROR(__xludf.DUMMYFUNCTION("GOOGLEFINANCE(""Currency:BRLMXN"")*D804"),221.41646)</f>
        <v>221.41646</v>
      </c>
      <c r="F804" s="6">
        <f>IFERROR(__xludf.DUMMYFUNCTION("GOOGLEFINANCE(""Currency:BRLPEN"")*D804"),42.732008)</f>
        <v>42.732008</v>
      </c>
      <c r="G804" s="2" t="str">
        <f t="array" ref="G804">_xlfn.XLOOKUP(B804,Vendedores!$A$2:$A$41,Vendedores!$B$2:$B$41,"No hay datos")</f>
        <v>No hay datos</v>
      </c>
      <c r="H804" s="2" t="str">
        <f t="array" ref="H804">_xlfn.XLOOKUP(B804,Vendedores!$A$2:$A$41,Vendedores!$C$2:$C$41,"No hay datos")</f>
        <v>No hay datos</v>
      </c>
      <c r="I804" s="2" t="str">
        <f t="array" ref="I804">_xlfn.XLOOKUP(B804,Vendedores!$A$2:$A$41,Vendedores!$D$2:$D$41,"No hay datos")</f>
        <v>No hay datos</v>
      </c>
      <c r="J804" s="2" t="str">
        <f t="array" ref="J804">_xlfn.XLOOKUP(A804,Productos!$A$2:$A$61,Productos!$B$2:$F$61)</f>
        <v>#N/A</v>
      </c>
    </row>
    <row r="805">
      <c r="A805" s="2" t="str">
        <f>IFERROR(__xludf.DUMMYFUNCTION("""COMPUTED_VALUE"""),"PR008")</f>
        <v>PR008</v>
      </c>
      <c r="B805" s="2" t="str">
        <f>IFERROR(__xludf.DUMMYFUNCTION("""COMPUTED_VALUE"""),"VD027")</f>
        <v>VD027</v>
      </c>
      <c r="C805" s="2">
        <f>IFERROR(__xludf.DUMMYFUNCTION("""COMPUTED_VALUE"""),6.0)</f>
        <v>6</v>
      </c>
      <c r="D805" s="6">
        <f>IFERROR(__xludf.DUMMYFUNCTION("""COMPUTED_VALUE"""),593.34)</f>
        <v>593.34</v>
      </c>
      <c r="E805" s="6">
        <f>IFERROR(__xludf.DUMMYFUNCTION("GOOGLEFINANCE(""Currency:BRLMXN"")*D805"),2015.57598)</f>
        <v>2015.57598</v>
      </c>
      <c r="F805" s="6">
        <f>IFERROR(__xludf.DUMMYFUNCTION("GOOGLEFINANCE(""Currency:BRLPEN"")*D805"),388.993704)</f>
        <v>388.993704</v>
      </c>
      <c r="G805" s="2" t="str">
        <f t="array" ref="G805">_xlfn.XLOOKUP(B805,Vendedores!$A$2:$A$41,Vendedores!$B$2:$B$41,"No hay datos")</f>
        <v>No hay datos</v>
      </c>
      <c r="H805" s="2" t="str">
        <f t="array" ref="H805">_xlfn.XLOOKUP(B805,Vendedores!$A$2:$A$41,Vendedores!$C$2:$C$41,"No hay datos")</f>
        <v>No hay datos</v>
      </c>
      <c r="I805" s="2" t="str">
        <f t="array" ref="I805">_xlfn.XLOOKUP(B805,Vendedores!$A$2:$A$41,Vendedores!$D$2:$D$41,"No hay datos")</f>
        <v>No hay datos</v>
      </c>
      <c r="J805" s="2" t="str">
        <f t="array" ref="J805">_xlfn.XLOOKUP(A805,Productos!$A$2:$A$61,Productos!$B$2:$F$61)</f>
        <v>#N/A</v>
      </c>
    </row>
    <row r="806">
      <c r="A806" s="2" t="str">
        <f>IFERROR(__xludf.DUMMYFUNCTION("""COMPUTED_VALUE"""),"PR041")</f>
        <v>PR041</v>
      </c>
      <c r="B806" s="2" t="str">
        <f>IFERROR(__xludf.DUMMYFUNCTION("""COMPUTED_VALUE"""),"VD018")</f>
        <v>VD018</v>
      </c>
      <c r="C806" s="2">
        <f>IFERROR(__xludf.DUMMYFUNCTION("""COMPUTED_VALUE"""),3.0)</f>
        <v>3</v>
      </c>
      <c r="D806" s="6">
        <f>IFERROR(__xludf.DUMMYFUNCTION("""COMPUTED_VALUE"""),176.23)</f>
        <v>176.23</v>
      </c>
      <c r="E806" s="6">
        <f>IFERROR(__xludf.DUMMYFUNCTION("GOOGLEFINANCE(""Currency:BRLMXN"")*D806"),598.6533099999999)</f>
        <v>598.65331</v>
      </c>
      <c r="F806" s="6">
        <f>IFERROR(__xludf.DUMMYFUNCTION("GOOGLEFINANCE(""Currency:BRLPEN"")*D806"),115.53638799999999)</f>
        <v>115.536388</v>
      </c>
      <c r="G806" s="2" t="str">
        <f t="array" ref="G806">_xlfn.XLOOKUP(B806,Vendedores!$A$2:$A$41,Vendedores!$B$2:$B$41,"No hay datos")</f>
        <v>No hay datos</v>
      </c>
      <c r="H806" s="2" t="str">
        <f t="array" ref="H806">_xlfn.XLOOKUP(B806,Vendedores!$A$2:$A$41,Vendedores!$C$2:$C$41,"No hay datos")</f>
        <v>No hay datos</v>
      </c>
      <c r="I806" s="2" t="str">
        <f t="array" ref="I806">_xlfn.XLOOKUP(B806,Vendedores!$A$2:$A$41,Vendedores!$D$2:$D$41,"No hay datos")</f>
        <v>No hay datos</v>
      </c>
      <c r="J806" s="2" t="str">
        <f t="array" ref="J806">_xlfn.XLOOKUP(A806,Productos!$A$2:$A$61,Productos!$B$2:$F$61)</f>
        <v>#N/A</v>
      </c>
    </row>
    <row r="807">
      <c r="A807" s="2" t="str">
        <f>IFERROR(__xludf.DUMMYFUNCTION("""COMPUTED_VALUE"""),"PR012")</f>
        <v>PR012</v>
      </c>
      <c r="B807" s="2" t="str">
        <f>IFERROR(__xludf.DUMMYFUNCTION("""COMPUTED_VALUE"""),"VD013")</f>
        <v>VD013</v>
      </c>
      <c r="C807" s="2">
        <f>IFERROR(__xludf.DUMMYFUNCTION("""COMPUTED_VALUE"""),8.0)</f>
        <v>8</v>
      </c>
      <c r="D807" s="6">
        <f>IFERROR(__xludf.DUMMYFUNCTION("""COMPUTED_VALUE"""),402.94)</f>
        <v>402.94</v>
      </c>
      <c r="E807" s="6">
        <f>IFERROR(__xludf.DUMMYFUNCTION("GOOGLEFINANCE(""Currency:BRLMXN"")*D807"),1368.7871799999998)</f>
        <v>1368.78718</v>
      </c>
      <c r="F807" s="6">
        <f>IFERROR(__xludf.DUMMYFUNCTION("GOOGLEFINANCE(""Currency:BRLPEN"")*D807"),264.167464)</f>
        <v>264.167464</v>
      </c>
      <c r="G807" s="2" t="str">
        <f t="array" ref="G807">_xlfn.XLOOKUP(B807,Vendedores!$A$2:$A$41,Vendedores!$B$2:$B$41,"No hay datos")</f>
        <v>No hay datos</v>
      </c>
      <c r="H807" s="2" t="str">
        <f t="array" ref="H807">_xlfn.XLOOKUP(B807,Vendedores!$A$2:$A$41,Vendedores!$C$2:$C$41,"No hay datos")</f>
        <v>No hay datos</v>
      </c>
      <c r="I807" s="2" t="str">
        <f t="array" ref="I807">_xlfn.XLOOKUP(B807,Vendedores!$A$2:$A$41,Vendedores!$D$2:$D$41,"No hay datos")</f>
        <v>No hay datos</v>
      </c>
      <c r="J807" s="2" t="str">
        <f t="array" ref="J807">_xlfn.XLOOKUP(A807,Productos!$A$2:$A$61,Productos!$B$2:$F$61)</f>
        <v>#N/A</v>
      </c>
    </row>
    <row r="808">
      <c r="A808" s="2" t="str">
        <f>IFERROR(__xludf.DUMMYFUNCTION("""COMPUTED_VALUE"""),"PR039")</f>
        <v>PR039</v>
      </c>
      <c r="B808" s="2" t="str">
        <f>IFERROR(__xludf.DUMMYFUNCTION("""COMPUTED_VALUE"""),"VD027")</f>
        <v>VD027</v>
      </c>
      <c r="C808" s="2">
        <f>IFERROR(__xludf.DUMMYFUNCTION("""COMPUTED_VALUE"""),2.0)</f>
        <v>2</v>
      </c>
      <c r="D808" s="6">
        <f>IFERROR(__xludf.DUMMYFUNCTION("""COMPUTED_VALUE"""),312.44)</f>
        <v>312.44</v>
      </c>
      <c r="E808" s="6">
        <f>IFERROR(__xludf.DUMMYFUNCTION("GOOGLEFINANCE(""Currency:BRLMXN"")*D808"),1061.3586799999998)</f>
        <v>1061.35868</v>
      </c>
      <c r="F808" s="6">
        <f>IFERROR(__xludf.DUMMYFUNCTION("GOOGLEFINANCE(""Currency:BRLPEN"")*D808"),204.83566399999998)</f>
        <v>204.835664</v>
      </c>
      <c r="G808" s="2" t="str">
        <f t="array" ref="G808">_xlfn.XLOOKUP(B808,Vendedores!$A$2:$A$41,Vendedores!$B$2:$B$41,"No hay datos")</f>
        <v>No hay datos</v>
      </c>
      <c r="H808" s="2" t="str">
        <f t="array" ref="H808">_xlfn.XLOOKUP(B808,Vendedores!$A$2:$A$41,Vendedores!$C$2:$C$41,"No hay datos")</f>
        <v>No hay datos</v>
      </c>
      <c r="I808" s="2" t="str">
        <f t="array" ref="I808">_xlfn.XLOOKUP(B808,Vendedores!$A$2:$A$41,Vendedores!$D$2:$D$41,"No hay datos")</f>
        <v>No hay datos</v>
      </c>
      <c r="J808" s="2" t="str">
        <f t="array" ref="J808">_xlfn.XLOOKUP(A808,Productos!$A$2:$A$61,Productos!$B$2:$F$61)</f>
        <v>#N/A</v>
      </c>
    </row>
    <row r="809">
      <c r="A809" s="2" t="str">
        <f>IFERROR(__xludf.DUMMYFUNCTION("""COMPUTED_VALUE"""),"PR054")</f>
        <v>PR054</v>
      </c>
      <c r="B809" s="2" t="str">
        <f>IFERROR(__xludf.DUMMYFUNCTION("""COMPUTED_VALUE"""),"VD036")</f>
        <v>VD036</v>
      </c>
      <c r="C809" s="2">
        <f>IFERROR(__xludf.DUMMYFUNCTION("""COMPUTED_VALUE"""),4.0)</f>
        <v>4</v>
      </c>
      <c r="D809" s="6">
        <f>IFERROR(__xludf.DUMMYFUNCTION("""COMPUTED_VALUE"""),205.59)</f>
        <v>205.59</v>
      </c>
      <c r="E809" s="6">
        <f>IFERROR(__xludf.DUMMYFUNCTION("GOOGLEFINANCE(""Currency:BRLMXN"")*D809"),698.38923)</f>
        <v>698.38923</v>
      </c>
      <c r="F809" s="6">
        <f>IFERROR(__xludf.DUMMYFUNCTION("GOOGLEFINANCE(""Currency:BRLPEN"")*D809"),134.784804)</f>
        <v>134.784804</v>
      </c>
      <c r="G809" s="2" t="str">
        <f t="array" ref="G809">_xlfn.XLOOKUP(B809,Vendedores!$A$2:$A$41,Vendedores!$B$2:$B$41,"No hay datos")</f>
        <v>No hay datos</v>
      </c>
      <c r="H809" s="2" t="str">
        <f t="array" ref="H809">_xlfn.XLOOKUP(B809,Vendedores!$A$2:$A$41,Vendedores!$C$2:$C$41,"No hay datos")</f>
        <v>No hay datos</v>
      </c>
      <c r="I809" s="2" t="str">
        <f t="array" ref="I809">_xlfn.XLOOKUP(B809,Vendedores!$A$2:$A$41,Vendedores!$D$2:$D$41,"No hay datos")</f>
        <v>No hay datos</v>
      </c>
      <c r="J809" s="2" t="str">
        <f t="array" ref="J809">_xlfn.XLOOKUP(A809,Productos!$A$2:$A$61,Productos!$B$2:$F$61)</f>
        <v>#N/A</v>
      </c>
    </row>
    <row r="810">
      <c r="A810" s="2" t="str">
        <f>IFERROR(__xludf.DUMMYFUNCTION("""COMPUTED_VALUE"""),"PR057")</f>
        <v>PR057</v>
      </c>
      <c r="B810" s="2" t="str">
        <f>IFERROR(__xludf.DUMMYFUNCTION("""COMPUTED_VALUE"""),"VD021")</f>
        <v>VD021</v>
      </c>
      <c r="C810" s="2">
        <f>IFERROR(__xludf.DUMMYFUNCTION("""COMPUTED_VALUE"""),6.0)</f>
        <v>6</v>
      </c>
      <c r="D810" s="6">
        <f>IFERROR(__xludf.DUMMYFUNCTION("""COMPUTED_VALUE"""),539.4)</f>
        <v>539.4</v>
      </c>
      <c r="E810" s="6">
        <f>IFERROR(__xludf.DUMMYFUNCTION("GOOGLEFINANCE(""Currency:BRLMXN"")*D810"),1832.3418)</f>
        <v>1832.3418</v>
      </c>
      <c r="F810" s="6">
        <f>IFERROR(__xludf.DUMMYFUNCTION("GOOGLEFINANCE(""Currency:BRLPEN"")*D810"),353.63063999999997)</f>
        <v>353.63064</v>
      </c>
      <c r="G810" s="2" t="str">
        <f t="array" ref="G810">_xlfn.XLOOKUP(B810,Vendedores!$A$2:$A$41,Vendedores!$B$2:$B$41,"No hay datos")</f>
        <v>No hay datos</v>
      </c>
      <c r="H810" s="2" t="str">
        <f t="array" ref="H810">_xlfn.XLOOKUP(B810,Vendedores!$A$2:$A$41,Vendedores!$C$2:$C$41,"No hay datos")</f>
        <v>No hay datos</v>
      </c>
      <c r="I810" s="2" t="str">
        <f t="array" ref="I810">_xlfn.XLOOKUP(B810,Vendedores!$A$2:$A$41,Vendedores!$D$2:$D$41,"No hay datos")</f>
        <v>No hay datos</v>
      </c>
      <c r="J810" s="2" t="str">
        <f t="array" ref="J810">_xlfn.XLOOKUP(A810,Productos!$A$2:$A$61,Productos!$B$2:$F$61)</f>
        <v>#N/A</v>
      </c>
    </row>
    <row r="811">
      <c r="A811" s="2" t="str">
        <f>IFERROR(__xludf.DUMMYFUNCTION("""COMPUTED_VALUE"""),"PR013")</f>
        <v>PR013</v>
      </c>
      <c r="B811" s="2" t="str">
        <f>IFERROR(__xludf.DUMMYFUNCTION("""COMPUTED_VALUE"""),"VD010")</f>
        <v>VD010</v>
      </c>
      <c r="C811" s="2">
        <f>IFERROR(__xludf.DUMMYFUNCTION("""COMPUTED_VALUE"""),14.0)</f>
        <v>14</v>
      </c>
      <c r="D811" s="6">
        <f>IFERROR(__xludf.DUMMYFUNCTION("""COMPUTED_VALUE"""),558.6)</f>
        <v>558.6</v>
      </c>
      <c r="E811" s="6">
        <f>IFERROR(__xludf.DUMMYFUNCTION("GOOGLEFINANCE(""Currency:BRLMXN"")*D811"),1897.5642)</f>
        <v>1897.5642</v>
      </c>
      <c r="F811" s="6">
        <f>IFERROR(__xludf.DUMMYFUNCTION("GOOGLEFINANCE(""Currency:BRLPEN"")*D811"),366.21816)</f>
        <v>366.21816</v>
      </c>
      <c r="G811" s="2" t="str">
        <f t="array" ref="G811">_xlfn.XLOOKUP(B811,Vendedores!$A$2:$A$41,Vendedores!$B$2:$B$41,"No hay datos")</f>
        <v>No hay datos</v>
      </c>
      <c r="H811" s="2" t="str">
        <f t="array" ref="H811">_xlfn.XLOOKUP(B811,Vendedores!$A$2:$A$41,Vendedores!$C$2:$C$41,"No hay datos")</f>
        <v>No hay datos</v>
      </c>
      <c r="I811" s="2" t="str">
        <f t="array" ref="I811">_xlfn.XLOOKUP(B811,Vendedores!$A$2:$A$41,Vendedores!$D$2:$D$41,"No hay datos")</f>
        <v>No hay datos</v>
      </c>
      <c r="J811" s="2" t="str">
        <f t="array" ref="J811">_xlfn.XLOOKUP(A811,Productos!$A$2:$A$61,Productos!$B$2:$F$61)</f>
        <v>#N/A</v>
      </c>
    </row>
    <row r="812">
      <c r="A812" s="2" t="str">
        <f>IFERROR(__xludf.DUMMYFUNCTION("""COMPUTED_VALUE"""),"PR033")</f>
        <v>PR033</v>
      </c>
      <c r="B812" s="2" t="str">
        <f>IFERROR(__xludf.DUMMYFUNCTION("""COMPUTED_VALUE"""),"VD038")</f>
        <v>VD038</v>
      </c>
      <c r="C812" s="2">
        <f>IFERROR(__xludf.DUMMYFUNCTION("""COMPUTED_VALUE"""),4.0)</f>
        <v>4</v>
      </c>
      <c r="D812" s="6">
        <f>IFERROR(__xludf.DUMMYFUNCTION("""COMPUTED_VALUE"""),1050.0)</f>
        <v>1050</v>
      </c>
      <c r="E812" s="6">
        <f>IFERROR(__xludf.DUMMYFUNCTION("GOOGLEFINANCE(""Currency:BRLMXN"")*D812"),3566.85)</f>
        <v>3566.85</v>
      </c>
      <c r="F812" s="6">
        <f>IFERROR(__xludf.DUMMYFUNCTION("GOOGLEFINANCE(""Currency:BRLPEN"")*D812"),688.38)</f>
        <v>688.38</v>
      </c>
      <c r="G812" s="2" t="str">
        <f t="array" ref="G812">_xlfn.XLOOKUP(B812,Vendedores!$A$2:$A$41,Vendedores!$B$2:$B$41,"No hay datos")</f>
        <v>No hay datos</v>
      </c>
      <c r="H812" s="2" t="str">
        <f t="array" ref="H812">_xlfn.XLOOKUP(B812,Vendedores!$A$2:$A$41,Vendedores!$C$2:$C$41,"No hay datos")</f>
        <v>No hay datos</v>
      </c>
      <c r="I812" s="2" t="str">
        <f t="array" ref="I812">_xlfn.XLOOKUP(B812,Vendedores!$A$2:$A$41,Vendedores!$D$2:$D$41,"No hay datos")</f>
        <v>No hay datos</v>
      </c>
      <c r="J812" s="2" t="str">
        <f t="array" ref="J812">_xlfn.XLOOKUP(A812,Productos!$A$2:$A$61,Productos!$B$2:$F$61)</f>
        <v>#N/A</v>
      </c>
    </row>
    <row r="813">
      <c r="A813" s="2" t="str">
        <f>IFERROR(__xludf.DUMMYFUNCTION("""COMPUTED_VALUE"""),"PR009")</f>
        <v>PR009</v>
      </c>
      <c r="B813" s="2" t="str">
        <f>IFERROR(__xludf.DUMMYFUNCTION("""COMPUTED_VALUE"""),"VD012")</f>
        <v>VD012</v>
      </c>
      <c r="C813" s="2">
        <f>IFERROR(__xludf.DUMMYFUNCTION("""COMPUTED_VALUE"""),2.0)</f>
        <v>2</v>
      </c>
      <c r="D813" s="6">
        <f>IFERROR(__xludf.DUMMYFUNCTION("""COMPUTED_VALUE"""),187.66)</f>
        <v>187.66</v>
      </c>
      <c r="E813" s="6">
        <f>IFERROR(__xludf.DUMMYFUNCTION("GOOGLEFINANCE(""Currency:BRLMXN"")*D813"),637.48102)</f>
        <v>637.48102</v>
      </c>
      <c r="F813" s="6">
        <f>IFERROR(__xludf.DUMMYFUNCTION("GOOGLEFINANCE(""Currency:BRLPEN"")*D813"),123.029896)</f>
        <v>123.029896</v>
      </c>
      <c r="G813" s="2" t="str">
        <f t="array" ref="G813">_xlfn.XLOOKUP(B813,Vendedores!$A$2:$A$41,Vendedores!$B$2:$B$41,"No hay datos")</f>
        <v>No hay datos</v>
      </c>
      <c r="H813" s="2" t="str">
        <f t="array" ref="H813">_xlfn.XLOOKUP(B813,Vendedores!$A$2:$A$41,Vendedores!$C$2:$C$41,"No hay datos")</f>
        <v>No hay datos</v>
      </c>
      <c r="I813" s="2" t="str">
        <f t="array" ref="I813">_xlfn.XLOOKUP(B813,Vendedores!$A$2:$A$41,Vendedores!$D$2:$D$41,"No hay datos")</f>
        <v>No hay datos</v>
      </c>
      <c r="J813" s="2" t="str">
        <f t="array" ref="J813">_xlfn.XLOOKUP(A813,Productos!$A$2:$A$61,Productos!$B$2:$F$61)</f>
        <v>#N/A</v>
      </c>
    </row>
    <row r="814">
      <c r="A814" s="2" t="str">
        <f>IFERROR(__xludf.DUMMYFUNCTION("""COMPUTED_VALUE"""),"PR016")</f>
        <v>PR016</v>
      </c>
      <c r="B814" s="2" t="str">
        <f>IFERROR(__xludf.DUMMYFUNCTION("""COMPUTED_VALUE"""),"VD010")</f>
        <v>VD010</v>
      </c>
      <c r="C814" s="2">
        <f>IFERROR(__xludf.DUMMYFUNCTION("""COMPUTED_VALUE"""),4.0)</f>
        <v>4</v>
      </c>
      <c r="D814" s="6">
        <f>IFERROR(__xludf.DUMMYFUNCTION("""COMPUTED_VALUE"""),106.71)</f>
        <v>106.71</v>
      </c>
      <c r="E814" s="6">
        <f>IFERROR(__xludf.DUMMYFUNCTION("GOOGLEFINANCE(""Currency:BRLMXN"")*D814"),362.49386999999996)</f>
        <v>362.49387</v>
      </c>
      <c r="F814" s="6">
        <f>IFERROR(__xludf.DUMMYFUNCTION("GOOGLEFINANCE(""Currency:BRLPEN"")*D814"),69.959076)</f>
        <v>69.959076</v>
      </c>
      <c r="G814" s="2" t="str">
        <f t="array" ref="G814">_xlfn.XLOOKUP(B814,Vendedores!$A$2:$A$41,Vendedores!$B$2:$B$41,"No hay datos")</f>
        <v>No hay datos</v>
      </c>
      <c r="H814" s="2" t="str">
        <f t="array" ref="H814">_xlfn.XLOOKUP(B814,Vendedores!$A$2:$A$41,Vendedores!$C$2:$C$41,"No hay datos")</f>
        <v>No hay datos</v>
      </c>
      <c r="I814" s="2" t="str">
        <f t="array" ref="I814">_xlfn.XLOOKUP(B814,Vendedores!$A$2:$A$41,Vendedores!$D$2:$D$41,"No hay datos")</f>
        <v>No hay datos</v>
      </c>
      <c r="J814" s="2" t="str">
        <f t="array" ref="J814">_xlfn.XLOOKUP(A814,Productos!$A$2:$A$61,Productos!$B$2:$F$61)</f>
        <v>#N/A</v>
      </c>
    </row>
    <row r="815">
      <c r="A815" s="2" t="str">
        <f>IFERROR(__xludf.DUMMYFUNCTION("""COMPUTED_VALUE"""),"PR023")</f>
        <v>PR023</v>
      </c>
      <c r="B815" s="2" t="str">
        <f>IFERROR(__xludf.DUMMYFUNCTION("""COMPUTED_VALUE"""),"VD018")</f>
        <v>VD018</v>
      </c>
      <c r="C815" s="2">
        <f>IFERROR(__xludf.DUMMYFUNCTION("""COMPUTED_VALUE"""),10.0)</f>
        <v>10</v>
      </c>
      <c r="D815" s="6">
        <f>IFERROR(__xludf.DUMMYFUNCTION("""COMPUTED_VALUE"""),2623.95)</f>
        <v>2623.95</v>
      </c>
      <c r="E815" s="6">
        <f>IFERROR(__xludf.DUMMYFUNCTION("GOOGLEFINANCE(""Currency:BRLMXN"")*D815"),8913.558149999999)</f>
        <v>8913.55815</v>
      </c>
      <c r="F815" s="6">
        <f>IFERROR(__xludf.DUMMYFUNCTION("GOOGLEFINANCE(""Currency:BRLPEN"")*D815"),1720.2616199999998)</f>
        <v>1720.26162</v>
      </c>
      <c r="G815" s="2" t="str">
        <f t="array" ref="G815">_xlfn.XLOOKUP(B815,Vendedores!$A$2:$A$41,Vendedores!$B$2:$B$41,"No hay datos")</f>
        <v>No hay datos</v>
      </c>
      <c r="H815" s="2" t="str">
        <f t="array" ref="H815">_xlfn.XLOOKUP(B815,Vendedores!$A$2:$A$41,Vendedores!$C$2:$C$41,"No hay datos")</f>
        <v>No hay datos</v>
      </c>
      <c r="I815" s="2" t="str">
        <f t="array" ref="I815">_xlfn.XLOOKUP(B815,Vendedores!$A$2:$A$41,Vendedores!$D$2:$D$41,"No hay datos")</f>
        <v>No hay datos</v>
      </c>
      <c r="J815" s="2" t="str">
        <f t="array" ref="J815">_xlfn.XLOOKUP(A815,Productos!$A$2:$A$61,Productos!$B$2:$F$61)</f>
        <v>#N/A</v>
      </c>
    </row>
    <row r="816">
      <c r="A816" s="2" t="str">
        <f>IFERROR(__xludf.DUMMYFUNCTION("""COMPUTED_VALUE"""),"PR031")</f>
        <v>PR031</v>
      </c>
      <c r="B816" s="2" t="str">
        <f>IFERROR(__xludf.DUMMYFUNCTION("""COMPUTED_VALUE"""),"VD035")</f>
        <v>VD035</v>
      </c>
      <c r="C816" s="2">
        <f>IFERROR(__xludf.DUMMYFUNCTION("""COMPUTED_VALUE"""),10.0)</f>
        <v>10</v>
      </c>
      <c r="D816" s="6">
        <f>IFERROR(__xludf.DUMMYFUNCTION("""COMPUTED_VALUE"""),2646.0)</f>
        <v>2646</v>
      </c>
      <c r="E816" s="6">
        <f>IFERROR(__xludf.DUMMYFUNCTION("GOOGLEFINANCE(""Currency:BRLMXN"")*D816"),8988.462)</f>
        <v>8988.462</v>
      </c>
      <c r="F816" s="6">
        <f>IFERROR(__xludf.DUMMYFUNCTION("GOOGLEFINANCE(""Currency:BRLPEN"")*D816"),1734.7176)</f>
        <v>1734.7176</v>
      </c>
      <c r="G816" s="2" t="str">
        <f t="array" ref="G816">_xlfn.XLOOKUP(B816,Vendedores!$A$2:$A$41,Vendedores!$B$2:$B$41,"No hay datos")</f>
        <v>No hay datos</v>
      </c>
      <c r="H816" s="2" t="str">
        <f t="array" ref="H816">_xlfn.XLOOKUP(B816,Vendedores!$A$2:$A$41,Vendedores!$C$2:$C$41,"No hay datos")</f>
        <v>No hay datos</v>
      </c>
      <c r="I816" s="2" t="str">
        <f t="array" ref="I816">_xlfn.XLOOKUP(B816,Vendedores!$A$2:$A$41,Vendedores!$D$2:$D$41,"No hay datos")</f>
        <v>No hay datos</v>
      </c>
      <c r="J816" s="2" t="str">
        <f t="array" ref="J816">_xlfn.XLOOKUP(A816,Productos!$A$2:$A$61,Productos!$B$2:$F$61)</f>
        <v>#N/A</v>
      </c>
    </row>
    <row r="817">
      <c r="A817" s="2" t="str">
        <f>IFERROR(__xludf.DUMMYFUNCTION("""COMPUTED_VALUE"""),"PR024")</f>
        <v>PR024</v>
      </c>
      <c r="B817" s="2" t="str">
        <f>IFERROR(__xludf.DUMMYFUNCTION("""COMPUTED_VALUE"""),"VD031")</f>
        <v>VD031</v>
      </c>
      <c r="C817" s="2">
        <f>IFERROR(__xludf.DUMMYFUNCTION("""COMPUTED_VALUE"""),4.0)</f>
        <v>4</v>
      </c>
      <c r="D817" s="6">
        <f>IFERROR(__xludf.DUMMYFUNCTION("""COMPUTED_VALUE"""),1060.39)</f>
        <v>1060.39</v>
      </c>
      <c r="E817" s="6">
        <f>IFERROR(__xludf.DUMMYFUNCTION("GOOGLEFINANCE(""Currency:BRLMXN"")*D817"),3602.14483)</f>
        <v>3602.14483</v>
      </c>
      <c r="F817" s="6">
        <f>IFERROR(__xludf.DUMMYFUNCTION("GOOGLEFINANCE(""Currency:BRLPEN"")*D817"),695.191684)</f>
        <v>695.191684</v>
      </c>
      <c r="G817" s="2" t="str">
        <f t="array" ref="G817">_xlfn.XLOOKUP(B817,Vendedores!$A$2:$A$41,Vendedores!$B$2:$B$41,"No hay datos")</f>
        <v>No hay datos</v>
      </c>
      <c r="H817" s="2" t="str">
        <f t="array" ref="H817">_xlfn.XLOOKUP(B817,Vendedores!$A$2:$A$41,Vendedores!$C$2:$C$41,"No hay datos")</f>
        <v>No hay datos</v>
      </c>
      <c r="I817" s="2" t="str">
        <f t="array" ref="I817">_xlfn.XLOOKUP(B817,Vendedores!$A$2:$A$41,Vendedores!$D$2:$D$41,"No hay datos")</f>
        <v>No hay datos</v>
      </c>
      <c r="J817" s="2" t="str">
        <f t="array" ref="J817">_xlfn.XLOOKUP(A817,Productos!$A$2:$A$61,Productos!$B$2:$F$61)</f>
        <v>#N/A</v>
      </c>
    </row>
    <row r="818">
      <c r="A818" s="2" t="str">
        <f>IFERROR(__xludf.DUMMYFUNCTION("""COMPUTED_VALUE"""),"PR014")</f>
        <v>PR014</v>
      </c>
      <c r="B818" s="2" t="str">
        <f>IFERROR(__xludf.DUMMYFUNCTION("""COMPUTED_VALUE"""),"VD023")</f>
        <v>VD023</v>
      </c>
      <c r="C818" s="2">
        <f>IFERROR(__xludf.DUMMYFUNCTION("""COMPUTED_VALUE"""),4.0)</f>
        <v>4</v>
      </c>
      <c r="D818" s="6">
        <f>IFERROR(__xludf.DUMMYFUNCTION("""COMPUTED_VALUE"""),172.37)</f>
        <v>172.37</v>
      </c>
      <c r="E818" s="6">
        <f>IFERROR(__xludf.DUMMYFUNCTION("GOOGLEFINANCE(""Currency:BRLMXN"")*D818"),585.54089)</f>
        <v>585.54089</v>
      </c>
      <c r="F818" s="6">
        <f>IFERROR(__xludf.DUMMYFUNCTION("GOOGLEFINANCE(""Currency:BRLPEN"")*D818"),113.005772)</f>
        <v>113.005772</v>
      </c>
      <c r="G818" s="2" t="str">
        <f t="array" ref="G818">_xlfn.XLOOKUP(B818,Vendedores!$A$2:$A$41,Vendedores!$B$2:$B$41,"No hay datos")</f>
        <v>No hay datos</v>
      </c>
      <c r="H818" s="2" t="str">
        <f t="array" ref="H818">_xlfn.XLOOKUP(B818,Vendedores!$A$2:$A$41,Vendedores!$C$2:$C$41,"No hay datos")</f>
        <v>No hay datos</v>
      </c>
      <c r="I818" s="2" t="str">
        <f t="array" ref="I818">_xlfn.XLOOKUP(B818,Vendedores!$A$2:$A$41,Vendedores!$D$2:$D$41,"No hay datos")</f>
        <v>No hay datos</v>
      </c>
      <c r="J818" s="2" t="str">
        <f t="array" ref="J818">_xlfn.XLOOKUP(A818,Productos!$A$2:$A$61,Productos!$B$2:$F$61)</f>
        <v>#N/A</v>
      </c>
    </row>
    <row r="819">
      <c r="A819" s="2" t="str">
        <f>IFERROR(__xludf.DUMMYFUNCTION("""COMPUTED_VALUE"""),"PR055")</f>
        <v>PR055</v>
      </c>
      <c r="B819" s="2" t="str">
        <f>IFERROR(__xludf.DUMMYFUNCTION("""COMPUTED_VALUE"""),"VD018")</f>
        <v>VD018</v>
      </c>
      <c r="C819" s="2">
        <f>IFERROR(__xludf.DUMMYFUNCTION("""COMPUTED_VALUE"""),4.0)</f>
        <v>4</v>
      </c>
      <c r="D819" s="6">
        <f>IFERROR(__xludf.DUMMYFUNCTION("""COMPUTED_VALUE"""),366.79)</f>
        <v>366.79</v>
      </c>
      <c r="E819" s="6">
        <f>IFERROR(__xludf.DUMMYFUNCTION("GOOGLEFINANCE(""Currency:BRLMXN"")*D819"),1245.98563)</f>
        <v>1245.98563</v>
      </c>
      <c r="F819" s="6">
        <f>IFERROR(__xludf.DUMMYFUNCTION("GOOGLEFINANCE(""Currency:BRLPEN"")*D819"),240.467524)</f>
        <v>240.467524</v>
      </c>
      <c r="G819" s="2" t="str">
        <f t="array" ref="G819">_xlfn.XLOOKUP(B819,Vendedores!$A$2:$A$41,Vendedores!$B$2:$B$41,"No hay datos")</f>
        <v>No hay datos</v>
      </c>
      <c r="H819" s="2" t="str">
        <f t="array" ref="H819">_xlfn.XLOOKUP(B819,Vendedores!$A$2:$A$41,Vendedores!$C$2:$C$41,"No hay datos")</f>
        <v>No hay datos</v>
      </c>
      <c r="I819" s="2" t="str">
        <f t="array" ref="I819">_xlfn.XLOOKUP(B819,Vendedores!$A$2:$A$41,Vendedores!$D$2:$D$41,"No hay datos")</f>
        <v>No hay datos</v>
      </c>
      <c r="J819" s="2" t="str">
        <f t="array" ref="J819">_xlfn.XLOOKUP(A819,Productos!$A$2:$A$61,Productos!$B$2:$F$61)</f>
        <v>#N/A</v>
      </c>
    </row>
    <row r="820">
      <c r="A820" s="2" t="str">
        <f>IFERROR(__xludf.DUMMYFUNCTION("""COMPUTED_VALUE"""),"PR007")</f>
        <v>PR007</v>
      </c>
      <c r="B820" s="2" t="str">
        <f>IFERROR(__xludf.DUMMYFUNCTION("""COMPUTED_VALUE"""),"VD010")</f>
        <v>VD010</v>
      </c>
      <c r="C820" s="2">
        <f>IFERROR(__xludf.DUMMYFUNCTION("""COMPUTED_VALUE"""),10.0)</f>
        <v>10</v>
      </c>
      <c r="D820" s="6">
        <f>IFERROR(__xludf.DUMMYFUNCTION("""COMPUTED_VALUE"""),910.54)</f>
        <v>910.54</v>
      </c>
      <c r="E820" s="6">
        <f>IFERROR(__xludf.DUMMYFUNCTION("GOOGLEFINANCE(""Currency:BRLMXN"")*D820"),3093.1043799999998)</f>
        <v>3093.10438</v>
      </c>
      <c r="F820" s="6">
        <f>IFERROR(__xludf.DUMMYFUNCTION("GOOGLEFINANCE(""Currency:BRLPEN"")*D820"),596.950024)</f>
        <v>596.950024</v>
      </c>
      <c r="G820" s="2" t="str">
        <f t="array" ref="G820">_xlfn.XLOOKUP(B820,Vendedores!$A$2:$A$41,Vendedores!$B$2:$B$41,"No hay datos")</f>
        <v>No hay datos</v>
      </c>
      <c r="H820" s="2" t="str">
        <f t="array" ref="H820">_xlfn.XLOOKUP(B820,Vendedores!$A$2:$A$41,Vendedores!$C$2:$C$41,"No hay datos")</f>
        <v>No hay datos</v>
      </c>
      <c r="I820" s="2" t="str">
        <f t="array" ref="I820">_xlfn.XLOOKUP(B820,Vendedores!$A$2:$A$41,Vendedores!$D$2:$D$41,"No hay datos")</f>
        <v>No hay datos</v>
      </c>
      <c r="J820" s="2" t="str">
        <f t="array" ref="J820">_xlfn.XLOOKUP(A820,Productos!$A$2:$A$61,Productos!$B$2:$F$61)</f>
        <v>#N/A</v>
      </c>
    </row>
    <row r="821">
      <c r="A821" s="2" t="str">
        <f>IFERROR(__xludf.DUMMYFUNCTION("""COMPUTED_VALUE"""),"PR043")</f>
        <v>PR043</v>
      </c>
      <c r="B821" s="2" t="str">
        <f>IFERROR(__xludf.DUMMYFUNCTION("""COMPUTED_VALUE"""),"VD035")</f>
        <v>VD035</v>
      </c>
      <c r="C821" s="2">
        <f>IFERROR(__xludf.DUMMYFUNCTION("""COMPUTED_VALUE"""),2.0)</f>
        <v>2</v>
      </c>
      <c r="D821" s="6">
        <f>IFERROR(__xludf.DUMMYFUNCTION("""COMPUTED_VALUE"""),150.8)</f>
        <v>150.8</v>
      </c>
      <c r="E821" s="6">
        <f>IFERROR(__xludf.DUMMYFUNCTION("GOOGLEFINANCE(""Currency:BRLMXN"")*D821"),512.2676)</f>
        <v>512.2676</v>
      </c>
      <c r="F821" s="6">
        <f>IFERROR(__xludf.DUMMYFUNCTION("GOOGLEFINANCE(""Currency:BRLPEN"")*D821"),98.86448)</f>
        <v>98.86448</v>
      </c>
      <c r="G821" s="2" t="str">
        <f t="array" ref="G821">_xlfn.XLOOKUP(B821,Vendedores!$A$2:$A$41,Vendedores!$B$2:$B$41,"No hay datos")</f>
        <v>No hay datos</v>
      </c>
      <c r="H821" s="2" t="str">
        <f t="array" ref="H821">_xlfn.XLOOKUP(B821,Vendedores!$A$2:$A$41,Vendedores!$C$2:$C$41,"No hay datos")</f>
        <v>No hay datos</v>
      </c>
      <c r="I821" s="2" t="str">
        <f t="array" ref="I821">_xlfn.XLOOKUP(B821,Vendedores!$A$2:$A$41,Vendedores!$D$2:$D$41,"No hay datos")</f>
        <v>No hay datos</v>
      </c>
      <c r="J821" s="2" t="str">
        <f t="array" ref="J821">_xlfn.XLOOKUP(A821,Productos!$A$2:$A$61,Productos!$B$2:$F$61)</f>
        <v>#N/A</v>
      </c>
    </row>
    <row r="822">
      <c r="A822" s="2" t="str">
        <f>IFERROR(__xludf.DUMMYFUNCTION("""COMPUTED_VALUE"""),"PR005")</f>
        <v>PR005</v>
      </c>
      <c r="B822" s="2" t="str">
        <f>IFERROR(__xludf.DUMMYFUNCTION("""COMPUTED_VALUE"""),"VD049")</f>
        <v>VD049</v>
      </c>
      <c r="C822" s="2">
        <f>IFERROR(__xludf.DUMMYFUNCTION("""COMPUTED_VALUE"""),8.0)</f>
        <v>8</v>
      </c>
      <c r="D822" s="6">
        <f>IFERROR(__xludf.DUMMYFUNCTION("""COMPUTED_VALUE"""),2287.12)</f>
        <v>2287.12</v>
      </c>
      <c r="E822" s="6">
        <f>IFERROR(__xludf.DUMMYFUNCTION("GOOGLEFINANCE(""Currency:BRLMXN"")*D822"),7769.346639999999)</f>
        <v>7769.34664</v>
      </c>
      <c r="F822" s="6">
        <f>IFERROR(__xludf.DUMMYFUNCTION("GOOGLEFINANCE(""Currency:BRLPEN"")*D822"),1499.4358719999998)</f>
        <v>1499.435872</v>
      </c>
      <c r="G822" s="2" t="str">
        <f t="array" ref="G822">_xlfn.XLOOKUP(B822,Vendedores!$A$2:$A$41,Vendedores!$B$2:$B$41,"No hay datos")</f>
        <v>No hay datos</v>
      </c>
      <c r="H822" s="2" t="str">
        <f t="array" ref="H822">_xlfn.XLOOKUP(B822,Vendedores!$A$2:$A$41,Vendedores!$C$2:$C$41,"No hay datos")</f>
        <v>No hay datos</v>
      </c>
      <c r="I822" s="2" t="str">
        <f t="array" ref="I822">_xlfn.XLOOKUP(B822,Vendedores!$A$2:$A$41,Vendedores!$D$2:$D$41,"No hay datos")</f>
        <v>No hay datos</v>
      </c>
      <c r="J822" s="2" t="str">
        <f t="array" ref="J822">_xlfn.XLOOKUP(A822,Productos!$A$2:$A$61,Productos!$B$2:$F$61)</f>
        <v>#N/A</v>
      </c>
    </row>
    <row r="823">
      <c r="A823" s="2" t="str">
        <f>IFERROR(__xludf.DUMMYFUNCTION("""COMPUTED_VALUE"""),"PR006")</f>
        <v>PR006</v>
      </c>
      <c r="B823" s="2" t="str">
        <f>IFERROR(__xludf.DUMMYFUNCTION("""COMPUTED_VALUE"""),"VD011")</f>
        <v>VD011</v>
      </c>
      <c r="C823" s="2">
        <f>IFERROR(__xludf.DUMMYFUNCTION("""COMPUTED_VALUE"""),2.0)</f>
        <v>2</v>
      </c>
      <c r="D823" s="6">
        <f>IFERROR(__xludf.DUMMYFUNCTION("""COMPUTED_VALUE"""),87.78)</f>
        <v>87.78</v>
      </c>
      <c r="E823" s="6">
        <f>IFERROR(__xludf.DUMMYFUNCTION("GOOGLEFINANCE(""Currency:BRLMXN"")*D823"),298.18865999999997)</f>
        <v>298.18866</v>
      </c>
      <c r="F823" s="6">
        <f>IFERROR(__xludf.DUMMYFUNCTION("GOOGLEFINANCE(""Currency:BRLPEN"")*D823"),57.548567999999996)</f>
        <v>57.548568</v>
      </c>
      <c r="G823" s="2" t="str">
        <f t="array" ref="G823">_xlfn.XLOOKUP(B823,Vendedores!$A$2:$A$41,Vendedores!$B$2:$B$41,"No hay datos")</f>
        <v>No hay datos</v>
      </c>
      <c r="H823" s="2" t="str">
        <f t="array" ref="H823">_xlfn.XLOOKUP(B823,Vendedores!$A$2:$A$41,Vendedores!$C$2:$C$41,"No hay datos")</f>
        <v>No hay datos</v>
      </c>
      <c r="I823" s="2" t="str">
        <f t="array" ref="I823">_xlfn.XLOOKUP(B823,Vendedores!$A$2:$A$41,Vendedores!$D$2:$D$41,"No hay datos")</f>
        <v>No hay datos</v>
      </c>
      <c r="J823" s="2" t="str">
        <f t="array" ref="J823">_xlfn.XLOOKUP(A823,Productos!$A$2:$A$61,Productos!$B$2:$F$61)</f>
        <v>#N/A</v>
      </c>
    </row>
    <row r="824">
      <c r="A824" s="2" t="str">
        <f>IFERROR(__xludf.DUMMYFUNCTION("""COMPUTED_VALUE"""),"PR053")</f>
        <v>PR053</v>
      </c>
      <c r="B824" s="2" t="str">
        <f>IFERROR(__xludf.DUMMYFUNCTION("""COMPUTED_VALUE"""),"VD012")</f>
        <v>VD012</v>
      </c>
      <c r="C824" s="2">
        <f>IFERROR(__xludf.DUMMYFUNCTION("""COMPUTED_VALUE"""),2.0)</f>
        <v>2</v>
      </c>
      <c r="D824" s="6">
        <f>IFERROR(__xludf.DUMMYFUNCTION("""COMPUTED_VALUE"""),99.8)</f>
        <v>99.8</v>
      </c>
      <c r="E824" s="6">
        <f>IFERROR(__xludf.DUMMYFUNCTION("GOOGLEFINANCE(""Currency:BRLMXN"")*D824"),339.02059999999994)</f>
        <v>339.0206</v>
      </c>
      <c r="F824" s="6">
        <f>IFERROR(__xludf.DUMMYFUNCTION("GOOGLEFINANCE(""Currency:BRLPEN"")*D824"),65.42887999999999)</f>
        <v>65.42888</v>
      </c>
      <c r="G824" s="2" t="str">
        <f t="array" ref="G824">_xlfn.XLOOKUP(B824,Vendedores!$A$2:$A$41,Vendedores!$B$2:$B$41,"No hay datos")</f>
        <v>No hay datos</v>
      </c>
      <c r="H824" s="2" t="str">
        <f t="array" ref="H824">_xlfn.XLOOKUP(B824,Vendedores!$A$2:$A$41,Vendedores!$C$2:$C$41,"No hay datos")</f>
        <v>No hay datos</v>
      </c>
      <c r="I824" s="2" t="str">
        <f t="array" ref="I824">_xlfn.XLOOKUP(B824,Vendedores!$A$2:$A$41,Vendedores!$D$2:$D$41,"No hay datos")</f>
        <v>No hay datos</v>
      </c>
      <c r="J824" s="2" t="str">
        <f t="array" ref="J824">_xlfn.XLOOKUP(A824,Productos!$A$2:$A$61,Productos!$B$2:$F$61)</f>
        <v>#N/A</v>
      </c>
    </row>
    <row r="825">
      <c r="A825" s="2" t="str">
        <f>IFERROR(__xludf.DUMMYFUNCTION("""COMPUTED_VALUE"""),"PR042")</f>
        <v>PR042</v>
      </c>
      <c r="B825" s="2" t="str">
        <f>IFERROR(__xludf.DUMMYFUNCTION("""COMPUTED_VALUE"""),"VD018")</f>
        <v>VD018</v>
      </c>
      <c r="C825" s="2">
        <f>IFERROR(__xludf.DUMMYFUNCTION("""COMPUTED_VALUE"""),10.0)</f>
        <v>10</v>
      </c>
      <c r="D825" s="6">
        <f>IFERROR(__xludf.DUMMYFUNCTION("""COMPUTED_VALUE"""),587.43)</f>
        <v>587.43</v>
      </c>
      <c r="E825" s="6">
        <f>IFERROR(__xludf.DUMMYFUNCTION("GOOGLEFINANCE(""Currency:BRLMXN"")*D825"),1995.4997099999998)</f>
        <v>1995.49971</v>
      </c>
      <c r="F825" s="6">
        <f>IFERROR(__xludf.DUMMYFUNCTION("GOOGLEFINANCE(""Currency:BRLPEN"")*D825"),385.1191079999999)</f>
        <v>385.119108</v>
      </c>
      <c r="G825" s="2" t="str">
        <f t="array" ref="G825">_xlfn.XLOOKUP(B825,Vendedores!$A$2:$A$41,Vendedores!$B$2:$B$41,"No hay datos")</f>
        <v>No hay datos</v>
      </c>
      <c r="H825" s="2" t="str">
        <f t="array" ref="H825">_xlfn.XLOOKUP(B825,Vendedores!$A$2:$A$41,Vendedores!$C$2:$C$41,"No hay datos")</f>
        <v>No hay datos</v>
      </c>
      <c r="I825" s="2" t="str">
        <f t="array" ref="I825">_xlfn.XLOOKUP(B825,Vendedores!$A$2:$A$41,Vendedores!$D$2:$D$41,"No hay datos")</f>
        <v>No hay datos</v>
      </c>
      <c r="J825" s="2" t="str">
        <f t="array" ref="J825">_xlfn.XLOOKUP(A825,Productos!$A$2:$A$61,Productos!$B$2:$F$61)</f>
        <v>#N/A</v>
      </c>
    </row>
    <row r="826">
      <c r="A826" s="2" t="str">
        <f>IFERROR(__xludf.DUMMYFUNCTION("""COMPUTED_VALUE"""),"PR060")</f>
        <v>PR060</v>
      </c>
      <c r="B826" s="2" t="str">
        <f>IFERROR(__xludf.DUMMYFUNCTION("""COMPUTED_VALUE"""),"VD047")</f>
        <v>VD047</v>
      </c>
      <c r="C826" s="2">
        <f>IFERROR(__xludf.DUMMYFUNCTION("""COMPUTED_VALUE"""),16.0)</f>
        <v>16</v>
      </c>
      <c r="D826" s="6">
        <f>IFERROR(__xludf.DUMMYFUNCTION("""COMPUTED_VALUE"""),2937.6)</f>
        <v>2937.6</v>
      </c>
      <c r="E826" s="6">
        <f>IFERROR(__xludf.DUMMYFUNCTION("GOOGLEFINANCE(""Currency:BRLMXN"")*D826"),9979.027199999999)</f>
        <v>9979.0272</v>
      </c>
      <c r="F826" s="6">
        <f>IFERROR(__xludf.DUMMYFUNCTION("GOOGLEFINANCE(""Currency:BRLPEN"")*D826"),1925.8905599999998)</f>
        <v>1925.89056</v>
      </c>
      <c r="G826" s="2" t="str">
        <f t="array" ref="G826">_xlfn.XLOOKUP(B826,Vendedores!$A$2:$A$41,Vendedores!$B$2:$B$41,"No hay datos")</f>
        <v>No hay datos</v>
      </c>
      <c r="H826" s="2" t="str">
        <f t="array" ref="H826">_xlfn.XLOOKUP(B826,Vendedores!$A$2:$A$41,Vendedores!$C$2:$C$41,"No hay datos")</f>
        <v>No hay datos</v>
      </c>
      <c r="I826" s="2" t="str">
        <f t="array" ref="I826">_xlfn.XLOOKUP(B826,Vendedores!$A$2:$A$41,Vendedores!$D$2:$D$41,"No hay datos")</f>
        <v>No hay datos</v>
      </c>
      <c r="J826" s="2" t="str">
        <f t="array" ref="J826">_xlfn.XLOOKUP(A826,Productos!$A$2:$A$61,Productos!$B$2:$F$61)</f>
        <v>#N/A</v>
      </c>
    </row>
    <row r="827">
      <c r="A827" s="2" t="str">
        <f>IFERROR(__xludf.DUMMYFUNCTION("""COMPUTED_VALUE"""),"PR054")</f>
        <v>PR054</v>
      </c>
      <c r="B827" s="2" t="str">
        <f>IFERROR(__xludf.DUMMYFUNCTION("""COMPUTED_VALUE"""),"VD019")</f>
        <v>VD019</v>
      </c>
      <c r="C827" s="2">
        <f>IFERROR(__xludf.DUMMYFUNCTION("""COMPUTED_VALUE"""),3.0)</f>
        <v>3</v>
      </c>
      <c r="D827" s="6">
        <f>IFERROR(__xludf.DUMMYFUNCTION("""COMPUTED_VALUE"""),157.19)</f>
        <v>157.19</v>
      </c>
      <c r="E827" s="6">
        <f>IFERROR(__xludf.DUMMYFUNCTION("GOOGLEFINANCE(""Currency:BRLMXN"")*D827"),533.97443)</f>
        <v>533.97443</v>
      </c>
      <c r="F827" s="6">
        <f>IFERROR(__xludf.DUMMYFUNCTION("GOOGLEFINANCE(""Currency:BRLPEN"")*D827"),103.05376399999999)</f>
        <v>103.053764</v>
      </c>
      <c r="G827" s="2" t="str">
        <f t="array" ref="G827">_xlfn.XLOOKUP(B827,Vendedores!$A$2:$A$41,Vendedores!$B$2:$B$41,"No hay datos")</f>
        <v>No hay datos</v>
      </c>
      <c r="H827" s="2" t="str">
        <f t="array" ref="H827">_xlfn.XLOOKUP(B827,Vendedores!$A$2:$A$41,Vendedores!$C$2:$C$41,"No hay datos")</f>
        <v>No hay datos</v>
      </c>
      <c r="I827" s="2" t="str">
        <f t="array" ref="I827">_xlfn.XLOOKUP(B827,Vendedores!$A$2:$A$41,Vendedores!$D$2:$D$41,"No hay datos")</f>
        <v>No hay datos</v>
      </c>
      <c r="J827" s="2" t="str">
        <f t="array" ref="J827">_xlfn.XLOOKUP(A827,Productos!$A$2:$A$61,Productos!$B$2:$F$61)</f>
        <v>#N/A</v>
      </c>
    </row>
    <row r="828">
      <c r="A828" s="2" t="str">
        <f>IFERROR(__xludf.DUMMYFUNCTION("""COMPUTED_VALUE"""),"PR026")</f>
        <v>PR026</v>
      </c>
      <c r="B828" s="2" t="str">
        <f>IFERROR(__xludf.DUMMYFUNCTION("""COMPUTED_VALUE"""),"VD036")</f>
        <v>VD036</v>
      </c>
      <c r="C828" s="2">
        <f>IFERROR(__xludf.DUMMYFUNCTION("""COMPUTED_VALUE"""),7.0)</f>
        <v>7</v>
      </c>
      <c r="D828" s="6">
        <f>IFERROR(__xludf.DUMMYFUNCTION("""COMPUTED_VALUE"""),2694.23)</f>
        <v>2694.23</v>
      </c>
      <c r="E828" s="6">
        <f>IFERROR(__xludf.DUMMYFUNCTION("GOOGLEFINANCE(""Currency:BRLMXN"")*D828"),9152.29931)</f>
        <v>9152.29931</v>
      </c>
      <c r="F828" s="6">
        <f>IFERROR(__xludf.DUMMYFUNCTION("GOOGLEFINANCE(""Currency:BRLPEN"")*D828"),1766.337188)</f>
        <v>1766.337188</v>
      </c>
      <c r="G828" s="2" t="str">
        <f t="array" ref="G828">_xlfn.XLOOKUP(B828,Vendedores!$A$2:$A$41,Vendedores!$B$2:$B$41,"No hay datos")</f>
        <v>No hay datos</v>
      </c>
      <c r="H828" s="2" t="str">
        <f t="array" ref="H828">_xlfn.XLOOKUP(B828,Vendedores!$A$2:$A$41,Vendedores!$C$2:$C$41,"No hay datos")</f>
        <v>No hay datos</v>
      </c>
      <c r="I828" s="2" t="str">
        <f t="array" ref="I828">_xlfn.XLOOKUP(B828,Vendedores!$A$2:$A$41,Vendedores!$D$2:$D$41,"No hay datos")</f>
        <v>No hay datos</v>
      </c>
      <c r="J828" s="2" t="str">
        <f t="array" ref="J828">_xlfn.XLOOKUP(A828,Productos!$A$2:$A$61,Productos!$B$2:$F$61)</f>
        <v>#N/A</v>
      </c>
    </row>
    <row r="829">
      <c r="A829" s="2" t="str">
        <f>IFERROR(__xludf.DUMMYFUNCTION("""COMPUTED_VALUE"""),"PR002")</f>
        <v>PR002</v>
      </c>
      <c r="B829" s="2" t="str">
        <f>IFERROR(__xludf.DUMMYFUNCTION("""COMPUTED_VALUE"""),"VD046")</f>
        <v>VD046</v>
      </c>
      <c r="C829" s="2">
        <f>IFERROR(__xludf.DUMMYFUNCTION("""COMPUTED_VALUE"""),5.0)</f>
        <v>5</v>
      </c>
      <c r="D829" s="6">
        <f>IFERROR(__xludf.DUMMYFUNCTION("""COMPUTED_VALUE"""),356.49)</f>
        <v>356.49</v>
      </c>
      <c r="E829" s="6">
        <f>IFERROR(__xludf.DUMMYFUNCTION("GOOGLEFINANCE(""Currency:BRLMXN"")*D829"),1210.99653)</f>
        <v>1210.99653</v>
      </c>
      <c r="F829" s="6">
        <f>IFERROR(__xludf.DUMMYFUNCTION("GOOGLEFINANCE(""Currency:BRLPEN"")*D829"),233.714844)</f>
        <v>233.714844</v>
      </c>
      <c r="G829" s="2" t="str">
        <f t="array" ref="G829">_xlfn.XLOOKUP(B829,Vendedores!$A$2:$A$41,Vendedores!$B$2:$B$41,"No hay datos")</f>
        <v>No hay datos</v>
      </c>
      <c r="H829" s="2" t="str">
        <f t="array" ref="H829">_xlfn.XLOOKUP(B829,Vendedores!$A$2:$A$41,Vendedores!$C$2:$C$41,"No hay datos")</f>
        <v>No hay datos</v>
      </c>
      <c r="I829" s="2" t="str">
        <f t="array" ref="I829">_xlfn.XLOOKUP(B829,Vendedores!$A$2:$A$41,Vendedores!$D$2:$D$41,"No hay datos")</f>
        <v>No hay datos</v>
      </c>
      <c r="J829" s="2" t="str">
        <f t="array" ref="J829">_xlfn.XLOOKUP(A829,Productos!$A$2:$A$61,Productos!$B$2:$F$61)</f>
        <v>#N/A</v>
      </c>
    </row>
    <row r="830">
      <c r="A830" s="2" t="str">
        <f>IFERROR(__xludf.DUMMYFUNCTION("""COMPUTED_VALUE"""),"PR001")</f>
        <v>PR001</v>
      </c>
      <c r="B830" s="2" t="str">
        <f>IFERROR(__xludf.DUMMYFUNCTION("""COMPUTED_VALUE"""),"VD021")</f>
        <v>VD021</v>
      </c>
      <c r="C830" s="2">
        <f>IFERROR(__xludf.DUMMYFUNCTION("""COMPUTED_VALUE"""),3.0)</f>
        <v>3</v>
      </c>
      <c r="D830" s="6">
        <f>IFERROR(__xludf.DUMMYFUNCTION("""COMPUTED_VALUE"""),213.52)</f>
        <v>213.52</v>
      </c>
      <c r="E830" s="6">
        <f>IFERROR(__xludf.DUMMYFUNCTION("GOOGLEFINANCE(""Currency:BRLMXN"")*D830"),725.32744)</f>
        <v>725.32744</v>
      </c>
      <c r="F830" s="6">
        <f>IFERROR(__xludf.DUMMYFUNCTION("GOOGLEFINANCE(""Currency:BRLPEN"")*D830"),139.983712)</f>
        <v>139.983712</v>
      </c>
      <c r="G830" s="2" t="str">
        <f t="array" ref="G830">_xlfn.XLOOKUP(B830,Vendedores!$A$2:$A$41,Vendedores!$B$2:$B$41,"No hay datos")</f>
        <v>No hay datos</v>
      </c>
      <c r="H830" s="2" t="str">
        <f t="array" ref="H830">_xlfn.XLOOKUP(B830,Vendedores!$A$2:$A$41,Vendedores!$C$2:$C$41,"No hay datos")</f>
        <v>No hay datos</v>
      </c>
      <c r="I830" s="2" t="str">
        <f t="array" ref="I830">_xlfn.XLOOKUP(B830,Vendedores!$A$2:$A$41,Vendedores!$D$2:$D$41,"No hay datos")</f>
        <v>No hay datos</v>
      </c>
      <c r="J830" s="2" t="str">
        <f t="array" ref="J830">_xlfn.XLOOKUP(A830,Productos!$A$2:$A$61,Productos!$B$2:$F$61)</f>
        <v>#N/A</v>
      </c>
    </row>
    <row r="831">
      <c r="A831" s="2" t="str">
        <f>IFERROR(__xludf.DUMMYFUNCTION("""COMPUTED_VALUE"""),"PR044")</f>
        <v>PR044</v>
      </c>
      <c r="B831" s="2" t="str">
        <f>IFERROR(__xludf.DUMMYFUNCTION("""COMPUTED_VALUE"""),"VD030")</f>
        <v>VD030</v>
      </c>
      <c r="C831" s="2">
        <f>IFERROR(__xludf.DUMMYFUNCTION("""COMPUTED_VALUE"""),3.0)</f>
        <v>3</v>
      </c>
      <c r="D831" s="6">
        <f>IFERROR(__xludf.DUMMYFUNCTION("""COMPUTED_VALUE"""),232.73)</f>
        <v>232.73</v>
      </c>
      <c r="E831" s="6">
        <f>IFERROR(__xludf.DUMMYFUNCTION("GOOGLEFINANCE(""Currency:BRLMXN"")*D831"),790.58381)</f>
        <v>790.58381</v>
      </c>
      <c r="F831" s="6">
        <f>IFERROR(__xludf.DUMMYFUNCTION("GOOGLEFINANCE(""Currency:BRLPEN"")*D831"),152.577788)</f>
        <v>152.577788</v>
      </c>
      <c r="G831" s="2" t="str">
        <f t="array" ref="G831">_xlfn.XLOOKUP(B831,Vendedores!$A$2:$A$41,Vendedores!$B$2:$B$41,"No hay datos")</f>
        <v>No hay datos</v>
      </c>
      <c r="H831" s="2" t="str">
        <f t="array" ref="H831">_xlfn.XLOOKUP(B831,Vendedores!$A$2:$A$41,Vendedores!$C$2:$C$41,"No hay datos")</f>
        <v>No hay datos</v>
      </c>
      <c r="I831" s="2" t="str">
        <f t="array" ref="I831">_xlfn.XLOOKUP(B831,Vendedores!$A$2:$A$41,Vendedores!$D$2:$D$41,"No hay datos")</f>
        <v>No hay datos</v>
      </c>
      <c r="J831" s="2" t="str">
        <f t="array" ref="J831">_xlfn.XLOOKUP(A831,Productos!$A$2:$A$61,Productos!$B$2:$F$61)</f>
        <v>#N/A</v>
      </c>
    </row>
    <row r="832">
      <c r="A832" s="2" t="str">
        <f>IFERROR(__xludf.DUMMYFUNCTION("""COMPUTED_VALUE"""),"PR028")</f>
        <v>PR028</v>
      </c>
      <c r="B832" s="2" t="str">
        <f>IFERROR(__xludf.DUMMYFUNCTION("""COMPUTED_VALUE"""),"VD021")</f>
        <v>VD021</v>
      </c>
      <c r="C832" s="2">
        <f>IFERROR(__xludf.DUMMYFUNCTION("""COMPUTED_VALUE"""),2.0)</f>
        <v>2</v>
      </c>
      <c r="D832" s="6">
        <f>IFERROR(__xludf.DUMMYFUNCTION("""COMPUTED_VALUE"""),529.79)</f>
        <v>529.79</v>
      </c>
      <c r="E832" s="6">
        <f>IFERROR(__xludf.DUMMYFUNCTION("GOOGLEFINANCE(""Currency:BRLMXN"")*D832"),1799.6966299999997)</f>
        <v>1799.69663</v>
      </c>
      <c r="F832" s="6">
        <f>IFERROR(__xludf.DUMMYFUNCTION("GOOGLEFINANCE(""Currency:BRLPEN"")*D832"),347.33032399999996)</f>
        <v>347.330324</v>
      </c>
      <c r="G832" s="2" t="str">
        <f t="array" ref="G832">_xlfn.XLOOKUP(B832,Vendedores!$A$2:$A$41,Vendedores!$B$2:$B$41,"No hay datos")</f>
        <v>No hay datos</v>
      </c>
      <c r="H832" s="2" t="str">
        <f t="array" ref="H832">_xlfn.XLOOKUP(B832,Vendedores!$A$2:$A$41,Vendedores!$C$2:$C$41,"No hay datos")</f>
        <v>No hay datos</v>
      </c>
      <c r="I832" s="2" t="str">
        <f t="array" ref="I832">_xlfn.XLOOKUP(B832,Vendedores!$A$2:$A$41,Vendedores!$D$2:$D$41,"No hay datos")</f>
        <v>No hay datos</v>
      </c>
      <c r="J832" s="2" t="str">
        <f t="array" ref="J832">_xlfn.XLOOKUP(A832,Productos!$A$2:$A$61,Productos!$B$2:$F$61)</f>
        <v>#N/A</v>
      </c>
    </row>
    <row r="833">
      <c r="A833" s="2" t="str">
        <f>IFERROR(__xludf.DUMMYFUNCTION("""COMPUTED_VALUE"""),"PR045")</f>
        <v>PR045</v>
      </c>
      <c r="B833" s="2" t="str">
        <f>IFERROR(__xludf.DUMMYFUNCTION("""COMPUTED_VALUE"""),"VD024")</f>
        <v>VD024</v>
      </c>
      <c r="C833" s="2">
        <f>IFERROR(__xludf.DUMMYFUNCTION("""COMPUTED_VALUE"""),18.0)</f>
        <v>18</v>
      </c>
      <c r="D833" s="6">
        <f>IFERROR(__xludf.DUMMYFUNCTION("""COMPUTED_VALUE"""),1435.5)</f>
        <v>1435.5</v>
      </c>
      <c r="E833" s="6">
        <f>IFERROR(__xludf.DUMMYFUNCTION("GOOGLEFINANCE(""Currency:BRLMXN"")*D833"),4876.3935)</f>
        <v>4876.3935</v>
      </c>
      <c r="F833" s="6">
        <f>IFERROR(__xludf.DUMMYFUNCTION("GOOGLEFINANCE(""Currency:BRLPEN"")*D833"),941.1138)</f>
        <v>941.1138</v>
      </c>
      <c r="G833" s="2" t="str">
        <f t="array" ref="G833">_xlfn.XLOOKUP(B833,Vendedores!$A$2:$A$41,Vendedores!$B$2:$B$41,"No hay datos")</f>
        <v>No hay datos</v>
      </c>
      <c r="H833" s="2" t="str">
        <f t="array" ref="H833">_xlfn.XLOOKUP(B833,Vendedores!$A$2:$A$41,Vendedores!$C$2:$C$41,"No hay datos")</f>
        <v>No hay datos</v>
      </c>
      <c r="I833" s="2" t="str">
        <f t="array" ref="I833">_xlfn.XLOOKUP(B833,Vendedores!$A$2:$A$41,Vendedores!$D$2:$D$41,"No hay datos")</f>
        <v>No hay datos</v>
      </c>
      <c r="J833" s="2" t="str">
        <f t="array" ref="J833">_xlfn.XLOOKUP(A833,Productos!$A$2:$A$61,Productos!$B$2:$F$61)</f>
        <v>#N/A</v>
      </c>
    </row>
    <row r="834">
      <c r="A834" s="2" t="str">
        <f>IFERROR(__xludf.DUMMYFUNCTION("""COMPUTED_VALUE"""),"PR052")</f>
        <v>PR052</v>
      </c>
      <c r="B834" s="2" t="str">
        <f>IFERROR(__xludf.DUMMYFUNCTION("""COMPUTED_VALUE"""),"VD038")</f>
        <v>VD038</v>
      </c>
      <c r="C834" s="2">
        <f>IFERROR(__xludf.DUMMYFUNCTION("""COMPUTED_VALUE"""),8.0)</f>
        <v>8</v>
      </c>
      <c r="D834" s="6">
        <f>IFERROR(__xludf.DUMMYFUNCTION("""COMPUTED_VALUE"""),415.17)</f>
        <v>415.17</v>
      </c>
      <c r="E834" s="6">
        <f>IFERROR(__xludf.DUMMYFUNCTION("GOOGLEFINANCE(""Currency:BRLMXN"")*D834"),1410.33249)</f>
        <v>1410.33249</v>
      </c>
      <c r="F834" s="6">
        <f>IFERROR(__xludf.DUMMYFUNCTION("GOOGLEFINANCE(""Currency:BRLPEN"")*D834"),272.185452)</f>
        <v>272.185452</v>
      </c>
      <c r="G834" s="2" t="str">
        <f t="array" ref="G834">_xlfn.XLOOKUP(B834,Vendedores!$A$2:$A$41,Vendedores!$B$2:$B$41,"No hay datos")</f>
        <v>No hay datos</v>
      </c>
      <c r="H834" s="2" t="str">
        <f t="array" ref="H834">_xlfn.XLOOKUP(B834,Vendedores!$A$2:$A$41,Vendedores!$C$2:$C$41,"No hay datos")</f>
        <v>No hay datos</v>
      </c>
      <c r="I834" s="2" t="str">
        <f t="array" ref="I834">_xlfn.XLOOKUP(B834,Vendedores!$A$2:$A$41,Vendedores!$D$2:$D$41,"No hay datos")</f>
        <v>No hay datos</v>
      </c>
      <c r="J834" s="2" t="str">
        <f t="array" ref="J834">_xlfn.XLOOKUP(A834,Productos!$A$2:$A$61,Productos!$B$2:$F$61)</f>
        <v>#N/A</v>
      </c>
    </row>
    <row r="835">
      <c r="A835" s="2" t="str">
        <f>IFERROR(__xludf.DUMMYFUNCTION("""COMPUTED_VALUE"""),"PR024")</f>
        <v>PR024</v>
      </c>
      <c r="B835" s="2" t="str">
        <f>IFERROR(__xludf.DUMMYFUNCTION("""COMPUTED_VALUE"""),"VD026")</f>
        <v>VD026</v>
      </c>
      <c r="C835" s="2">
        <f>IFERROR(__xludf.DUMMYFUNCTION("""COMPUTED_VALUE"""),4.0)</f>
        <v>4</v>
      </c>
      <c r="D835" s="6">
        <f>IFERROR(__xludf.DUMMYFUNCTION("""COMPUTED_VALUE"""),1122.77)</f>
        <v>1122.77</v>
      </c>
      <c r="E835" s="6">
        <f>IFERROR(__xludf.DUMMYFUNCTION("GOOGLEFINANCE(""Currency:BRLMXN"")*D835"),3814.04969)</f>
        <v>3814.04969</v>
      </c>
      <c r="F835" s="6">
        <f>IFERROR(__xludf.DUMMYFUNCTION("GOOGLEFINANCE(""Currency:BRLPEN"")*D835"),736.0880119999999)</f>
        <v>736.088012</v>
      </c>
      <c r="G835" s="2" t="str">
        <f t="array" ref="G835">_xlfn.XLOOKUP(B835,Vendedores!$A$2:$A$41,Vendedores!$B$2:$B$41,"No hay datos")</f>
        <v>No hay datos</v>
      </c>
      <c r="H835" s="2" t="str">
        <f t="array" ref="H835">_xlfn.XLOOKUP(B835,Vendedores!$A$2:$A$41,Vendedores!$C$2:$C$41,"No hay datos")</f>
        <v>No hay datos</v>
      </c>
      <c r="I835" s="2" t="str">
        <f t="array" ref="I835">_xlfn.XLOOKUP(B835,Vendedores!$A$2:$A$41,Vendedores!$D$2:$D$41,"No hay datos")</f>
        <v>No hay datos</v>
      </c>
      <c r="J835" s="2" t="str">
        <f t="array" ref="J835">_xlfn.XLOOKUP(A835,Productos!$A$2:$A$61,Productos!$B$2:$F$61)</f>
        <v>#N/A</v>
      </c>
    </row>
    <row r="836">
      <c r="A836" s="2" t="str">
        <f>IFERROR(__xludf.DUMMYFUNCTION("""COMPUTED_VALUE"""),"PR013")</f>
        <v>PR013</v>
      </c>
      <c r="B836" s="2" t="str">
        <f>IFERROR(__xludf.DUMMYFUNCTION("""COMPUTED_VALUE"""),"VD028")</f>
        <v>VD028</v>
      </c>
      <c r="C836" s="2">
        <f>IFERROR(__xludf.DUMMYFUNCTION("""COMPUTED_VALUE"""),20.0)</f>
        <v>20</v>
      </c>
      <c r="D836" s="6">
        <f>IFERROR(__xludf.DUMMYFUNCTION("""COMPUTED_VALUE"""),821.94)</f>
        <v>821.94</v>
      </c>
      <c r="E836" s="6">
        <f>IFERROR(__xludf.DUMMYFUNCTION("GOOGLEFINANCE(""Currency:BRLMXN"")*D836"),2792.13018)</f>
        <v>2792.13018</v>
      </c>
      <c r="F836" s="6">
        <f>IFERROR(__xludf.DUMMYFUNCTION("GOOGLEFINANCE(""Currency:BRLPEN"")*D836"),538.863864)</f>
        <v>538.863864</v>
      </c>
      <c r="G836" s="2" t="str">
        <f t="array" ref="G836">_xlfn.XLOOKUP(B836,Vendedores!$A$2:$A$41,Vendedores!$B$2:$B$41,"No hay datos")</f>
        <v>No hay datos</v>
      </c>
      <c r="H836" s="2" t="str">
        <f t="array" ref="H836">_xlfn.XLOOKUP(B836,Vendedores!$A$2:$A$41,Vendedores!$C$2:$C$41,"No hay datos")</f>
        <v>No hay datos</v>
      </c>
      <c r="I836" s="2" t="str">
        <f t="array" ref="I836">_xlfn.XLOOKUP(B836,Vendedores!$A$2:$A$41,Vendedores!$D$2:$D$41,"No hay datos")</f>
        <v>No hay datos</v>
      </c>
      <c r="J836" s="2" t="str">
        <f t="array" ref="J836">_xlfn.XLOOKUP(A836,Productos!$A$2:$A$61,Productos!$B$2:$F$61)</f>
        <v>#N/A</v>
      </c>
    </row>
    <row r="837">
      <c r="A837" s="2" t="str">
        <f>IFERROR(__xludf.DUMMYFUNCTION("""COMPUTED_VALUE"""),"PR053")</f>
        <v>PR053</v>
      </c>
      <c r="B837" s="2" t="str">
        <f>IFERROR(__xludf.DUMMYFUNCTION("""COMPUTED_VALUE"""),"VD049")</f>
        <v>VD049</v>
      </c>
      <c r="C837" s="2">
        <f>IFERROR(__xludf.DUMMYFUNCTION("""COMPUTED_VALUE"""),6.0)</f>
        <v>6</v>
      </c>
      <c r="D837" s="6">
        <f>IFERROR(__xludf.DUMMYFUNCTION("""COMPUTED_VALUE"""),302.39)</f>
        <v>302.39</v>
      </c>
      <c r="E837" s="6">
        <f>IFERROR(__xludf.DUMMYFUNCTION("GOOGLEFINANCE(""Currency:BRLMXN"")*D837"),1027.2188299999998)</f>
        <v>1027.21883</v>
      </c>
      <c r="F837" s="6">
        <f>IFERROR(__xludf.DUMMYFUNCTION("GOOGLEFINANCE(""Currency:BRLPEN"")*D837"),198.24688399999997)</f>
        <v>198.246884</v>
      </c>
      <c r="G837" s="2" t="str">
        <f t="array" ref="G837">_xlfn.XLOOKUP(B837,Vendedores!$A$2:$A$41,Vendedores!$B$2:$B$41,"No hay datos")</f>
        <v>No hay datos</v>
      </c>
      <c r="H837" s="2" t="str">
        <f t="array" ref="H837">_xlfn.XLOOKUP(B837,Vendedores!$A$2:$A$41,Vendedores!$C$2:$C$41,"No hay datos")</f>
        <v>No hay datos</v>
      </c>
      <c r="I837" s="2" t="str">
        <f t="array" ref="I837">_xlfn.XLOOKUP(B837,Vendedores!$A$2:$A$41,Vendedores!$D$2:$D$41,"No hay datos")</f>
        <v>No hay datos</v>
      </c>
      <c r="J837" s="2" t="str">
        <f t="array" ref="J837">_xlfn.XLOOKUP(A837,Productos!$A$2:$A$61,Productos!$B$2:$F$61)</f>
        <v>#N/A</v>
      </c>
    </row>
    <row r="838">
      <c r="A838" s="2" t="str">
        <f>IFERROR(__xludf.DUMMYFUNCTION("""COMPUTED_VALUE"""),"PR029")</f>
        <v>PR029</v>
      </c>
      <c r="B838" s="2" t="str">
        <f>IFERROR(__xludf.DUMMYFUNCTION("""COMPUTED_VALUE"""),"VD029")</f>
        <v>VD029</v>
      </c>
      <c r="C838" s="2">
        <f>IFERROR(__xludf.DUMMYFUNCTION("""COMPUTED_VALUE"""),8.0)</f>
        <v>8</v>
      </c>
      <c r="D838" s="6">
        <f>IFERROR(__xludf.DUMMYFUNCTION("""COMPUTED_VALUE"""),2182.8)</f>
        <v>2182.8</v>
      </c>
      <c r="E838" s="6">
        <f>IFERROR(__xludf.DUMMYFUNCTION("GOOGLEFINANCE(""Currency:BRLMXN"")*D838"),7414.9716)</f>
        <v>7414.9716</v>
      </c>
      <c r="F838" s="6">
        <f>IFERROR(__xludf.DUMMYFUNCTION("GOOGLEFINANCE(""Currency:BRLPEN"")*D838"),1431.04368)</f>
        <v>1431.04368</v>
      </c>
      <c r="G838" s="2" t="str">
        <f t="array" ref="G838">_xlfn.XLOOKUP(B838,Vendedores!$A$2:$A$41,Vendedores!$B$2:$B$41,"No hay datos")</f>
        <v>No hay datos</v>
      </c>
      <c r="H838" s="2" t="str">
        <f t="array" ref="H838">_xlfn.XLOOKUP(B838,Vendedores!$A$2:$A$41,Vendedores!$C$2:$C$41,"No hay datos")</f>
        <v>No hay datos</v>
      </c>
      <c r="I838" s="2" t="str">
        <f t="array" ref="I838">_xlfn.XLOOKUP(B838,Vendedores!$A$2:$A$41,Vendedores!$D$2:$D$41,"No hay datos")</f>
        <v>No hay datos</v>
      </c>
      <c r="J838" s="2" t="str">
        <f t="array" ref="J838">_xlfn.XLOOKUP(A838,Productos!$A$2:$A$61,Productos!$B$2:$F$61)</f>
        <v>#N/A</v>
      </c>
    </row>
    <row r="839">
      <c r="A839" s="2" t="str">
        <f>IFERROR(__xludf.DUMMYFUNCTION("""COMPUTED_VALUE"""),"PR001")</f>
        <v>PR001</v>
      </c>
      <c r="B839" s="2" t="str">
        <f>IFERROR(__xludf.DUMMYFUNCTION("""COMPUTED_VALUE"""),"VD014")</f>
        <v>VD014</v>
      </c>
      <c r="C839" s="2">
        <f>IFERROR(__xludf.DUMMYFUNCTION("""COMPUTED_VALUE"""),6.0)</f>
        <v>6</v>
      </c>
      <c r="D839" s="6">
        <f>IFERROR(__xludf.DUMMYFUNCTION("""COMPUTED_VALUE"""),423.08)</f>
        <v>423.08</v>
      </c>
      <c r="E839" s="6">
        <f>IFERROR(__xludf.DUMMYFUNCTION("GOOGLEFINANCE(""Currency:BRLMXN"")*D839"),1437.20276)</f>
        <v>1437.20276</v>
      </c>
      <c r="F839" s="6">
        <f>IFERROR(__xludf.DUMMYFUNCTION("GOOGLEFINANCE(""Currency:BRLPEN"")*D839"),277.371248)</f>
        <v>277.371248</v>
      </c>
      <c r="G839" s="2" t="str">
        <f t="array" ref="G839">_xlfn.XLOOKUP(B839,Vendedores!$A$2:$A$41,Vendedores!$B$2:$B$41,"No hay datos")</f>
        <v>No hay datos</v>
      </c>
      <c r="H839" s="2" t="str">
        <f t="array" ref="H839">_xlfn.XLOOKUP(B839,Vendedores!$A$2:$A$41,Vendedores!$C$2:$C$41,"No hay datos")</f>
        <v>No hay datos</v>
      </c>
      <c r="I839" s="2" t="str">
        <f t="array" ref="I839">_xlfn.XLOOKUP(B839,Vendedores!$A$2:$A$41,Vendedores!$D$2:$D$41,"No hay datos")</f>
        <v>No hay datos</v>
      </c>
      <c r="J839" s="2" t="str">
        <f t="array" ref="J839">_xlfn.XLOOKUP(A839,Productos!$A$2:$A$61,Productos!$B$2:$F$61)</f>
        <v>#N/A</v>
      </c>
    </row>
    <row r="840">
      <c r="A840" s="2" t="str">
        <f>IFERROR(__xludf.DUMMYFUNCTION("""COMPUTED_VALUE"""),"PR059")</f>
        <v>PR059</v>
      </c>
      <c r="B840" s="2" t="str">
        <f>IFERROR(__xludf.DUMMYFUNCTION("""COMPUTED_VALUE"""),"VD025")</f>
        <v>VD025</v>
      </c>
      <c r="C840" s="2">
        <f>IFERROR(__xludf.DUMMYFUNCTION("""COMPUTED_VALUE"""),12.0)</f>
        <v>12</v>
      </c>
      <c r="D840" s="6">
        <f>IFERROR(__xludf.DUMMYFUNCTION("""COMPUTED_VALUE"""),2289.6)</f>
        <v>2289.6</v>
      </c>
      <c r="E840" s="6">
        <f>IFERROR(__xludf.DUMMYFUNCTION("GOOGLEFINANCE(""Currency:BRLMXN"")*D840"),7777.771199999999)</f>
        <v>7777.7712</v>
      </c>
      <c r="F840" s="6">
        <f>IFERROR(__xludf.DUMMYFUNCTION("GOOGLEFINANCE(""Currency:BRLPEN"")*D840"),1501.0617599999998)</f>
        <v>1501.06176</v>
      </c>
      <c r="G840" s="2" t="str">
        <f t="array" ref="G840">_xlfn.XLOOKUP(B840,Vendedores!$A$2:$A$41,Vendedores!$B$2:$B$41,"No hay datos")</f>
        <v>No hay datos</v>
      </c>
      <c r="H840" s="2" t="str">
        <f t="array" ref="H840">_xlfn.XLOOKUP(B840,Vendedores!$A$2:$A$41,Vendedores!$C$2:$C$41,"No hay datos")</f>
        <v>No hay datos</v>
      </c>
      <c r="I840" s="2" t="str">
        <f t="array" ref="I840">_xlfn.XLOOKUP(B840,Vendedores!$A$2:$A$41,Vendedores!$D$2:$D$41,"No hay datos")</f>
        <v>No hay datos</v>
      </c>
      <c r="J840" s="2" t="str">
        <f t="array" ref="J840">_xlfn.XLOOKUP(A840,Productos!$A$2:$A$61,Productos!$B$2:$F$61)</f>
        <v>#N/A</v>
      </c>
    </row>
    <row r="841">
      <c r="A841" s="2" t="str">
        <f>IFERROR(__xludf.DUMMYFUNCTION("""COMPUTED_VALUE"""),"PR039")</f>
        <v>PR039</v>
      </c>
      <c r="B841" s="2" t="str">
        <f>IFERROR(__xludf.DUMMYFUNCTION("""COMPUTED_VALUE"""),"VD036")</f>
        <v>VD036</v>
      </c>
      <c r="C841" s="2">
        <f>IFERROR(__xludf.DUMMYFUNCTION("""COMPUTED_VALUE"""),8.0)</f>
        <v>8</v>
      </c>
      <c r="D841" s="6">
        <f>IFERROR(__xludf.DUMMYFUNCTION("""COMPUTED_VALUE"""),1203.04)</f>
        <v>1203.04</v>
      </c>
      <c r="E841" s="6">
        <f>IFERROR(__xludf.DUMMYFUNCTION("GOOGLEFINANCE(""Currency:BRLMXN"")*D841"),4086.7268799999997)</f>
        <v>4086.72688</v>
      </c>
      <c r="F841" s="6">
        <f>IFERROR(__xludf.DUMMYFUNCTION("GOOGLEFINANCE(""Currency:BRLPEN"")*D841"),788.7130239999999)</f>
        <v>788.713024</v>
      </c>
      <c r="G841" s="2" t="str">
        <f t="array" ref="G841">_xlfn.XLOOKUP(B841,Vendedores!$A$2:$A$41,Vendedores!$B$2:$B$41,"No hay datos")</f>
        <v>No hay datos</v>
      </c>
      <c r="H841" s="2" t="str">
        <f t="array" ref="H841">_xlfn.XLOOKUP(B841,Vendedores!$A$2:$A$41,Vendedores!$C$2:$C$41,"No hay datos")</f>
        <v>No hay datos</v>
      </c>
      <c r="I841" s="2" t="str">
        <f t="array" ref="I841">_xlfn.XLOOKUP(B841,Vendedores!$A$2:$A$41,Vendedores!$D$2:$D$41,"No hay datos")</f>
        <v>No hay datos</v>
      </c>
      <c r="J841" s="2" t="str">
        <f t="array" ref="J841">_xlfn.XLOOKUP(A841,Productos!$A$2:$A$61,Productos!$B$2:$F$61)</f>
        <v>#N/A</v>
      </c>
    </row>
    <row r="842">
      <c r="A842" s="2" t="str">
        <f>IFERROR(__xludf.DUMMYFUNCTION("""COMPUTED_VALUE"""),"PR026")</f>
        <v>PR026</v>
      </c>
      <c r="B842" s="2" t="str">
        <f>IFERROR(__xludf.DUMMYFUNCTION("""COMPUTED_VALUE"""),"VD026")</f>
        <v>VD026</v>
      </c>
      <c r="C842" s="2">
        <f>IFERROR(__xludf.DUMMYFUNCTION("""COMPUTED_VALUE"""),9.0)</f>
        <v>9</v>
      </c>
      <c r="D842" s="6">
        <f>IFERROR(__xludf.DUMMYFUNCTION("""COMPUTED_VALUE"""),3212.08)</f>
        <v>3212.08</v>
      </c>
      <c r="E842" s="6">
        <f>IFERROR(__xludf.DUMMYFUNCTION("GOOGLEFINANCE(""Currency:BRLMXN"")*D842"),10911.435759999998)</f>
        <v>10911.43576</v>
      </c>
      <c r="F842" s="6">
        <f>IFERROR(__xludf.DUMMYFUNCTION("GOOGLEFINANCE(""Currency:BRLPEN"")*D842"),2105.8396479999997)</f>
        <v>2105.839648</v>
      </c>
      <c r="G842" s="2" t="str">
        <f t="array" ref="G842">_xlfn.XLOOKUP(B842,Vendedores!$A$2:$A$41,Vendedores!$B$2:$B$41,"No hay datos")</f>
        <v>No hay datos</v>
      </c>
      <c r="H842" s="2" t="str">
        <f t="array" ref="H842">_xlfn.XLOOKUP(B842,Vendedores!$A$2:$A$41,Vendedores!$C$2:$C$41,"No hay datos")</f>
        <v>No hay datos</v>
      </c>
      <c r="I842" s="2" t="str">
        <f t="array" ref="I842">_xlfn.XLOOKUP(B842,Vendedores!$A$2:$A$41,Vendedores!$D$2:$D$41,"No hay datos")</f>
        <v>No hay datos</v>
      </c>
      <c r="J842" s="2" t="str">
        <f t="array" ref="J842">_xlfn.XLOOKUP(A842,Productos!$A$2:$A$61,Productos!$B$2:$F$61)</f>
        <v>#N/A</v>
      </c>
    </row>
    <row r="843">
      <c r="A843" s="2" t="str">
        <f>IFERROR(__xludf.DUMMYFUNCTION("""COMPUTED_VALUE"""),"PR057")</f>
        <v>PR057</v>
      </c>
      <c r="B843" s="2" t="str">
        <f>IFERROR(__xludf.DUMMYFUNCTION("""COMPUTED_VALUE"""),"VD032")</f>
        <v>VD032</v>
      </c>
      <c r="C843" s="2">
        <f>IFERROR(__xludf.DUMMYFUNCTION("""COMPUTED_VALUE"""),8.0)</f>
        <v>8</v>
      </c>
      <c r="D843" s="6">
        <f>IFERROR(__xludf.DUMMYFUNCTION("""COMPUTED_VALUE"""),726.39)</f>
        <v>726.39</v>
      </c>
      <c r="E843" s="6">
        <f>IFERROR(__xludf.DUMMYFUNCTION("GOOGLEFINANCE(""Currency:BRLMXN"")*D843"),2467.5468299999998)</f>
        <v>2467.54683</v>
      </c>
      <c r="F843" s="6">
        <f>IFERROR(__xludf.DUMMYFUNCTION("GOOGLEFINANCE(""Currency:BRLPEN"")*D843"),476.22128399999997)</f>
        <v>476.221284</v>
      </c>
      <c r="G843" s="2" t="str">
        <f t="array" ref="G843">_xlfn.XLOOKUP(B843,Vendedores!$A$2:$A$41,Vendedores!$B$2:$B$41,"No hay datos")</f>
        <v>No hay datos</v>
      </c>
      <c r="H843" s="2" t="str">
        <f t="array" ref="H843">_xlfn.XLOOKUP(B843,Vendedores!$A$2:$A$41,Vendedores!$C$2:$C$41,"No hay datos")</f>
        <v>No hay datos</v>
      </c>
      <c r="I843" s="2" t="str">
        <f t="array" ref="I843">_xlfn.XLOOKUP(B843,Vendedores!$A$2:$A$41,Vendedores!$D$2:$D$41,"No hay datos")</f>
        <v>No hay datos</v>
      </c>
      <c r="J843" s="2" t="str">
        <f t="array" ref="J843">_xlfn.XLOOKUP(A843,Productos!$A$2:$A$61,Productos!$B$2:$F$61)</f>
        <v>#N/A</v>
      </c>
    </row>
    <row r="844">
      <c r="A844" s="2" t="str">
        <f>IFERROR(__xludf.DUMMYFUNCTION("""COMPUTED_VALUE"""),"PR003")</f>
        <v>PR003</v>
      </c>
      <c r="B844" s="2" t="str">
        <f>IFERROR(__xludf.DUMMYFUNCTION("""COMPUTED_VALUE"""),"VD037")</f>
        <v>VD037</v>
      </c>
      <c r="C844" s="2">
        <f>IFERROR(__xludf.DUMMYFUNCTION("""COMPUTED_VALUE"""),20.0)</f>
        <v>20</v>
      </c>
      <c r="D844" s="6">
        <f>IFERROR(__xludf.DUMMYFUNCTION("""COMPUTED_VALUE"""),1418.0)</f>
        <v>1418</v>
      </c>
      <c r="E844" s="6">
        <f>IFERROR(__xludf.DUMMYFUNCTION("GOOGLEFINANCE(""Currency:BRLMXN"")*D844"),4816.946)</f>
        <v>4816.946</v>
      </c>
      <c r="F844" s="6">
        <f>IFERROR(__xludf.DUMMYFUNCTION("GOOGLEFINANCE(""Currency:BRLPEN"")*D844"),929.6407999999999)</f>
        <v>929.6408</v>
      </c>
      <c r="G844" s="2" t="str">
        <f t="array" ref="G844">_xlfn.XLOOKUP(B844,Vendedores!$A$2:$A$41,Vendedores!$B$2:$B$41,"No hay datos")</f>
        <v>No hay datos</v>
      </c>
      <c r="H844" s="2" t="str">
        <f t="array" ref="H844">_xlfn.XLOOKUP(B844,Vendedores!$A$2:$A$41,Vendedores!$C$2:$C$41,"No hay datos")</f>
        <v>No hay datos</v>
      </c>
      <c r="I844" s="2" t="str">
        <f t="array" ref="I844">_xlfn.XLOOKUP(B844,Vendedores!$A$2:$A$41,Vendedores!$D$2:$D$41,"No hay datos")</f>
        <v>No hay datos</v>
      </c>
      <c r="J844" s="2" t="str">
        <f t="array" ref="J844">_xlfn.XLOOKUP(A844,Productos!$A$2:$A$61,Productos!$B$2:$F$61)</f>
        <v>#N/A</v>
      </c>
    </row>
    <row r="845">
      <c r="A845" s="2" t="str">
        <f>IFERROR(__xludf.DUMMYFUNCTION("""COMPUTED_VALUE"""),"PR050")</f>
        <v>PR050</v>
      </c>
      <c r="B845" s="2" t="str">
        <f>IFERROR(__xludf.DUMMYFUNCTION("""COMPUTED_VALUE"""),"VD032")</f>
        <v>VD032</v>
      </c>
      <c r="C845" s="2">
        <f>IFERROR(__xludf.DUMMYFUNCTION("""COMPUTED_VALUE"""),2.0)</f>
        <v>2</v>
      </c>
      <c r="D845" s="6">
        <f>IFERROR(__xludf.DUMMYFUNCTION("""COMPUTED_VALUE"""),71.06)</f>
        <v>71.06</v>
      </c>
      <c r="E845" s="6">
        <f>IFERROR(__xludf.DUMMYFUNCTION("GOOGLEFINANCE(""Currency:BRLMXN"")*D845"),241.39082)</f>
        <v>241.39082</v>
      </c>
      <c r="F845" s="6">
        <f>IFERROR(__xludf.DUMMYFUNCTION("GOOGLEFINANCE(""Currency:BRLPEN"")*D845"),46.586936)</f>
        <v>46.586936</v>
      </c>
      <c r="G845" s="2" t="str">
        <f t="array" ref="G845">_xlfn.XLOOKUP(B845,Vendedores!$A$2:$A$41,Vendedores!$B$2:$B$41,"No hay datos")</f>
        <v>No hay datos</v>
      </c>
      <c r="H845" s="2" t="str">
        <f t="array" ref="H845">_xlfn.XLOOKUP(B845,Vendedores!$A$2:$A$41,Vendedores!$C$2:$C$41,"No hay datos")</f>
        <v>No hay datos</v>
      </c>
      <c r="I845" s="2" t="str">
        <f t="array" ref="I845">_xlfn.XLOOKUP(B845,Vendedores!$A$2:$A$41,Vendedores!$D$2:$D$41,"No hay datos")</f>
        <v>No hay datos</v>
      </c>
      <c r="J845" s="2" t="str">
        <f t="array" ref="J845">_xlfn.XLOOKUP(A845,Productos!$A$2:$A$61,Productos!$B$2:$F$61)</f>
        <v>#N/A</v>
      </c>
    </row>
    <row r="846">
      <c r="A846" s="2" t="str">
        <f>IFERROR(__xludf.DUMMYFUNCTION("""COMPUTED_VALUE"""),"PR027")</f>
        <v>PR027</v>
      </c>
      <c r="B846" s="2" t="str">
        <f>IFERROR(__xludf.DUMMYFUNCTION("""COMPUTED_VALUE"""),"VD022")</f>
        <v>VD022</v>
      </c>
      <c r="C846" s="2">
        <f>IFERROR(__xludf.DUMMYFUNCTION("""COMPUTED_VALUE"""),6.0)</f>
        <v>6</v>
      </c>
      <c r="D846" s="6">
        <f>IFERROR(__xludf.DUMMYFUNCTION("""COMPUTED_VALUE"""),727.2)</f>
        <v>727.2</v>
      </c>
      <c r="E846" s="6">
        <f>IFERROR(__xludf.DUMMYFUNCTION("GOOGLEFINANCE(""Currency:BRLMXN"")*D846"),2470.2984)</f>
        <v>2470.2984</v>
      </c>
      <c r="F846" s="6">
        <f>IFERROR(__xludf.DUMMYFUNCTION("GOOGLEFINANCE(""Currency:BRLPEN"")*D846"),476.75232)</f>
        <v>476.75232</v>
      </c>
      <c r="G846" s="2" t="str">
        <f t="array" ref="G846">_xlfn.XLOOKUP(B846,Vendedores!$A$2:$A$41,Vendedores!$B$2:$B$41,"No hay datos")</f>
        <v>No hay datos</v>
      </c>
      <c r="H846" s="2" t="str">
        <f t="array" ref="H846">_xlfn.XLOOKUP(B846,Vendedores!$A$2:$A$41,Vendedores!$C$2:$C$41,"No hay datos")</f>
        <v>No hay datos</v>
      </c>
      <c r="I846" s="2" t="str">
        <f t="array" ref="I846">_xlfn.XLOOKUP(B846,Vendedores!$A$2:$A$41,Vendedores!$D$2:$D$41,"No hay datos")</f>
        <v>No hay datos</v>
      </c>
      <c r="J846" s="2" t="str">
        <f t="array" ref="J846">_xlfn.XLOOKUP(A846,Productos!$A$2:$A$61,Productos!$B$2:$F$61)</f>
        <v>#N/A</v>
      </c>
    </row>
    <row r="847">
      <c r="A847" s="2" t="str">
        <f>IFERROR(__xludf.DUMMYFUNCTION("""COMPUTED_VALUE"""),"PR018")</f>
        <v>PR018</v>
      </c>
      <c r="B847" s="2" t="str">
        <f>IFERROR(__xludf.DUMMYFUNCTION("""COMPUTED_VALUE"""),"VD018")</f>
        <v>VD018</v>
      </c>
      <c r="C847" s="2">
        <f>IFERROR(__xludf.DUMMYFUNCTION("""COMPUTED_VALUE"""),8.0)</f>
        <v>8</v>
      </c>
      <c r="D847" s="6">
        <f>IFERROR(__xludf.DUMMYFUNCTION("""COMPUTED_VALUE"""),271.1)</f>
        <v>271.1</v>
      </c>
      <c r="E847" s="6">
        <f>IFERROR(__xludf.DUMMYFUNCTION("GOOGLEFINANCE(""Currency:BRLMXN"")*D847"),920.9267)</f>
        <v>920.9267</v>
      </c>
      <c r="F847" s="6">
        <f>IFERROR(__xludf.DUMMYFUNCTION("GOOGLEFINANCE(""Currency:BRLPEN"")*D847"),177.73316)</f>
        <v>177.73316</v>
      </c>
      <c r="G847" s="2" t="str">
        <f t="array" ref="G847">_xlfn.XLOOKUP(B847,Vendedores!$A$2:$A$41,Vendedores!$B$2:$B$41,"No hay datos")</f>
        <v>No hay datos</v>
      </c>
      <c r="H847" s="2" t="str">
        <f t="array" ref="H847">_xlfn.XLOOKUP(B847,Vendedores!$A$2:$A$41,Vendedores!$C$2:$C$41,"No hay datos")</f>
        <v>No hay datos</v>
      </c>
      <c r="I847" s="2" t="str">
        <f t="array" ref="I847">_xlfn.XLOOKUP(B847,Vendedores!$A$2:$A$41,Vendedores!$D$2:$D$41,"No hay datos")</f>
        <v>No hay datos</v>
      </c>
      <c r="J847" s="2" t="str">
        <f t="array" ref="J847">_xlfn.XLOOKUP(A847,Productos!$A$2:$A$61,Productos!$B$2:$F$61)</f>
        <v>#N/A</v>
      </c>
    </row>
    <row r="848">
      <c r="A848" s="2" t="str">
        <f>IFERROR(__xludf.DUMMYFUNCTION("""COMPUTED_VALUE"""),"PR038")</f>
        <v>PR038</v>
      </c>
      <c r="B848" s="2" t="str">
        <f>IFERROR(__xludf.DUMMYFUNCTION("""COMPUTED_VALUE"""),"VD024")</f>
        <v>VD024</v>
      </c>
      <c r="C848" s="2">
        <f>IFERROR(__xludf.DUMMYFUNCTION("""COMPUTED_VALUE"""),3.0)</f>
        <v>3</v>
      </c>
      <c r="D848" s="6">
        <f>IFERROR(__xludf.DUMMYFUNCTION("""COMPUTED_VALUE"""),437.27)</f>
        <v>437.27</v>
      </c>
      <c r="E848" s="6">
        <f>IFERROR(__xludf.DUMMYFUNCTION("GOOGLEFINANCE(""Currency:BRLMXN"")*D848"),1485.40619)</f>
        <v>1485.40619</v>
      </c>
      <c r="F848" s="6">
        <f>IFERROR(__xludf.DUMMYFUNCTION("GOOGLEFINANCE(""Currency:BRLPEN"")*D848"),286.67421199999995)</f>
        <v>286.674212</v>
      </c>
      <c r="G848" s="2" t="str">
        <f t="array" ref="G848">_xlfn.XLOOKUP(B848,Vendedores!$A$2:$A$41,Vendedores!$B$2:$B$41,"No hay datos")</f>
        <v>No hay datos</v>
      </c>
      <c r="H848" s="2" t="str">
        <f t="array" ref="H848">_xlfn.XLOOKUP(B848,Vendedores!$A$2:$A$41,Vendedores!$C$2:$C$41,"No hay datos")</f>
        <v>No hay datos</v>
      </c>
      <c r="I848" s="2" t="str">
        <f t="array" ref="I848">_xlfn.XLOOKUP(B848,Vendedores!$A$2:$A$41,Vendedores!$D$2:$D$41,"No hay datos")</f>
        <v>No hay datos</v>
      </c>
      <c r="J848" s="2" t="str">
        <f t="array" ref="J848">_xlfn.XLOOKUP(A848,Productos!$A$2:$A$61,Productos!$B$2:$F$61)</f>
        <v>#N/A</v>
      </c>
    </row>
    <row r="849">
      <c r="A849" s="2" t="str">
        <f>IFERROR(__xludf.DUMMYFUNCTION("""COMPUTED_VALUE"""),"PR046")</f>
        <v>PR046</v>
      </c>
      <c r="B849" s="2" t="str">
        <f>IFERROR(__xludf.DUMMYFUNCTION("""COMPUTED_VALUE"""),"VD012")</f>
        <v>VD012</v>
      </c>
      <c r="C849" s="2">
        <f>IFERROR(__xludf.DUMMYFUNCTION("""COMPUTED_VALUE"""),12.0)</f>
        <v>12</v>
      </c>
      <c r="D849" s="6">
        <f>IFERROR(__xludf.DUMMYFUNCTION("""COMPUTED_VALUE"""),3617.95)</f>
        <v>3617.95</v>
      </c>
      <c r="E849" s="6">
        <f>IFERROR(__xludf.DUMMYFUNCTION("GOOGLEFINANCE(""Currency:BRLMXN"")*D849"),12290.17615)</f>
        <v>12290.17615</v>
      </c>
      <c r="F849" s="6">
        <f>IFERROR(__xludf.DUMMYFUNCTION("GOOGLEFINANCE(""Currency:BRLPEN"")*D849"),2371.92802)</f>
        <v>2371.92802</v>
      </c>
      <c r="G849" s="2" t="str">
        <f t="array" ref="G849">_xlfn.XLOOKUP(B849,Vendedores!$A$2:$A$41,Vendedores!$B$2:$B$41,"No hay datos")</f>
        <v>No hay datos</v>
      </c>
      <c r="H849" s="2" t="str">
        <f t="array" ref="H849">_xlfn.XLOOKUP(B849,Vendedores!$A$2:$A$41,Vendedores!$C$2:$C$41,"No hay datos")</f>
        <v>No hay datos</v>
      </c>
      <c r="I849" s="2" t="str">
        <f t="array" ref="I849">_xlfn.XLOOKUP(B849,Vendedores!$A$2:$A$41,Vendedores!$D$2:$D$41,"No hay datos")</f>
        <v>No hay datos</v>
      </c>
      <c r="J849" s="2" t="str">
        <f t="array" ref="J849">_xlfn.XLOOKUP(A849,Productos!$A$2:$A$61,Productos!$B$2:$F$61)</f>
        <v>#N/A</v>
      </c>
    </row>
    <row r="850">
      <c r="A850" s="2" t="str">
        <f>IFERROR(__xludf.DUMMYFUNCTION("""COMPUTED_VALUE"""),"PR008")</f>
        <v>PR008</v>
      </c>
      <c r="B850" s="2" t="str">
        <f>IFERROR(__xludf.DUMMYFUNCTION("""COMPUTED_VALUE"""),"VD023")</f>
        <v>VD023</v>
      </c>
      <c r="C850" s="2">
        <f>IFERROR(__xludf.DUMMYFUNCTION("""COMPUTED_VALUE"""),4.0)</f>
        <v>4</v>
      </c>
      <c r="D850" s="6">
        <f>IFERROR(__xludf.DUMMYFUNCTION("""COMPUTED_VALUE"""),391.96)</f>
        <v>391.96</v>
      </c>
      <c r="E850" s="6">
        <f>IFERROR(__xludf.DUMMYFUNCTION("GOOGLEFINANCE(""Currency:BRLMXN"")*D850"),1331.4881199999998)</f>
        <v>1331.48812</v>
      </c>
      <c r="F850" s="6">
        <f>IFERROR(__xludf.DUMMYFUNCTION("GOOGLEFINANCE(""Currency:BRLPEN"")*D850"),256.968976)</f>
        <v>256.968976</v>
      </c>
      <c r="G850" s="2" t="str">
        <f t="array" ref="G850">_xlfn.XLOOKUP(B850,Vendedores!$A$2:$A$41,Vendedores!$B$2:$B$41,"No hay datos")</f>
        <v>No hay datos</v>
      </c>
      <c r="H850" s="2" t="str">
        <f t="array" ref="H850">_xlfn.XLOOKUP(B850,Vendedores!$A$2:$A$41,Vendedores!$C$2:$C$41,"No hay datos")</f>
        <v>No hay datos</v>
      </c>
      <c r="I850" s="2" t="str">
        <f t="array" ref="I850">_xlfn.XLOOKUP(B850,Vendedores!$A$2:$A$41,Vendedores!$D$2:$D$41,"No hay datos")</f>
        <v>No hay datos</v>
      </c>
      <c r="J850" s="2" t="str">
        <f t="array" ref="J850">_xlfn.XLOOKUP(A850,Productos!$A$2:$A$61,Productos!$B$2:$F$61)</f>
        <v>#N/A</v>
      </c>
    </row>
    <row r="851">
      <c r="A851" s="2" t="str">
        <f>IFERROR(__xludf.DUMMYFUNCTION("""COMPUTED_VALUE"""),"PR022")</f>
        <v>PR022</v>
      </c>
      <c r="B851" s="2" t="str">
        <f>IFERROR(__xludf.DUMMYFUNCTION("""COMPUTED_VALUE"""),"VD018")</f>
        <v>VD018</v>
      </c>
      <c r="C851" s="2">
        <f>IFERROR(__xludf.DUMMYFUNCTION("""COMPUTED_VALUE"""),18.0)</f>
        <v>18</v>
      </c>
      <c r="D851" s="6">
        <f>IFERROR(__xludf.DUMMYFUNCTION("""COMPUTED_VALUE"""),5778.0)</f>
        <v>5778</v>
      </c>
      <c r="E851" s="6">
        <f>IFERROR(__xludf.DUMMYFUNCTION("GOOGLEFINANCE(""Currency:BRLMXN"")*D851"),19627.865999999998)</f>
        <v>19627.866</v>
      </c>
      <c r="F851" s="6">
        <f>IFERROR(__xludf.DUMMYFUNCTION("GOOGLEFINANCE(""Currency:BRLPEN"")*D851"),3788.0568)</f>
        <v>3788.0568</v>
      </c>
      <c r="G851" s="2" t="str">
        <f t="array" ref="G851">_xlfn.XLOOKUP(B851,Vendedores!$A$2:$A$41,Vendedores!$B$2:$B$41,"No hay datos")</f>
        <v>No hay datos</v>
      </c>
      <c r="H851" s="2" t="str">
        <f t="array" ref="H851">_xlfn.XLOOKUP(B851,Vendedores!$A$2:$A$41,Vendedores!$C$2:$C$41,"No hay datos")</f>
        <v>No hay datos</v>
      </c>
      <c r="I851" s="2" t="str">
        <f t="array" ref="I851">_xlfn.XLOOKUP(B851,Vendedores!$A$2:$A$41,Vendedores!$D$2:$D$41,"No hay datos")</f>
        <v>No hay datos</v>
      </c>
      <c r="J851" s="2" t="str">
        <f t="array" ref="J851">_xlfn.XLOOKUP(A851,Productos!$A$2:$A$61,Productos!$B$2:$F$61)</f>
        <v>#N/A</v>
      </c>
    </row>
    <row r="852">
      <c r="A852" s="2" t="str">
        <f>IFERROR(__xludf.DUMMYFUNCTION("""COMPUTED_VALUE"""),"PR038")</f>
        <v>PR038</v>
      </c>
      <c r="B852" s="2" t="str">
        <f>IFERROR(__xludf.DUMMYFUNCTION("""COMPUTED_VALUE"""),"VD020")</f>
        <v>VD020</v>
      </c>
      <c r="C852" s="2">
        <f>IFERROR(__xludf.DUMMYFUNCTION("""COMPUTED_VALUE"""),18.0)</f>
        <v>18</v>
      </c>
      <c r="D852" s="6">
        <f>IFERROR(__xludf.DUMMYFUNCTION("""COMPUTED_VALUE"""),2726.53)</f>
        <v>2726.53</v>
      </c>
      <c r="E852" s="6">
        <f>IFERROR(__xludf.DUMMYFUNCTION("GOOGLEFINANCE(""Currency:BRLMXN"")*D852"),9262.02241)</f>
        <v>9262.02241</v>
      </c>
      <c r="F852" s="6">
        <f>IFERROR(__xludf.DUMMYFUNCTION("GOOGLEFINANCE(""Currency:BRLPEN"")*D852"),1787.513068)</f>
        <v>1787.513068</v>
      </c>
      <c r="G852" s="2" t="str">
        <f t="array" ref="G852">_xlfn.XLOOKUP(B852,Vendedores!$A$2:$A$41,Vendedores!$B$2:$B$41,"No hay datos")</f>
        <v>No hay datos</v>
      </c>
      <c r="H852" s="2" t="str">
        <f t="array" ref="H852">_xlfn.XLOOKUP(B852,Vendedores!$A$2:$A$41,Vendedores!$C$2:$C$41,"No hay datos")</f>
        <v>No hay datos</v>
      </c>
      <c r="I852" s="2" t="str">
        <f t="array" ref="I852">_xlfn.XLOOKUP(B852,Vendedores!$A$2:$A$41,Vendedores!$D$2:$D$41,"No hay datos")</f>
        <v>No hay datos</v>
      </c>
      <c r="J852" s="2" t="str">
        <f t="array" ref="J852">_xlfn.XLOOKUP(A852,Productos!$A$2:$A$61,Productos!$B$2:$F$61)</f>
        <v>#N/A</v>
      </c>
    </row>
    <row r="853">
      <c r="A853" s="2" t="str">
        <f>IFERROR(__xludf.DUMMYFUNCTION("""COMPUTED_VALUE"""),"PR045")</f>
        <v>PR045</v>
      </c>
      <c r="B853" s="2" t="str">
        <f>IFERROR(__xludf.DUMMYFUNCTION("""COMPUTED_VALUE"""),"VD039")</f>
        <v>VD039</v>
      </c>
      <c r="C853" s="2">
        <f>IFERROR(__xludf.DUMMYFUNCTION("""COMPUTED_VALUE"""),6.0)</f>
        <v>6</v>
      </c>
      <c r="D853" s="6">
        <f>IFERROR(__xludf.DUMMYFUNCTION("""COMPUTED_VALUE"""),465.45)</f>
        <v>465.45</v>
      </c>
      <c r="E853" s="6">
        <f>IFERROR(__xludf.DUMMYFUNCTION("GOOGLEFINANCE(""Currency:BRLMXN"")*D853"),1581.1336499999998)</f>
        <v>1581.13365</v>
      </c>
      <c r="F853" s="6">
        <f>IFERROR(__xludf.DUMMYFUNCTION("GOOGLEFINANCE(""Currency:BRLPEN"")*D853"),305.14901999999995)</f>
        <v>305.14902</v>
      </c>
      <c r="G853" s="2" t="str">
        <f t="array" ref="G853">_xlfn.XLOOKUP(B853,Vendedores!$A$2:$A$41,Vendedores!$B$2:$B$41,"No hay datos")</f>
        <v>No hay datos</v>
      </c>
      <c r="H853" s="2" t="str">
        <f t="array" ref="H853">_xlfn.XLOOKUP(B853,Vendedores!$A$2:$A$41,Vendedores!$C$2:$C$41,"No hay datos")</f>
        <v>No hay datos</v>
      </c>
      <c r="I853" s="2" t="str">
        <f t="array" ref="I853">_xlfn.XLOOKUP(B853,Vendedores!$A$2:$A$41,Vendedores!$D$2:$D$41,"No hay datos")</f>
        <v>No hay datos</v>
      </c>
      <c r="J853" s="2" t="str">
        <f t="array" ref="J853">_xlfn.XLOOKUP(A853,Productos!$A$2:$A$61,Productos!$B$2:$F$61)</f>
        <v>#N/A</v>
      </c>
    </row>
    <row r="854">
      <c r="A854" s="2" t="str">
        <f>IFERROR(__xludf.DUMMYFUNCTION("""COMPUTED_VALUE"""),"PR005")</f>
        <v>PR005</v>
      </c>
      <c r="B854" s="2" t="str">
        <f>IFERROR(__xludf.DUMMYFUNCTION("""COMPUTED_VALUE"""),"VD048")</f>
        <v>VD048</v>
      </c>
      <c r="C854" s="2">
        <f>IFERROR(__xludf.DUMMYFUNCTION("""COMPUTED_VALUE"""),9.0)</f>
        <v>9</v>
      </c>
      <c r="D854" s="6">
        <f>IFERROR(__xludf.DUMMYFUNCTION("""COMPUTED_VALUE"""),2456.06)</f>
        <v>2456.06</v>
      </c>
      <c r="E854" s="6">
        <f>IFERROR(__xludf.DUMMYFUNCTION("GOOGLEFINANCE(""Currency:BRLMXN"")*D854"),8343.23582)</f>
        <v>8343.23582</v>
      </c>
      <c r="F854" s="6">
        <f>IFERROR(__xludf.DUMMYFUNCTION("GOOGLEFINANCE(""Currency:BRLPEN"")*D854"),1610.192936)</f>
        <v>1610.192936</v>
      </c>
      <c r="G854" s="2" t="str">
        <f t="array" ref="G854">_xlfn.XLOOKUP(B854,Vendedores!$A$2:$A$41,Vendedores!$B$2:$B$41,"No hay datos")</f>
        <v>No hay datos</v>
      </c>
      <c r="H854" s="2" t="str">
        <f t="array" ref="H854">_xlfn.XLOOKUP(B854,Vendedores!$A$2:$A$41,Vendedores!$C$2:$C$41,"No hay datos")</f>
        <v>No hay datos</v>
      </c>
      <c r="I854" s="2" t="str">
        <f t="array" ref="I854">_xlfn.XLOOKUP(B854,Vendedores!$A$2:$A$41,Vendedores!$D$2:$D$41,"No hay datos")</f>
        <v>No hay datos</v>
      </c>
      <c r="J854" s="2" t="str">
        <f t="array" ref="J854">_xlfn.XLOOKUP(A854,Productos!$A$2:$A$61,Productos!$B$2:$F$61)</f>
        <v>#N/A</v>
      </c>
    </row>
    <row r="855">
      <c r="A855" s="2" t="str">
        <f>IFERROR(__xludf.DUMMYFUNCTION("""COMPUTED_VALUE"""),"PR009")</f>
        <v>PR009</v>
      </c>
      <c r="B855" s="2" t="str">
        <f>IFERROR(__xludf.DUMMYFUNCTION("""COMPUTED_VALUE"""),"VD048")</f>
        <v>VD048</v>
      </c>
      <c r="C855" s="2">
        <f>IFERROR(__xludf.DUMMYFUNCTION("""COMPUTED_VALUE"""),5.0)</f>
        <v>5</v>
      </c>
      <c r="D855" s="6">
        <f>IFERROR(__xludf.DUMMYFUNCTION("""COMPUTED_VALUE"""),469.15)</f>
        <v>469.15</v>
      </c>
      <c r="E855" s="6">
        <f>IFERROR(__xludf.DUMMYFUNCTION("GOOGLEFINANCE(""Currency:BRLMXN"")*D855"),1593.7025499999997)</f>
        <v>1593.70255</v>
      </c>
      <c r="F855" s="6">
        <f>IFERROR(__xludf.DUMMYFUNCTION("GOOGLEFINANCE(""Currency:BRLPEN"")*D855"),307.57473999999996)</f>
        <v>307.57474</v>
      </c>
      <c r="G855" s="2" t="str">
        <f t="array" ref="G855">_xlfn.XLOOKUP(B855,Vendedores!$A$2:$A$41,Vendedores!$B$2:$B$41,"No hay datos")</f>
        <v>No hay datos</v>
      </c>
      <c r="H855" s="2" t="str">
        <f t="array" ref="H855">_xlfn.XLOOKUP(B855,Vendedores!$A$2:$A$41,Vendedores!$C$2:$C$41,"No hay datos")</f>
        <v>No hay datos</v>
      </c>
      <c r="I855" s="2" t="str">
        <f t="array" ref="I855">_xlfn.XLOOKUP(B855,Vendedores!$A$2:$A$41,Vendedores!$D$2:$D$41,"No hay datos")</f>
        <v>No hay datos</v>
      </c>
      <c r="J855" s="2" t="str">
        <f t="array" ref="J855">_xlfn.XLOOKUP(A855,Productos!$A$2:$A$61,Productos!$B$2:$F$61)</f>
        <v>#N/A</v>
      </c>
    </row>
    <row r="856">
      <c r="A856" s="2" t="str">
        <f>IFERROR(__xludf.DUMMYFUNCTION("""COMPUTED_VALUE"""),"PR025")</f>
        <v>PR025</v>
      </c>
      <c r="B856" s="2" t="str">
        <f>IFERROR(__xludf.DUMMYFUNCTION("""COMPUTED_VALUE"""),"VD016")</f>
        <v>VD016</v>
      </c>
      <c r="C856" s="2">
        <f>IFERROR(__xludf.DUMMYFUNCTION("""COMPUTED_VALUE"""),1.0)</f>
        <v>1</v>
      </c>
      <c r="D856" s="6">
        <f>IFERROR(__xludf.DUMMYFUNCTION("""COMPUTED_VALUE"""),311.9)</f>
        <v>311.9</v>
      </c>
      <c r="E856" s="6">
        <f>IFERROR(__xludf.DUMMYFUNCTION("GOOGLEFINANCE(""Currency:BRLMXN"")*D856"),1059.5242999999998)</f>
        <v>1059.5243</v>
      </c>
      <c r="F856" s="6">
        <f>IFERROR(__xludf.DUMMYFUNCTION("GOOGLEFINANCE(""Currency:BRLPEN"")*D856"),204.48163999999997)</f>
        <v>204.48164</v>
      </c>
      <c r="G856" s="2" t="str">
        <f t="array" ref="G856">_xlfn.XLOOKUP(B856,Vendedores!$A$2:$A$41,Vendedores!$B$2:$B$41,"No hay datos")</f>
        <v>No hay datos</v>
      </c>
      <c r="H856" s="2" t="str">
        <f t="array" ref="H856">_xlfn.XLOOKUP(B856,Vendedores!$A$2:$A$41,Vendedores!$C$2:$C$41,"No hay datos")</f>
        <v>No hay datos</v>
      </c>
      <c r="I856" s="2" t="str">
        <f t="array" ref="I856">_xlfn.XLOOKUP(B856,Vendedores!$A$2:$A$41,Vendedores!$D$2:$D$41,"No hay datos")</f>
        <v>No hay datos</v>
      </c>
      <c r="J856" s="2" t="str">
        <f t="array" ref="J856">_xlfn.XLOOKUP(A856,Productos!$A$2:$A$61,Productos!$B$2:$F$61)</f>
        <v>#N/A</v>
      </c>
    </row>
    <row r="857">
      <c r="A857" s="2" t="str">
        <f>IFERROR(__xludf.DUMMYFUNCTION("""COMPUTED_VALUE"""),"PR037")</f>
        <v>PR037</v>
      </c>
      <c r="B857" s="2" t="str">
        <f>IFERROR(__xludf.DUMMYFUNCTION("""COMPUTED_VALUE"""),"VD045")</f>
        <v>VD045</v>
      </c>
      <c r="C857" s="2">
        <f>IFERROR(__xludf.DUMMYFUNCTION("""COMPUTED_VALUE"""),7.0)</f>
        <v>7</v>
      </c>
      <c r="D857" s="6">
        <f>IFERROR(__xludf.DUMMYFUNCTION("""COMPUTED_VALUE"""),1078.0)</f>
        <v>1078</v>
      </c>
      <c r="E857" s="6">
        <f>IFERROR(__xludf.DUMMYFUNCTION("GOOGLEFINANCE(""Currency:BRLMXN"")*D857"),3661.966)</f>
        <v>3661.966</v>
      </c>
      <c r="F857" s="6">
        <f>IFERROR(__xludf.DUMMYFUNCTION("GOOGLEFINANCE(""Currency:BRLPEN"")*D857"),706.7367999999999)</f>
        <v>706.7368</v>
      </c>
      <c r="G857" s="2" t="str">
        <f t="array" ref="G857">_xlfn.XLOOKUP(B857,Vendedores!$A$2:$A$41,Vendedores!$B$2:$B$41,"No hay datos")</f>
        <v>No hay datos</v>
      </c>
      <c r="H857" s="2" t="str">
        <f t="array" ref="H857">_xlfn.XLOOKUP(B857,Vendedores!$A$2:$A$41,Vendedores!$C$2:$C$41,"No hay datos")</f>
        <v>No hay datos</v>
      </c>
      <c r="I857" s="2" t="str">
        <f t="array" ref="I857">_xlfn.XLOOKUP(B857,Vendedores!$A$2:$A$41,Vendedores!$D$2:$D$41,"No hay datos")</f>
        <v>No hay datos</v>
      </c>
      <c r="J857" s="2" t="str">
        <f t="array" ref="J857">_xlfn.XLOOKUP(A857,Productos!$A$2:$A$61,Productos!$B$2:$F$61)</f>
        <v>#N/A</v>
      </c>
    </row>
    <row r="858">
      <c r="A858" s="2" t="str">
        <f>IFERROR(__xludf.DUMMYFUNCTION("""COMPUTED_VALUE"""),"PR035")</f>
        <v>PR035</v>
      </c>
      <c r="B858" s="2" t="str">
        <f>IFERROR(__xludf.DUMMYFUNCTION("""COMPUTED_VALUE"""),"VD040")</f>
        <v>VD040</v>
      </c>
      <c r="C858" s="2">
        <f>IFERROR(__xludf.DUMMYFUNCTION("""COMPUTED_VALUE"""),6.0)</f>
        <v>6</v>
      </c>
      <c r="D858" s="6">
        <f>IFERROR(__xludf.DUMMYFUNCTION("""COMPUTED_VALUE"""),559.37)</f>
        <v>559.37</v>
      </c>
      <c r="E858" s="6">
        <f>IFERROR(__xludf.DUMMYFUNCTION("GOOGLEFINANCE(""Currency:BRLMXN"")*D858"),1900.17989)</f>
        <v>1900.17989</v>
      </c>
      <c r="F858" s="6">
        <f>IFERROR(__xludf.DUMMYFUNCTION("GOOGLEFINANCE(""Currency:BRLPEN"")*D858"),366.72297199999997)</f>
        <v>366.722972</v>
      </c>
      <c r="G858" s="2" t="str">
        <f t="array" ref="G858">_xlfn.XLOOKUP(B858,Vendedores!$A$2:$A$41,Vendedores!$B$2:$B$41,"No hay datos")</f>
        <v>No hay datos</v>
      </c>
      <c r="H858" s="2" t="str">
        <f t="array" ref="H858">_xlfn.XLOOKUP(B858,Vendedores!$A$2:$A$41,Vendedores!$C$2:$C$41,"No hay datos")</f>
        <v>No hay datos</v>
      </c>
      <c r="I858" s="2" t="str">
        <f t="array" ref="I858">_xlfn.XLOOKUP(B858,Vendedores!$A$2:$A$41,Vendedores!$D$2:$D$41,"No hay datos")</f>
        <v>No hay datos</v>
      </c>
      <c r="J858" s="2" t="str">
        <f t="array" ref="J858">_xlfn.XLOOKUP(A858,Productos!$A$2:$A$61,Productos!$B$2:$F$61)</f>
        <v>#N/A</v>
      </c>
    </row>
    <row r="859">
      <c r="A859" s="2" t="str">
        <f>IFERROR(__xludf.DUMMYFUNCTION("""COMPUTED_VALUE"""),"PR047")</f>
        <v>PR047</v>
      </c>
      <c r="B859" s="2" t="str">
        <f>IFERROR(__xludf.DUMMYFUNCTION("""COMPUTED_VALUE"""),"VD035")</f>
        <v>VD035</v>
      </c>
      <c r="C859" s="2">
        <f>IFERROR(__xludf.DUMMYFUNCTION("""COMPUTED_VALUE"""),6.0)</f>
        <v>6</v>
      </c>
      <c r="D859" s="6">
        <f>IFERROR(__xludf.DUMMYFUNCTION("""COMPUTED_VALUE"""),1913.34)</f>
        <v>1913.34</v>
      </c>
      <c r="E859" s="6">
        <f>IFERROR(__xludf.DUMMYFUNCTION("GOOGLEFINANCE(""Currency:BRLMXN"")*D859"),6499.61598)</f>
        <v>6499.61598</v>
      </c>
      <c r="F859" s="6">
        <f>IFERROR(__xludf.DUMMYFUNCTION("GOOGLEFINANCE(""Currency:BRLPEN"")*D859"),1254.3857039999998)</f>
        <v>1254.385704</v>
      </c>
      <c r="G859" s="2" t="str">
        <f t="array" ref="G859">_xlfn.XLOOKUP(B859,Vendedores!$A$2:$A$41,Vendedores!$B$2:$B$41,"No hay datos")</f>
        <v>No hay datos</v>
      </c>
      <c r="H859" s="2" t="str">
        <f t="array" ref="H859">_xlfn.XLOOKUP(B859,Vendedores!$A$2:$A$41,Vendedores!$C$2:$C$41,"No hay datos")</f>
        <v>No hay datos</v>
      </c>
      <c r="I859" s="2" t="str">
        <f t="array" ref="I859">_xlfn.XLOOKUP(B859,Vendedores!$A$2:$A$41,Vendedores!$D$2:$D$41,"No hay datos")</f>
        <v>No hay datos</v>
      </c>
      <c r="J859" s="2" t="str">
        <f t="array" ref="J859">_xlfn.XLOOKUP(A859,Productos!$A$2:$A$61,Productos!$B$2:$F$61)</f>
        <v>#N/A</v>
      </c>
    </row>
    <row r="860">
      <c r="A860" s="2" t="str">
        <f>IFERROR(__xludf.DUMMYFUNCTION("""COMPUTED_VALUE"""),"PR021")</f>
        <v>PR021</v>
      </c>
      <c r="B860" s="2" t="str">
        <f>IFERROR(__xludf.DUMMYFUNCTION("""COMPUTED_VALUE"""),"VD046")</f>
        <v>VD046</v>
      </c>
      <c r="C860" s="2">
        <f>IFERROR(__xludf.DUMMYFUNCTION("""COMPUTED_VALUE"""),1.0)</f>
        <v>1</v>
      </c>
      <c r="D860" s="6">
        <f>IFERROR(__xludf.DUMMYFUNCTION("""COMPUTED_VALUE"""),318.05)</f>
        <v>318.05</v>
      </c>
      <c r="E860" s="6">
        <f>IFERROR(__xludf.DUMMYFUNCTION("GOOGLEFINANCE(""Currency:BRLMXN"")*D860"),1080.4158499999999)</f>
        <v>1080.41585</v>
      </c>
      <c r="F860" s="6">
        <f>IFERROR(__xludf.DUMMYFUNCTION("GOOGLEFINANCE(""Currency:BRLPEN"")*D860"),208.51358)</f>
        <v>208.51358</v>
      </c>
      <c r="G860" s="2" t="str">
        <f t="array" ref="G860">_xlfn.XLOOKUP(B860,Vendedores!$A$2:$A$41,Vendedores!$B$2:$B$41,"No hay datos")</f>
        <v>No hay datos</v>
      </c>
      <c r="H860" s="2" t="str">
        <f t="array" ref="H860">_xlfn.XLOOKUP(B860,Vendedores!$A$2:$A$41,Vendedores!$C$2:$C$41,"No hay datos")</f>
        <v>No hay datos</v>
      </c>
      <c r="I860" s="2" t="str">
        <f t="array" ref="I860">_xlfn.XLOOKUP(B860,Vendedores!$A$2:$A$41,Vendedores!$D$2:$D$41,"No hay datos")</f>
        <v>No hay datos</v>
      </c>
      <c r="J860" s="2" t="str">
        <f t="array" ref="J860">_xlfn.XLOOKUP(A860,Productos!$A$2:$A$61,Productos!$B$2:$F$61)</f>
        <v>#N/A</v>
      </c>
    </row>
    <row r="861">
      <c r="A861" s="2" t="str">
        <f>IFERROR(__xludf.DUMMYFUNCTION("""COMPUTED_VALUE"""),"PR019")</f>
        <v>PR019</v>
      </c>
      <c r="B861" s="2" t="str">
        <f>IFERROR(__xludf.DUMMYFUNCTION("""COMPUTED_VALUE"""),"VD019")</f>
        <v>VD019</v>
      </c>
      <c r="C861" s="2">
        <f>IFERROR(__xludf.DUMMYFUNCTION("""COMPUTED_VALUE"""),12.0)</f>
        <v>12</v>
      </c>
      <c r="D861" s="6">
        <f>IFERROR(__xludf.DUMMYFUNCTION("""COMPUTED_VALUE"""),652.69)</f>
        <v>652.69</v>
      </c>
      <c r="E861" s="6">
        <f>IFERROR(__xludf.DUMMYFUNCTION("GOOGLEFINANCE(""Currency:BRLMXN"")*D861"),2217.18793)</f>
        <v>2217.18793</v>
      </c>
      <c r="F861" s="6">
        <f>IFERROR(__xludf.DUMMYFUNCTION("GOOGLEFINANCE(""Currency:BRLPEN"")*D861"),427.903564)</f>
        <v>427.903564</v>
      </c>
      <c r="G861" s="2" t="str">
        <f t="array" ref="G861">_xlfn.XLOOKUP(B861,Vendedores!$A$2:$A$41,Vendedores!$B$2:$B$41,"No hay datos")</f>
        <v>No hay datos</v>
      </c>
      <c r="H861" s="2" t="str">
        <f t="array" ref="H861">_xlfn.XLOOKUP(B861,Vendedores!$A$2:$A$41,Vendedores!$C$2:$C$41,"No hay datos")</f>
        <v>No hay datos</v>
      </c>
      <c r="I861" s="2" t="str">
        <f t="array" ref="I861">_xlfn.XLOOKUP(B861,Vendedores!$A$2:$A$41,Vendedores!$D$2:$D$41,"No hay datos")</f>
        <v>No hay datos</v>
      </c>
      <c r="J861" s="2" t="str">
        <f t="array" ref="J861">_xlfn.XLOOKUP(A861,Productos!$A$2:$A$61,Productos!$B$2:$F$61)</f>
        <v>#N/A</v>
      </c>
    </row>
    <row r="862">
      <c r="A862" s="2" t="str">
        <f>IFERROR(__xludf.DUMMYFUNCTION("""COMPUTED_VALUE"""),"PR053")</f>
        <v>PR053</v>
      </c>
      <c r="B862" s="2" t="str">
        <f>IFERROR(__xludf.DUMMYFUNCTION("""COMPUTED_VALUE"""),"VD041")</f>
        <v>VD041</v>
      </c>
      <c r="C862" s="2">
        <f>IFERROR(__xludf.DUMMYFUNCTION("""COMPUTED_VALUE"""),8.0)</f>
        <v>8</v>
      </c>
      <c r="D862" s="6">
        <f>IFERROR(__xludf.DUMMYFUNCTION("""COMPUTED_VALUE"""),411.18)</f>
        <v>411.18</v>
      </c>
      <c r="E862" s="6">
        <f>IFERROR(__xludf.DUMMYFUNCTION("GOOGLEFINANCE(""Currency:BRLMXN"")*D862"),1396.77846)</f>
        <v>1396.77846</v>
      </c>
      <c r="F862" s="6">
        <f>IFERROR(__xludf.DUMMYFUNCTION("GOOGLEFINANCE(""Currency:BRLPEN"")*D862"),269.569608)</f>
        <v>269.569608</v>
      </c>
      <c r="G862" s="2" t="str">
        <f t="array" ref="G862">_xlfn.XLOOKUP(B862,Vendedores!$A$2:$A$41,Vendedores!$B$2:$B$41,"No hay datos")</f>
        <v>No hay datos</v>
      </c>
      <c r="H862" s="2" t="str">
        <f t="array" ref="H862">_xlfn.XLOOKUP(B862,Vendedores!$A$2:$A$41,Vendedores!$C$2:$C$41,"No hay datos")</f>
        <v>No hay datos</v>
      </c>
      <c r="I862" s="2" t="str">
        <f t="array" ref="I862">_xlfn.XLOOKUP(B862,Vendedores!$A$2:$A$41,Vendedores!$D$2:$D$41,"No hay datos")</f>
        <v>No hay datos</v>
      </c>
      <c r="J862" s="2" t="str">
        <f t="array" ref="J862">_xlfn.XLOOKUP(A862,Productos!$A$2:$A$61,Productos!$B$2:$F$61)</f>
        <v>#N/A</v>
      </c>
    </row>
    <row r="863">
      <c r="A863" s="2" t="str">
        <f>IFERROR(__xludf.DUMMYFUNCTION("""COMPUTED_VALUE"""),"PR051")</f>
        <v>PR051</v>
      </c>
      <c r="B863" s="2" t="str">
        <f>IFERROR(__xludf.DUMMYFUNCTION("""COMPUTED_VALUE"""),"VD023")</f>
        <v>VD023</v>
      </c>
      <c r="C863" s="2">
        <f>IFERROR(__xludf.DUMMYFUNCTION("""COMPUTED_VALUE"""),7.0)</f>
        <v>7</v>
      </c>
      <c r="D863" s="6">
        <f>IFERROR(__xludf.DUMMYFUNCTION("""COMPUTED_VALUE"""),244.12)</f>
        <v>244.12</v>
      </c>
      <c r="E863" s="6">
        <f>IFERROR(__xludf.DUMMYFUNCTION("GOOGLEFINANCE(""Currency:BRLMXN"")*D863"),829.27564)</f>
        <v>829.27564</v>
      </c>
      <c r="F863" s="6">
        <f>IFERROR(__xludf.DUMMYFUNCTION("GOOGLEFINANCE(""Currency:BRLPEN"")*D863"),160.045072)</f>
        <v>160.045072</v>
      </c>
      <c r="G863" s="2" t="str">
        <f t="array" ref="G863">_xlfn.XLOOKUP(B863,Vendedores!$A$2:$A$41,Vendedores!$B$2:$B$41,"No hay datos")</f>
        <v>No hay datos</v>
      </c>
      <c r="H863" s="2" t="str">
        <f t="array" ref="H863">_xlfn.XLOOKUP(B863,Vendedores!$A$2:$A$41,Vendedores!$C$2:$C$41,"No hay datos")</f>
        <v>No hay datos</v>
      </c>
      <c r="I863" s="2" t="str">
        <f t="array" ref="I863">_xlfn.XLOOKUP(B863,Vendedores!$A$2:$A$41,Vendedores!$D$2:$D$41,"No hay datos")</f>
        <v>No hay datos</v>
      </c>
      <c r="J863" s="2" t="str">
        <f t="array" ref="J863">_xlfn.XLOOKUP(A863,Productos!$A$2:$A$61,Productos!$B$2:$F$61)</f>
        <v>#N/A</v>
      </c>
    </row>
    <row r="864">
      <c r="A864" s="2" t="str">
        <f>IFERROR(__xludf.DUMMYFUNCTION("""COMPUTED_VALUE"""),"PR047")</f>
        <v>PR047</v>
      </c>
      <c r="B864" s="2" t="str">
        <f>IFERROR(__xludf.DUMMYFUNCTION("""COMPUTED_VALUE"""),"VD021")</f>
        <v>VD021</v>
      </c>
      <c r="C864" s="2">
        <f>IFERROR(__xludf.DUMMYFUNCTION("""COMPUTED_VALUE"""),2.0)</f>
        <v>2</v>
      </c>
      <c r="D864" s="6">
        <f>IFERROR(__xludf.DUMMYFUNCTION("""COMPUTED_VALUE"""),597.19)</f>
        <v>597.19</v>
      </c>
      <c r="E864" s="6">
        <f>IFERROR(__xludf.DUMMYFUNCTION("GOOGLEFINANCE(""Currency:BRLMXN"")*D864"),2028.65443)</f>
        <v>2028.65443</v>
      </c>
      <c r="F864" s="6">
        <f>IFERROR(__xludf.DUMMYFUNCTION("GOOGLEFINANCE(""Currency:BRLPEN"")*D864"),391.517764)</f>
        <v>391.517764</v>
      </c>
      <c r="G864" s="2" t="str">
        <f t="array" ref="G864">_xlfn.XLOOKUP(B864,Vendedores!$A$2:$A$41,Vendedores!$B$2:$B$41,"No hay datos")</f>
        <v>No hay datos</v>
      </c>
      <c r="H864" s="2" t="str">
        <f t="array" ref="H864">_xlfn.XLOOKUP(B864,Vendedores!$A$2:$A$41,Vendedores!$C$2:$C$41,"No hay datos")</f>
        <v>No hay datos</v>
      </c>
      <c r="I864" s="2" t="str">
        <f t="array" ref="I864">_xlfn.XLOOKUP(B864,Vendedores!$A$2:$A$41,Vendedores!$D$2:$D$41,"No hay datos")</f>
        <v>No hay datos</v>
      </c>
      <c r="J864" s="2" t="str">
        <f t="array" ref="J864">_xlfn.XLOOKUP(A864,Productos!$A$2:$A$61,Productos!$B$2:$F$61)</f>
        <v>#N/A</v>
      </c>
    </row>
    <row r="865">
      <c r="A865" s="2" t="str">
        <f>IFERROR(__xludf.DUMMYFUNCTION("""COMPUTED_VALUE"""),"PR048")</f>
        <v>PR048</v>
      </c>
      <c r="B865" s="2" t="str">
        <f>IFERROR(__xludf.DUMMYFUNCTION("""COMPUTED_VALUE"""),"VD045")</f>
        <v>VD045</v>
      </c>
      <c r="C865" s="2">
        <f>IFERROR(__xludf.DUMMYFUNCTION("""COMPUTED_VALUE"""),4.0)</f>
        <v>4</v>
      </c>
      <c r="D865" s="6">
        <f>IFERROR(__xludf.DUMMYFUNCTION("""COMPUTED_VALUE"""),1275.56)</f>
        <v>1275.56</v>
      </c>
      <c r="E865" s="6">
        <f>IFERROR(__xludf.DUMMYFUNCTION("GOOGLEFINANCE(""Currency:BRLMXN"")*D865"),4333.077319999999)</f>
        <v>4333.07732</v>
      </c>
      <c r="F865" s="6">
        <f>IFERROR(__xludf.DUMMYFUNCTION("GOOGLEFINANCE(""Currency:BRLPEN"")*D865"),836.257136)</f>
        <v>836.257136</v>
      </c>
      <c r="G865" s="2" t="str">
        <f t="array" ref="G865">_xlfn.XLOOKUP(B865,Vendedores!$A$2:$A$41,Vendedores!$B$2:$B$41,"No hay datos")</f>
        <v>No hay datos</v>
      </c>
      <c r="H865" s="2" t="str">
        <f t="array" ref="H865">_xlfn.XLOOKUP(B865,Vendedores!$A$2:$A$41,Vendedores!$C$2:$C$41,"No hay datos")</f>
        <v>No hay datos</v>
      </c>
      <c r="I865" s="2" t="str">
        <f t="array" ref="I865">_xlfn.XLOOKUP(B865,Vendedores!$A$2:$A$41,Vendedores!$D$2:$D$41,"No hay datos")</f>
        <v>No hay datos</v>
      </c>
      <c r="J865" s="2" t="str">
        <f t="array" ref="J865">_xlfn.XLOOKUP(A865,Productos!$A$2:$A$61,Productos!$B$2:$F$61)</f>
        <v>#N/A</v>
      </c>
    </row>
    <row r="866">
      <c r="A866" s="2" t="str">
        <f>IFERROR(__xludf.DUMMYFUNCTION("""COMPUTED_VALUE"""),"PR014")</f>
        <v>PR014</v>
      </c>
      <c r="B866" s="2" t="str">
        <f>IFERROR(__xludf.DUMMYFUNCTION("""COMPUTED_VALUE"""),"VD049")</f>
        <v>VD049</v>
      </c>
      <c r="C866" s="2">
        <f>IFERROR(__xludf.DUMMYFUNCTION("""COMPUTED_VALUE"""),6.0)</f>
        <v>6</v>
      </c>
      <c r="D866" s="6">
        <f>IFERROR(__xludf.DUMMYFUNCTION("""COMPUTED_VALUE"""),246.58)</f>
        <v>246.58</v>
      </c>
      <c r="E866" s="6">
        <f>IFERROR(__xludf.DUMMYFUNCTION("GOOGLEFINANCE(""Currency:BRLMXN"")*D866"),837.63226)</f>
        <v>837.63226</v>
      </c>
      <c r="F866" s="6">
        <f>IFERROR(__xludf.DUMMYFUNCTION("GOOGLEFINANCE(""Currency:BRLPEN"")*D866"),161.657848)</f>
        <v>161.657848</v>
      </c>
      <c r="G866" s="2" t="str">
        <f t="array" ref="G866">_xlfn.XLOOKUP(B866,Vendedores!$A$2:$A$41,Vendedores!$B$2:$B$41,"No hay datos")</f>
        <v>No hay datos</v>
      </c>
      <c r="H866" s="2" t="str">
        <f t="array" ref="H866">_xlfn.XLOOKUP(B866,Vendedores!$A$2:$A$41,Vendedores!$C$2:$C$41,"No hay datos")</f>
        <v>No hay datos</v>
      </c>
      <c r="I866" s="2" t="str">
        <f t="array" ref="I866">_xlfn.XLOOKUP(B866,Vendedores!$A$2:$A$41,Vendedores!$D$2:$D$41,"No hay datos")</f>
        <v>No hay datos</v>
      </c>
      <c r="J866" s="2" t="str">
        <f t="array" ref="J866">_xlfn.XLOOKUP(A866,Productos!$A$2:$A$61,Productos!$B$2:$F$61)</f>
        <v>#N/A</v>
      </c>
    </row>
    <row r="867">
      <c r="A867" s="2" t="str">
        <f>IFERROR(__xludf.DUMMYFUNCTION("""COMPUTED_VALUE"""),"PR050")</f>
        <v>PR050</v>
      </c>
      <c r="B867" s="2" t="str">
        <f>IFERROR(__xludf.DUMMYFUNCTION("""COMPUTED_VALUE"""),"VD019")</f>
        <v>VD019</v>
      </c>
      <c r="C867" s="2">
        <f>IFERROR(__xludf.DUMMYFUNCTION("""COMPUTED_VALUE"""),2.0)</f>
        <v>2</v>
      </c>
      <c r="D867" s="6">
        <f>IFERROR(__xludf.DUMMYFUNCTION("""COMPUTED_VALUE"""),68.43)</f>
        <v>68.43</v>
      </c>
      <c r="E867" s="6">
        <f>IFERROR(__xludf.DUMMYFUNCTION("GOOGLEFINANCE(""Currency:BRLMXN"")*D867"),232.45671000000002)</f>
        <v>232.45671</v>
      </c>
      <c r="F867" s="6">
        <f>IFERROR(__xludf.DUMMYFUNCTION("GOOGLEFINANCE(""Currency:BRLPEN"")*D867"),44.862708000000005)</f>
        <v>44.862708</v>
      </c>
      <c r="G867" s="2" t="str">
        <f t="array" ref="G867">_xlfn.XLOOKUP(B867,Vendedores!$A$2:$A$41,Vendedores!$B$2:$B$41,"No hay datos")</f>
        <v>No hay datos</v>
      </c>
      <c r="H867" s="2" t="str">
        <f t="array" ref="H867">_xlfn.XLOOKUP(B867,Vendedores!$A$2:$A$41,Vendedores!$C$2:$C$41,"No hay datos")</f>
        <v>No hay datos</v>
      </c>
      <c r="I867" s="2" t="str">
        <f t="array" ref="I867">_xlfn.XLOOKUP(B867,Vendedores!$A$2:$A$41,Vendedores!$D$2:$D$41,"No hay datos")</f>
        <v>No hay datos</v>
      </c>
      <c r="J867" s="2" t="str">
        <f t="array" ref="J867">_xlfn.XLOOKUP(A867,Productos!$A$2:$A$61,Productos!$B$2:$F$61)</f>
        <v>#N/A</v>
      </c>
    </row>
    <row r="868">
      <c r="A868" s="2" t="str">
        <f>IFERROR(__xludf.DUMMYFUNCTION("""COMPUTED_VALUE"""),"PR008")</f>
        <v>PR008</v>
      </c>
      <c r="B868" s="2" t="str">
        <f>IFERROR(__xludf.DUMMYFUNCTION("""COMPUTED_VALUE"""),"VD038")</f>
        <v>VD038</v>
      </c>
      <c r="C868" s="2">
        <f>IFERROR(__xludf.DUMMYFUNCTION("""COMPUTED_VALUE"""),8.0)</f>
        <v>8</v>
      </c>
      <c r="D868" s="6">
        <f>IFERROR(__xludf.DUMMYFUNCTION("""COMPUTED_VALUE"""),733.58)</f>
        <v>733.58</v>
      </c>
      <c r="E868" s="6">
        <f>IFERROR(__xludf.DUMMYFUNCTION("GOOGLEFINANCE(""Currency:BRLMXN"")*D868"),2491.97126)</f>
        <v>2491.97126</v>
      </c>
      <c r="F868" s="6">
        <f>IFERROR(__xludf.DUMMYFUNCTION("GOOGLEFINANCE(""Currency:BRLPEN"")*D868"),480.935048)</f>
        <v>480.935048</v>
      </c>
      <c r="G868" s="2" t="str">
        <f t="array" ref="G868">_xlfn.XLOOKUP(B868,Vendedores!$A$2:$A$41,Vendedores!$B$2:$B$41,"No hay datos")</f>
        <v>No hay datos</v>
      </c>
      <c r="H868" s="2" t="str">
        <f t="array" ref="H868">_xlfn.XLOOKUP(B868,Vendedores!$A$2:$A$41,Vendedores!$C$2:$C$41,"No hay datos")</f>
        <v>No hay datos</v>
      </c>
      <c r="I868" s="2" t="str">
        <f t="array" ref="I868">_xlfn.XLOOKUP(B868,Vendedores!$A$2:$A$41,Vendedores!$D$2:$D$41,"No hay datos")</f>
        <v>No hay datos</v>
      </c>
      <c r="J868" s="2" t="str">
        <f t="array" ref="J868">_xlfn.XLOOKUP(A868,Productos!$A$2:$A$61,Productos!$B$2:$F$61)</f>
        <v>#N/A</v>
      </c>
    </row>
    <row r="869">
      <c r="A869" s="2" t="str">
        <f>IFERROR(__xludf.DUMMYFUNCTION("""COMPUTED_VALUE"""),"PR018")</f>
        <v>PR018</v>
      </c>
      <c r="B869" s="2" t="str">
        <f>IFERROR(__xludf.DUMMYFUNCTION("""COMPUTED_VALUE"""),"VD022")</f>
        <v>VD022</v>
      </c>
      <c r="C869" s="2">
        <f>IFERROR(__xludf.DUMMYFUNCTION("""COMPUTED_VALUE"""),20.0)</f>
        <v>20</v>
      </c>
      <c r="D869" s="6">
        <f>IFERROR(__xludf.DUMMYFUNCTION("""COMPUTED_VALUE"""),677.74)</f>
        <v>677.74</v>
      </c>
      <c r="E869" s="6">
        <f>IFERROR(__xludf.DUMMYFUNCTION("GOOGLEFINANCE(""Currency:BRLMXN"")*D869"),2302.28278)</f>
        <v>2302.28278</v>
      </c>
      <c r="F869" s="6">
        <f>IFERROR(__xludf.DUMMYFUNCTION("GOOGLEFINANCE(""Currency:BRLPEN"")*D869"),444.326344)</f>
        <v>444.326344</v>
      </c>
      <c r="G869" s="2" t="str">
        <f t="array" ref="G869">_xlfn.XLOOKUP(B869,Vendedores!$A$2:$A$41,Vendedores!$B$2:$B$41,"No hay datos")</f>
        <v>No hay datos</v>
      </c>
      <c r="H869" s="2" t="str">
        <f t="array" ref="H869">_xlfn.XLOOKUP(B869,Vendedores!$A$2:$A$41,Vendedores!$C$2:$C$41,"No hay datos")</f>
        <v>No hay datos</v>
      </c>
      <c r="I869" s="2" t="str">
        <f t="array" ref="I869">_xlfn.XLOOKUP(B869,Vendedores!$A$2:$A$41,Vendedores!$D$2:$D$41,"No hay datos")</f>
        <v>No hay datos</v>
      </c>
      <c r="J869" s="2" t="str">
        <f t="array" ref="J869">_xlfn.XLOOKUP(A869,Productos!$A$2:$A$61,Productos!$B$2:$F$61)</f>
        <v>#N/A</v>
      </c>
    </row>
    <row r="870">
      <c r="A870" s="2" t="str">
        <f>IFERROR(__xludf.DUMMYFUNCTION("""COMPUTED_VALUE"""),"PR043")</f>
        <v>PR043</v>
      </c>
      <c r="B870" s="2" t="str">
        <f>IFERROR(__xludf.DUMMYFUNCTION("""COMPUTED_VALUE"""),"VD025")</f>
        <v>VD025</v>
      </c>
      <c r="C870" s="2">
        <f>IFERROR(__xludf.DUMMYFUNCTION("""COMPUTED_VALUE"""),4.0)</f>
        <v>4</v>
      </c>
      <c r="D870" s="6">
        <f>IFERROR(__xludf.DUMMYFUNCTION("""COMPUTED_VALUE"""),307.4)</f>
        <v>307.4</v>
      </c>
      <c r="E870" s="6">
        <f>IFERROR(__xludf.DUMMYFUNCTION("GOOGLEFINANCE(""Currency:BRLMXN"")*D870"),1044.2377999999999)</f>
        <v>1044.2378</v>
      </c>
      <c r="F870" s="6">
        <f>IFERROR(__xludf.DUMMYFUNCTION("GOOGLEFINANCE(""Currency:BRLPEN"")*D870"),201.53143999999998)</f>
        <v>201.53144</v>
      </c>
      <c r="G870" s="2" t="str">
        <f t="array" ref="G870">_xlfn.XLOOKUP(B870,Vendedores!$A$2:$A$41,Vendedores!$B$2:$B$41,"No hay datos")</f>
        <v>No hay datos</v>
      </c>
      <c r="H870" s="2" t="str">
        <f t="array" ref="H870">_xlfn.XLOOKUP(B870,Vendedores!$A$2:$A$41,Vendedores!$C$2:$C$41,"No hay datos")</f>
        <v>No hay datos</v>
      </c>
      <c r="I870" s="2" t="str">
        <f t="array" ref="I870">_xlfn.XLOOKUP(B870,Vendedores!$A$2:$A$41,Vendedores!$D$2:$D$41,"No hay datos")</f>
        <v>No hay datos</v>
      </c>
      <c r="J870" s="2" t="str">
        <f t="array" ref="J870">_xlfn.XLOOKUP(A870,Productos!$A$2:$A$61,Productos!$B$2:$F$61)</f>
        <v>#N/A</v>
      </c>
    </row>
    <row r="871">
      <c r="A871" s="2" t="str">
        <f>IFERROR(__xludf.DUMMYFUNCTION("""COMPUTED_VALUE"""),"PR010")</f>
        <v>PR010</v>
      </c>
      <c r="B871" s="2" t="str">
        <f>IFERROR(__xludf.DUMMYFUNCTION("""COMPUTED_VALUE"""),"VD026")</f>
        <v>VD026</v>
      </c>
      <c r="C871" s="2">
        <f>IFERROR(__xludf.DUMMYFUNCTION("""COMPUTED_VALUE"""),5.0)</f>
        <v>5</v>
      </c>
      <c r="D871" s="6">
        <f>IFERROR(__xludf.DUMMYFUNCTION("""COMPUTED_VALUE"""),244.71)</f>
        <v>244.71</v>
      </c>
      <c r="E871" s="6">
        <f>IFERROR(__xludf.DUMMYFUNCTION("GOOGLEFINANCE(""Currency:BRLMXN"")*D871"),831.27987)</f>
        <v>831.27987</v>
      </c>
      <c r="F871" s="6">
        <f>IFERROR(__xludf.DUMMYFUNCTION("GOOGLEFINANCE(""Currency:BRLPEN"")*D871"),160.431876)</f>
        <v>160.431876</v>
      </c>
      <c r="G871" s="2" t="str">
        <f t="array" ref="G871">_xlfn.XLOOKUP(B871,Vendedores!$A$2:$A$41,Vendedores!$B$2:$B$41,"No hay datos")</f>
        <v>No hay datos</v>
      </c>
      <c r="H871" s="2" t="str">
        <f t="array" ref="H871">_xlfn.XLOOKUP(B871,Vendedores!$A$2:$A$41,Vendedores!$C$2:$C$41,"No hay datos")</f>
        <v>No hay datos</v>
      </c>
      <c r="I871" s="2" t="str">
        <f t="array" ref="I871">_xlfn.XLOOKUP(B871,Vendedores!$A$2:$A$41,Vendedores!$D$2:$D$41,"No hay datos")</f>
        <v>No hay datos</v>
      </c>
      <c r="J871" s="2" t="str">
        <f t="array" ref="J871">_xlfn.XLOOKUP(A871,Productos!$A$2:$A$61,Productos!$B$2:$F$61)</f>
        <v>#N/A</v>
      </c>
    </row>
    <row r="872">
      <c r="A872" s="2" t="str">
        <f>IFERROR(__xludf.DUMMYFUNCTION("""COMPUTED_VALUE"""),"PR032")</f>
        <v>PR032</v>
      </c>
      <c r="B872" s="2" t="str">
        <f>IFERROR(__xludf.DUMMYFUNCTION("""COMPUTED_VALUE"""),"VD015")</f>
        <v>VD015</v>
      </c>
      <c r="C872" s="2">
        <f>IFERROR(__xludf.DUMMYFUNCTION("""COMPUTED_VALUE"""),20.0)</f>
        <v>20</v>
      </c>
      <c r="D872" s="6">
        <f>IFERROR(__xludf.DUMMYFUNCTION("""COMPUTED_VALUE"""),5300.0)</f>
        <v>5300</v>
      </c>
      <c r="E872" s="6">
        <f>IFERROR(__xludf.DUMMYFUNCTION("GOOGLEFINANCE(""Currency:BRLMXN"")*D872"),18004.1)</f>
        <v>18004.1</v>
      </c>
      <c r="F872" s="6">
        <f>IFERROR(__xludf.DUMMYFUNCTION("GOOGLEFINANCE(""Currency:BRLPEN"")*D872"),3474.68)</f>
        <v>3474.68</v>
      </c>
      <c r="G872" s="2" t="str">
        <f t="array" ref="G872">_xlfn.XLOOKUP(B872,Vendedores!$A$2:$A$41,Vendedores!$B$2:$B$41,"No hay datos")</f>
        <v>No hay datos</v>
      </c>
      <c r="H872" s="2" t="str">
        <f t="array" ref="H872">_xlfn.XLOOKUP(B872,Vendedores!$A$2:$A$41,Vendedores!$C$2:$C$41,"No hay datos")</f>
        <v>No hay datos</v>
      </c>
      <c r="I872" s="2" t="str">
        <f t="array" ref="I872">_xlfn.XLOOKUP(B872,Vendedores!$A$2:$A$41,Vendedores!$D$2:$D$41,"No hay datos")</f>
        <v>No hay datos</v>
      </c>
      <c r="J872" s="2" t="str">
        <f t="array" ref="J872">_xlfn.XLOOKUP(A872,Productos!$A$2:$A$61,Productos!$B$2:$F$61)</f>
        <v>#N/A</v>
      </c>
    </row>
    <row r="873">
      <c r="A873" s="2" t="str">
        <f>IFERROR(__xludf.DUMMYFUNCTION("""COMPUTED_VALUE"""),"PR003")</f>
        <v>PR003</v>
      </c>
      <c r="B873" s="2" t="str">
        <f>IFERROR(__xludf.DUMMYFUNCTION("""COMPUTED_VALUE"""),"VD049")</f>
        <v>VD049</v>
      </c>
      <c r="C873" s="2">
        <f>IFERROR(__xludf.DUMMYFUNCTION("""COMPUTED_VALUE"""),3.0)</f>
        <v>3</v>
      </c>
      <c r="D873" s="6">
        <f>IFERROR(__xludf.DUMMYFUNCTION("""COMPUTED_VALUE"""),223.34)</f>
        <v>223.34</v>
      </c>
      <c r="E873" s="6">
        <f>IFERROR(__xludf.DUMMYFUNCTION("GOOGLEFINANCE(""Currency:BRLMXN"")*D873"),758.68598)</f>
        <v>758.68598</v>
      </c>
      <c r="F873" s="6">
        <f>IFERROR(__xludf.DUMMYFUNCTION("GOOGLEFINANCE(""Currency:BRLPEN"")*D873"),146.421704)</f>
        <v>146.421704</v>
      </c>
      <c r="G873" s="2" t="str">
        <f t="array" ref="G873">_xlfn.XLOOKUP(B873,Vendedores!$A$2:$A$41,Vendedores!$B$2:$B$41,"No hay datos")</f>
        <v>No hay datos</v>
      </c>
      <c r="H873" s="2" t="str">
        <f t="array" ref="H873">_xlfn.XLOOKUP(B873,Vendedores!$A$2:$A$41,Vendedores!$C$2:$C$41,"No hay datos")</f>
        <v>No hay datos</v>
      </c>
      <c r="I873" s="2" t="str">
        <f t="array" ref="I873">_xlfn.XLOOKUP(B873,Vendedores!$A$2:$A$41,Vendedores!$D$2:$D$41,"No hay datos")</f>
        <v>No hay datos</v>
      </c>
      <c r="J873" s="2" t="str">
        <f t="array" ref="J873">_xlfn.XLOOKUP(A873,Productos!$A$2:$A$61,Productos!$B$2:$F$61)</f>
        <v>#N/A</v>
      </c>
    </row>
    <row r="874">
      <c r="A874" s="2" t="str">
        <f>IFERROR(__xludf.DUMMYFUNCTION("""COMPUTED_VALUE"""),"PR019")</f>
        <v>PR019</v>
      </c>
      <c r="B874" s="2" t="str">
        <f>IFERROR(__xludf.DUMMYFUNCTION("""COMPUTED_VALUE"""),"VD022")</f>
        <v>VD022</v>
      </c>
      <c r="C874" s="2">
        <f>IFERROR(__xludf.DUMMYFUNCTION("""COMPUTED_VALUE"""),14.0)</f>
        <v>14</v>
      </c>
      <c r="D874" s="6">
        <f>IFERROR(__xludf.DUMMYFUNCTION("""COMPUTED_VALUE"""),705.59)</f>
        <v>705.59</v>
      </c>
      <c r="E874" s="6">
        <f>IFERROR(__xludf.DUMMYFUNCTION("GOOGLEFINANCE(""Currency:BRLMXN"")*D874"),2396.8892299999998)</f>
        <v>2396.88923</v>
      </c>
      <c r="F874" s="6">
        <f>IFERROR(__xludf.DUMMYFUNCTION("GOOGLEFINANCE(""Currency:BRLPEN"")*D874"),462.584804)</f>
        <v>462.584804</v>
      </c>
      <c r="G874" s="2" t="str">
        <f t="array" ref="G874">_xlfn.XLOOKUP(B874,Vendedores!$A$2:$A$41,Vendedores!$B$2:$B$41,"No hay datos")</f>
        <v>No hay datos</v>
      </c>
      <c r="H874" s="2" t="str">
        <f t="array" ref="H874">_xlfn.XLOOKUP(B874,Vendedores!$A$2:$A$41,Vendedores!$C$2:$C$41,"No hay datos")</f>
        <v>No hay datos</v>
      </c>
      <c r="I874" s="2" t="str">
        <f t="array" ref="I874">_xlfn.XLOOKUP(B874,Vendedores!$A$2:$A$41,Vendedores!$D$2:$D$41,"No hay datos")</f>
        <v>No hay datos</v>
      </c>
      <c r="J874" s="2" t="str">
        <f t="array" ref="J874">_xlfn.XLOOKUP(A874,Productos!$A$2:$A$61,Productos!$B$2:$F$61)</f>
        <v>#N/A</v>
      </c>
    </row>
    <row r="875">
      <c r="A875" s="2" t="str">
        <f>IFERROR(__xludf.DUMMYFUNCTION("""COMPUTED_VALUE"""),"PR048")</f>
        <v>PR048</v>
      </c>
      <c r="B875" s="2" t="str">
        <f>IFERROR(__xludf.DUMMYFUNCTION("""COMPUTED_VALUE"""),"VD026")</f>
        <v>VD026</v>
      </c>
      <c r="C875" s="2">
        <f>IFERROR(__xludf.DUMMYFUNCTION("""COMPUTED_VALUE"""),8.0)</f>
        <v>8</v>
      </c>
      <c r="D875" s="6">
        <f>IFERROR(__xludf.DUMMYFUNCTION("""COMPUTED_VALUE"""),2342.39)</f>
        <v>2342.39</v>
      </c>
      <c r="E875" s="6">
        <f>IFERROR(__xludf.DUMMYFUNCTION("GOOGLEFINANCE(""Currency:BRLMXN"")*D875"),7957.098829999999)</f>
        <v>7957.09883</v>
      </c>
      <c r="F875" s="6">
        <f>IFERROR(__xludf.DUMMYFUNCTION("GOOGLEFINANCE(""Currency:BRLPEN"")*D875"),1535.670884)</f>
        <v>1535.670884</v>
      </c>
      <c r="G875" s="2" t="str">
        <f t="array" ref="G875">_xlfn.XLOOKUP(B875,Vendedores!$A$2:$A$41,Vendedores!$B$2:$B$41,"No hay datos")</f>
        <v>No hay datos</v>
      </c>
      <c r="H875" s="2" t="str">
        <f t="array" ref="H875">_xlfn.XLOOKUP(B875,Vendedores!$A$2:$A$41,Vendedores!$C$2:$C$41,"No hay datos")</f>
        <v>No hay datos</v>
      </c>
      <c r="I875" s="2" t="str">
        <f t="array" ref="I875">_xlfn.XLOOKUP(B875,Vendedores!$A$2:$A$41,Vendedores!$D$2:$D$41,"No hay datos")</f>
        <v>No hay datos</v>
      </c>
      <c r="J875" s="2" t="str">
        <f t="array" ref="J875">_xlfn.XLOOKUP(A875,Productos!$A$2:$A$61,Productos!$B$2:$F$61)</f>
        <v>#N/A</v>
      </c>
    </row>
    <row r="876">
      <c r="A876" s="2" t="str">
        <f>IFERROR(__xludf.DUMMYFUNCTION("""COMPUTED_VALUE"""),"PR032")</f>
        <v>PR032</v>
      </c>
      <c r="B876" s="2" t="str">
        <f>IFERROR(__xludf.DUMMYFUNCTION("""COMPUTED_VALUE"""),"VD013")</f>
        <v>VD013</v>
      </c>
      <c r="C876" s="2">
        <f>IFERROR(__xludf.DUMMYFUNCTION("""COMPUTED_VALUE"""),10.0)</f>
        <v>10</v>
      </c>
      <c r="D876" s="6">
        <f>IFERROR(__xludf.DUMMYFUNCTION("""COMPUTED_VALUE"""),2575.0)</f>
        <v>2575</v>
      </c>
      <c r="E876" s="6">
        <f>IFERROR(__xludf.DUMMYFUNCTION("GOOGLEFINANCE(""Currency:BRLMXN"")*D876"),8747.275)</f>
        <v>8747.275</v>
      </c>
      <c r="F876" s="6">
        <f>IFERROR(__xludf.DUMMYFUNCTION("GOOGLEFINANCE(""Currency:BRLPEN"")*D876"),1688.1699999999998)</f>
        <v>1688.17</v>
      </c>
      <c r="G876" s="2" t="str">
        <f t="array" ref="G876">_xlfn.XLOOKUP(B876,Vendedores!$A$2:$A$41,Vendedores!$B$2:$B$41,"No hay datos")</f>
        <v>No hay datos</v>
      </c>
      <c r="H876" s="2" t="str">
        <f t="array" ref="H876">_xlfn.XLOOKUP(B876,Vendedores!$A$2:$A$41,Vendedores!$C$2:$C$41,"No hay datos")</f>
        <v>No hay datos</v>
      </c>
      <c r="I876" s="2" t="str">
        <f t="array" ref="I876">_xlfn.XLOOKUP(B876,Vendedores!$A$2:$A$41,Vendedores!$D$2:$D$41,"No hay datos")</f>
        <v>No hay datos</v>
      </c>
      <c r="J876" s="2" t="str">
        <f t="array" ref="J876">_xlfn.XLOOKUP(A876,Productos!$A$2:$A$61,Productos!$B$2:$F$61)</f>
        <v>#N/A</v>
      </c>
    </row>
    <row r="877">
      <c r="A877" s="2" t="str">
        <f>IFERROR(__xludf.DUMMYFUNCTION("""COMPUTED_VALUE"""),"PR058")</f>
        <v>PR058</v>
      </c>
      <c r="B877" s="2" t="str">
        <f>IFERROR(__xludf.DUMMYFUNCTION("""COMPUTED_VALUE"""),"VD041")</f>
        <v>VD041</v>
      </c>
      <c r="C877" s="2">
        <f>IFERROR(__xludf.DUMMYFUNCTION("""COMPUTED_VALUE"""),10.0)</f>
        <v>10</v>
      </c>
      <c r="D877" s="6">
        <f>IFERROR(__xludf.DUMMYFUNCTION("""COMPUTED_VALUE"""),1926.0)</f>
        <v>1926</v>
      </c>
      <c r="E877" s="6">
        <f>IFERROR(__xludf.DUMMYFUNCTION("GOOGLEFINANCE(""Currency:BRLMXN"")*D877"),6542.621999999999)</f>
        <v>6542.622</v>
      </c>
      <c r="F877" s="6">
        <f>IFERROR(__xludf.DUMMYFUNCTION("GOOGLEFINANCE(""Currency:BRLPEN"")*D877"),1262.6856)</f>
        <v>1262.6856</v>
      </c>
      <c r="G877" s="2" t="str">
        <f t="array" ref="G877">_xlfn.XLOOKUP(B877,Vendedores!$A$2:$A$41,Vendedores!$B$2:$B$41,"No hay datos")</f>
        <v>No hay datos</v>
      </c>
      <c r="H877" s="2" t="str">
        <f t="array" ref="H877">_xlfn.XLOOKUP(B877,Vendedores!$A$2:$A$41,Vendedores!$C$2:$C$41,"No hay datos")</f>
        <v>No hay datos</v>
      </c>
      <c r="I877" s="2" t="str">
        <f t="array" ref="I877">_xlfn.XLOOKUP(B877,Vendedores!$A$2:$A$41,Vendedores!$D$2:$D$41,"No hay datos")</f>
        <v>No hay datos</v>
      </c>
      <c r="J877" s="2" t="str">
        <f t="array" ref="J877">_xlfn.XLOOKUP(A877,Productos!$A$2:$A$61,Productos!$B$2:$F$61)</f>
        <v>#N/A</v>
      </c>
    </row>
    <row r="878">
      <c r="A878" s="2" t="str">
        <f>IFERROR(__xludf.DUMMYFUNCTION("""COMPUTED_VALUE"""),"PR019")</f>
        <v>PR019</v>
      </c>
      <c r="B878" s="2" t="str">
        <f>IFERROR(__xludf.DUMMYFUNCTION("""COMPUTED_VALUE"""),"VD027")</f>
        <v>VD027</v>
      </c>
      <c r="C878" s="2">
        <f>IFERROR(__xludf.DUMMYFUNCTION("""COMPUTED_VALUE"""),8.0)</f>
        <v>8</v>
      </c>
      <c r="D878" s="6">
        <f>IFERROR(__xludf.DUMMYFUNCTION("""COMPUTED_VALUE"""),411.18)</f>
        <v>411.18</v>
      </c>
      <c r="E878" s="6">
        <f>IFERROR(__xludf.DUMMYFUNCTION("GOOGLEFINANCE(""Currency:BRLMXN"")*D878"),1396.77846)</f>
        <v>1396.77846</v>
      </c>
      <c r="F878" s="6">
        <f>IFERROR(__xludf.DUMMYFUNCTION("GOOGLEFINANCE(""Currency:BRLPEN"")*D878"),269.569608)</f>
        <v>269.569608</v>
      </c>
      <c r="G878" s="2" t="str">
        <f t="array" ref="G878">_xlfn.XLOOKUP(B878,Vendedores!$A$2:$A$41,Vendedores!$B$2:$B$41,"No hay datos")</f>
        <v>No hay datos</v>
      </c>
      <c r="H878" s="2" t="str">
        <f t="array" ref="H878">_xlfn.XLOOKUP(B878,Vendedores!$A$2:$A$41,Vendedores!$C$2:$C$41,"No hay datos")</f>
        <v>No hay datos</v>
      </c>
      <c r="I878" s="2" t="str">
        <f t="array" ref="I878">_xlfn.XLOOKUP(B878,Vendedores!$A$2:$A$41,Vendedores!$D$2:$D$41,"No hay datos")</f>
        <v>No hay datos</v>
      </c>
      <c r="J878" s="2" t="str">
        <f t="array" ref="J878">_xlfn.XLOOKUP(A878,Productos!$A$2:$A$61,Productos!$B$2:$F$61)</f>
        <v>#N/A</v>
      </c>
    </row>
    <row r="879">
      <c r="A879" s="2" t="str">
        <f>IFERROR(__xludf.DUMMYFUNCTION("""COMPUTED_VALUE"""),"PR004")</f>
        <v>PR004</v>
      </c>
      <c r="B879" s="2" t="str">
        <f>IFERROR(__xludf.DUMMYFUNCTION("""COMPUTED_VALUE"""),"VD020")</f>
        <v>VD020</v>
      </c>
      <c r="C879" s="2">
        <f>IFERROR(__xludf.DUMMYFUNCTION("""COMPUTED_VALUE"""),10.0)</f>
        <v>10</v>
      </c>
      <c r="D879" s="6">
        <f>IFERROR(__xludf.DUMMYFUNCTION("""COMPUTED_VALUE"""),1479.0)</f>
        <v>1479</v>
      </c>
      <c r="E879" s="6">
        <f>IFERROR(__xludf.DUMMYFUNCTION("GOOGLEFINANCE(""Currency:BRLMXN"")*D879"),5024.163)</f>
        <v>5024.163</v>
      </c>
      <c r="F879" s="6">
        <f>IFERROR(__xludf.DUMMYFUNCTION("GOOGLEFINANCE(""Currency:BRLPEN"")*D879"),969.6324)</f>
        <v>969.6324</v>
      </c>
      <c r="G879" s="2" t="str">
        <f t="array" ref="G879">_xlfn.XLOOKUP(B879,Vendedores!$A$2:$A$41,Vendedores!$B$2:$B$41,"No hay datos")</f>
        <v>No hay datos</v>
      </c>
      <c r="H879" s="2" t="str">
        <f t="array" ref="H879">_xlfn.XLOOKUP(B879,Vendedores!$A$2:$A$41,Vendedores!$C$2:$C$41,"No hay datos")</f>
        <v>No hay datos</v>
      </c>
      <c r="I879" s="2" t="str">
        <f t="array" ref="I879">_xlfn.XLOOKUP(B879,Vendedores!$A$2:$A$41,Vendedores!$D$2:$D$41,"No hay datos")</f>
        <v>No hay datos</v>
      </c>
      <c r="J879" s="2" t="str">
        <f t="array" ref="J879">_xlfn.XLOOKUP(A879,Productos!$A$2:$A$61,Productos!$B$2:$F$61)</f>
        <v>#N/A</v>
      </c>
    </row>
    <row r="880">
      <c r="A880" s="2" t="str">
        <f>IFERROR(__xludf.DUMMYFUNCTION("""COMPUTED_VALUE"""),"PR043")</f>
        <v>PR043</v>
      </c>
      <c r="B880" s="2" t="str">
        <f>IFERROR(__xludf.DUMMYFUNCTION("""COMPUTED_VALUE"""),"VD030")</f>
        <v>VD030</v>
      </c>
      <c r="C880" s="2">
        <f>IFERROR(__xludf.DUMMYFUNCTION("""COMPUTED_VALUE"""),4.0)</f>
        <v>4</v>
      </c>
      <c r="D880" s="6">
        <f>IFERROR(__xludf.DUMMYFUNCTION("""COMPUTED_VALUE"""),310.3)</f>
        <v>310.3</v>
      </c>
      <c r="E880" s="6">
        <f>IFERROR(__xludf.DUMMYFUNCTION("GOOGLEFINANCE(""Currency:BRLMXN"")*D880"),1054.0891)</f>
        <v>1054.0891</v>
      </c>
      <c r="F880" s="6">
        <f>IFERROR(__xludf.DUMMYFUNCTION("GOOGLEFINANCE(""Currency:BRLPEN"")*D880"),203.43268)</f>
        <v>203.43268</v>
      </c>
      <c r="G880" s="2" t="str">
        <f t="array" ref="G880">_xlfn.XLOOKUP(B880,Vendedores!$A$2:$A$41,Vendedores!$B$2:$B$41,"No hay datos")</f>
        <v>No hay datos</v>
      </c>
      <c r="H880" s="2" t="str">
        <f t="array" ref="H880">_xlfn.XLOOKUP(B880,Vendedores!$A$2:$A$41,Vendedores!$C$2:$C$41,"No hay datos")</f>
        <v>No hay datos</v>
      </c>
      <c r="I880" s="2" t="str">
        <f t="array" ref="I880">_xlfn.XLOOKUP(B880,Vendedores!$A$2:$A$41,Vendedores!$D$2:$D$41,"No hay datos")</f>
        <v>No hay datos</v>
      </c>
      <c r="J880" s="2" t="str">
        <f t="array" ref="J880">_xlfn.XLOOKUP(A880,Productos!$A$2:$A$61,Productos!$B$2:$F$61)</f>
        <v>#N/A</v>
      </c>
    </row>
    <row r="881">
      <c r="A881" s="2" t="str">
        <f>IFERROR(__xludf.DUMMYFUNCTION("""COMPUTED_VALUE"""),"PR031")</f>
        <v>PR031</v>
      </c>
      <c r="B881" s="2" t="str">
        <f>IFERROR(__xludf.DUMMYFUNCTION("""COMPUTED_VALUE"""),"VD020")</f>
        <v>VD020</v>
      </c>
      <c r="C881" s="2">
        <f>IFERROR(__xludf.DUMMYFUNCTION("""COMPUTED_VALUE"""),10.0)</f>
        <v>10</v>
      </c>
      <c r="D881" s="6">
        <f>IFERROR(__xludf.DUMMYFUNCTION("""COMPUTED_VALUE"""),2548.0)</f>
        <v>2548</v>
      </c>
      <c r="E881" s="6">
        <f>IFERROR(__xludf.DUMMYFUNCTION("GOOGLEFINANCE(""Currency:BRLMXN"")*D881"),8655.555999999999)</f>
        <v>8655.556</v>
      </c>
      <c r="F881" s="6">
        <f>IFERROR(__xludf.DUMMYFUNCTION("GOOGLEFINANCE(""Currency:BRLPEN"")*D881"),1670.4687999999999)</f>
        <v>1670.4688</v>
      </c>
      <c r="G881" s="2" t="str">
        <f t="array" ref="G881">_xlfn.XLOOKUP(B881,Vendedores!$A$2:$A$41,Vendedores!$B$2:$B$41,"No hay datos")</f>
        <v>No hay datos</v>
      </c>
      <c r="H881" s="2" t="str">
        <f t="array" ref="H881">_xlfn.XLOOKUP(B881,Vendedores!$A$2:$A$41,Vendedores!$C$2:$C$41,"No hay datos")</f>
        <v>No hay datos</v>
      </c>
      <c r="I881" s="2" t="str">
        <f t="array" ref="I881">_xlfn.XLOOKUP(B881,Vendedores!$A$2:$A$41,Vendedores!$D$2:$D$41,"No hay datos")</f>
        <v>No hay datos</v>
      </c>
      <c r="J881" s="2" t="str">
        <f t="array" ref="J881">_xlfn.XLOOKUP(A881,Productos!$A$2:$A$61,Productos!$B$2:$F$61)</f>
        <v>#N/A</v>
      </c>
    </row>
    <row r="882">
      <c r="A882" s="2" t="str">
        <f>IFERROR(__xludf.DUMMYFUNCTION("""COMPUTED_VALUE"""),"PR026")</f>
        <v>PR026</v>
      </c>
      <c r="B882" s="2" t="str">
        <f>IFERROR(__xludf.DUMMYFUNCTION("""COMPUTED_VALUE"""),"VD023")</f>
        <v>VD023</v>
      </c>
      <c r="C882" s="2">
        <f>IFERROR(__xludf.DUMMYFUNCTION("""COMPUTED_VALUE"""),2.0)</f>
        <v>2</v>
      </c>
      <c r="D882" s="6">
        <f>IFERROR(__xludf.DUMMYFUNCTION("""COMPUTED_VALUE"""),741.79)</f>
        <v>741.79</v>
      </c>
      <c r="E882" s="6">
        <f>IFERROR(__xludf.DUMMYFUNCTION("GOOGLEFINANCE(""Currency:BRLMXN"")*D882"),2519.8606299999997)</f>
        <v>2519.86063</v>
      </c>
      <c r="F882" s="6">
        <f>IFERROR(__xludf.DUMMYFUNCTION("GOOGLEFINANCE(""Currency:BRLPEN"")*D882"),486.31752399999993)</f>
        <v>486.317524</v>
      </c>
      <c r="G882" s="2" t="str">
        <f t="array" ref="G882">_xlfn.XLOOKUP(B882,Vendedores!$A$2:$A$41,Vendedores!$B$2:$B$41,"No hay datos")</f>
        <v>No hay datos</v>
      </c>
      <c r="H882" s="2" t="str">
        <f t="array" ref="H882">_xlfn.XLOOKUP(B882,Vendedores!$A$2:$A$41,Vendedores!$C$2:$C$41,"No hay datos")</f>
        <v>No hay datos</v>
      </c>
      <c r="I882" s="2" t="str">
        <f t="array" ref="I882">_xlfn.XLOOKUP(B882,Vendedores!$A$2:$A$41,Vendedores!$D$2:$D$41,"No hay datos")</f>
        <v>No hay datos</v>
      </c>
      <c r="J882" s="2" t="str">
        <f t="array" ref="J882">_xlfn.XLOOKUP(A882,Productos!$A$2:$A$61,Productos!$B$2:$F$61)</f>
        <v>#N/A</v>
      </c>
    </row>
    <row r="883">
      <c r="A883" s="2" t="str">
        <f>IFERROR(__xludf.DUMMYFUNCTION("""COMPUTED_VALUE"""),"PR041")</f>
        <v>PR041</v>
      </c>
      <c r="B883" s="2" t="str">
        <f>IFERROR(__xludf.DUMMYFUNCTION("""COMPUTED_VALUE"""),"VD032")</f>
        <v>VD032</v>
      </c>
      <c r="C883" s="2">
        <f>IFERROR(__xludf.DUMMYFUNCTION("""COMPUTED_VALUE"""),18.0)</f>
        <v>18</v>
      </c>
      <c r="D883" s="6">
        <f>IFERROR(__xludf.DUMMYFUNCTION("""COMPUTED_VALUE"""),1067.26)</f>
        <v>1067.26</v>
      </c>
      <c r="E883" s="6">
        <f>IFERROR(__xludf.DUMMYFUNCTION("GOOGLEFINANCE(""Currency:BRLMXN"")*D883"),3625.48222)</f>
        <v>3625.48222</v>
      </c>
      <c r="F883" s="6">
        <f>IFERROR(__xludf.DUMMYFUNCTION("GOOGLEFINANCE(""Currency:BRLPEN"")*D883"),699.695656)</f>
        <v>699.695656</v>
      </c>
      <c r="G883" s="2" t="str">
        <f t="array" ref="G883">_xlfn.XLOOKUP(B883,Vendedores!$A$2:$A$41,Vendedores!$B$2:$B$41,"No hay datos")</f>
        <v>No hay datos</v>
      </c>
      <c r="H883" s="2" t="str">
        <f t="array" ref="H883">_xlfn.XLOOKUP(B883,Vendedores!$A$2:$A$41,Vendedores!$C$2:$C$41,"No hay datos")</f>
        <v>No hay datos</v>
      </c>
      <c r="I883" s="2" t="str">
        <f t="array" ref="I883">_xlfn.XLOOKUP(B883,Vendedores!$A$2:$A$41,Vendedores!$D$2:$D$41,"No hay datos")</f>
        <v>No hay datos</v>
      </c>
      <c r="J883" s="2" t="str">
        <f t="array" ref="J883">_xlfn.XLOOKUP(A883,Productos!$A$2:$A$61,Productos!$B$2:$F$61)</f>
        <v>#N/A</v>
      </c>
    </row>
    <row r="884">
      <c r="A884" s="2" t="str">
        <f>IFERROR(__xludf.DUMMYFUNCTION("""COMPUTED_VALUE"""),"PR047")</f>
        <v>PR047</v>
      </c>
      <c r="B884" s="2" t="str">
        <f>IFERROR(__xludf.DUMMYFUNCTION("""COMPUTED_VALUE"""),"VD026")</f>
        <v>VD026</v>
      </c>
      <c r="C884" s="2">
        <f>IFERROR(__xludf.DUMMYFUNCTION("""COMPUTED_VALUE"""),6.0)</f>
        <v>6</v>
      </c>
      <c r="D884" s="6">
        <f>IFERROR(__xludf.DUMMYFUNCTION("""COMPUTED_VALUE"""),1843.76)</f>
        <v>1843.76</v>
      </c>
      <c r="E884" s="6">
        <f>IFERROR(__xludf.DUMMYFUNCTION("GOOGLEFINANCE(""Currency:BRLMXN"")*D884"),6263.2527199999995)</f>
        <v>6263.25272</v>
      </c>
      <c r="F884" s="6">
        <f>IFERROR(__xludf.DUMMYFUNCTION("GOOGLEFINANCE(""Currency:BRLPEN"")*D884"),1208.7690559999999)</f>
        <v>1208.769056</v>
      </c>
      <c r="G884" s="2" t="str">
        <f t="array" ref="G884">_xlfn.XLOOKUP(B884,Vendedores!$A$2:$A$41,Vendedores!$B$2:$B$41,"No hay datos")</f>
        <v>No hay datos</v>
      </c>
      <c r="H884" s="2" t="str">
        <f t="array" ref="H884">_xlfn.XLOOKUP(B884,Vendedores!$A$2:$A$41,Vendedores!$C$2:$C$41,"No hay datos")</f>
        <v>No hay datos</v>
      </c>
      <c r="I884" s="2" t="str">
        <f t="array" ref="I884">_xlfn.XLOOKUP(B884,Vendedores!$A$2:$A$41,Vendedores!$D$2:$D$41,"No hay datos")</f>
        <v>No hay datos</v>
      </c>
      <c r="J884" s="2" t="str">
        <f t="array" ref="J884">_xlfn.XLOOKUP(A884,Productos!$A$2:$A$61,Productos!$B$2:$F$61)</f>
        <v>#N/A</v>
      </c>
    </row>
    <row r="885">
      <c r="A885" s="2" t="str">
        <f>IFERROR(__xludf.DUMMYFUNCTION("""COMPUTED_VALUE"""),"PR029")</f>
        <v>PR029</v>
      </c>
      <c r="B885" s="2" t="str">
        <f>IFERROR(__xludf.DUMMYFUNCTION("""COMPUTED_VALUE"""),"VD023")</f>
        <v>VD023</v>
      </c>
      <c r="C885" s="2">
        <f>IFERROR(__xludf.DUMMYFUNCTION("""COMPUTED_VALUE"""),2.0)</f>
        <v>2</v>
      </c>
      <c r="D885" s="6">
        <f>IFERROR(__xludf.DUMMYFUNCTION("""COMPUTED_VALUE"""),545.7)</f>
        <v>545.7</v>
      </c>
      <c r="E885" s="6">
        <f>IFERROR(__xludf.DUMMYFUNCTION("GOOGLEFINANCE(""Currency:BRLMXN"")*D885"),1853.7429)</f>
        <v>1853.7429</v>
      </c>
      <c r="F885" s="6">
        <f>IFERROR(__xludf.DUMMYFUNCTION("GOOGLEFINANCE(""Currency:BRLPEN"")*D885"),357.76092)</f>
        <v>357.76092</v>
      </c>
      <c r="G885" s="2" t="str">
        <f t="array" ref="G885">_xlfn.XLOOKUP(B885,Vendedores!$A$2:$A$41,Vendedores!$B$2:$B$41,"No hay datos")</f>
        <v>No hay datos</v>
      </c>
      <c r="H885" s="2" t="str">
        <f t="array" ref="H885">_xlfn.XLOOKUP(B885,Vendedores!$A$2:$A$41,Vendedores!$C$2:$C$41,"No hay datos")</f>
        <v>No hay datos</v>
      </c>
      <c r="I885" s="2" t="str">
        <f t="array" ref="I885">_xlfn.XLOOKUP(B885,Vendedores!$A$2:$A$41,Vendedores!$D$2:$D$41,"No hay datos")</f>
        <v>No hay datos</v>
      </c>
      <c r="J885" s="2" t="str">
        <f t="array" ref="J885">_xlfn.XLOOKUP(A885,Productos!$A$2:$A$61,Productos!$B$2:$F$61)</f>
        <v>#N/A</v>
      </c>
    </row>
    <row r="886">
      <c r="A886" s="2" t="str">
        <f>IFERROR(__xludf.DUMMYFUNCTION("""COMPUTED_VALUE"""),"PR018")</f>
        <v>PR018</v>
      </c>
      <c r="B886" s="2" t="str">
        <f>IFERROR(__xludf.DUMMYFUNCTION("""COMPUTED_VALUE"""),"VD040")</f>
        <v>VD040</v>
      </c>
      <c r="C886" s="2">
        <f>IFERROR(__xludf.DUMMYFUNCTION("""COMPUTED_VALUE"""),18.0)</f>
        <v>18</v>
      </c>
      <c r="D886" s="6">
        <f>IFERROR(__xludf.DUMMYFUNCTION("""COMPUTED_VALUE"""),639.58)</f>
        <v>639.58</v>
      </c>
      <c r="E886" s="6">
        <f>IFERROR(__xludf.DUMMYFUNCTION("GOOGLEFINANCE(""Currency:BRLMXN"")*D886"),2172.65326)</f>
        <v>2172.65326</v>
      </c>
      <c r="F886" s="6">
        <f>IFERROR(__xludf.DUMMYFUNCTION("GOOGLEFINANCE(""Currency:BRLPEN"")*D886"),419.308648)</f>
        <v>419.308648</v>
      </c>
      <c r="G886" s="2" t="str">
        <f t="array" ref="G886">_xlfn.XLOOKUP(B886,Vendedores!$A$2:$A$41,Vendedores!$B$2:$B$41,"No hay datos")</f>
        <v>No hay datos</v>
      </c>
      <c r="H886" s="2" t="str">
        <f t="array" ref="H886">_xlfn.XLOOKUP(B886,Vendedores!$A$2:$A$41,Vendedores!$C$2:$C$41,"No hay datos")</f>
        <v>No hay datos</v>
      </c>
      <c r="I886" s="2" t="str">
        <f t="array" ref="I886">_xlfn.XLOOKUP(B886,Vendedores!$A$2:$A$41,Vendedores!$D$2:$D$41,"No hay datos")</f>
        <v>No hay datos</v>
      </c>
      <c r="J886" s="2" t="str">
        <f t="array" ref="J886">_xlfn.XLOOKUP(A886,Productos!$A$2:$A$61,Productos!$B$2:$F$61)</f>
        <v>#N/A</v>
      </c>
    </row>
    <row r="887">
      <c r="A887" s="2" t="str">
        <f>IFERROR(__xludf.DUMMYFUNCTION("""COMPUTED_VALUE"""),"PR025")</f>
        <v>PR025</v>
      </c>
      <c r="B887" s="2" t="str">
        <f>IFERROR(__xludf.DUMMYFUNCTION("""COMPUTED_VALUE"""),"VD038")</f>
        <v>VD038</v>
      </c>
      <c r="C887" s="2">
        <f>IFERROR(__xludf.DUMMYFUNCTION("""COMPUTED_VALUE"""),8.0)</f>
        <v>8</v>
      </c>
      <c r="D887" s="6">
        <f>IFERROR(__xludf.DUMMYFUNCTION("""COMPUTED_VALUE"""),2399.2)</f>
        <v>2399.2</v>
      </c>
      <c r="E887" s="6">
        <f>IFERROR(__xludf.DUMMYFUNCTION("GOOGLEFINANCE(""Currency:BRLMXN"")*D887"),8150.082399999999)</f>
        <v>8150.0824</v>
      </c>
      <c r="F887" s="6">
        <f>IFERROR(__xludf.DUMMYFUNCTION("GOOGLEFINANCE(""Currency:BRLPEN"")*D887"),1572.9155199999998)</f>
        <v>1572.91552</v>
      </c>
      <c r="G887" s="2" t="str">
        <f t="array" ref="G887">_xlfn.XLOOKUP(B887,Vendedores!$A$2:$A$41,Vendedores!$B$2:$B$41,"No hay datos")</f>
        <v>No hay datos</v>
      </c>
      <c r="H887" s="2" t="str">
        <f t="array" ref="H887">_xlfn.XLOOKUP(B887,Vendedores!$A$2:$A$41,Vendedores!$C$2:$C$41,"No hay datos")</f>
        <v>No hay datos</v>
      </c>
      <c r="I887" s="2" t="str">
        <f t="array" ref="I887">_xlfn.XLOOKUP(B887,Vendedores!$A$2:$A$41,Vendedores!$D$2:$D$41,"No hay datos")</f>
        <v>No hay datos</v>
      </c>
      <c r="J887" s="2" t="str">
        <f t="array" ref="J887">_xlfn.XLOOKUP(A887,Productos!$A$2:$A$61,Productos!$B$2:$F$61)</f>
        <v>#N/A</v>
      </c>
    </row>
    <row r="888">
      <c r="A888" s="2" t="str">
        <f>IFERROR(__xludf.DUMMYFUNCTION("""COMPUTED_VALUE"""),"PR012")</f>
        <v>PR012</v>
      </c>
      <c r="B888" s="2" t="str">
        <f>IFERROR(__xludf.DUMMYFUNCTION("""COMPUTED_VALUE"""),"VD035")</f>
        <v>VD035</v>
      </c>
      <c r="C888" s="2">
        <f>IFERROR(__xludf.DUMMYFUNCTION("""COMPUTED_VALUE"""),9.0)</f>
        <v>9</v>
      </c>
      <c r="D888" s="6">
        <f>IFERROR(__xludf.DUMMYFUNCTION("""COMPUTED_VALUE"""),479.71)</f>
        <v>479.71</v>
      </c>
      <c r="E888" s="6">
        <f>IFERROR(__xludf.DUMMYFUNCTION("GOOGLEFINANCE(""Currency:BRLMXN"")*D888"),1629.57487)</f>
        <v>1629.57487</v>
      </c>
      <c r="F888" s="6">
        <f>IFERROR(__xludf.DUMMYFUNCTION("GOOGLEFINANCE(""Currency:BRLPEN"")*D888"),314.49787599999996)</f>
        <v>314.497876</v>
      </c>
      <c r="G888" s="2" t="str">
        <f t="array" ref="G888">_xlfn.XLOOKUP(B888,Vendedores!$A$2:$A$41,Vendedores!$B$2:$B$41,"No hay datos")</f>
        <v>No hay datos</v>
      </c>
      <c r="H888" s="2" t="str">
        <f t="array" ref="H888">_xlfn.XLOOKUP(B888,Vendedores!$A$2:$A$41,Vendedores!$C$2:$C$41,"No hay datos")</f>
        <v>No hay datos</v>
      </c>
      <c r="I888" s="2" t="str">
        <f t="array" ref="I888">_xlfn.XLOOKUP(B888,Vendedores!$A$2:$A$41,Vendedores!$D$2:$D$41,"No hay datos")</f>
        <v>No hay datos</v>
      </c>
      <c r="J888" s="2" t="str">
        <f t="array" ref="J888">_xlfn.XLOOKUP(A888,Productos!$A$2:$A$61,Productos!$B$2:$F$61)</f>
        <v>#N/A</v>
      </c>
    </row>
    <row r="889">
      <c r="A889" s="2" t="str">
        <f>IFERROR(__xludf.DUMMYFUNCTION("""COMPUTED_VALUE"""),"PR059")</f>
        <v>PR059</v>
      </c>
      <c r="B889" s="2" t="str">
        <f>IFERROR(__xludf.DUMMYFUNCTION("""COMPUTED_VALUE"""),"VD019")</f>
        <v>VD019</v>
      </c>
      <c r="C889" s="2">
        <f>IFERROR(__xludf.DUMMYFUNCTION("""COMPUTED_VALUE"""),3.0)</f>
        <v>3</v>
      </c>
      <c r="D889" s="6">
        <f>IFERROR(__xludf.DUMMYFUNCTION("""COMPUTED_VALUE"""),561.6)</f>
        <v>561.6</v>
      </c>
      <c r="E889" s="6">
        <f>IFERROR(__xludf.DUMMYFUNCTION("GOOGLEFINANCE(""Currency:BRLMXN"")*D889"),1907.7552)</f>
        <v>1907.7552</v>
      </c>
      <c r="F889" s="6">
        <f>IFERROR(__xludf.DUMMYFUNCTION("GOOGLEFINANCE(""Currency:BRLPEN"")*D889"),368.18496)</f>
        <v>368.18496</v>
      </c>
      <c r="G889" s="2" t="str">
        <f t="array" ref="G889">_xlfn.XLOOKUP(B889,Vendedores!$A$2:$A$41,Vendedores!$B$2:$B$41,"No hay datos")</f>
        <v>No hay datos</v>
      </c>
      <c r="H889" s="2" t="str">
        <f t="array" ref="H889">_xlfn.XLOOKUP(B889,Vendedores!$A$2:$A$41,Vendedores!$C$2:$C$41,"No hay datos")</f>
        <v>No hay datos</v>
      </c>
      <c r="I889" s="2" t="str">
        <f t="array" ref="I889">_xlfn.XLOOKUP(B889,Vendedores!$A$2:$A$41,Vendedores!$D$2:$D$41,"No hay datos")</f>
        <v>No hay datos</v>
      </c>
      <c r="J889" s="2" t="str">
        <f t="array" ref="J889">_xlfn.XLOOKUP(A889,Productos!$A$2:$A$61,Productos!$B$2:$F$61)</f>
        <v>#N/A</v>
      </c>
    </row>
    <row r="890">
      <c r="A890" s="2" t="str">
        <f>IFERROR(__xludf.DUMMYFUNCTION("""COMPUTED_VALUE"""),"PR021")</f>
        <v>PR021</v>
      </c>
      <c r="B890" s="2" t="str">
        <f>IFERROR(__xludf.DUMMYFUNCTION("""COMPUTED_VALUE"""),"VD014")</f>
        <v>VD014</v>
      </c>
      <c r="C890" s="2">
        <f>IFERROR(__xludf.DUMMYFUNCTION("""COMPUTED_VALUE"""),1.0)</f>
        <v>1</v>
      </c>
      <c r="D890" s="6">
        <f>IFERROR(__xludf.DUMMYFUNCTION("""COMPUTED_VALUE"""),330.16)</f>
        <v>330.16</v>
      </c>
      <c r="E890" s="6">
        <f>IFERROR(__xludf.DUMMYFUNCTION("GOOGLEFINANCE(""Currency:BRLMXN"")*D890"),1121.55352)</f>
        <v>1121.55352</v>
      </c>
      <c r="F890" s="6">
        <f>IFERROR(__xludf.DUMMYFUNCTION("GOOGLEFINANCE(""Currency:BRLPEN"")*D890"),216.452896)</f>
        <v>216.452896</v>
      </c>
      <c r="G890" s="2" t="str">
        <f t="array" ref="G890">_xlfn.XLOOKUP(B890,Vendedores!$A$2:$A$41,Vendedores!$B$2:$B$41,"No hay datos")</f>
        <v>No hay datos</v>
      </c>
      <c r="H890" s="2" t="str">
        <f t="array" ref="H890">_xlfn.XLOOKUP(B890,Vendedores!$A$2:$A$41,Vendedores!$C$2:$C$41,"No hay datos")</f>
        <v>No hay datos</v>
      </c>
      <c r="I890" s="2" t="str">
        <f t="array" ref="I890">_xlfn.XLOOKUP(B890,Vendedores!$A$2:$A$41,Vendedores!$D$2:$D$41,"No hay datos")</f>
        <v>No hay datos</v>
      </c>
      <c r="J890" s="2" t="str">
        <f t="array" ref="J890">_xlfn.XLOOKUP(A890,Productos!$A$2:$A$61,Productos!$B$2:$F$61)</f>
        <v>#N/A</v>
      </c>
    </row>
    <row r="891">
      <c r="A891" s="2" t="str">
        <f>IFERROR(__xludf.DUMMYFUNCTION("""COMPUTED_VALUE"""),"PR045")</f>
        <v>PR045</v>
      </c>
      <c r="B891" s="2" t="str">
        <f>IFERROR(__xludf.DUMMYFUNCTION("""COMPUTED_VALUE"""),"VD043")</f>
        <v>VD043</v>
      </c>
      <c r="C891" s="2">
        <f>IFERROR(__xludf.DUMMYFUNCTION("""COMPUTED_VALUE"""),10.0)</f>
        <v>10</v>
      </c>
      <c r="D891" s="6">
        <f>IFERROR(__xludf.DUMMYFUNCTION("""COMPUTED_VALUE"""),732.25)</f>
        <v>732.25</v>
      </c>
      <c r="E891" s="6">
        <f>IFERROR(__xludf.DUMMYFUNCTION("GOOGLEFINANCE(""Currency:BRLMXN"")*D891"),2487.45325)</f>
        <v>2487.45325</v>
      </c>
      <c r="F891" s="6">
        <f>IFERROR(__xludf.DUMMYFUNCTION("GOOGLEFINANCE(""Currency:BRLPEN"")*D891"),480.06309999999996)</f>
        <v>480.0631</v>
      </c>
      <c r="G891" s="2" t="str">
        <f t="array" ref="G891">_xlfn.XLOOKUP(B891,Vendedores!$A$2:$A$41,Vendedores!$B$2:$B$41,"No hay datos")</f>
        <v>No hay datos</v>
      </c>
      <c r="H891" s="2" t="str">
        <f t="array" ref="H891">_xlfn.XLOOKUP(B891,Vendedores!$A$2:$A$41,Vendedores!$C$2:$C$41,"No hay datos")</f>
        <v>No hay datos</v>
      </c>
      <c r="I891" s="2" t="str">
        <f t="array" ref="I891">_xlfn.XLOOKUP(B891,Vendedores!$A$2:$A$41,Vendedores!$D$2:$D$41,"No hay datos")</f>
        <v>No hay datos</v>
      </c>
      <c r="J891" s="2" t="str">
        <f t="array" ref="J891">_xlfn.XLOOKUP(A891,Productos!$A$2:$A$61,Productos!$B$2:$F$61)</f>
        <v>#N/A</v>
      </c>
    </row>
    <row r="892">
      <c r="A892" s="2" t="str">
        <f>IFERROR(__xludf.DUMMYFUNCTION("""COMPUTED_VALUE"""),"PR045")</f>
        <v>PR045</v>
      </c>
      <c r="B892" s="2" t="str">
        <f>IFERROR(__xludf.DUMMYFUNCTION("""COMPUTED_VALUE"""),"VD044")</f>
        <v>VD044</v>
      </c>
      <c r="C892" s="2">
        <f>IFERROR(__xludf.DUMMYFUNCTION("""COMPUTED_VALUE"""),5.0)</f>
        <v>5</v>
      </c>
      <c r="D892" s="6">
        <f>IFERROR(__xludf.DUMMYFUNCTION("""COMPUTED_VALUE"""),373.38)</f>
        <v>373.38</v>
      </c>
      <c r="E892" s="6">
        <f>IFERROR(__xludf.DUMMYFUNCTION("GOOGLEFINANCE(""Currency:BRLMXN"")*D892"),1268.37186)</f>
        <v>1268.37186</v>
      </c>
      <c r="F892" s="6">
        <f>IFERROR(__xludf.DUMMYFUNCTION("GOOGLEFINANCE(""Currency:BRLPEN"")*D892"),244.787928)</f>
        <v>244.787928</v>
      </c>
      <c r="G892" s="2" t="str">
        <f t="array" ref="G892">_xlfn.XLOOKUP(B892,Vendedores!$A$2:$A$41,Vendedores!$B$2:$B$41,"No hay datos")</f>
        <v>No hay datos</v>
      </c>
      <c r="H892" s="2" t="str">
        <f t="array" ref="H892">_xlfn.XLOOKUP(B892,Vendedores!$A$2:$A$41,Vendedores!$C$2:$C$41,"No hay datos")</f>
        <v>No hay datos</v>
      </c>
      <c r="I892" s="2" t="str">
        <f t="array" ref="I892">_xlfn.XLOOKUP(B892,Vendedores!$A$2:$A$41,Vendedores!$D$2:$D$41,"No hay datos")</f>
        <v>No hay datos</v>
      </c>
      <c r="J892" s="2" t="str">
        <f t="array" ref="J892">_xlfn.XLOOKUP(A892,Productos!$A$2:$A$61,Productos!$B$2:$F$61)</f>
        <v>#N/A</v>
      </c>
    </row>
    <row r="893">
      <c r="A893" s="2" t="str">
        <f>IFERROR(__xludf.DUMMYFUNCTION("""COMPUTED_VALUE"""),"PR048")</f>
        <v>PR048</v>
      </c>
      <c r="B893" s="2" t="str">
        <f>IFERROR(__xludf.DUMMYFUNCTION("""COMPUTED_VALUE"""),"VD018")</f>
        <v>VD018</v>
      </c>
      <c r="C893" s="2">
        <f>IFERROR(__xludf.DUMMYFUNCTION("""COMPUTED_VALUE"""),7.0)</f>
        <v>7</v>
      </c>
      <c r="D893" s="6">
        <f>IFERROR(__xludf.DUMMYFUNCTION("""COMPUTED_VALUE"""),2211.94)</f>
        <v>2211.94</v>
      </c>
      <c r="E893" s="6">
        <f>IFERROR(__xludf.DUMMYFUNCTION("GOOGLEFINANCE(""Currency:BRLMXN"")*D893"),7513.96018)</f>
        <v>7513.96018</v>
      </c>
      <c r="F893" s="6">
        <f>IFERROR(__xludf.DUMMYFUNCTION("GOOGLEFINANCE(""Currency:BRLPEN"")*D893"),1450.147864)</f>
        <v>1450.147864</v>
      </c>
      <c r="G893" s="2" t="str">
        <f t="array" ref="G893">_xlfn.XLOOKUP(B893,Vendedores!$A$2:$A$41,Vendedores!$B$2:$B$41,"No hay datos")</f>
        <v>No hay datos</v>
      </c>
      <c r="H893" s="2" t="str">
        <f t="array" ref="H893">_xlfn.XLOOKUP(B893,Vendedores!$A$2:$A$41,Vendedores!$C$2:$C$41,"No hay datos")</f>
        <v>No hay datos</v>
      </c>
      <c r="I893" s="2" t="str">
        <f t="array" ref="I893">_xlfn.XLOOKUP(B893,Vendedores!$A$2:$A$41,Vendedores!$D$2:$D$41,"No hay datos")</f>
        <v>No hay datos</v>
      </c>
      <c r="J893" s="2" t="str">
        <f t="array" ref="J893">_xlfn.XLOOKUP(A893,Productos!$A$2:$A$61,Productos!$B$2:$F$61)</f>
        <v>#N/A</v>
      </c>
    </row>
    <row r="894">
      <c r="A894" s="2" t="str">
        <f>IFERROR(__xludf.DUMMYFUNCTION("""COMPUTED_VALUE"""),"PR052")</f>
        <v>PR052</v>
      </c>
      <c r="B894" s="2" t="str">
        <f>IFERROR(__xludf.DUMMYFUNCTION("""COMPUTED_VALUE"""),"VD043")</f>
        <v>VD043</v>
      </c>
      <c r="C894" s="2">
        <f>IFERROR(__xludf.DUMMYFUNCTION("""COMPUTED_VALUE"""),5.0)</f>
        <v>5</v>
      </c>
      <c r="D894" s="6">
        <f>IFERROR(__xludf.DUMMYFUNCTION("""COMPUTED_VALUE"""),259.48)</f>
        <v>259.48</v>
      </c>
      <c r="E894" s="6">
        <f>IFERROR(__xludf.DUMMYFUNCTION("GOOGLEFINANCE(""Currency:BRLMXN"")*D894"),881.45356)</f>
        <v>881.45356</v>
      </c>
      <c r="F894" s="6">
        <f>IFERROR(__xludf.DUMMYFUNCTION("GOOGLEFINANCE(""Currency:BRLPEN"")*D894"),170.11508800000001)</f>
        <v>170.115088</v>
      </c>
      <c r="G894" s="2" t="str">
        <f t="array" ref="G894">_xlfn.XLOOKUP(B894,Vendedores!$A$2:$A$41,Vendedores!$B$2:$B$41,"No hay datos")</f>
        <v>No hay datos</v>
      </c>
      <c r="H894" s="2" t="str">
        <f t="array" ref="H894">_xlfn.XLOOKUP(B894,Vendedores!$A$2:$A$41,Vendedores!$C$2:$C$41,"No hay datos")</f>
        <v>No hay datos</v>
      </c>
      <c r="I894" s="2" t="str">
        <f t="array" ref="I894">_xlfn.XLOOKUP(B894,Vendedores!$A$2:$A$41,Vendedores!$D$2:$D$41,"No hay datos")</f>
        <v>No hay datos</v>
      </c>
      <c r="J894" s="2" t="str">
        <f t="array" ref="J894">_xlfn.XLOOKUP(A894,Productos!$A$2:$A$61,Productos!$B$2:$F$61)</f>
        <v>#N/A</v>
      </c>
    </row>
    <row r="895">
      <c r="A895" s="2" t="str">
        <f>IFERROR(__xludf.DUMMYFUNCTION("""COMPUTED_VALUE"""),"PR038")</f>
        <v>PR038</v>
      </c>
      <c r="B895" s="2" t="str">
        <f>IFERROR(__xludf.DUMMYFUNCTION("""COMPUTED_VALUE"""),"VD042")</f>
        <v>VD042</v>
      </c>
      <c r="C895" s="2">
        <f>IFERROR(__xludf.DUMMYFUNCTION("""COMPUTED_VALUE"""),20.0)</f>
        <v>20</v>
      </c>
      <c r="D895" s="6">
        <f>IFERROR(__xludf.DUMMYFUNCTION("""COMPUTED_VALUE"""),3143.8)</f>
        <v>3143.8</v>
      </c>
      <c r="E895" s="6">
        <f>IFERROR(__xludf.DUMMYFUNCTION("GOOGLEFINANCE(""Currency:BRLMXN"")*D895"),10679.4886)</f>
        <v>10679.4886</v>
      </c>
      <c r="F895" s="6">
        <f>IFERROR(__xludf.DUMMYFUNCTION("GOOGLEFINANCE(""Currency:BRLPEN"")*D895"),2061.07528)</f>
        <v>2061.07528</v>
      </c>
      <c r="G895" s="2" t="str">
        <f t="array" ref="G895">_xlfn.XLOOKUP(B895,Vendedores!$A$2:$A$41,Vendedores!$B$2:$B$41,"No hay datos")</f>
        <v>No hay datos</v>
      </c>
      <c r="H895" s="2" t="str">
        <f t="array" ref="H895">_xlfn.XLOOKUP(B895,Vendedores!$A$2:$A$41,Vendedores!$C$2:$C$41,"No hay datos")</f>
        <v>No hay datos</v>
      </c>
      <c r="I895" s="2" t="str">
        <f t="array" ref="I895">_xlfn.XLOOKUP(B895,Vendedores!$A$2:$A$41,Vendedores!$D$2:$D$41,"No hay datos")</f>
        <v>No hay datos</v>
      </c>
      <c r="J895" s="2" t="str">
        <f t="array" ref="J895">_xlfn.XLOOKUP(A895,Productos!$A$2:$A$61,Productos!$B$2:$F$61)</f>
        <v>#N/A</v>
      </c>
    </row>
    <row r="896">
      <c r="A896" s="2" t="str">
        <f>IFERROR(__xludf.DUMMYFUNCTION("""COMPUTED_VALUE"""),"PR032")</f>
        <v>PR032</v>
      </c>
      <c r="B896" s="2" t="str">
        <f>IFERROR(__xludf.DUMMYFUNCTION("""COMPUTED_VALUE"""),"VD046")</f>
        <v>VD046</v>
      </c>
      <c r="C896" s="2">
        <f>IFERROR(__xludf.DUMMYFUNCTION("""COMPUTED_VALUE"""),5.0)</f>
        <v>5</v>
      </c>
      <c r="D896" s="6">
        <f>IFERROR(__xludf.DUMMYFUNCTION("""COMPUTED_VALUE"""),1375.0)</f>
        <v>1375</v>
      </c>
      <c r="E896" s="6">
        <f>IFERROR(__xludf.DUMMYFUNCTION("GOOGLEFINANCE(""Currency:BRLMXN"")*D896"),4670.875)</f>
        <v>4670.875</v>
      </c>
      <c r="F896" s="6">
        <f>IFERROR(__xludf.DUMMYFUNCTION("GOOGLEFINANCE(""Currency:BRLPEN"")*D896"),901.4499999999999)</f>
        <v>901.45</v>
      </c>
      <c r="G896" s="2" t="str">
        <f t="array" ref="G896">_xlfn.XLOOKUP(B896,Vendedores!$A$2:$A$41,Vendedores!$B$2:$B$41,"No hay datos")</f>
        <v>No hay datos</v>
      </c>
      <c r="H896" s="2" t="str">
        <f t="array" ref="H896">_xlfn.XLOOKUP(B896,Vendedores!$A$2:$A$41,Vendedores!$C$2:$C$41,"No hay datos")</f>
        <v>No hay datos</v>
      </c>
      <c r="I896" s="2" t="str">
        <f t="array" ref="I896">_xlfn.XLOOKUP(B896,Vendedores!$A$2:$A$41,Vendedores!$D$2:$D$41,"No hay datos")</f>
        <v>No hay datos</v>
      </c>
      <c r="J896" s="2" t="str">
        <f t="array" ref="J896">_xlfn.XLOOKUP(A896,Productos!$A$2:$A$61,Productos!$B$2:$F$61)</f>
        <v>#N/A</v>
      </c>
    </row>
    <row r="897">
      <c r="A897" s="2" t="str">
        <f>IFERROR(__xludf.DUMMYFUNCTION("""COMPUTED_VALUE"""),"PR046")</f>
        <v>PR046</v>
      </c>
      <c r="B897" s="2" t="str">
        <f>IFERROR(__xludf.DUMMYFUNCTION("""COMPUTED_VALUE"""),"VD018")</f>
        <v>VD018</v>
      </c>
      <c r="C897" s="2">
        <f>IFERROR(__xludf.DUMMYFUNCTION("""COMPUTED_VALUE"""),5.0)</f>
        <v>5</v>
      </c>
      <c r="D897" s="6">
        <f>IFERROR(__xludf.DUMMYFUNCTION("""COMPUTED_VALUE"""),1449.5)</f>
        <v>1449.5</v>
      </c>
      <c r="E897" s="6">
        <f>IFERROR(__xludf.DUMMYFUNCTION("GOOGLEFINANCE(""Currency:BRLMXN"")*D897"),4923.9515)</f>
        <v>4923.9515</v>
      </c>
      <c r="F897" s="6">
        <f>IFERROR(__xludf.DUMMYFUNCTION("GOOGLEFINANCE(""Currency:BRLPEN"")*D897"),950.2922)</f>
        <v>950.2922</v>
      </c>
      <c r="G897" s="2" t="str">
        <f t="array" ref="G897">_xlfn.XLOOKUP(B897,Vendedores!$A$2:$A$41,Vendedores!$B$2:$B$41,"No hay datos")</f>
        <v>No hay datos</v>
      </c>
      <c r="H897" s="2" t="str">
        <f t="array" ref="H897">_xlfn.XLOOKUP(B897,Vendedores!$A$2:$A$41,Vendedores!$C$2:$C$41,"No hay datos")</f>
        <v>No hay datos</v>
      </c>
      <c r="I897" s="2" t="str">
        <f t="array" ref="I897">_xlfn.XLOOKUP(B897,Vendedores!$A$2:$A$41,Vendedores!$D$2:$D$41,"No hay datos")</f>
        <v>No hay datos</v>
      </c>
      <c r="J897" s="2" t="str">
        <f t="array" ref="J897">_xlfn.XLOOKUP(A897,Productos!$A$2:$A$61,Productos!$B$2:$F$61)</f>
        <v>#N/A</v>
      </c>
    </row>
    <row r="898">
      <c r="A898" s="2" t="str">
        <f>IFERROR(__xludf.DUMMYFUNCTION("""COMPUTED_VALUE"""),"PR056")</f>
        <v>PR056</v>
      </c>
      <c r="B898" s="2" t="str">
        <f>IFERROR(__xludf.DUMMYFUNCTION("""COMPUTED_VALUE"""),"VD029")</f>
        <v>VD029</v>
      </c>
      <c r="C898" s="2">
        <f>IFERROR(__xludf.DUMMYFUNCTION("""COMPUTED_VALUE"""),1.0)</f>
        <v>1</v>
      </c>
      <c r="D898" s="6">
        <f>IFERROR(__xludf.DUMMYFUNCTION("""COMPUTED_VALUE"""),96.19)</f>
        <v>96.19</v>
      </c>
      <c r="E898" s="6">
        <f>IFERROR(__xludf.DUMMYFUNCTION("GOOGLEFINANCE(""Currency:BRLMXN"")*D898"),326.75743)</f>
        <v>326.75743</v>
      </c>
      <c r="F898" s="6">
        <f>IFERROR(__xludf.DUMMYFUNCTION("GOOGLEFINANCE(""Currency:BRLPEN"")*D898"),63.062163999999996)</f>
        <v>63.062164</v>
      </c>
      <c r="G898" s="2" t="str">
        <f t="array" ref="G898">_xlfn.XLOOKUP(B898,Vendedores!$A$2:$A$41,Vendedores!$B$2:$B$41,"No hay datos")</f>
        <v>No hay datos</v>
      </c>
      <c r="H898" s="2" t="str">
        <f t="array" ref="H898">_xlfn.XLOOKUP(B898,Vendedores!$A$2:$A$41,Vendedores!$C$2:$C$41,"No hay datos")</f>
        <v>No hay datos</v>
      </c>
      <c r="I898" s="2" t="str">
        <f t="array" ref="I898">_xlfn.XLOOKUP(B898,Vendedores!$A$2:$A$41,Vendedores!$D$2:$D$41,"No hay datos")</f>
        <v>No hay datos</v>
      </c>
      <c r="J898" s="2" t="str">
        <f t="array" ref="J898">_xlfn.XLOOKUP(A898,Productos!$A$2:$A$61,Productos!$B$2:$F$61)</f>
        <v>#N/A</v>
      </c>
    </row>
    <row r="899">
      <c r="A899" s="2" t="str">
        <f>IFERROR(__xludf.DUMMYFUNCTION("""COMPUTED_VALUE"""),"PR018")</f>
        <v>PR018</v>
      </c>
      <c r="B899" s="2" t="str">
        <f>IFERROR(__xludf.DUMMYFUNCTION("""COMPUTED_VALUE"""),"VD042")</f>
        <v>VD042</v>
      </c>
      <c r="C899" s="2">
        <f>IFERROR(__xludf.DUMMYFUNCTION("""COMPUTED_VALUE"""),8.0)</f>
        <v>8</v>
      </c>
      <c r="D899" s="6">
        <f>IFERROR(__xludf.DUMMYFUNCTION("""COMPUTED_VALUE"""),289.52)</f>
        <v>289.52</v>
      </c>
      <c r="E899" s="6">
        <f>IFERROR(__xludf.DUMMYFUNCTION("GOOGLEFINANCE(""Currency:BRLMXN"")*D899"),983.4994399999999)</f>
        <v>983.49944</v>
      </c>
      <c r="F899" s="6">
        <f>IFERROR(__xludf.DUMMYFUNCTION("GOOGLEFINANCE(""Currency:BRLPEN"")*D899"),189.80931199999998)</f>
        <v>189.809312</v>
      </c>
      <c r="G899" s="2" t="str">
        <f t="array" ref="G899">_xlfn.XLOOKUP(B899,Vendedores!$A$2:$A$41,Vendedores!$B$2:$B$41,"No hay datos")</f>
        <v>No hay datos</v>
      </c>
      <c r="H899" s="2" t="str">
        <f t="array" ref="H899">_xlfn.XLOOKUP(B899,Vendedores!$A$2:$A$41,Vendedores!$C$2:$C$41,"No hay datos")</f>
        <v>No hay datos</v>
      </c>
      <c r="I899" s="2" t="str">
        <f t="array" ref="I899">_xlfn.XLOOKUP(B899,Vendedores!$A$2:$A$41,Vendedores!$D$2:$D$41,"No hay datos")</f>
        <v>No hay datos</v>
      </c>
      <c r="J899" s="2" t="str">
        <f t="array" ref="J899">_xlfn.XLOOKUP(A899,Productos!$A$2:$A$61,Productos!$B$2:$F$61)</f>
        <v>#N/A</v>
      </c>
    </row>
    <row r="900">
      <c r="A900" s="2" t="str">
        <f>IFERROR(__xludf.DUMMYFUNCTION("""COMPUTED_VALUE"""),"PR020")</f>
        <v>PR020</v>
      </c>
      <c r="B900" s="2" t="str">
        <f>IFERROR(__xludf.DUMMYFUNCTION("""COMPUTED_VALUE"""),"VD024")</f>
        <v>VD024</v>
      </c>
      <c r="C900" s="2">
        <f>IFERROR(__xludf.DUMMYFUNCTION("""COMPUTED_VALUE"""),18.0)</f>
        <v>18</v>
      </c>
      <c r="D900" s="6">
        <f>IFERROR(__xludf.DUMMYFUNCTION("""COMPUTED_VALUE"""),5452.18)</f>
        <v>5452.18</v>
      </c>
      <c r="E900" s="6">
        <f>IFERROR(__xludf.DUMMYFUNCTION("GOOGLEFINANCE(""Currency:BRLMXN"")*D900"),18521.05546)</f>
        <v>18521.05546</v>
      </c>
      <c r="F900" s="6">
        <f>IFERROR(__xludf.DUMMYFUNCTION("GOOGLEFINANCE(""Currency:BRLPEN"")*D900"),3574.449208)</f>
        <v>3574.449208</v>
      </c>
      <c r="G900" s="2" t="str">
        <f t="array" ref="G900">_xlfn.XLOOKUP(B900,Vendedores!$A$2:$A$41,Vendedores!$B$2:$B$41,"No hay datos")</f>
        <v>No hay datos</v>
      </c>
      <c r="H900" s="2" t="str">
        <f t="array" ref="H900">_xlfn.XLOOKUP(B900,Vendedores!$A$2:$A$41,Vendedores!$C$2:$C$41,"No hay datos")</f>
        <v>No hay datos</v>
      </c>
      <c r="I900" s="2" t="str">
        <f t="array" ref="I900">_xlfn.XLOOKUP(B900,Vendedores!$A$2:$A$41,Vendedores!$D$2:$D$41,"No hay datos")</f>
        <v>No hay datos</v>
      </c>
      <c r="J900" s="2" t="str">
        <f t="array" ref="J900">_xlfn.XLOOKUP(A900,Productos!$A$2:$A$61,Productos!$B$2:$F$61)</f>
        <v>#N/A</v>
      </c>
    </row>
    <row r="901">
      <c r="A901" s="2" t="str">
        <f>IFERROR(__xludf.DUMMYFUNCTION("""COMPUTED_VALUE"""),"PR011")</f>
        <v>PR011</v>
      </c>
      <c r="B901" s="2" t="str">
        <f>IFERROR(__xludf.DUMMYFUNCTION("""COMPUTED_VALUE"""),"VD013")</f>
        <v>VD013</v>
      </c>
      <c r="C901" s="2">
        <f>IFERROR(__xludf.DUMMYFUNCTION("""COMPUTED_VALUE"""),2.0)</f>
        <v>2</v>
      </c>
      <c r="D901" s="6">
        <f>IFERROR(__xludf.DUMMYFUNCTION("""COMPUTED_VALUE"""),96.61)</f>
        <v>96.61</v>
      </c>
      <c r="E901" s="6">
        <f>IFERROR(__xludf.DUMMYFUNCTION("GOOGLEFINANCE(""Currency:BRLMXN"")*D901"),328.18417)</f>
        <v>328.18417</v>
      </c>
      <c r="F901" s="6">
        <f>IFERROR(__xludf.DUMMYFUNCTION("GOOGLEFINANCE(""Currency:BRLPEN"")*D901"),63.337515999999994)</f>
        <v>63.337516</v>
      </c>
      <c r="G901" s="2" t="str">
        <f t="array" ref="G901">_xlfn.XLOOKUP(B901,Vendedores!$A$2:$A$41,Vendedores!$B$2:$B$41,"No hay datos")</f>
        <v>No hay datos</v>
      </c>
      <c r="H901" s="2" t="str">
        <f t="array" ref="H901">_xlfn.XLOOKUP(B901,Vendedores!$A$2:$A$41,Vendedores!$C$2:$C$41,"No hay datos")</f>
        <v>No hay datos</v>
      </c>
      <c r="I901" s="2" t="str">
        <f t="array" ref="I901">_xlfn.XLOOKUP(B901,Vendedores!$A$2:$A$41,Vendedores!$D$2:$D$41,"No hay datos")</f>
        <v>No hay datos</v>
      </c>
      <c r="J901" s="2" t="str">
        <f t="array" ref="J901">_xlfn.XLOOKUP(A901,Productos!$A$2:$A$61,Productos!$B$2:$F$61)</f>
        <v>#N/A</v>
      </c>
    </row>
    <row r="902">
      <c r="A902" s="2" t="str">
        <f>IFERROR(__xludf.DUMMYFUNCTION("""COMPUTED_VALUE"""),"PR025")</f>
        <v>PR025</v>
      </c>
      <c r="B902" s="2" t="str">
        <f>IFERROR(__xludf.DUMMYFUNCTION("""COMPUTED_VALUE"""),"VD047")</f>
        <v>VD047</v>
      </c>
      <c r="C902" s="2">
        <f>IFERROR(__xludf.DUMMYFUNCTION("""COMPUTED_VALUE"""),2.0)</f>
        <v>2</v>
      </c>
      <c r="D902" s="6">
        <f>IFERROR(__xludf.DUMMYFUNCTION("""COMPUTED_VALUE"""),635.79)</f>
        <v>635.79</v>
      </c>
      <c r="E902" s="6">
        <f>IFERROR(__xludf.DUMMYFUNCTION("GOOGLEFINANCE(""Currency:BRLMXN"")*D902"),2159.77863)</f>
        <v>2159.77863</v>
      </c>
      <c r="F902" s="6">
        <f>IFERROR(__xludf.DUMMYFUNCTION("GOOGLEFINANCE(""Currency:BRLPEN"")*D902"),416.823924)</f>
        <v>416.823924</v>
      </c>
      <c r="G902" s="2" t="str">
        <f t="array" ref="G902">_xlfn.XLOOKUP(B902,Vendedores!$A$2:$A$41,Vendedores!$B$2:$B$41,"No hay datos")</f>
        <v>No hay datos</v>
      </c>
      <c r="H902" s="2" t="str">
        <f t="array" ref="H902">_xlfn.XLOOKUP(B902,Vendedores!$A$2:$A$41,Vendedores!$C$2:$C$41,"No hay datos")</f>
        <v>No hay datos</v>
      </c>
      <c r="I902" s="2" t="str">
        <f t="array" ref="I902">_xlfn.XLOOKUP(B902,Vendedores!$A$2:$A$41,Vendedores!$D$2:$D$41,"No hay datos")</f>
        <v>No hay datos</v>
      </c>
      <c r="J902" s="2" t="str">
        <f t="array" ref="J902">_xlfn.XLOOKUP(A902,Productos!$A$2:$A$61,Productos!$B$2:$F$61)</f>
        <v>#N/A</v>
      </c>
    </row>
    <row r="903">
      <c r="A903" s="2" t="str">
        <f>IFERROR(__xludf.DUMMYFUNCTION("""COMPUTED_VALUE"""),"PR044")</f>
        <v>PR044</v>
      </c>
      <c r="B903" s="2" t="str">
        <f>IFERROR(__xludf.DUMMYFUNCTION("""COMPUTED_VALUE"""),"VD020")</f>
        <v>VD020</v>
      </c>
      <c r="C903" s="2">
        <f>IFERROR(__xludf.DUMMYFUNCTION("""COMPUTED_VALUE"""),9.0)</f>
        <v>9</v>
      </c>
      <c r="D903" s="6">
        <f>IFERROR(__xludf.DUMMYFUNCTION("""COMPUTED_VALUE"""),652.5)</f>
        <v>652.5</v>
      </c>
      <c r="E903" s="6">
        <f>IFERROR(__xludf.DUMMYFUNCTION("GOOGLEFINANCE(""Currency:BRLMXN"")*D903"),2216.5425)</f>
        <v>2216.5425</v>
      </c>
      <c r="F903" s="6">
        <f>IFERROR(__xludf.DUMMYFUNCTION("GOOGLEFINANCE(""Currency:BRLPEN"")*D903"),427.779)</f>
        <v>427.779</v>
      </c>
      <c r="G903" s="2" t="str">
        <f t="array" ref="G903">_xlfn.XLOOKUP(B903,Vendedores!$A$2:$A$41,Vendedores!$B$2:$B$41,"No hay datos")</f>
        <v>No hay datos</v>
      </c>
      <c r="H903" s="2" t="str">
        <f t="array" ref="H903">_xlfn.XLOOKUP(B903,Vendedores!$A$2:$A$41,Vendedores!$C$2:$C$41,"No hay datos")</f>
        <v>No hay datos</v>
      </c>
      <c r="I903" s="2" t="str">
        <f t="array" ref="I903">_xlfn.XLOOKUP(B903,Vendedores!$A$2:$A$41,Vendedores!$D$2:$D$41,"No hay datos")</f>
        <v>No hay datos</v>
      </c>
      <c r="J903" s="2" t="str">
        <f t="array" ref="J903">_xlfn.XLOOKUP(A903,Productos!$A$2:$A$61,Productos!$B$2:$F$61)</f>
        <v>#N/A</v>
      </c>
    </row>
    <row r="904">
      <c r="A904" s="2" t="str">
        <f>IFERROR(__xludf.DUMMYFUNCTION("""COMPUTED_VALUE"""),"PR054")</f>
        <v>PR054</v>
      </c>
      <c r="B904" s="2" t="str">
        <f>IFERROR(__xludf.DUMMYFUNCTION("""COMPUTED_VALUE"""),"VD011")</f>
        <v>VD011</v>
      </c>
      <c r="C904" s="2">
        <f>IFERROR(__xludf.DUMMYFUNCTION("""COMPUTED_VALUE"""),2.0)</f>
        <v>2</v>
      </c>
      <c r="D904" s="6">
        <f>IFERROR(__xludf.DUMMYFUNCTION("""COMPUTED_VALUE"""),100.8)</f>
        <v>100.8</v>
      </c>
      <c r="E904" s="6">
        <f>IFERROR(__xludf.DUMMYFUNCTION("GOOGLEFINANCE(""Currency:BRLMXN"")*D904"),342.4176)</f>
        <v>342.4176</v>
      </c>
      <c r="F904" s="6">
        <f>IFERROR(__xludf.DUMMYFUNCTION("GOOGLEFINANCE(""Currency:BRLPEN"")*D904"),66.08448)</f>
        <v>66.08448</v>
      </c>
      <c r="G904" s="2" t="str">
        <f t="array" ref="G904">_xlfn.XLOOKUP(B904,Vendedores!$A$2:$A$41,Vendedores!$B$2:$B$41,"No hay datos")</f>
        <v>No hay datos</v>
      </c>
      <c r="H904" s="2" t="str">
        <f t="array" ref="H904">_xlfn.XLOOKUP(B904,Vendedores!$A$2:$A$41,Vendedores!$C$2:$C$41,"No hay datos")</f>
        <v>No hay datos</v>
      </c>
      <c r="I904" s="2" t="str">
        <f t="array" ref="I904">_xlfn.XLOOKUP(B904,Vendedores!$A$2:$A$41,Vendedores!$D$2:$D$41,"No hay datos")</f>
        <v>No hay datos</v>
      </c>
      <c r="J904" s="2" t="str">
        <f t="array" ref="J904">_xlfn.XLOOKUP(A904,Productos!$A$2:$A$61,Productos!$B$2:$F$61)</f>
        <v>#N/A</v>
      </c>
    </row>
    <row r="905">
      <c r="A905" s="2" t="str">
        <f>IFERROR(__xludf.DUMMYFUNCTION("""COMPUTED_VALUE"""),"PR004")</f>
        <v>PR004</v>
      </c>
      <c r="B905" s="2" t="str">
        <f>IFERROR(__xludf.DUMMYFUNCTION("""COMPUTED_VALUE"""),"VD039")</f>
        <v>VD039</v>
      </c>
      <c r="C905" s="2">
        <f>IFERROR(__xludf.DUMMYFUNCTION("""COMPUTED_VALUE"""),14.0)</f>
        <v>14</v>
      </c>
      <c r="D905" s="6">
        <f>IFERROR(__xludf.DUMMYFUNCTION("""COMPUTED_VALUE"""),2212.7)</f>
        <v>2212.7</v>
      </c>
      <c r="E905" s="6">
        <f>IFERROR(__xludf.DUMMYFUNCTION("GOOGLEFINANCE(""Currency:BRLMXN"")*D905"),7516.541899999999)</f>
        <v>7516.5419</v>
      </c>
      <c r="F905" s="6">
        <f>IFERROR(__xludf.DUMMYFUNCTION("GOOGLEFINANCE(""Currency:BRLPEN"")*D905"),1450.6461199999999)</f>
        <v>1450.64612</v>
      </c>
      <c r="G905" s="2" t="str">
        <f t="array" ref="G905">_xlfn.XLOOKUP(B905,Vendedores!$A$2:$A$41,Vendedores!$B$2:$B$41,"No hay datos")</f>
        <v>No hay datos</v>
      </c>
      <c r="H905" s="2" t="str">
        <f t="array" ref="H905">_xlfn.XLOOKUP(B905,Vendedores!$A$2:$A$41,Vendedores!$C$2:$C$41,"No hay datos")</f>
        <v>No hay datos</v>
      </c>
      <c r="I905" s="2" t="str">
        <f t="array" ref="I905">_xlfn.XLOOKUP(B905,Vendedores!$A$2:$A$41,Vendedores!$D$2:$D$41,"No hay datos")</f>
        <v>No hay datos</v>
      </c>
      <c r="J905" s="2" t="str">
        <f t="array" ref="J905">_xlfn.XLOOKUP(A905,Productos!$A$2:$A$61,Productos!$B$2:$F$61)</f>
        <v>#N/A</v>
      </c>
    </row>
    <row r="906">
      <c r="A906" s="2" t="str">
        <f>IFERROR(__xludf.DUMMYFUNCTION("""COMPUTED_VALUE"""),"PR032")</f>
        <v>PR032</v>
      </c>
      <c r="B906" s="2" t="str">
        <f>IFERROR(__xludf.DUMMYFUNCTION("""COMPUTED_VALUE"""),"VD017")</f>
        <v>VD017</v>
      </c>
      <c r="C906" s="2">
        <f>IFERROR(__xludf.DUMMYFUNCTION("""COMPUTED_VALUE"""),12.0)</f>
        <v>12</v>
      </c>
      <c r="D906" s="6">
        <f>IFERROR(__xludf.DUMMYFUNCTION("""COMPUTED_VALUE"""),3030.0)</f>
        <v>3030</v>
      </c>
      <c r="E906" s="6">
        <f>IFERROR(__xludf.DUMMYFUNCTION("GOOGLEFINANCE(""Currency:BRLMXN"")*D906"),10292.91)</f>
        <v>10292.91</v>
      </c>
      <c r="F906" s="6">
        <f>IFERROR(__xludf.DUMMYFUNCTION("GOOGLEFINANCE(""Currency:BRLPEN"")*D906"),1986.4679999999998)</f>
        <v>1986.468</v>
      </c>
      <c r="G906" s="2" t="str">
        <f t="array" ref="G906">_xlfn.XLOOKUP(B906,Vendedores!$A$2:$A$41,Vendedores!$B$2:$B$41,"No hay datos")</f>
        <v>No hay datos</v>
      </c>
      <c r="H906" s="2" t="str">
        <f t="array" ref="H906">_xlfn.XLOOKUP(B906,Vendedores!$A$2:$A$41,Vendedores!$C$2:$C$41,"No hay datos")</f>
        <v>No hay datos</v>
      </c>
      <c r="I906" s="2" t="str">
        <f t="array" ref="I906">_xlfn.XLOOKUP(B906,Vendedores!$A$2:$A$41,Vendedores!$D$2:$D$41,"No hay datos")</f>
        <v>No hay datos</v>
      </c>
      <c r="J906" s="2" t="str">
        <f t="array" ref="J906">_xlfn.XLOOKUP(A906,Productos!$A$2:$A$61,Productos!$B$2:$F$61)</f>
        <v>#N/A</v>
      </c>
    </row>
    <row r="907">
      <c r="A907" s="2" t="str">
        <f>IFERROR(__xludf.DUMMYFUNCTION("""COMPUTED_VALUE"""),"PR060")</f>
        <v>PR060</v>
      </c>
      <c r="B907" s="2" t="str">
        <f>IFERROR(__xludf.DUMMYFUNCTION("""COMPUTED_VALUE"""),"VD040")</f>
        <v>VD040</v>
      </c>
      <c r="C907" s="2">
        <f>IFERROR(__xludf.DUMMYFUNCTION("""COMPUTED_VALUE"""),18.0)</f>
        <v>18</v>
      </c>
      <c r="D907" s="6">
        <f>IFERROR(__xludf.DUMMYFUNCTION("""COMPUTED_VALUE"""),3434.4)</f>
        <v>3434.4</v>
      </c>
      <c r="E907" s="6">
        <f>IFERROR(__xludf.DUMMYFUNCTION("GOOGLEFINANCE(""Currency:BRLMXN"")*D907"),11666.656799999999)</f>
        <v>11666.6568</v>
      </c>
      <c r="F907" s="6">
        <f>IFERROR(__xludf.DUMMYFUNCTION("GOOGLEFINANCE(""Currency:BRLPEN"")*D907"),2251.59264)</f>
        <v>2251.59264</v>
      </c>
      <c r="G907" s="2" t="str">
        <f t="array" ref="G907">_xlfn.XLOOKUP(B907,Vendedores!$A$2:$A$41,Vendedores!$B$2:$B$41,"No hay datos")</f>
        <v>No hay datos</v>
      </c>
      <c r="H907" s="2" t="str">
        <f t="array" ref="H907">_xlfn.XLOOKUP(B907,Vendedores!$A$2:$A$41,Vendedores!$C$2:$C$41,"No hay datos")</f>
        <v>No hay datos</v>
      </c>
      <c r="I907" s="2" t="str">
        <f t="array" ref="I907">_xlfn.XLOOKUP(B907,Vendedores!$A$2:$A$41,Vendedores!$D$2:$D$41,"No hay datos")</f>
        <v>No hay datos</v>
      </c>
      <c r="J907" s="2" t="str">
        <f t="array" ref="J907">_xlfn.XLOOKUP(A907,Productos!$A$2:$A$61,Productos!$B$2:$F$61)</f>
        <v>#N/A</v>
      </c>
    </row>
    <row r="908">
      <c r="A908" s="2" t="str">
        <f>IFERROR(__xludf.DUMMYFUNCTION("""COMPUTED_VALUE"""),"PR041")</f>
        <v>PR041</v>
      </c>
      <c r="B908" s="2" t="str">
        <f>IFERROR(__xludf.DUMMYFUNCTION("""COMPUTED_VALUE"""),"VD018")</f>
        <v>VD018</v>
      </c>
      <c r="C908" s="2">
        <f>IFERROR(__xludf.DUMMYFUNCTION("""COMPUTED_VALUE"""),1.0)</f>
        <v>1</v>
      </c>
      <c r="D908" s="6">
        <f>IFERROR(__xludf.DUMMYFUNCTION("""COMPUTED_VALUE"""),59.29)</f>
        <v>59.29</v>
      </c>
      <c r="E908" s="6">
        <f>IFERROR(__xludf.DUMMYFUNCTION("GOOGLEFINANCE(""Currency:BRLMXN"")*D908"),201.40812999999997)</f>
        <v>201.40813</v>
      </c>
      <c r="F908" s="6">
        <f>IFERROR(__xludf.DUMMYFUNCTION("GOOGLEFINANCE(""Currency:BRLPEN"")*D908"),38.870523999999996)</f>
        <v>38.870524</v>
      </c>
      <c r="G908" s="2" t="str">
        <f t="array" ref="G908">_xlfn.XLOOKUP(B908,Vendedores!$A$2:$A$41,Vendedores!$B$2:$B$41,"No hay datos")</f>
        <v>No hay datos</v>
      </c>
      <c r="H908" s="2" t="str">
        <f t="array" ref="H908">_xlfn.XLOOKUP(B908,Vendedores!$A$2:$A$41,Vendedores!$C$2:$C$41,"No hay datos")</f>
        <v>No hay datos</v>
      </c>
      <c r="I908" s="2" t="str">
        <f t="array" ref="I908">_xlfn.XLOOKUP(B908,Vendedores!$A$2:$A$41,Vendedores!$D$2:$D$41,"No hay datos")</f>
        <v>No hay datos</v>
      </c>
      <c r="J908" s="2" t="str">
        <f t="array" ref="J908">_xlfn.XLOOKUP(A908,Productos!$A$2:$A$61,Productos!$B$2:$F$61)</f>
        <v>#N/A</v>
      </c>
    </row>
    <row r="909">
      <c r="A909" s="2" t="str">
        <f>IFERROR(__xludf.DUMMYFUNCTION("""COMPUTED_VALUE"""),"PR029")</f>
        <v>PR029</v>
      </c>
      <c r="B909" s="2" t="str">
        <f>IFERROR(__xludf.DUMMYFUNCTION("""COMPUTED_VALUE"""),"VD029")</f>
        <v>VD029</v>
      </c>
      <c r="C909" s="2">
        <f>IFERROR(__xludf.DUMMYFUNCTION("""COMPUTED_VALUE"""),6.0)</f>
        <v>6</v>
      </c>
      <c r="D909" s="6">
        <f>IFERROR(__xludf.DUMMYFUNCTION("""COMPUTED_VALUE"""),1575.9)</f>
        <v>1575.9</v>
      </c>
      <c r="E909" s="6">
        <f>IFERROR(__xludf.DUMMYFUNCTION("GOOGLEFINANCE(""Currency:BRLMXN"")*D909"),5353.3323)</f>
        <v>5353.3323</v>
      </c>
      <c r="F909" s="6">
        <f>IFERROR(__xludf.DUMMYFUNCTION("GOOGLEFINANCE(""Currency:BRLPEN"")*D909"),1033.16004)</f>
        <v>1033.16004</v>
      </c>
      <c r="G909" s="2" t="str">
        <f t="array" ref="G909">_xlfn.XLOOKUP(B909,Vendedores!$A$2:$A$41,Vendedores!$B$2:$B$41,"No hay datos")</f>
        <v>No hay datos</v>
      </c>
      <c r="H909" s="2" t="str">
        <f t="array" ref="H909">_xlfn.XLOOKUP(B909,Vendedores!$A$2:$A$41,Vendedores!$C$2:$C$41,"No hay datos")</f>
        <v>No hay datos</v>
      </c>
      <c r="I909" s="2" t="str">
        <f t="array" ref="I909">_xlfn.XLOOKUP(B909,Vendedores!$A$2:$A$41,Vendedores!$D$2:$D$41,"No hay datos")</f>
        <v>No hay datos</v>
      </c>
      <c r="J909" s="2" t="str">
        <f t="array" ref="J909">_xlfn.XLOOKUP(A909,Productos!$A$2:$A$61,Productos!$B$2:$F$61)</f>
        <v>#N/A</v>
      </c>
    </row>
    <row r="910">
      <c r="A910" s="2" t="str">
        <f>IFERROR(__xludf.DUMMYFUNCTION("""COMPUTED_VALUE"""),"PR039")</f>
        <v>PR039</v>
      </c>
      <c r="B910" s="2" t="str">
        <f>IFERROR(__xludf.DUMMYFUNCTION("""COMPUTED_VALUE"""),"VD034")</f>
        <v>VD034</v>
      </c>
      <c r="C910" s="2">
        <f>IFERROR(__xludf.DUMMYFUNCTION("""COMPUTED_VALUE"""),16.0)</f>
        <v>16</v>
      </c>
      <c r="D910" s="6">
        <f>IFERROR(__xludf.DUMMYFUNCTION("""COMPUTED_VALUE"""),2336.0)</f>
        <v>2336</v>
      </c>
      <c r="E910" s="6">
        <f>IFERROR(__xludf.DUMMYFUNCTION("GOOGLEFINANCE(""Currency:BRLMXN"")*D910"),7935.392)</f>
        <v>7935.392</v>
      </c>
      <c r="F910" s="6">
        <f>IFERROR(__xludf.DUMMYFUNCTION("GOOGLEFINANCE(""Currency:BRLPEN"")*D910"),1531.4815999999998)</f>
        <v>1531.4816</v>
      </c>
      <c r="G910" s="2" t="str">
        <f t="array" ref="G910">_xlfn.XLOOKUP(B910,Vendedores!$A$2:$A$41,Vendedores!$B$2:$B$41,"No hay datos")</f>
        <v>No hay datos</v>
      </c>
      <c r="H910" s="2" t="str">
        <f t="array" ref="H910">_xlfn.XLOOKUP(B910,Vendedores!$A$2:$A$41,Vendedores!$C$2:$C$41,"No hay datos")</f>
        <v>No hay datos</v>
      </c>
      <c r="I910" s="2" t="str">
        <f t="array" ref="I910">_xlfn.XLOOKUP(B910,Vendedores!$A$2:$A$41,Vendedores!$D$2:$D$41,"No hay datos")</f>
        <v>No hay datos</v>
      </c>
      <c r="J910" s="2" t="str">
        <f t="array" ref="J910">_xlfn.XLOOKUP(A910,Productos!$A$2:$A$61,Productos!$B$2:$F$61)</f>
        <v>#N/A</v>
      </c>
    </row>
    <row r="911">
      <c r="A911" s="2" t="str">
        <f>IFERROR(__xludf.DUMMYFUNCTION("""COMPUTED_VALUE"""),"PR048")</f>
        <v>PR048</v>
      </c>
      <c r="B911" s="2" t="str">
        <f>IFERROR(__xludf.DUMMYFUNCTION("""COMPUTED_VALUE"""),"VD026")</f>
        <v>VD026</v>
      </c>
      <c r="C911" s="2">
        <f>IFERROR(__xludf.DUMMYFUNCTION("""COMPUTED_VALUE"""),6.0)</f>
        <v>6</v>
      </c>
      <c r="D911" s="6">
        <f>IFERROR(__xludf.DUMMYFUNCTION("""COMPUTED_VALUE"""),1774.19)</f>
        <v>1774.19</v>
      </c>
      <c r="E911" s="6">
        <f>IFERROR(__xludf.DUMMYFUNCTION("GOOGLEFINANCE(""Currency:BRLMXN"")*D911"),6026.92343)</f>
        <v>6026.92343</v>
      </c>
      <c r="F911" s="6">
        <f>IFERROR(__xludf.DUMMYFUNCTION("GOOGLEFINANCE(""Currency:BRLPEN"")*D911"),1163.158964)</f>
        <v>1163.158964</v>
      </c>
      <c r="G911" s="2" t="str">
        <f t="array" ref="G911">_xlfn.XLOOKUP(B911,Vendedores!$A$2:$A$41,Vendedores!$B$2:$B$41,"No hay datos")</f>
        <v>No hay datos</v>
      </c>
      <c r="H911" s="2" t="str">
        <f t="array" ref="H911">_xlfn.XLOOKUP(B911,Vendedores!$A$2:$A$41,Vendedores!$C$2:$C$41,"No hay datos")</f>
        <v>No hay datos</v>
      </c>
      <c r="I911" s="2" t="str">
        <f t="array" ref="I911">_xlfn.XLOOKUP(B911,Vendedores!$A$2:$A$41,Vendedores!$D$2:$D$41,"No hay datos")</f>
        <v>No hay datos</v>
      </c>
      <c r="J911" s="2" t="str">
        <f t="array" ref="J911">_xlfn.XLOOKUP(A911,Productos!$A$2:$A$61,Productos!$B$2:$F$61)</f>
        <v>#N/A</v>
      </c>
    </row>
    <row r="912">
      <c r="A912" s="2" t="str">
        <f>IFERROR(__xludf.DUMMYFUNCTION("""COMPUTED_VALUE"""),"PR015")</f>
        <v>PR015</v>
      </c>
      <c r="B912" s="2" t="str">
        <f>IFERROR(__xludf.DUMMYFUNCTION("""COMPUTED_VALUE"""),"VD012")</f>
        <v>VD012</v>
      </c>
      <c r="C912" s="2">
        <f>IFERROR(__xludf.DUMMYFUNCTION("""COMPUTED_VALUE"""),2.0)</f>
        <v>2</v>
      </c>
      <c r="D912" s="6">
        <f>IFERROR(__xludf.DUMMYFUNCTION("""COMPUTED_VALUE"""),85.85)</f>
        <v>85.85</v>
      </c>
      <c r="E912" s="6">
        <f>IFERROR(__xludf.DUMMYFUNCTION("GOOGLEFINANCE(""Currency:BRLMXN"")*D912"),291.63244999999995)</f>
        <v>291.63245</v>
      </c>
      <c r="F912" s="6">
        <f>IFERROR(__xludf.DUMMYFUNCTION("GOOGLEFINANCE(""Currency:BRLPEN"")*D912"),56.28325999999999)</f>
        <v>56.28326</v>
      </c>
      <c r="G912" s="2" t="str">
        <f t="array" ref="G912">_xlfn.XLOOKUP(B912,Vendedores!$A$2:$A$41,Vendedores!$B$2:$B$41,"No hay datos")</f>
        <v>No hay datos</v>
      </c>
      <c r="H912" s="2" t="str">
        <f t="array" ref="H912">_xlfn.XLOOKUP(B912,Vendedores!$A$2:$A$41,Vendedores!$C$2:$C$41,"No hay datos")</f>
        <v>No hay datos</v>
      </c>
      <c r="I912" s="2" t="str">
        <f t="array" ref="I912">_xlfn.XLOOKUP(B912,Vendedores!$A$2:$A$41,Vendedores!$D$2:$D$41,"No hay datos")</f>
        <v>No hay datos</v>
      </c>
      <c r="J912" s="2" t="str">
        <f t="array" ref="J912">_xlfn.XLOOKUP(A912,Productos!$A$2:$A$61,Productos!$B$2:$F$61)</f>
        <v>#N/A</v>
      </c>
    </row>
    <row r="913">
      <c r="A913" s="2" t="str">
        <f>IFERROR(__xludf.DUMMYFUNCTION("""COMPUTED_VALUE"""),"PR051")</f>
        <v>PR051</v>
      </c>
      <c r="B913" s="2" t="str">
        <f>IFERROR(__xludf.DUMMYFUNCTION("""COMPUTED_VALUE"""),"VD036")</f>
        <v>VD036</v>
      </c>
      <c r="C913" s="2">
        <f>IFERROR(__xludf.DUMMYFUNCTION("""COMPUTED_VALUE"""),10.0)</f>
        <v>10</v>
      </c>
      <c r="D913" s="6">
        <f>IFERROR(__xludf.DUMMYFUNCTION("""COMPUTED_VALUE"""),348.74)</f>
        <v>348.74</v>
      </c>
      <c r="E913" s="6">
        <f>IFERROR(__xludf.DUMMYFUNCTION("GOOGLEFINANCE(""Currency:BRLMXN"")*D913"),1184.66978)</f>
        <v>1184.66978</v>
      </c>
      <c r="F913" s="6">
        <f>IFERROR(__xludf.DUMMYFUNCTION("GOOGLEFINANCE(""Currency:BRLPEN"")*D913"),228.63394399999999)</f>
        <v>228.633944</v>
      </c>
      <c r="G913" s="2" t="str">
        <f t="array" ref="G913">_xlfn.XLOOKUP(B913,Vendedores!$A$2:$A$41,Vendedores!$B$2:$B$41,"No hay datos")</f>
        <v>No hay datos</v>
      </c>
      <c r="H913" s="2" t="str">
        <f t="array" ref="H913">_xlfn.XLOOKUP(B913,Vendedores!$A$2:$A$41,Vendedores!$C$2:$C$41,"No hay datos")</f>
        <v>No hay datos</v>
      </c>
      <c r="I913" s="2" t="str">
        <f t="array" ref="I913">_xlfn.XLOOKUP(B913,Vendedores!$A$2:$A$41,Vendedores!$D$2:$D$41,"No hay datos")</f>
        <v>No hay datos</v>
      </c>
      <c r="J913" s="2" t="str">
        <f t="array" ref="J913">_xlfn.XLOOKUP(A913,Productos!$A$2:$A$61,Productos!$B$2:$F$61)</f>
        <v>#N/A</v>
      </c>
    </row>
    <row r="914">
      <c r="A914" s="2" t="str">
        <f>IFERROR(__xludf.DUMMYFUNCTION("""COMPUTED_VALUE"""),"PR060")</f>
        <v>PR060</v>
      </c>
      <c r="B914" s="2" t="str">
        <f>IFERROR(__xludf.DUMMYFUNCTION("""COMPUTED_VALUE"""),"VD021")</f>
        <v>VD021</v>
      </c>
      <c r="C914" s="2">
        <f>IFERROR(__xludf.DUMMYFUNCTION("""COMPUTED_VALUE"""),12.0)</f>
        <v>12</v>
      </c>
      <c r="D914" s="6">
        <f>IFERROR(__xludf.DUMMYFUNCTION("""COMPUTED_VALUE"""),2246.4)</f>
        <v>2246.4</v>
      </c>
      <c r="E914" s="6">
        <f>IFERROR(__xludf.DUMMYFUNCTION("GOOGLEFINANCE(""Currency:BRLMXN"")*D914"),7631.0208)</f>
        <v>7631.0208</v>
      </c>
      <c r="F914" s="6">
        <f>IFERROR(__xludf.DUMMYFUNCTION("GOOGLEFINANCE(""Currency:BRLPEN"")*D914"),1472.73984)</f>
        <v>1472.73984</v>
      </c>
      <c r="G914" s="2" t="str">
        <f t="array" ref="G914">_xlfn.XLOOKUP(B914,Vendedores!$A$2:$A$41,Vendedores!$B$2:$B$41,"No hay datos")</f>
        <v>No hay datos</v>
      </c>
      <c r="H914" s="2" t="str">
        <f t="array" ref="H914">_xlfn.XLOOKUP(B914,Vendedores!$A$2:$A$41,Vendedores!$C$2:$C$41,"No hay datos")</f>
        <v>No hay datos</v>
      </c>
      <c r="I914" s="2" t="str">
        <f t="array" ref="I914">_xlfn.XLOOKUP(B914,Vendedores!$A$2:$A$41,Vendedores!$D$2:$D$41,"No hay datos")</f>
        <v>No hay datos</v>
      </c>
      <c r="J914" s="2" t="str">
        <f t="array" ref="J914">_xlfn.XLOOKUP(A914,Productos!$A$2:$A$61,Productos!$B$2:$F$61)</f>
        <v>#N/A</v>
      </c>
    </row>
    <row r="915">
      <c r="A915" s="2" t="str">
        <f>IFERROR(__xludf.DUMMYFUNCTION("""COMPUTED_VALUE"""),"PR053")</f>
        <v>PR053</v>
      </c>
      <c r="B915" s="2" t="str">
        <f>IFERROR(__xludf.DUMMYFUNCTION("""COMPUTED_VALUE"""),"VD047")</f>
        <v>VD047</v>
      </c>
      <c r="C915" s="2">
        <f>IFERROR(__xludf.DUMMYFUNCTION("""COMPUTED_VALUE"""),6.0)</f>
        <v>6</v>
      </c>
      <c r="D915" s="6">
        <f>IFERROR(__xludf.DUMMYFUNCTION("""COMPUTED_VALUE"""),317.36)</f>
        <v>317.36</v>
      </c>
      <c r="E915" s="6">
        <f>IFERROR(__xludf.DUMMYFUNCTION("GOOGLEFINANCE(""Currency:BRLMXN"")*D915"),1078.07192)</f>
        <v>1078.07192</v>
      </c>
      <c r="F915" s="6">
        <f>IFERROR(__xludf.DUMMYFUNCTION("GOOGLEFINANCE(""Currency:BRLPEN"")*D915"),208.061216)</f>
        <v>208.061216</v>
      </c>
      <c r="G915" s="2" t="str">
        <f t="array" ref="G915">_xlfn.XLOOKUP(B915,Vendedores!$A$2:$A$41,Vendedores!$B$2:$B$41,"No hay datos")</f>
        <v>No hay datos</v>
      </c>
      <c r="H915" s="2" t="str">
        <f t="array" ref="H915">_xlfn.XLOOKUP(B915,Vendedores!$A$2:$A$41,Vendedores!$C$2:$C$41,"No hay datos")</f>
        <v>No hay datos</v>
      </c>
      <c r="I915" s="2" t="str">
        <f t="array" ref="I915">_xlfn.XLOOKUP(B915,Vendedores!$A$2:$A$41,Vendedores!$D$2:$D$41,"No hay datos")</f>
        <v>No hay datos</v>
      </c>
      <c r="J915" s="2" t="str">
        <f t="array" ref="J915">_xlfn.XLOOKUP(A915,Productos!$A$2:$A$61,Productos!$B$2:$F$61)</f>
        <v>#N/A</v>
      </c>
    </row>
    <row r="916">
      <c r="A916" s="2" t="str">
        <f>IFERROR(__xludf.DUMMYFUNCTION("""COMPUTED_VALUE"""),"PR051")</f>
        <v>PR051</v>
      </c>
      <c r="B916" s="2" t="str">
        <f>IFERROR(__xludf.DUMMYFUNCTION("""COMPUTED_VALUE"""),"VD016")</f>
        <v>VD016</v>
      </c>
      <c r="C916" s="2">
        <f>IFERROR(__xludf.DUMMYFUNCTION("""COMPUTED_VALUE"""),8.0)</f>
        <v>8</v>
      </c>
      <c r="D916" s="6">
        <f>IFERROR(__xludf.DUMMYFUNCTION("""COMPUTED_VALUE"""),263.2)</f>
        <v>263.2</v>
      </c>
      <c r="E916" s="6">
        <f>IFERROR(__xludf.DUMMYFUNCTION("GOOGLEFINANCE(""Currency:BRLMXN"")*D916"),894.0903999999999)</f>
        <v>894.0904</v>
      </c>
      <c r="F916" s="6">
        <f>IFERROR(__xludf.DUMMYFUNCTION("GOOGLEFINANCE(""Currency:BRLPEN"")*D916"),172.55391999999998)</f>
        <v>172.55392</v>
      </c>
      <c r="G916" s="2" t="str">
        <f t="array" ref="G916">_xlfn.XLOOKUP(B916,Vendedores!$A$2:$A$41,Vendedores!$B$2:$B$41,"No hay datos")</f>
        <v>No hay datos</v>
      </c>
      <c r="H916" s="2" t="str">
        <f t="array" ref="H916">_xlfn.XLOOKUP(B916,Vendedores!$A$2:$A$41,Vendedores!$C$2:$C$41,"No hay datos")</f>
        <v>No hay datos</v>
      </c>
      <c r="I916" s="2" t="str">
        <f t="array" ref="I916">_xlfn.XLOOKUP(B916,Vendedores!$A$2:$A$41,Vendedores!$D$2:$D$41,"No hay datos")</f>
        <v>No hay datos</v>
      </c>
      <c r="J916" s="2" t="str">
        <f t="array" ref="J916">_xlfn.XLOOKUP(A916,Productos!$A$2:$A$61,Productos!$B$2:$F$61)</f>
        <v>#N/A</v>
      </c>
    </row>
    <row r="917">
      <c r="A917" s="2" t="str">
        <f>IFERROR(__xludf.DUMMYFUNCTION("""COMPUTED_VALUE"""),"PR035")</f>
        <v>PR035</v>
      </c>
      <c r="B917" s="2" t="str">
        <f>IFERROR(__xludf.DUMMYFUNCTION("""COMPUTED_VALUE"""),"VD016")</f>
        <v>VD016</v>
      </c>
      <c r="C917" s="2">
        <f>IFERROR(__xludf.DUMMYFUNCTION("""COMPUTED_VALUE"""),12.0)</f>
        <v>12</v>
      </c>
      <c r="D917" s="6">
        <f>IFERROR(__xludf.DUMMYFUNCTION("""COMPUTED_VALUE"""),1107.77)</f>
        <v>1107.77</v>
      </c>
      <c r="E917" s="6">
        <f>IFERROR(__xludf.DUMMYFUNCTION("GOOGLEFINANCE(""Currency:BRLMXN"")*D917"),3763.09469)</f>
        <v>3763.09469</v>
      </c>
      <c r="F917" s="6">
        <f>IFERROR(__xludf.DUMMYFUNCTION("GOOGLEFINANCE(""Currency:BRLPEN"")*D917"),726.254012)</f>
        <v>726.254012</v>
      </c>
      <c r="G917" s="2" t="str">
        <f t="array" ref="G917">_xlfn.XLOOKUP(B917,Vendedores!$A$2:$A$41,Vendedores!$B$2:$B$41,"No hay datos")</f>
        <v>No hay datos</v>
      </c>
      <c r="H917" s="2" t="str">
        <f t="array" ref="H917">_xlfn.XLOOKUP(B917,Vendedores!$A$2:$A$41,Vendedores!$C$2:$C$41,"No hay datos")</f>
        <v>No hay datos</v>
      </c>
      <c r="I917" s="2" t="str">
        <f t="array" ref="I917">_xlfn.XLOOKUP(B917,Vendedores!$A$2:$A$41,Vendedores!$D$2:$D$41,"No hay datos")</f>
        <v>No hay datos</v>
      </c>
      <c r="J917" s="2" t="str">
        <f t="array" ref="J917">_xlfn.XLOOKUP(A917,Productos!$A$2:$A$61,Productos!$B$2:$F$61)</f>
        <v>#N/A</v>
      </c>
    </row>
    <row r="918">
      <c r="A918" s="2" t="str">
        <f>IFERROR(__xludf.DUMMYFUNCTION("""COMPUTED_VALUE"""),"PR046")</f>
        <v>PR046</v>
      </c>
      <c r="B918" s="2" t="str">
        <f>IFERROR(__xludf.DUMMYFUNCTION("""COMPUTED_VALUE"""),"VD031")</f>
        <v>VD031</v>
      </c>
      <c r="C918" s="2">
        <f>IFERROR(__xludf.DUMMYFUNCTION("""COMPUTED_VALUE"""),14.0)</f>
        <v>14</v>
      </c>
      <c r="D918" s="6">
        <f>IFERROR(__xludf.DUMMYFUNCTION("""COMPUTED_VALUE"""),4099.19)</f>
        <v>4099.19</v>
      </c>
      <c r="E918" s="6">
        <f>IFERROR(__xludf.DUMMYFUNCTION("GOOGLEFINANCE(""Currency:BRLMXN"")*D918"),13924.948429999999)</f>
        <v>13924.94843</v>
      </c>
      <c r="F918" s="6">
        <f>IFERROR(__xludf.DUMMYFUNCTION("GOOGLEFINANCE(""Currency:BRLPEN"")*D918"),2687.4289639999997)</f>
        <v>2687.428964</v>
      </c>
      <c r="G918" s="2" t="str">
        <f t="array" ref="G918">_xlfn.XLOOKUP(B918,Vendedores!$A$2:$A$41,Vendedores!$B$2:$B$41,"No hay datos")</f>
        <v>No hay datos</v>
      </c>
      <c r="H918" s="2" t="str">
        <f t="array" ref="H918">_xlfn.XLOOKUP(B918,Vendedores!$A$2:$A$41,Vendedores!$C$2:$C$41,"No hay datos")</f>
        <v>No hay datos</v>
      </c>
      <c r="I918" s="2" t="str">
        <f t="array" ref="I918">_xlfn.XLOOKUP(B918,Vendedores!$A$2:$A$41,Vendedores!$D$2:$D$41,"No hay datos")</f>
        <v>No hay datos</v>
      </c>
      <c r="J918" s="2" t="str">
        <f t="array" ref="J918">_xlfn.XLOOKUP(A918,Productos!$A$2:$A$61,Productos!$B$2:$F$61)</f>
        <v>#N/A</v>
      </c>
    </row>
    <row r="919">
      <c r="A919" s="2" t="str">
        <f>IFERROR(__xludf.DUMMYFUNCTION("""COMPUTED_VALUE"""),"PR057")</f>
        <v>PR057</v>
      </c>
      <c r="B919" s="2" t="str">
        <f>IFERROR(__xludf.DUMMYFUNCTION("""COMPUTED_VALUE"""),"VD047")</f>
        <v>VD047</v>
      </c>
      <c r="C919" s="2">
        <f>IFERROR(__xludf.DUMMYFUNCTION("""COMPUTED_VALUE"""),12.0)</f>
        <v>12</v>
      </c>
      <c r="D919" s="6">
        <f>IFERROR(__xludf.DUMMYFUNCTION("""COMPUTED_VALUE"""),1121.95)</f>
        <v>1121.95</v>
      </c>
      <c r="E919" s="6">
        <f>IFERROR(__xludf.DUMMYFUNCTION("GOOGLEFINANCE(""Currency:BRLMXN"")*D919"),3811.26415)</f>
        <v>3811.26415</v>
      </c>
      <c r="F919" s="6">
        <f>IFERROR(__xludf.DUMMYFUNCTION("GOOGLEFINANCE(""Currency:BRLPEN"")*D919"),735.55042)</f>
        <v>735.55042</v>
      </c>
      <c r="G919" s="2" t="str">
        <f t="array" ref="G919">_xlfn.XLOOKUP(B919,Vendedores!$A$2:$A$41,Vendedores!$B$2:$B$41,"No hay datos")</f>
        <v>No hay datos</v>
      </c>
      <c r="H919" s="2" t="str">
        <f t="array" ref="H919">_xlfn.XLOOKUP(B919,Vendedores!$A$2:$A$41,Vendedores!$C$2:$C$41,"No hay datos")</f>
        <v>No hay datos</v>
      </c>
      <c r="I919" s="2" t="str">
        <f t="array" ref="I919">_xlfn.XLOOKUP(B919,Vendedores!$A$2:$A$41,Vendedores!$D$2:$D$41,"No hay datos")</f>
        <v>No hay datos</v>
      </c>
      <c r="J919" s="2" t="str">
        <f t="array" ref="J919">_xlfn.XLOOKUP(A919,Productos!$A$2:$A$61,Productos!$B$2:$F$61)</f>
        <v>#N/A</v>
      </c>
    </row>
    <row r="920">
      <c r="A920" s="2" t="str">
        <f>IFERROR(__xludf.DUMMYFUNCTION("""COMPUTED_VALUE"""),"PR050")</f>
        <v>PR050</v>
      </c>
      <c r="B920" s="2" t="str">
        <f>IFERROR(__xludf.DUMMYFUNCTION("""COMPUTED_VALUE"""),"VD031")</f>
        <v>VD031</v>
      </c>
      <c r="C920" s="2">
        <f>IFERROR(__xludf.DUMMYFUNCTION("""COMPUTED_VALUE"""),20.0)</f>
        <v>20</v>
      </c>
      <c r="D920" s="6">
        <f>IFERROR(__xludf.DUMMYFUNCTION("""COMPUTED_VALUE"""),697.48)</f>
        <v>697.48</v>
      </c>
      <c r="E920" s="6">
        <f>IFERROR(__xludf.DUMMYFUNCTION("GOOGLEFINANCE(""Currency:BRLMXN"")*D920"),2369.33956)</f>
        <v>2369.33956</v>
      </c>
      <c r="F920" s="6">
        <f>IFERROR(__xludf.DUMMYFUNCTION("GOOGLEFINANCE(""Currency:BRLPEN"")*D920"),457.26788799999997)</f>
        <v>457.267888</v>
      </c>
      <c r="G920" s="2" t="str">
        <f t="array" ref="G920">_xlfn.XLOOKUP(B920,Vendedores!$A$2:$A$41,Vendedores!$B$2:$B$41,"No hay datos")</f>
        <v>No hay datos</v>
      </c>
      <c r="H920" s="2" t="str">
        <f t="array" ref="H920">_xlfn.XLOOKUP(B920,Vendedores!$A$2:$A$41,Vendedores!$C$2:$C$41,"No hay datos")</f>
        <v>No hay datos</v>
      </c>
      <c r="I920" s="2" t="str">
        <f t="array" ref="I920">_xlfn.XLOOKUP(B920,Vendedores!$A$2:$A$41,Vendedores!$D$2:$D$41,"No hay datos")</f>
        <v>No hay datos</v>
      </c>
      <c r="J920" s="2" t="str">
        <f t="array" ref="J920">_xlfn.XLOOKUP(A920,Productos!$A$2:$A$61,Productos!$B$2:$F$61)</f>
        <v>#N/A</v>
      </c>
    </row>
    <row r="921">
      <c r="A921" s="2" t="str">
        <f>IFERROR(__xludf.DUMMYFUNCTION("""COMPUTED_VALUE"""),"PR012")</f>
        <v>PR012</v>
      </c>
      <c r="B921" s="2" t="str">
        <f>IFERROR(__xludf.DUMMYFUNCTION("""COMPUTED_VALUE"""),"VD020")</f>
        <v>VD020</v>
      </c>
      <c r="C921" s="2">
        <f>IFERROR(__xludf.DUMMYFUNCTION("""COMPUTED_VALUE"""),14.0)</f>
        <v>14</v>
      </c>
      <c r="D921" s="6">
        <f>IFERROR(__xludf.DUMMYFUNCTION("""COMPUTED_VALUE"""),711.98)</f>
        <v>711.98</v>
      </c>
      <c r="E921" s="6">
        <f>IFERROR(__xludf.DUMMYFUNCTION("GOOGLEFINANCE(""Currency:BRLMXN"")*D921"),2418.59606)</f>
        <v>2418.59606</v>
      </c>
      <c r="F921" s="6">
        <f>IFERROR(__xludf.DUMMYFUNCTION("GOOGLEFINANCE(""Currency:BRLPEN"")*D921"),466.774088)</f>
        <v>466.774088</v>
      </c>
      <c r="G921" s="2" t="str">
        <f t="array" ref="G921">_xlfn.XLOOKUP(B921,Vendedores!$A$2:$A$41,Vendedores!$B$2:$B$41,"No hay datos")</f>
        <v>No hay datos</v>
      </c>
      <c r="H921" s="2" t="str">
        <f t="array" ref="H921">_xlfn.XLOOKUP(B921,Vendedores!$A$2:$A$41,Vendedores!$C$2:$C$41,"No hay datos")</f>
        <v>No hay datos</v>
      </c>
      <c r="I921" s="2" t="str">
        <f t="array" ref="I921">_xlfn.XLOOKUP(B921,Vendedores!$A$2:$A$41,Vendedores!$D$2:$D$41,"No hay datos")</f>
        <v>No hay datos</v>
      </c>
      <c r="J921" s="2" t="str">
        <f t="array" ref="J921">_xlfn.XLOOKUP(A921,Productos!$A$2:$A$61,Productos!$B$2:$F$61)</f>
        <v>#N/A</v>
      </c>
    </row>
    <row r="922">
      <c r="A922" s="2" t="str">
        <f>IFERROR(__xludf.DUMMYFUNCTION("""COMPUTED_VALUE"""),"PR011")</f>
        <v>PR011</v>
      </c>
      <c r="B922" s="2" t="str">
        <f>IFERROR(__xludf.DUMMYFUNCTION("""COMPUTED_VALUE"""),"VD038")</f>
        <v>VD038</v>
      </c>
      <c r="C922" s="2">
        <f>IFERROR(__xludf.DUMMYFUNCTION("""COMPUTED_VALUE"""),10.0)</f>
        <v>10</v>
      </c>
      <c r="D922" s="6">
        <f>IFERROR(__xludf.DUMMYFUNCTION("""COMPUTED_VALUE"""),492.45)</f>
        <v>492.45</v>
      </c>
      <c r="E922" s="6">
        <f>IFERROR(__xludf.DUMMYFUNCTION("GOOGLEFINANCE(""Currency:BRLMXN"")*D922"),1672.8526499999998)</f>
        <v>1672.85265</v>
      </c>
      <c r="F922" s="6">
        <f>IFERROR(__xludf.DUMMYFUNCTION("GOOGLEFINANCE(""Currency:BRLPEN"")*D922"),322.85022)</f>
        <v>322.85022</v>
      </c>
      <c r="G922" s="2" t="str">
        <f t="array" ref="G922">_xlfn.XLOOKUP(B922,Vendedores!$A$2:$A$41,Vendedores!$B$2:$B$41,"No hay datos")</f>
        <v>No hay datos</v>
      </c>
      <c r="H922" s="2" t="str">
        <f t="array" ref="H922">_xlfn.XLOOKUP(B922,Vendedores!$A$2:$A$41,Vendedores!$C$2:$C$41,"No hay datos")</f>
        <v>No hay datos</v>
      </c>
      <c r="I922" s="2" t="str">
        <f t="array" ref="I922">_xlfn.XLOOKUP(B922,Vendedores!$A$2:$A$41,Vendedores!$D$2:$D$41,"No hay datos")</f>
        <v>No hay datos</v>
      </c>
      <c r="J922" s="2" t="str">
        <f t="array" ref="J922">_xlfn.XLOOKUP(A922,Productos!$A$2:$A$61,Productos!$B$2:$F$61)</f>
        <v>#N/A</v>
      </c>
    </row>
    <row r="923">
      <c r="A923" s="2" t="str">
        <f>IFERROR(__xludf.DUMMYFUNCTION("""COMPUTED_VALUE"""),"PR024")</f>
        <v>PR024</v>
      </c>
      <c r="B923" s="2" t="str">
        <f>IFERROR(__xludf.DUMMYFUNCTION("""COMPUTED_VALUE"""),"VD041")</f>
        <v>VD041</v>
      </c>
      <c r="C923" s="2">
        <f>IFERROR(__xludf.DUMMYFUNCTION("""COMPUTED_VALUE"""),2.0)</f>
        <v>2</v>
      </c>
      <c r="D923" s="6">
        <f>IFERROR(__xludf.DUMMYFUNCTION("""COMPUTED_VALUE"""),550.99)</f>
        <v>550.99</v>
      </c>
      <c r="E923" s="6">
        <f>IFERROR(__xludf.DUMMYFUNCTION("GOOGLEFINANCE(""Currency:BRLMXN"")*D923"),1871.71303)</f>
        <v>1871.71303</v>
      </c>
      <c r="F923" s="6">
        <f>IFERROR(__xludf.DUMMYFUNCTION("GOOGLEFINANCE(""Currency:BRLPEN"")*D923"),361.229044)</f>
        <v>361.229044</v>
      </c>
      <c r="G923" s="2" t="str">
        <f t="array" ref="G923">_xlfn.XLOOKUP(B923,Vendedores!$A$2:$A$41,Vendedores!$B$2:$B$41,"No hay datos")</f>
        <v>No hay datos</v>
      </c>
      <c r="H923" s="2" t="str">
        <f t="array" ref="H923">_xlfn.XLOOKUP(B923,Vendedores!$A$2:$A$41,Vendedores!$C$2:$C$41,"No hay datos")</f>
        <v>No hay datos</v>
      </c>
      <c r="I923" s="2" t="str">
        <f t="array" ref="I923">_xlfn.XLOOKUP(B923,Vendedores!$A$2:$A$41,Vendedores!$D$2:$D$41,"No hay datos")</f>
        <v>No hay datos</v>
      </c>
      <c r="J923" s="2" t="str">
        <f t="array" ref="J923">_xlfn.XLOOKUP(A923,Productos!$A$2:$A$61,Productos!$B$2:$F$61)</f>
        <v>#N/A</v>
      </c>
    </row>
    <row r="924">
      <c r="A924" s="2" t="str">
        <f>IFERROR(__xludf.DUMMYFUNCTION("""COMPUTED_VALUE"""),"PR049")</f>
        <v>PR049</v>
      </c>
      <c r="B924" s="2" t="str">
        <f>IFERROR(__xludf.DUMMYFUNCTION("""COMPUTED_VALUE"""),"VD017")</f>
        <v>VD017</v>
      </c>
      <c r="C924" s="2">
        <f>IFERROR(__xludf.DUMMYFUNCTION("""COMPUTED_VALUE"""),20.0)</f>
        <v>20</v>
      </c>
      <c r="D924" s="6">
        <f>IFERROR(__xludf.DUMMYFUNCTION("""COMPUTED_VALUE"""),671.16)</f>
        <v>671.16</v>
      </c>
      <c r="E924" s="6">
        <f>IFERROR(__xludf.DUMMYFUNCTION("GOOGLEFINANCE(""Currency:BRLMXN"")*D924"),2279.93052)</f>
        <v>2279.93052</v>
      </c>
      <c r="F924" s="6">
        <f>IFERROR(__xludf.DUMMYFUNCTION("GOOGLEFINANCE(""Currency:BRLPEN"")*D924"),440.01249599999994)</f>
        <v>440.012496</v>
      </c>
      <c r="G924" s="2" t="str">
        <f t="array" ref="G924">_xlfn.XLOOKUP(B924,Vendedores!$A$2:$A$41,Vendedores!$B$2:$B$41,"No hay datos")</f>
        <v>No hay datos</v>
      </c>
      <c r="H924" s="2" t="str">
        <f t="array" ref="H924">_xlfn.XLOOKUP(B924,Vendedores!$A$2:$A$41,Vendedores!$C$2:$C$41,"No hay datos")</f>
        <v>No hay datos</v>
      </c>
      <c r="I924" s="2" t="str">
        <f t="array" ref="I924">_xlfn.XLOOKUP(B924,Vendedores!$A$2:$A$41,Vendedores!$D$2:$D$41,"No hay datos")</f>
        <v>No hay datos</v>
      </c>
      <c r="J924" s="2" t="str">
        <f t="array" ref="J924">_xlfn.XLOOKUP(A924,Productos!$A$2:$A$61,Productos!$B$2:$F$61)</f>
        <v>#N/A</v>
      </c>
    </row>
    <row r="925">
      <c r="A925" s="2" t="str">
        <f>IFERROR(__xludf.DUMMYFUNCTION("""COMPUTED_VALUE"""),"PR050")</f>
        <v>PR050</v>
      </c>
      <c r="B925" s="2" t="str">
        <f>IFERROR(__xludf.DUMMYFUNCTION("""COMPUTED_VALUE"""),"VD011")</f>
        <v>VD011</v>
      </c>
      <c r="C925" s="2">
        <f>IFERROR(__xludf.DUMMYFUNCTION("""COMPUTED_VALUE"""),2.0)</f>
        <v>2</v>
      </c>
      <c r="D925" s="6">
        <f>IFERROR(__xludf.DUMMYFUNCTION("""COMPUTED_VALUE"""),71.06)</f>
        <v>71.06</v>
      </c>
      <c r="E925" s="6">
        <f>IFERROR(__xludf.DUMMYFUNCTION("GOOGLEFINANCE(""Currency:BRLMXN"")*D925"),241.39082)</f>
        <v>241.39082</v>
      </c>
      <c r="F925" s="6">
        <f>IFERROR(__xludf.DUMMYFUNCTION("GOOGLEFINANCE(""Currency:BRLPEN"")*D925"),46.586936)</f>
        <v>46.586936</v>
      </c>
      <c r="G925" s="2" t="str">
        <f t="array" ref="G925">_xlfn.XLOOKUP(B925,Vendedores!$A$2:$A$41,Vendedores!$B$2:$B$41,"No hay datos")</f>
        <v>No hay datos</v>
      </c>
      <c r="H925" s="2" t="str">
        <f t="array" ref="H925">_xlfn.XLOOKUP(B925,Vendedores!$A$2:$A$41,Vendedores!$C$2:$C$41,"No hay datos")</f>
        <v>No hay datos</v>
      </c>
      <c r="I925" s="2" t="str">
        <f t="array" ref="I925">_xlfn.XLOOKUP(B925,Vendedores!$A$2:$A$41,Vendedores!$D$2:$D$41,"No hay datos")</f>
        <v>No hay datos</v>
      </c>
      <c r="J925" s="2" t="str">
        <f t="array" ref="J925">_xlfn.XLOOKUP(A925,Productos!$A$2:$A$61,Productos!$B$2:$F$61)</f>
        <v>#N/A</v>
      </c>
    </row>
    <row r="926">
      <c r="A926" s="2" t="str">
        <f>IFERROR(__xludf.DUMMYFUNCTION("""COMPUTED_VALUE"""),"PR008")</f>
        <v>PR008</v>
      </c>
      <c r="B926" s="2" t="str">
        <f>IFERROR(__xludf.DUMMYFUNCTION("""COMPUTED_VALUE"""),"VD046")</f>
        <v>VD046</v>
      </c>
      <c r="C926" s="2">
        <f>IFERROR(__xludf.DUMMYFUNCTION("""COMPUTED_VALUE"""),2.0)</f>
        <v>2</v>
      </c>
      <c r="D926" s="6">
        <f>IFERROR(__xludf.DUMMYFUNCTION("""COMPUTED_VALUE"""),186.99)</f>
        <v>186.99</v>
      </c>
      <c r="E926" s="6">
        <f>IFERROR(__xludf.DUMMYFUNCTION("GOOGLEFINANCE(""Currency:BRLMXN"")*D926"),635.20503)</f>
        <v>635.20503</v>
      </c>
      <c r="F926" s="6">
        <f>IFERROR(__xludf.DUMMYFUNCTION("GOOGLEFINANCE(""Currency:BRLPEN"")*D926"),122.590644)</f>
        <v>122.590644</v>
      </c>
      <c r="G926" s="2" t="str">
        <f t="array" ref="G926">_xlfn.XLOOKUP(B926,Vendedores!$A$2:$A$41,Vendedores!$B$2:$B$41,"No hay datos")</f>
        <v>No hay datos</v>
      </c>
      <c r="H926" s="2" t="str">
        <f t="array" ref="H926">_xlfn.XLOOKUP(B926,Vendedores!$A$2:$A$41,Vendedores!$C$2:$C$41,"No hay datos")</f>
        <v>No hay datos</v>
      </c>
      <c r="I926" s="2" t="str">
        <f t="array" ref="I926">_xlfn.XLOOKUP(B926,Vendedores!$A$2:$A$41,Vendedores!$D$2:$D$41,"No hay datos")</f>
        <v>No hay datos</v>
      </c>
      <c r="J926" s="2" t="str">
        <f t="array" ref="J926">_xlfn.XLOOKUP(A926,Productos!$A$2:$A$61,Productos!$B$2:$F$61)</f>
        <v>#N/A</v>
      </c>
    </row>
    <row r="927">
      <c r="A927" s="2" t="str">
        <f>IFERROR(__xludf.DUMMYFUNCTION("""COMPUTED_VALUE"""),"PR024")</f>
        <v>PR024</v>
      </c>
      <c r="B927" s="2" t="str">
        <f>IFERROR(__xludf.DUMMYFUNCTION("""COMPUTED_VALUE"""),"VD039")</f>
        <v>VD039</v>
      </c>
      <c r="C927" s="2">
        <f>IFERROR(__xludf.DUMMYFUNCTION("""COMPUTED_VALUE"""),2.0)</f>
        <v>2</v>
      </c>
      <c r="D927" s="6">
        <f>IFERROR(__xludf.DUMMYFUNCTION("""COMPUTED_VALUE"""),561.38)</f>
        <v>561.38</v>
      </c>
      <c r="E927" s="6">
        <f>IFERROR(__xludf.DUMMYFUNCTION("GOOGLEFINANCE(""Currency:BRLMXN"")*D927"),1907.00786)</f>
        <v>1907.00786</v>
      </c>
      <c r="F927" s="6">
        <f>IFERROR(__xludf.DUMMYFUNCTION("GOOGLEFINANCE(""Currency:BRLPEN"")*D927"),368.040728)</f>
        <v>368.040728</v>
      </c>
      <c r="G927" s="2" t="str">
        <f t="array" ref="G927">_xlfn.XLOOKUP(B927,Vendedores!$A$2:$A$41,Vendedores!$B$2:$B$41,"No hay datos")</f>
        <v>No hay datos</v>
      </c>
      <c r="H927" s="2" t="str">
        <f t="array" ref="H927">_xlfn.XLOOKUP(B927,Vendedores!$A$2:$A$41,Vendedores!$C$2:$C$41,"No hay datos")</f>
        <v>No hay datos</v>
      </c>
      <c r="I927" s="2" t="str">
        <f t="array" ref="I927">_xlfn.XLOOKUP(B927,Vendedores!$A$2:$A$41,Vendedores!$D$2:$D$41,"No hay datos")</f>
        <v>No hay datos</v>
      </c>
      <c r="J927" s="2" t="str">
        <f t="array" ref="J927">_xlfn.XLOOKUP(A927,Productos!$A$2:$A$61,Productos!$B$2:$F$61)</f>
        <v>#N/A</v>
      </c>
    </row>
    <row r="928">
      <c r="A928" s="2" t="str">
        <f>IFERROR(__xludf.DUMMYFUNCTION("""COMPUTED_VALUE"""),"PR016")</f>
        <v>PR016</v>
      </c>
      <c r="B928" s="2" t="str">
        <f>IFERROR(__xludf.DUMMYFUNCTION("""COMPUTED_VALUE"""),"VD028")</f>
        <v>VD028</v>
      </c>
      <c r="C928" s="2">
        <f>IFERROR(__xludf.DUMMYFUNCTION("""COMPUTED_VALUE"""),5.0)</f>
        <v>5</v>
      </c>
      <c r="D928" s="6">
        <f>IFERROR(__xludf.DUMMYFUNCTION("""COMPUTED_VALUE"""),132.09)</f>
        <v>132.09</v>
      </c>
      <c r="E928" s="6">
        <f>IFERROR(__xludf.DUMMYFUNCTION("GOOGLEFINANCE(""Currency:BRLMXN"")*D928"),448.70973)</f>
        <v>448.70973</v>
      </c>
      <c r="F928" s="6">
        <f>IFERROR(__xludf.DUMMYFUNCTION("GOOGLEFINANCE(""Currency:BRLPEN"")*D928"),86.598204)</f>
        <v>86.598204</v>
      </c>
      <c r="G928" s="2" t="str">
        <f t="array" ref="G928">_xlfn.XLOOKUP(B928,Vendedores!$A$2:$A$41,Vendedores!$B$2:$B$41,"No hay datos")</f>
        <v>No hay datos</v>
      </c>
      <c r="H928" s="2" t="str">
        <f t="array" ref="H928">_xlfn.XLOOKUP(B928,Vendedores!$A$2:$A$41,Vendedores!$C$2:$C$41,"No hay datos")</f>
        <v>No hay datos</v>
      </c>
      <c r="I928" s="2" t="str">
        <f t="array" ref="I928">_xlfn.XLOOKUP(B928,Vendedores!$A$2:$A$41,Vendedores!$D$2:$D$41,"No hay datos")</f>
        <v>No hay datos</v>
      </c>
      <c r="J928" s="2" t="str">
        <f t="array" ref="J928">_xlfn.XLOOKUP(A928,Productos!$A$2:$A$61,Productos!$B$2:$F$61)</f>
        <v>#N/A</v>
      </c>
    </row>
    <row r="929">
      <c r="A929" s="2" t="str">
        <f>IFERROR(__xludf.DUMMYFUNCTION("""COMPUTED_VALUE"""),"PR025")</f>
        <v>PR025</v>
      </c>
      <c r="B929" s="2" t="str">
        <f>IFERROR(__xludf.DUMMYFUNCTION("""COMPUTED_VALUE"""),"VD047")</f>
        <v>VD047</v>
      </c>
      <c r="C929" s="2">
        <f>IFERROR(__xludf.DUMMYFUNCTION("""COMPUTED_VALUE"""),20.0)</f>
        <v>20</v>
      </c>
      <c r="D929" s="6">
        <f>IFERROR(__xludf.DUMMYFUNCTION("""COMPUTED_VALUE"""),6297.9)</f>
        <v>6297.9</v>
      </c>
      <c r="E929" s="6">
        <f>IFERROR(__xludf.DUMMYFUNCTION("GOOGLEFINANCE(""Currency:BRLMXN"")*D929"),21393.966299999996)</f>
        <v>21393.9663</v>
      </c>
      <c r="F929" s="6">
        <f>IFERROR(__xludf.DUMMYFUNCTION("GOOGLEFINANCE(""Currency:BRLPEN"")*D929"),4128.90324)</f>
        <v>4128.90324</v>
      </c>
      <c r="G929" s="2" t="str">
        <f t="array" ref="G929">_xlfn.XLOOKUP(B929,Vendedores!$A$2:$A$41,Vendedores!$B$2:$B$41,"No hay datos")</f>
        <v>No hay datos</v>
      </c>
      <c r="H929" s="2" t="str">
        <f t="array" ref="H929">_xlfn.XLOOKUP(B929,Vendedores!$A$2:$A$41,Vendedores!$C$2:$C$41,"No hay datos")</f>
        <v>No hay datos</v>
      </c>
      <c r="I929" s="2" t="str">
        <f t="array" ref="I929">_xlfn.XLOOKUP(B929,Vendedores!$A$2:$A$41,Vendedores!$D$2:$D$41,"No hay datos")</f>
        <v>No hay datos</v>
      </c>
      <c r="J929" s="2" t="str">
        <f t="array" ref="J929">_xlfn.XLOOKUP(A929,Productos!$A$2:$A$61,Productos!$B$2:$F$61)</f>
        <v>#N/A</v>
      </c>
    </row>
    <row r="930">
      <c r="A930" s="2" t="str">
        <f>IFERROR(__xludf.DUMMYFUNCTION("""COMPUTED_VALUE"""),"PR055")</f>
        <v>PR055</v>
      </c>
      <c r="B930" s="2" t="str">
        <f>IFERROR(__xludf.DUMMYFUNCTION("""COMPUTED_VALUE"""),"VD047")</f>
        <v>VD047</v>
      </c>
      <c r="C930" s="2">
        <f>IFERROR(__xludf.DUMMYFUNCTION("""COMPUTED_VALUE"""),8.0)</f>
        <v>8</v>
      </c>
      <c r="D930" s="6">
        <f>IFERROR(__xludf.DUMMYFUNCTION("""COMPUTED_VALUE"""),783.93)</f>
        <v>783.93</v>
      </c>
      <c r="E930" s="6">
        <f>IFERROR(__xludf.DUMMYFUNCTION("GOOGLEFINANCE(""Currency:BRLMXN"")*D930"),2663.0102099999995)</f>
        <v>2663.01021</v>
      </c>
      <c r="F930" s="6">
        <f>IFERROR(__xludf.DUMMYFUNCTION("GOOGLEFINANCE(""Currency:BRLPEN"")*D930"),513.9445079999999)</f>
        <v>513.944508</v>
      </c>
      <c r="G930" s="2" t="str">
        <f t="array" ref="G930">_xlfn.XLOOKUP(B930,Vendedores!$A$2:$A$41,Vendedores!$B$2:$B$41,"No hay datos")</f>
        <v>No hay datos</v>
      </c>
      <c r="H930" s="2" t="str">
        <f t="array" ref="H930">_xlfn.XLOOKUP(B930,Vendedores!$A$2:$A$41,Vendedores!$C$2:$C$41,"No hay datos")</f>
        <v>No hay datos</v>
      </c>
      <c r="I930" s="2" t="str">
        <f t="array" ref="I930">_xlfn.XLOOKUP(B930,Vendedores!$A$2:$A$41,Vendedores!$D$2:$D$41,"No hay datos")</f>
        <v>No hay datos</v>
      </c>
      <c r="J930" s="2" t="str">
        <f t="array" ref="J930">_xlfn.XLOOKUP(A930,Productos!$A$2:$A$61,Productos!$B$2:$F$61)</f>
        <v>#N/A</v>
      </c>
    </row>
    <row r="931">
      <c r="A931" s="2" t="str">
        <f>IFERROR(__xludf.DUMMYFUNCTION("""COMPUTED_VALUE"""),"PR047")</f>
        <v>PR047</v>
      </c>
      <c r="B931" s="2" t="str">
        <f>IFERROR(__xludf.DUMMYFUNCTION("""COMPUTED_VALUE"""),"VD025")</f>
        <v>VD025</v>
      </c>
      <c r="C931" s="2">
        <f>IFERROR(__xludf.DUMMYFUNCTION("""COMPUTED_VALUE"""),7.0)</f>
        <v>7</v>
      </c>
      <c r="D931" s="6">
        <f>IFERROR(__xludf.DUMMYFUNCTION("""COMPUTED_VALUE"""),2110.47)</f>
        <v>2110.47</v>
      </c>
      <c r="E931" s="6">
        <f>IFERROR(__xludf.DUMMYFUNCTION("GOOGLEFINANCE(""Currency:BRLMXN"")*D931"),7169.266589999999)</f>
        <v>7169.26659</v>
      </c>
      <c r="F931" s="6">
        <f>IFERROR(__xludf.DUMMYFUNCTION("GOOGLEFINANCE(""Currency:BRLPEN"")*D931"),1383.6241319999997)</f>
        <v>1383.624132</v>
      </c>
      <c r="G931" s="2" t="str">
        <f t="array" ref="G931">_xlfn.XLOOKUP(B931,Vendedores!$A$2:$A$41,Vendedores!$B$2:$B$41,"No hay datos")</f>
        <v>No hay datos</v>
      </c>
      <c r="H931" s="2" t="str">
        <f t="array" ref="H931">_xlfn.XLOOKUP(B931,Vendedores!$A$2:$A$41,Vendedores!$C$2:$C$41,"No hay datos")</f>
        <v>No hay datos</v>
      </c>
      <c r="I931" s="2" t="str">
        <f t="array" ref="I931">_xlfn.XLOOKUP(B931,Vendedores!$A$2:$A$41,Vendedores!$D$2:$D$41,"No hay datos")</f>
        <v>No hay datos</v>
      </c>
      <c r="J931" s="2" t="str">
        <f t="array" ref="J931">_xlfn.XLOOKUP(A931,Productos!$A$2:$A$61,Productos!$B$2:$F$61)</f>
        <v>#N/A</v>
      </c>
    </row>
    <row r="932">
      <c r="A932" s="2" t="str">
        <f>IFERROR(__xludf.DUMMYFUNCTION("""COMPUTED_VALUE"""),"PR001")</f>
        <v>PR001</v>
      </c>
      <c r="B932" s="2" t="str">
        <f>IFERROR(__xludf.DUMMYFUNCTION("""COMPUTED_VALUE"""),"VD012")</f>
        <v>VD012</v>
      </c>
      <c r="C932" s="2">
        <f>IFERROR(__xludf.DUMMYFUNCTION("""COMPUTED_VALUE"""),12.0)</f>
        <v>12</v>
      </c>
      <c r="D932" s="6">
        <f>IFERROR(__xludf.DUMMYFUNCTION("""COMPUTED_VALUE"""),846.16)</f>
        <v>846.16</v>
      </c>
      <c r="E932" s="6">
        <f>IFERROR(__xludf.DUMMYFUNCTION("GOOGLEFINANCE(""Currency:BRLMXN"")*D932"),2874.40552)</f>
        <v>2874.40552</v>
      </c>
      <c r="F932" s="6">
        <f>IFERROR(__xludf.DUMMYFUNCTION("GOOGLEFINANCE(""Currency:BRLPEN"")*D932"),554.742496)</f>
        <v>554.742496</v>
      </c>
      <c r="G932" s="2" t="str">
        <f t="array" ref="G932">_xlfn.XLOOKUP(B932,Vendedores!$A$2:$A$41,Vendedores!$B$2:$B$41,"No hay datos")</f>
        <v>No hay datos</v>
      </c>
      <c r="H932" s="2" t="str">
        <f t="array" ref="H932">_xlfn.XLOOKUP(B932,Vendedores!$A$2:$A$41,Vendedores!$C$2:$C$41,"No hay datos")</f>
        <v>No hay datos</v>
      </c>
      <c r="I932" s="2" t="str">
        <f t="array" ref="I932">_xlfn.XLOOKUP(B932,Vendedores!$A$2:$A$41,Vendedores!$D$2:$D$41,"No hay datos")</f>
        <v>No hay datos</v>
      </c>
      <c r="J932" s="2" t="str">
        <f t="array" ref="J932">_xlfn.XLOOKUP(A932,Productos!$A$2:$A$61,Productos!$B$2:$F$61)</f>
        <v>#N/A</v>
      </c>
    </row>
    <row r="933">
      <c r="A933" s="2" t="str">
        <f>IFERROR(__xludf.DUMMYFUNCTION("""COMPUTED_VALUE"""),"PR017")</f>
        <v>PR017</v>
      </c>
      <c r="B933" s="2" t="str">
        <f>IFERROR(__xludf.DUMMYFUNCTION("""COMPUTED_VALUE"""),"VD032")</f>
        <v>VD032</v>
      </c>
      <c r="C933" s="2">
        <f>IFERROR(__xludf.DUMMYFUNCTION("""COMPUTED_VALUE"""),18.0)</f>
        <v>18</v>
      </c>
      <c r="D933" s="6">
        <f>IFERROR(__xludf.DUMMYFUNCTION("""COMPUTED_VALUE"""),559.73)</f>
        <v>559.73</v>
      </c>
      <c r="E933" s="6">
        <f>IFERROR(__xludf.DUMMYFUNCTION("GOOGLEFINANCE(""Currency:BRLMXN"")*D933"),1901.40281)</f>
        <v>1901.40281</v>
      </c>
      <c r="F933" s="6">
        <f>IFERROR(__xludf.DUMMYFUNCTION("GOOGLEFINANCE(""Currency:BRLPEN"")*D933"),366.958988)</f>
        <v>366.958988</v>
      </c>
      <c r="G933" s="2" t="str">
        <f t="array" ref="G933">_xlfn.XLOOKUP(B933,Vendedores!$A$2:$A$41,Vendedores!$B$2:$B$41,"No hay datos")</f>
        <v>No hay datos</v>
      </c>
      <c r="H933" s="2" t="str">
        <f t="array" ref="H933">_xlfn.XLOOKUP(B933,Vendedores!$A$2:$A$41,Vendedores!$C$2:$C$41,"No hay datos")</f>
        <v>No hay datos</v>
      </c>
      <c r="I933" s="2" t="str">
        <f t="array" ref="I933">_xlfn.XLOOKUP(B933,Vendedores!$A$2:$A$41,Vendedores!$D$2:$D$41,"No hay datos")</f>
        <v>No hay datos</v>
      </c>
      <c r="J933" s="2" t="str">
        <f t="array" ref="J933">_xlfn.XLOOKUP(A933,Productos!$A$2:$A$61,Productos!$B$2:$F$61)</f>
        <v>#N/A</v>
      </c>
    </row>
    <row r="934">
      <c r="A934" s="2" t="str">
        <f>IFERROR(__xludf.DUMMYFUNCTION("""COMPUTED_VALUE"""),"PR031")</f>
        <v>PR031</v>
      </c>
      <c r="B934" s="2" t="str">
        <f>IFERROR(__xludf.DUMMYFUNCTION("""COMPUTED_VALUE"""),"VD039")</f>
        <v>VD039</v>
      </c>
      <c r="C934" s="2">
        <f>IFERROR(__xludf.DUMMYFUNCTION("""COMPUTED_VALUE"""),2.0)</f>
        <v>2</v>
      </c>
      <c r="D934" s="6">
        <f>IFERROR(__xludf.DUMMYFUNCTION("""COMPUTED_VALUE"""),529.2)</f>
        <v>529.2</v>
      </c>
      <c r="E934" s="6">
        <f>IFERROR(__xludf.DUMMYFUNCTION("GOOGLEFINANCE(""Currency:BRLMXN"")*D934"),1797.6924000000001)</f>
        <v>1797.6924</v>
      </c>
      <c r="F934" s="6">
        <f>IFERROR(__xludf.DUMMYFUNCTION("GOOGLEFINANCE(""Currency:BRLPEN"")*D934"),346.94352000000003)</f>
        <v>346.94352</v>
      </c>
      <c r="G934" s="2" t="str">
        <f t="array" ref="G934">_xlfn.XLOOKUP(B934,Vendedores!$A$2:$A$41,Vendedores!$B$2:$B$41,"No hay datos")</f>
        <v>No hay datos</v>
      </c>
      <c r="H934" s="2" t="str">
        <f t="array" ref="H934">_xlfn.XLOOKUP(B934,Vendedores!$A$2:$A$41,Vendedores!$C$2:$C$41,"No hay datos")</f>
        <v>No hay datos</v>
      </c>
      <c r="I934" s="2" t="str">
        <f t="array" ref="I934">_xlfn.XLOOKUP(B934,Vendedores!$A$2:$A$41,Vendedores!$D$2:$D$41,"No hay datos")</f>
        <v>No hay datos</v>
      </c>
      <c r="J934" s="2" t="str">
        <f t="array" ref="J934">_xlfn.XLOOKUP(A934,Productos!$A$2:$A$61,Productos!$B$2:$F$61)</f>
        <v>#N/A</v>
      </c>
    </row>
    <row r="935">
      <c r="A935" s="2" t="str">
        <f>IFERROR(__xludf.DUMMYFUNCTION("""COMPUTED_VALUE"""),"PR059")</f>
        <v>PR059</v>
      </c>
      <c r="B935" s="2" t="str">
        <f>IFERROR(__xludf.DUMMYFUNCTION("""COMPUTED_VALUE"""),"VD024")</f>
        <v>VD024</v>
      </c>
      <c r="C935" s="2">
        <f>IFERROR(__xludf.DUMMYFUNCTION("""COMPUTED_VALUE"""),14.0)</f>
        <v>14</v>
      </c>
      <c r="D935" s="6">
        <f>IFERROR(__xludf.DUMMYFUNCTION("""COMPUTED_VALUE"""),2570.4)</f>
        <v>2570.4</v>
      </c>
      <c r="E935" s="6">
        <f>IFERROR(__xludf.DUMMYFUNCTION("GOOGLEFINANCE(""Currency:BRLMXN"")*D935"),8731.648799999999)</f>
        <v>8731.6488</v>
      </c>
      <c r="F935" s="6">
        <f>IFERROR(__xludf.DUMMYFUNCTION("GOOGLEFINANCE(""Currency:BRLPEN"")*D935"),1685.1542399999998)</f>
        <v>1685.15424</v>
      </c>
      <c r="G935" s="2" t="str">
        <f t="array" ref="G935">_xlfn.XLOOKUP(B935,Vendedores!$A$2:$A$41,Vendedores!$B$2:$B$41,"No hay datos")</f>
        <v>No hay datos</v>
      </c>
      <c r="H935" s="2" t="str">
        <f t="array" ref="H935">_xlfn.XLOOKUP(B935,Vendedores!$A$2:$A$41,Vendedores!$C$2:$C$41,"No hay datos")</f>
        <v>No hay datos</v>
      </c>
      <c r="I935" s="2" t="str">
        <f t="array" ref="I935">_xlfn.XLOOKUP(B935,Vendedores!$A$2:$A$41,Vendedores!$D$2:$D$41,"No hay datos")</f>
        <v>No hay datos</v>
      </c>
      <c r="J935" s="2" t="str">
        <f t="array" ref="J935">_xlfn.XLOOKUP(A935,Productos!$A$2:$A$61,Productos!$B$2:$F$61)</f>
        <v>#N/A</v>
      </c>
    </row>
    <row r="936">
      <c r="A936" s="2" t="str">
        <f>IFERROR(__xludf.DUMMYFUNCTION("""COMPUTED_VALUE"""),"PR008")</f>
        <v>PR008</v>
      </c>
      <c r="B936" s="2" t="str">
        <f>IFERROR(__xludf.DUMMYFUNCTION("""COMPUTED_VALUE"""),"VD046")</f>
        <v>VD046</v>
      </c>
      <c r="C936" s="2">
        <f>IFERROR(__xludf.DUMMYFUNCTION("""COMPUTED_VALUE"""),8.0)</f>
        <v>8</v>
      </c>
      <c r="D936" s="6">
        <f>IFERROR(__xludf.DUMMYFUNCTION("""COMPUTED_VALUE"""),776.74)</f>
        <v>776.74</v>
      </c>
      <c r="E936" s="6">
        <f>IFERROR(__xludf.DUMMYFUNCTION("GOOGLEFINANCE(""Currency:BRLMXN"")*D936"),2638.58578)</f>
        <v>2638.58578</v>
      </c>
      <c r="F936" s="6">
        <f>IFERROR(__xludf.DUMMYFUNCTION("GOOGLEFINANCE(""Currency:BRLPEN"")*D936"),509.23074399999996)</f>
        <v>509.230744</v>
      </c>
      <c r="G936" s="2" t="str">
        <f t="array" ref="G936">_xlfn.XLOOKUP(B936,Vendedores!$A$2:$A$41,Vendedores!$B$2:$B$41,"No hay datos")</f>
        <v>No hay datos</v>
      </c>
      <c r="H936" s="2" t="str">
        <f t="array" ref="H936">_xlfn.XLOOKUP(B936,Vendedores!$A$2:$A$41,Vendedores!$C$2:$C$41,"No hay datos")</f>
        <v>No hay datos</v>
      </c>
      <c r="I936" s="2" t="str">
        <f t="array" ref="I936">_xlfn.XLOOKUP(B936,Vendedores!$A$2:$A$41,Vendedores!$D$2:$D$41,"No hay datos")</f>
        <v>No hay datos</v>
      </c>
      <c r="J936" s="2" t="str">
        <f t="array" ref="J936">_xlfn.XLOOKUP(A936,Productos!$A$2:$A$61,Productos!$B$2:$F$61)</f>
        <v>#N/A</v>
      </c>
    </row>
    <row r="937">
      <c r="A937" s="2" t="str">
        <f>IFERROR(__xludf.DUMMYFUNCTION("""COMPUTED_VALUE"""),"PR044")</f>
        <v>PR044</v>
      </c>
      <c r="B937" s="2" t="str">
        <f>IFERROR(__xludf.DUMMYFUNCTION("""COMPUTED_VALUE"""),"VD037")</f>
        <v>VD037</v>
      </c>
      <c r="C937" s="2">
        <f>IFERROR(__xludf.DUMMYFUNCTION("""COMPUTED_VALUE"""),8.0)</f>
        <v>8</v>
      </c>
      <c r="D937" s="6">
        <f>IFERROR(__xludf.DUMMYFUNCTION("""COMPUTED_VALUE"""),585.8)</f>
        <v>585.8</v>
      </c>
      <c r="E937" s="6">
        <f>IFERROR(__xludf.DUMMYFUNCTION("GOOGLEFINANCE(""Currency:BRLMXN"")*D937"),1989.9625999999998)</f>
        <v>1989.9626</v>
      </c>
      <c r="F937" s="6">
        <f>IFERROR(__xludf.DUMMYFUNCTION("GOOGLEFINANCE(""Currency:BRLPEN"")*D937"),384.05047999999994)</f>
        <v>384.05048</v>
      </c>
      <c r="G937" s="2" t="str">
        <f t="array" ref="G937">_xlfn.XLOOKUP(B937,Vendedores!$A$2:$A$41,Vendedores!$B$2:$B$41,"No hay datos")</f>
        <v>No hay datos</v>
      </c>
      <c r="H937" s="2" t="str">
        <f t="array" ref="H937">_xlfn.XLOOKUP(B937,Vendedores!$A$2:$A$41,Vendedores!$C$2:$C$41,"No hay datos")</f>
        <v>No hay datos</v>
      </c>
      <c r="I937" s="2" t="str">
        <f t="array" ref="I937">_xlfn.XLOOKUP(B937,Vendedores!$A$2:$A$41,Vendedores!$D$2:$D$41,"No hay datos")</f>
        <v>No hay datos</v>
      </c>
      <c r="J937" s="2" t="str">
        <f t="array" ref="J937">_xlfn.XLOOKUP(A937,Productos!$A$2:$A$61,Productos!$B$2:$F$61)</f>
        <v>#N/A</v>
      </c>
    </row>
    <row r="938">
      <c r="A938" s="2" t="str">
        <f>IFERROR(__xludf.DUMMYFUNCTION("""COMPUTED_VALUE"""),"PR034")</f>
        <v>PR034</v>
      </c>
      <c r="B938" s="2" t="str">
        <f>IFERROR(__xludf.DUMMYFUNCTION("""COMPUTED_VALUE"""),"VD020")</f>
        <v>VD020</v>
      </c>
      <c r="C938" s="2">
        <f>IFERROR(__xludf.DUMMYFUNCTION("""COMPUTED_VALUE"""),2.0)</f>
        <v>2</v>
      </c>
      <c r="D938" s="6">
        <f>IFERROR(__xludf.DUMMYFUNCTION("""COMPUTED_VALUE"""),183.4)</f>
        <v>183.4</v>
      </c>
      <c r="E938" s="6">
        <f>IFERROR(__xludf.DUMMYFUNCTION("GOOGLEFINANCE(""Currency:BRLMXN"")*D938"),623.0097999999999)</f>
        <v>623.0098</v>
      </c>
      <c r="F938" s="6">
        <f>IFERROR(__xludf.DUMMYFUNCTION("GOOGLEFINANCE(""Currency:BRLPEN"")*D938"),120.23704)</f>
        <v>120.23704</v>
      </c>
      <c r="G938" s="2" t="str">
        <f t="array" ref="G938">_xlfn.XLOOKUP(B938,Vendedores!$A$2:$A$41,Vendedores!$B$2:$B$41,"No hay datos")</f>
        <v>No hay datos</v>
      </c>
      <c r="H938" s="2" t="str">
        <f t="array" ref="H938">_xlfn.XLOOKUP(B938,Vendedores!$A$2:$A$41,Vendedores!$C$2:$C$41,"No hay datos")</f>
        <v>No hay datos</v>
      </c>
      <c r="I938" s="2" t="str">
        <f t="array" ref="I938">_xlfn.XLOOKUP(B938,Vendedores!$A$2:$A$41,Vendedores!$D$2:$D$41,"No hay datos")</f>
        <v>No hay datos</v>
      </c>
      <c r="J938" s="2" t="str">
        <f t="array" ref="J938">_xlfn.XLOOKUP(A938,Productos!$A$2:$A$61,Productos!$B$2:$F$61)</f>
        <v>#N/A</v>
      </c>
    </row>
    <row r="939">
      <c r="A939" s="2" t="str">
        <f>IFERROR(__xludf.DUMMYFUNCTION("""COMPUTED_VALUE"""),"PR020")</f>
        <v>PR020</v>
      </c>
      <c r="B939" s="2" t="str">
        <f>IFERROR(__xludf.DUMMYFUNCTION("""COMPUTED_VALUE"""),"VD014")</f>
        <v>VD014</v>
      </c>
      <c r="C939" s="2">
        <f>IFERROR(__xludf.DUMMYFUNCTION("""COMPUTED_VALUE"""),8.0)</f>
        <v>8</v>
      </c>
      <c r="D939" s="6">
        <f>IFERROR(__xludf.DUMMYFUNCTION("""COMPUTED_VALUE"""),2639.12)</f>
        <v>2639.12</v>
      </c>
      <c r="E939" s="6">
        <f>IFERROR(__xludf.DUMMYFUNCTION("GOOGLEFINANCE(""Currency:BRLMXN"")*D939"),8965.090639999999)</f>
        <v>8965.09064</v>
      </c>
      <c r="F939" s="6">
        <f>IFERROR(__xludf.DUMMYFUNCTION("GOOGLEFINANCE(""Currency:BRLPEN"")*D939"),1730.207072)</f>
        <v>1730.207072</v>
      </c>
      <c r="G939" s="2" t="str">
        <f t="array" ref="G939">_xlfn.XLOOKUP(B939,Vendedores!$A$2:$A$41,Vendedores!$B$2:$B$41,"No hay datos")</f>
        <v>No hay datos</v>
      </c>
      <c r="H939" s="2" t="str">
        <f t="array" ref="H939">_xlfn.XLOOKUP(B939,Vendedores!$A$2:$A$41,Vendedores!$C$2:$C$41,"No hay datos")</f>
        <v>No hay datos</v>
      </c>
      <c r="I939" s="2" t="str">
        <f t="array" ref="I939">_xlfn.XLOOKUP(B939,Vendedores!$A$2:$A$41,Vendedores!$D$2:$D$41,"No hay datos")</f>
        <v>No hay datos</v>
      </c>
      <c r="J939" s="2" t="str">
        <f t="array" ref="J939">_xlfn.XLOOKUP(A939,Productos!$A$2:$A$61,Productos!$B$2:$F$61)</f>
        <v>#N/A</v>
      </c>
    </row>
    <row r="940">
      <c r="A940" s="2" t="str">
        <f>IFERROR(__xludf.DUMMYFUNCTION("""COMPUTED_VALUE"""),"PR056")</f>
        <v>PR056</v>
      </c>
      <c r="B940" s="2" t="str">
        <f>IFERROR(__xludf.DUMMYFUNCTION("""COMPUTED_VALUE"""),"VD013")</f>
        <v>VD013</v>
      </c>
      <c r="C940" s="2">
        <f>IFERROR(__xludf.DUMMYFUNCTION("""COMPUTED_VALUE"""),16.0)</f>
        <v>16</v>
      </c>
      <c r="D940" s="6">
        <f>IFERROR(__xludf.DUMMYFUNCTION("""COMPUTED_VALUE"""),1438.4)</f>
        <v>1438.4</v>
      </c>
      <c r="E940" s="6">
        <f>IFERROR(__xludf.DUMMYFUNCTION("GOOGLEFINANCE(""Currency:BRLMXN"")*D940"),4886.2448)</f>
        <v>4886.2448</v>
      </c>
      <c r="F940" s="6">
        <f>IFERROR(__xludf.DUMMYFUNCTION("GOOGLEFINANCE(""Currency:BRLPEN"")*D940"),943.01504)</f>
        <v>943.01504</v>
      </c>
      <c r="G940" s="2" t="str">
        <f t="array" ref="G940">_xlfn.XLOOKUP(B940,Vendedores!$A$2:$A$41,Vendedores!$B$2:$B$41,"No hay datos")</f>
        <v>No hay datos</v>
      </c>
      <c r="H940" s="2" t="str">
        <f t="array" ref="H940">_xlfn.XLOOKUP(B940,Vendedores!$A$2:$A$41,Vendedores!$C$2:$C$41,"No hay datos")</f>
        <v>No hay datos</v>
      </c>
      <c r="I940" s="2" t="str">
        <f t="array" ref="I940">_xlfn.XLOOKUP(B940,Vendedores!$A$2:$A$41,Vendedores!$D$2:$D$41,"No hay datos")</f>
        <v>No hay datos</v>
      </c>
      <c r="J940" s="2" t="str">
        <f t="array" ref="J940">_xlfn.XLOOKUP(A940,Productos!$A$2:$A$61,Productos!$B$2:$F$61)</f>
        <v>#N/A</v>
      </c>
    </row>
    <row r="941">
      <c r="A941" s="2" t="str">
        <f>IFERROR(__xludf.DUMMYFUNCTION("""COMPUTED_VALUE"""),"PR057")</f>
        <v>PR057</v>
      </c>
      <c r="B941" s="2" t="str">
        <f>IFERROR(__xludf.DUMMYFUNCTION("""COMPUTED_VALUE"""),"VD018")</f>
        <v>VD018</v>
      </c>
      <c r="C941" s="2">
        <f>IFERROR(__xludf.DUMMYFUNCTION("""COMPUTED_VALUE"""),14.0)</f>
        <v>14</v>
      </c>
      <c r="D941" s="6">
        <f>IFERROR(__xludf.DUMMYFUNCTION("""COMPUTED_VALUE"""),1346.7)</f>
        <v>1346.7</v>
      </c>
      <c r="E941" s="6">
        <f>IFERROR(__xludf.DUMMYFUNCTION("GOOGLEFINANCE(""Currency:BRLMXN"")*D941"),4574.7399)</f>
        <v>4574.7399</v>
      </c>
      <c r="F941" s="6">
        <f>IFERROR(__xludf.DUMMYFUNCTION("GOOGLEFINANCE(""Currency:BRLPEN"")*D941"),882.89652)</f>
        <v>882.89652</v>
      </c>
      <c r="G941" s="2" t="str">
        <f t="array" ref="G941">_xlfn.XLOOKUP(B941,Vendedores!$A$2:$A$41,Vendedores!$B$2:$B$41,"No hay datos")</f>
        <v>No hay datos</v>
      </c>
      <c r="H941" s="2" t="str">
        <f t="array" ref="H941">_xlfn.XLOOKUP(B941,Vendedores!$A$2:$A$41,Vendedores!$C$2:$C$41,"No hay datos")</f>
        <v>No hay datos</v>
      </c>
      <c r="I941" s="2" t="str">
        <f t="array" ref="I941">_xlfn.XLOOKUP(B941,Vendedores!$A$2:$A$41,Vendedores!$D$2:$D$41,"No hay datos")</f>
        <v>No hay datos</v>
      </c>
      <c r="J941" s="2" t="str">
        <f t="array" ref="J941">_xlfn.XLOOKUP(A941,Productos!$A$2:$A$61,Productos!$B$2:$F$61)</f>
        <v>#N/A</v>
      </c>
    </row>
    <row r="942">
      <c r="A942" s="2" t="str">
        <f>IFERROR(__xludf.DUMMYFUNCTION("""COMPUTED_VALUE"""),"PR038")</f>
        <v>PR038</v>
      </c>
      <c r="B942" s="2" t="str">
        <f>IFERROR(__xludf.DUMMYFUNCTION("""COMPUTED_VALUE"""),"VD031")</f>
        <v>VD031</v>
      </c>
      <c r="C942" s="2">
        <f>IFERROR(__xludf.DUMMYFUNCTION("""COMPUTED_VALUE"""),14.0)</f>
        <v>14</v>
      </c>
      <c r="D942" s="6">
        <f>IFERROR(__xludf.DUMMYFUNCTION("""COMPUTED_VALUE"""),2180.65)</f>
        <v>2180.65</v>
      </c>
      <c r="E942" s="6">
        <f>IFERROR(__xludf.DUMMYFUNCTION("GOOGLEFINANCE(""Currency:BRLMXN"")*D942"),7407.66805)</f>
        <v>7407.66805</v>
      </c>
      <c r="F942" s="6">
        <f>IFERROR(__xludf.DUMMYFUNCTION("GOOGLEFINANCE(""Currency:BRLPEN"")*D942"),1429.63414)</f>
        <v>1429.63414</v>
      </c>
      <c r="G942" s="2" t="str">
        <f t="array" ref="G942">_xlfn.XLOOKUP(B942,Vendedores!$A$2:$A$41,Vendedores!$B$2:$B$41,"No hay datos")</f>
        <v>No hay datos</v>
      </c>
      <c r="H942" s="2" t="str">
        <f t="array" ref="H942">_xlfn.XLOOKUP(B942,Vendedores!$A$2:$A$41,Vendedores!$C$2:$C$41,"No hay datos")</f>
        <v>No hay datos</v>
      </c>
      <c r="I942" s="2" t="str">
        <f t="array" ref="I942">_xlfn.XLOOKUP(B942,Vendedores!$A$2:$A$41,Vendedores!$D$2:$D$41,"No hay datos")</f>
        <v>No hay datos</v>
      </c>
      <c r="J942" s="2" t="str">
        <f t="array" ref="J942">_xlfn.XLOOKUP(A942,Productos!$A$2:$A$61,Productos!$B$2:$F$61)</f>
        <v>#N/A</v>
      </c>
    </row>
    <row r="943">
      <c r="A943" s="2" t="str">
        <f>IFERROR(__xludf.DUMMYFUNCTION("""COMPUTED_VALUE"""),"PR033")</f>
        <v>PR033</v>
      </c>
      <c r="B943" s="2" t="str">
        <f>IFERROR(__xludf.DUMMYFUNCTION("""COMPUTED_VALUE"""),"VD041")</f>
        <v>VD041</v>
      </c>
      <c r="C943" s="2">
        <f>IFERROR(__xludf.DUMMYFUNCTION("""COMPUTED_VALUE"""),2.0)</f>
        <v>2</v>
      </c>
      <c r="D943" s="6">
        <f>IFERROR(__xludf.DUMMYFUNCTION("""COMPUTED_VALUE"""),535.39)</f>
        <v>535.39</v>
      </c>
      <c r="E943" s="6">
        <f>IFERROR(__xludf.DUMMYFUNCTION("GOOGLEFINANCE(""Currency:BRLMXN"")*D943"),1818.7198299999998)</f>
        <v>1818.71983</v>
      </c>
      <c r="F943" s="6">
        <f>IFERROR(__xludf.DUMMYFUNCTION("GOOGLEFINANCE(""Currency:BRLPEN"")*D943"),351.00168399999995)</f>
        <v>351.001684</v>
      </c>
      <c r="G943" s="2" t="str">
        <f t="array" ref="G943">_xlfn.XLOOKUP(B943,Vendedores!$A$2:$A$41,Vendedores!$B$2:$B$41,"No hay datos")</f>
        <v>No hay datos</v>
      </c>
      <c r="H943" s="2" t="str">
        <f t="array" ref="H943">_xlfn.XLOOKUP(B943,Vendedores!$A$2:$A$41,Vendedores!$C$2:$C$41,"No hay datos")</f>
        <v>No hay datos</v>
      </c>
      <c r="I943" s="2" t="str">
        <f t="array" ref="I943">_xlfn.XLOOKUP(B943,Vendedores!$A$2:$A$41,Vendedores!$D$2:$D$41,"No hay datos")</f>
        <v>No hay datos</v>
      </c>
      <c r="J943" s="2" t="str">
        <f t="array" ref="J943">_xlfn.XLOOKUP(A943,Productos!$A$2:$A$61,Productos!$B$2:$F$61)</f>
        <v>#N/A</v>
      </c>
    </row>
    <row r="944">
      <c r="A944" s="2" t="str">
        <f>IFERROR(__xludf.DUMMYFUNCTION("""COMPUTED_VALUE"""),"PR008")</f>
        <v>PR008</v>
      </c>
      <c r="B944" s="2" t="str">
        <f>IFERROR(__xludf.DUMMYFUNCTION("""COMPUTED_VALUE"""),"VD019")</f>
        <v>VD019</v>
      </c>
      <c r="C944" s="2">
        <f>IFERROR(__xludf.DUMMYFUNCTION("""COMPUTED_VALUE"""),10.0)</f>
        <v>10</v>
      </c>
      <c r="D944" s="6">
        <f>IFERROR(__xludf.DUMMYFUNCTION("""COMPUTED_VALUE"""),934.96)</f>
        <v>934.96</v>
      </c>
      <c r="E944" s="6">
        <f>IFERROR(__xludf.DUMMYFUNCTION("GOOGLEFINANCE(""Currency:BRLMXN"")*D944"),3176.05912)</f>
        <v>3176.05912</v>
      </c>
      <c r="F944" s="6">
        <f>IFERROR(__xludf.DUMMYFUNCTION("GOOGLEFINANCE(""Currency:BRLPEN"")*D944"),612.959776)</f>
        <v>612.959776</v>
      </c>
      <c r="G944" s="2" t="str">
        <f t="array" ref="G944">_xlfn.XLOOKUP(B944,Vendedores!$A$2:$A$41,Vendedores!$B$2:$B$41,"No hay datos")</f>
        <v>No hay datos</v>
      </c>
      <c r="H944" s="2" t="str">
        <f t="array" ref="H944">_xlfn.XLOOKUP(B944,Vendedores!$A$2:$A$41,Vendedores!$C$2:$C$41,"No hay datos")</f>
        <v>No hay datos</v>
      </c>
      <c r="I944" s="2" t="str">
        <f t="array" ref="I944">_xlfn.XLOOKUP(B944,Vendedores!$A$2:$A$41,Vendedores!$D$2:$D$41,"No hay datos")</f>
        <v>No hay datos</v>
      </c>
      <c r="J944" s="2" t="str">
        <f t="array" ref="J944">_xlfn.XLOOKUP(A944,Productos!$A$2:$A$61,Productos!$B$2:$F$61)</f>
        <v>#N/A</v>
      </c>
    </row>
    <row r="945">
      <c r="A945" s="2" t="str">
        <f>IFERROR(__xludf.DUMMYFUNCTION("""COMPUTED_VALUE"""),"PR051")</f>
        <v>PR051</v>
      </c>
      <c r="B945" s="2" t="str">
        <f>IFERROR(__xludf.DUMMYFUNCTION("""COMPUTED_VALUE"""),"VD037")</f>
        <v>VD037</v>
      </c>
      <c r="C945" s="2">
        <f>IFERROR(__xludf.DUMMYFUNCTION("""COMPUTED_VALUE"""),4.0)</f>
        <v>4</v>
      </c>
      <c r="D945" s="6">
        <f>IFERROR(__xludf.DUMMYFUNCTION("""COMPUTED_VALUE"""),135.55)</f>
        <v>135.55</v>
      </c>
      <c r="E945" s="6">
        <f>IFERROR(__xludf.DUMMYFUNCTION("GOOGLEFINANCE(""Currency:BRLMXN"")*D945"),460.46335)</f>
        <v>460.46335</v>
      </c>
      <c r="F945" s="6">
        <f>IFERROR(__xludf.DUMMYFUNCTION("GOOGLEFINANCE(""Currency:BRLPEN"")*D945"),88.86658)</f>
        <v>88.86658</v>
      </c>
      <c r="G945" s="2" t="str">
        <f t="array" ref="G945">_xlfn.XLOOKUP(B945,Vendedores!$A$2:$A$41,Vendedores!$B$2:$B$41,"No hay datos")</f>
        <v>No hay datos</v>
      </c>
      <c r="H945" s="2" t="str">
        <f t="array" ref="H945">_xlfn.XLOOKUP(B945,Vendedores!$A$2:$A$41,Vendedores!$C$2:$C$41,"No hay datos")</f>
        <v>No hay datos</v>
      </c>
      <c r="I945" s="2" t="str">
        <f t="array" ref="I945">_xlfn.XLOOKUP(B945,Vendedores!$A$2:$A$41,Vendedores!$D$2:$D$41,"No hay datos")</f>
        <v>No hay datos</v>
      </c>
      <c r="J945" s="2" t="str">
        <f t="array" ref="J945">_xlfn.XLOOKUP(A945,Productos!$A$2:$A$61,Productos!$B$2:$F$61)</f>
        <v>#N/A</v>
      </c>
    </row>
    <row r="946">
      <c r="A946" s="2" t="str">
        <f>IFERROR(__xludf.DUMMYFUNCTION("""COMPUTED_VALUE"""),"PR038")</f>
        <v>PR038</v>
      </c>
      <c r="B946" s="2" t="str">
        <f>IFERROR(__xludf.DUMMYFUNCTION("""COMPUTED_VALUE"""),"VD022")</f>
        <v>VD022</v>
      </c>
      <c r="C946" s="2">
        <f>IFERROR(__xludf.DUMMYFUNCTION("""COMPUTED_VALUE"""),7.0)</f>
        <v>7</v>
      </c>
      <c r="D946" s="6">
        <f>IFERROR(__xludf.DUMMYFUNCTION("""COMPUTED_VALUE"""),1100.33)</f>
        <v>1100.33</v>
      </c>
      <c r="E946" s="6">
        <f>IFERROR(__xludf.DUMMYFUNCTION("GOOGLEFINANCE(""Currency:BRLMXN"")*D946"),3737.8210099999997)</f>
        <v>3737.82101</v>
      </c>
      <c r="F946" s="6">
        <f>IFERROR(__xludf.DUMMYFUNCTION("GOOGLEFINANCE(""Currency:BRLPEN"")*D946"),721.3763479999999)</f>
        <v>721.376348</v>
      </c>
      <c r="G946" s="2" t="str">
        <f t="array" ref="G946">_xlfn.XLOOKUP(B946,Vendedores!$A$2:$A$41,Vendedores!$B$2:$B$41,"No hay datos")</f>
        <v>No hay datos</v>
      </c>
      <c r="H946" s="2" t="str">
        <f t="array" ref="H946">_xlfn.XLOOKUP(B946,Vendedores!$A$2:$A$41,Vendedores!$C$2:$C$41,"No hay datos")</f>
        <v>No hay datos</v>
      </c>
      <c r="I946" s="2" t="str">
        <f t="array" ref="I946">_xlfn.XLOOKUP(B946,Vendedores!$A$2:$A$41,Vendedores!$D$2:$D$41,"No hay datos")</f>
        <v>No hay datos</v>
      </c>
      <c r="J946" s="2" t="str">
        <f t="array" ref="J946">_xlfn.XLOOKUP(A946,Productos!$A$2:$A$61,Productos!$B$2:$F$61)</f>
        <v>#N/A</v>
      </c>
    </row>
    <row r="947">
      <c r="A947" s="2" t="str">
        <f>IFERROR(__xludf.DUMMYFUNCTION("""COMPUTED_VALUE"""),"PR009")</f>
        <v>PR009</v>
      </c>
      <c r="B947" s="2" t="str">
        <f>IFERROR(__xludf.DUMMYFUNCTION("""COMPUTED_VALUE"""),"VD013")</f>
        <v>VD013</v>
      </c>
      <c r="C947" s="2">
        <f>IFERROR(__xludf.DUMMYFUNCTION("""COMPUTED_VALUE"""),2.0)</f>
        <v>2</v>
      </c>
      <c r="D947" s="6">
        <f>IFERROR(__xludf.DUMMYFUNCTION("""COMPUTED_VALUE"""),195.09)</f>
        <v>195.09</v>
      </c>
      <c r="E947" s="6">
        <f>IFERROR(__xludf.DUMMYFUNCTION("GOOGLEFINANCE(""Currency:BRLMXN"")*D947"),662.72073)</f>
        <v>662.72073</v>
      </c>
      <c r="F947" s="6">
        <f>IFERROR(__xludf.DUMMYFUNCTION("GOOGLEFINANCE(""Currency:BRLPEN"")*D947"),127.901004)</f>
        <v>127.901004</v>
      </c>
      <c r="G947" s="2" t="str">
        <f t="array" ref="G947">_xlfn.XLOOKUP(B947,Vendedores!$A$2:$A$41,Vendedores!$B$2:$B$41,"No hay datos")</f>
        <v>No hay datos</v>
      </c>
      <c r="H947" s="2" t="str">
        <f t="array" ref="H947">_xlfn.XLOOKUP(B947,Vendedores!$A$2:$A$41,Vendedores!$C$2:$C$41,"No hay datos")</f>
        <v>No hay datos</v>
      </c>
      <c r="I947" s="2" t="str">
        <f t="array" ref="I947">_xlfn.XLOOKUP(B947,Vendedores!$A$2:$A$41,Vendedores!$D$2:$D$41,"No hay datos")</f>
        <v>No hay datos</v>
      </c>
      <c r="J947" s="2" t="str">
        <f t="array" ref="J947">_xlfn.XLOOKUP(A947,Productos!$A$2:$A$61,Productos!$B$2:$F$61)</f>
        <v>#N/A</v>
      </c>
    </row>
    <row r="948">
      <c r="A948" s="2" t="str">
        <f>IFERROR(__xludf.DUMMYFUNCTION("""COMPUTED_VALUE"""),"PR017")</f>
        <v>PR017</v>
      </c>
      <c r="B948" s="2" t="str">
        <f>IFERROR(__xludf.DUMMYFUNCTION("""COMPUTED_VALUE"""),"VD022")</f>
        <v>VD022</v>
      </c>
      <c r="C948" s="2">
        <f>IFERROR(__xludf.DUMMYFUNCTION("""COMPUTED_VALUE"""),8.0)</f>
        <v>8</v>
      </c>
      <c r="D948" s="6">
        <f>IFERROR(__xludf.DUMMYFUNCTION("""COMPUTED_VALUE"""),263.12)</f>
        <v>263.12</v>
      </c>
      <c r="E948" s="6">
        <f>IFERROR(__xludf.DUMMYFUNCTION("GOOGLEFINANCE(""Currency:BRLMXN"")*D948"),893.81864)</f>
        <v>893.81864</v>
      </c>
      <c r="F948" s="6">
        <f>IFERROR(__xludf.DUMMYFUNCTION("GOOGLEFINANCE(""Currency:BRLPEN"")*D948"),172.501472)</f>
        <v>172.501472</v>
      </c>
      <c r="G948" s="2" t="str">
        <f t="array" ref="G948">_xlfn.XLOOKUP(B948,Vendedores!$A$2:$A$41,Vendedores!$B$2:$B$41,"No hay datos")</f>
        <v>No hay datos</v>
      </c>
      <c r="H948" s="2" t="str">
        <f t="array" ref="H948">_xlfn.XLOOKUP(B948,Vendedores!$A$2:$A$41,Vendedores!$C$2:$C$41,"No hay datos")</f>
        <v>No hay datos</v>
      </c>
      <c r="I948" s="2" t="str">
        <f t="array" ref="I948">_xlfn.XLOOKUP(B948,Vendedores!$A$2:$A$41,Vendedores!$D$2:$D$41,"No hay datos")</f>
        <v>No hay datos</v>
      </c>
      <c r="J948" s="2" t="str">
        <f t="array" ref="J948">_xlfn.XLOOKUP(A948,Productos!$A$2:$A$61,Productos!$B$2:$F$61)</f>
        <v>#N/A</v>
      </c>
    </row>
    <row r="949">
      <c r="A949" s="2" t="str">
        <f>IFERROR(__xludf.DUMMYFUNCTION("""COMPUTED_VALUE"""),"PR036")</f>
        <v>PR036</v>
      </c>
      <c r="B949" s="2" t="str">
        <f>IFERROR(__xludf.DUMMYFUNCTION("""COMPUTED_VALUE"""),"VD048")</f>
        <v>VD048</v>
      </c>
      <c r="C949" s="2">
        <f>IFERROR(__xludf.DUMMYFUNCTION("""COMPUTED_VALUE"""),14.0)</f>
        <v>14</v>
      </c>
      <c r="D949" s="6">
        <f>IFERROR(__xludf.DUMMYFUNCTION("""COMPUTED_VALUE"""),1374.45)</f>
        <v>1374.45</v>
      </c>
      <c r="E949" s="6">
        <f>IFERROR(__xludf.DUMMYFUNCTION("GOOGLEFINANCE(""Currency:BRLMXN"")*D949"),4669.00665)</f>
        <v>4669.00665</v>
      </c>
      <c r="F949" s="6">
        <f>IFERROR(__xludf.DUMMYFUNCTION("GOOGLEFINANCE(""Currency:BRLPEN"")*D949"),901.08942)</f>
        <v>901.08942</v>
      </c>
      <c r="G949" s="2" t="str">
        <f t="array" ref="G949">_xlfn.XLOOKUP(B949,Vendedores!$A$2:$A$41,Vendedores!$B$2:$B$41,"No hay datos")</f>
        <v>No hay datos</v>
      </c>
      <c r="H949" s="2" t="str">
        <f t="array" ref="H949">_xlfn.XLOOKUP(B949,Vendedores!$A$2:$A$41,Vendedores!$C$2:$C$41,"No hay datos")</f>
        <v>No hay datos</v>
      </c>
      <c r="I949" s="2" t="str">
        <f t="array" ref="I949">_xlfn.XLOOKUP(B949,Vendedores!$A$2:$A$41,Vendedores!$D$2:$D$41,"No hay datos")</f>
        <v>No hay datos</v>
      </c>
      <c r="J949" s="2" t="str">
        <f t="array" ref="J949">_xlfn.XLOOKUP(A949,Productos!$A$2:$A$61,Productos!$B$2:$F$61)</f>
        <v>#N/A</v>
      </c>
    </row>
    <row r="950">
      <c r="A950" s="2" t="str">
        <f>IFERROR(__xludf.DUMMYFUNCTION("""COMPUTED_VALUE"""),"PR008")</f>
        <v>PR008</v>
      </c>
      <c r="B950" s="2" t="str">
        <f>IFERROR(__xludf.DUMMYFUNCTION("""COMPUTED_VALUE"""),"VD014")</f>
        <v>VD014</v>
      </c>
      <c r="C950" s="2">
        <f>IFERROR(__xludf.DUMMYFUNCTION("""COMPUTED_VALUE"""),8.0)</f>
        <v>8</v>
      </c>
      <c r="D950" s="6">
        <f>IFERROR(__xludf.DUMMYFUNCTION("""COMPUTED_VALUE"""),783.93)</f>
        <v>783.93</v>
      </c>
      <c r="E950" s="6">
        <f>IFERROR(__xludf.DUMMYFUNCTION("GOOGLEFINANCE(""Currency:BRLMXN"")*D950"),2663.0102099999995)</f>
        <v>2663.01021</v>
      </c>
      <c r="F950" s="6">
        <f>IFERROR(__xludf.DUMMYFUNCTION("GOOGLEFINANCE(""Currency:BRLPEN"")*D950"),513.9445079999999)</f>
        <v>513.944508</v>
      </c>
      <c r="G950" s="2" t="str">
        <f t="array" ref="G950">_xlfn.XLOOKUP(B950,Vendedores!$A$2:$A$41,Vendedores!$B$2:$B$41,"No hay datos")</f>
        <v>No hay datos</v>
      </c>
      <c r="H950" s="2" t="str">
        <f t="array" ref="H950">_xlfn.XLOOKUP(B950,Vendedores!$A$2:$A$41,Vendedores!$C$2:$C$41,"No hay datos")</f>
        <v>No hay datos</v>
      </c>
      <c r="I950" s="2" t="str">
        <f t="array" ref="I950">_xlfn.XLOOKUP(B950,Vendedores!$A$2:$A$41,Vendedores!$D$2:$D$41,"No hay datos")</f>
        <v>No hay datos</v>
      </c>
      <c r="J950" s="2" t="str">
        <f t="array" ref="J950">_xlfn.XLOOKUP(A950,Productos!$A$2:$A$61,Productos!$B$2:$F$61)</f>
        <v>#N/A</v>
      </c>
    </row>
    <row r="951">
      <c r="A951" s="2" t="str">
        <f>IFERROR(__xludf.DUMMYFUNCTION("""COMPUTED_VALUE"""),"PR047")</f>
        <v>PR047</v>
      </c>
      <c r="B951" s="2" t="str">
        <f>IFERROR(__xludf.DUMMYFUNCTION("""COMPUTED_VALUE"""),"VD019")</f>
        <v>VD019</v>
      </c>
      <c r="C951" s="2">
        <f>IFERROR(__xludf.DUMMYFUNCTION("""COMPUTED_VALUE"""),5.0)</f>
        <v>5</v>
      </c>
      <c r="D951" s="6">
        <f>IFERROR(__xludf.DUMMYFUNCTION("""COMPUTED_VALUE"""),1550.97)</f>
        <v>1550.97</v>
      </c>
      <c r="E951" s="6">
        <f>IFERROR(__xludf.DUMMYFUNCTION("GOOGLEFINANCE(""Currency:BRLMXN"")*D951"),5268.64509)</f>
        <v>5268.64509</v>
      </c>
      <c r="F951" s="6">
        <f>IFERROR(__xludf.DUMMYFUNCTION("GOOGLEFINANCE(""Currency:BRLPEN"")*D951"),1016.815932)</f>
        <v>1016.815932</v>
      </c>
      <c r="G951" s="2" t="str">
        <f t="array" ref="G951">_xlfn.XLOOKUP(B951,Vendedores!$A$2:$A$41,Vendedores!$B$2:$B$41,"No hay datos")</f>
        <v>No hay datos</v>
      </c>
      <c r="H951" s="2" t="str">
        <f t="array" ref="H951">_xlfn.XLOOKUP(B951,Vendedores!$A$2:$A$41,Vendedores!$C$2:$C$41,"No hay datos")</f>
        <v>No hay datos</v>
      </c>
      <c r="I951" s="2" t="str">
        <f t="array" ref="I951">_xlfn.XLOOKUP(B951,Vendedores!$A$2:$A$41,Vendedores!$D$2:$D$41,"No hay datos")</f>
        <v>No hay datos</v>
      </c>
      <c r="J951" s="2" t="str">
        <f t="array" ref="J951">_xlfn.XLOOKUP(A951,Productos!$A$2:$A$61,Productos!$B$2:$F$61)</f>
        <v>#N/A</v>
      </c>
    </row>
    <row r="952">
      <c r="A952" s="2" t="str">
        <f>IFERROR(__xludf.DUMMYFUNCTION("""COMPUTED_VALUE"""),"PR046")</f>
        <v>PR046</v>
      </c>
      <c r="B952" s="2" t="str">
        <f>IFERROR(__xludf.DUMMYFUNCTION("""COMPUTED_VALUE"""),"VD021")</f>
        <v>VD021</v>
      </c>
      <c r="C952" s="2">
        <f>IFERROR(__xludf.DUMMYFUNCTION("""COMPUTED_VALUE"""),3.0)</f>
        <v>3</v>
      </c>
      <c r="D952" s="6">
        <f>IFERROR(__xludf.DUMMYFUNCTION("""COMPUTED_VALUE"""),930.58)</f>
        <v>930.58</v>
      </c>
      <c r="E952" s="6">
        <f>IFERROR(__xludf.DUMMYFUNCTION("GOOGLEFINANCE(""Currency:BRLMXN"")*D952"),3161.18026)</f>
        <v>3161.18026</v>
      </c>
      <c r="F952" s="6">
        <f>IFERROR(__xludf.DUMMYFUNCTION("GOOGLEFINANCE(""Currency:BRLPEN"")*D952"),610.088248)</f>
        <v>610.088248</v>
      </c>
      <c r="G952" s="2" t="str">
        <f t="array" ref="G952">_xlfn.XLOOKUP(B952,Vendedores!$A$2:$A$41,Vendedores!$B$2:$B$41,"No hay datos")</f>
        <v>No hay datos</v>
      </c>
      <c r="H952" s="2" t="str">
        <f t="array" ref="H952">_xlfn.XLOOKUP(B952,Vendedores!$A$2:$A$41,Vendedores!$C$2:$C$41,"No hay datos")</f>
        <v>No hay datos</v>
      </c>
      <c r="I952" s="2" t="str">
        <f t="array" ref="I952">_xlfn.XLOOKUP(B952,Vendedores!$A$2:$A$41,Vendedores!$D$2:$D$41,"No hay datos")</f>
        <v>No hay datos</v>
      </c>
      <c r="J952" s="2" t="str">
        <f t="array" ref="J952">_xlfn.XLOOKUP(A952,Productos!$A$2:$A$61,Productos!$B$2:$F$61)</f>
        <v>#N/A</v>
      </c>
    </row>
    <row r="953">
      <c r="A953" s="2" t="str">
        <f>IFERROR(__xludf.DUMMYFUNCTION("""COMPUTED_VALUE"""),"PR050")</f>
        <v>PR050</v>
      </c>
      <c r="B953" s="2" t="str">
        <f>IFERROR(__xludf.DUMMYFUNCTION("""COMPUTED_VALUE"""),"VD018")</f>
        <v>VD018</v>
      </c>
      <c r="C953" s="2">
        <f>IFERROR(__xludf.DUMMYFUNCTION("""COMPUTED_VALUE"""),4.0)</f>
        <v>4</v>
      </c>
      <c r="D953" s="6">
        <f>IFERROR(__xludf.DUMMYFUNCTION("""COMPUTED_VALUE"""),144.76)</f>
        <v>144.76</v>
      </c>
      <c r="E953" s="6">
        <f>IFERROR(__xludf.DUMMYFUNCTION("GOOGLEFINANCE(""Currency:BRLMXN"")*D953"),491.74971999999997)</f>
        <v>491.74972</v>
      </c>
      <c r="F953" s="6">
        <f>IFERROR(__xludf.DUMMYFUNCTION("GOOGLEFINANCE(""Currency:BRLPEN"")*D953"),94.90465599999999)</f>
        <v>94.904656</v>
      </c>
      <c r="G953" s="2" t="str">
        <f t="array" ref="G953">_xlfn.XLOOKUP(B953,Vendedores!$A$2:$A$41,Vendedores!$B$2:$B$41,"No hay datos")</f>
        <v>No hay datos</v>
      </c>
      <c r="H953" s="2" t="str">
        <f t="array" ref="H953">_xlfn.XLOOKUP(B953,Vendedores!$A$2:$A$41,Vendedores!$C$2:$C$41,"No hay datos")</f>
        <v>No hay datos</v>
      </c>
      <c r="I953" s="2" t="str">
        <f t="array" ref="I953">_xlfn.XLOOKUP(B953,Vendedores!$A$2:$A$41,Vendedores!$D$2:$D$41,"No hay datos")</f>
        <v>No hay datos</v>
      </c>
      <c r="J953" s="2" t="str">
        <f t="array" ref="J953">_xlfn.XLOOKUP(A953,Productos!$A$2:$A$61,Productos!$B$2:$F$61)</f>
        <v>#N/A</v>
      </c>
    </row>
    <row r="954">
      <c r="A954" s="2" t="str">
        <f>IFERROR(__xludf.DUMMYFUNCTION("""COMPUTED_VALUE"""),"PR038")</f>
        <v>PR038</v>
      </c>
      <c r="B954" s="2" t="str">
        <f>IFERROR(__xludf.DUMMYFUNCTION("""COMPUTED_VALUE"""),"VD034")</f>
        <v>VD034</v>
      </c>
      <c r="C954" s="2">
        <f>IFERROR(__xludf.DUMMYFUNCTION("""COMPUTED_VALUE"""),1.0)</f>
        <v>1</v>
      </c>
      <c r="D954" s="6">
        <f>IFERROR(__xludf.DUMMYFUNCTION("""COMPUTED_VALUE"""),148.62)</f>
        <v>148.62</v>
      </c>
      <c r="E954" s="6">
        <f>IFERROR(__xludf.DUMMYFUNCTION("GOOGLEFINANCE(""Currency:BRLMXN"")*D954"),504.86214)</f>
        <v>504.86214</v>
      </c>
      <c r="F954" s="6">
        <f>IFERROR(__xludf.DUMMYFUNCTION("GOOGLEFINANCE(""Currency:BRLPEN"")*D954"),97.435272)</f>
        <v>97.435272</v>
      </c>
      <c r="G954" s="2" t="str">
        <f t="array" ref="G954">_xlfn.XLOOKUP(B954,Vendedores!$A$2:$A$41,Vendedores!$B$2:$B$41,"No hay datos")</f>
        <v>No hay datos</v>
      </c>
      <c r="H954" s="2" t="str">
        <f t="array" ref="H954">_xlfn.XLOOKUP(B954,Vendedores!$A$2:$A$41,Vendedores!$C$2:$C$41,"No hay datos")</f>
        <v>No hay datos</v>
      </c>
      <c r="I954" s="2" t="str">
        <f t="array" ref="I954">_xlfn.XLOOKUP(B954,Vendedores!$A$2:$A$41,Vendedores!$D$2:$D$41,"No hay datos")</f>
        <v>No hay datos</v>
      </c>
      <c r="J954" s="2" t="str">
        <f t="array" ref="J954">_xlfn.XLOOKUP(A954,Productos!$A$2:$A$61,Productos!$B$2:$F$61)</f>
        <v>#N/A</v>
      </c>
    </row>
    <row r="955">
      <c r="A955" s="2" t="str">
        <f>IFERROR(__xludf.DUMMYFUNCTION("""COMPUTED_VALUE"""),"PR046")</f>
        <v>PR046</v>
      </c>
      <c r="B955" s="2" t="str">
        <f>IFERROR(__xludf.DUMMYFUNCTION("""COMPUTED_VALUE"""),"VD018")</f>
        <v>VD018</v>
      </c>
      <c r="C955" s="2">
        <f>IFERROR(__xludf.DUMMYFUNCTION("""COMPUTED_VALUE"""),3.0)</f>
        <v>3</v>
      </c>
      <c r="D955" s="6">
        <f>IFERROR(__xludf.DUMMYFUNCTION("""COMPUTED_VALUE"""),947.97)</f>
        <v>947.97</v>
      </c>
      <c r="E955" s="6">
        <f>IFERROR(__xludf.DUMMYFUNCTION("GOOGLEFINANCE(""Currency:BRLMXN"")*D955"),3220.25409)</f>
        <v>3220.25409</v>
      </c>
      <c r="F955" s="6">
        <f>IFERROR(__xludf.DUMMYFUNCTION("GOOGLEFINANCE(""Currency:BRLPEN"")*D955"),621.4891319999999)</f>
        <v>621.489132</v>
      </c>
      <c r="G955" s="2" t="str">
        <f t="array" ref="G955">_xlfn.XLOOKUP(B955,Vendedores!$A$2:$A$41,Vendedores!$B$2:$B$41,"No hay datos")</f>
        <v>No hay datos</v>
      </c>
      <c r="H955" s="2" t="str">
        <f t="array" ref="H955">_xlfn.XLOOKUP(B955,Vendedores!$A$2:$A$41,Vendedores!$C$2:$C$41,"No hay datos")</f>
        <v>No hay datos</v>
      </c>
      <c r="I955" s="2" t="str">
        <f t="array" ref="I955">_xlfn.XLOOKUP(B955,Vendedores!$A$2:$A$41,Vendedores!$D$2:$D$41,"No hay datos")</f>
        <v>No hay datos</v>
      </c>
      <c r="J955" s="2" t="str">
        <f t="array" ref="J955">_xlfn.XLOOKUP(A955,Productos!$A$2:$A$61,Productos!$B$2:$F$61)</f>
        <v>#N/A</v>
      </c>
    </row>
    <row r="956">
      <c r="A956" s="2" t="str">
        <f>IFERROR(__xludf.DUMMYFUNCTION("""COMPUTED_VALUE"""),"PR004")</f>
        <v>PR004</v>
      </c>
      <c r="B956" s="2" t="str">
        <f>IFERROR(__xludf.DUMMYFUNCTION("""COMPUTED_VALUE"""),"VD026")</f>
        <v>VD026</v>
      </c>
      <c r="C956" s="2">
        <f>IFERROR(__xludf.DUMMYFUNCTION("""COMPUTED_VALUE"""),2.0)</f>
        <v>2</v>
      </c>
      <c r="D956" s="6">
        <f>IFERROR(__xludf.DUMMYFUNCTION("""COMPUTED_VALUE"""),301.6)</f>
        <v>301.6</v>
      </c>
      <c r="E956" s="6">
        <f>IFERROR(__xludf.DUMMYFUNCTION("GOOGLEFINANCE(""Currency:BRLMXN"")*D956"),1024.5352)</f>
        <v>1024.5352</v>
      </c>
      <c r="F956" s="6">
        <f>IFERROR(__xludf.DUMMYFUNCTION("GOOGLEFINANCE(""Currency:BRLPEN"")*D956"),197.72896)</f>
        <v>197.72896</v>
      </c>
      <c r="G956" s="2" t="str">
        <f t="array" ref="G956">_xlfn.XLOOKUP(B956,Vendedores!$A$2:$A$41,Vendedores!$B$2:$B$41,"No hay datos")</f>
        <v>No hay datos</v>
      </c>
      <c r="H956" s="2" t="str">
        <f t="array" ref="H956">_xlfn.XLOOKUP(B956,Vendedores!$A$2:$A$41,Vendedores!$C$2:$C$41,"No hay datos")</f>
        <v>No hay datos</v>
      </c>
      <c r="I956" s="2" t="str">
        <f t="array" ref="I956">_xlfn.XLOOKUP(B956,Vendedores!$A$2:$A$41,Vendedores!$D$2:$D$41,"No hay datos")</f>
        <v>No hay datos</v>
      </c>
      <c r="J956" s="2" t="str">
        <f t="array" ref="J956">_xlfn.XLOOKUP(A956,Productos!$A$2:$A$61,Productos!$B$2:$F$61)</f>
        <v>#N/A</v>
      </c>
    </row>
    <row r="957">
      <c r="A957" s="2" t="str">
        <f>IFERROR(__xludf.DUMMYFUNCTION("""COMPUTED_VALUE"""),"PR030")</f>
        <v>PR030</v>
      </c>
      <c r="B957" s="2" t="str">
        <f>IFERROR(__xludf.DUMMYFUNCTION("""COMPUTED_VALUE"""),"VD012")</f>
        <v>VD012</v>
      </c>
      <c r="C957" s="2">
        <f>IFERROR(__xludf.DUMMYFUNCTION("""COMPUTED_VALUE"""),9.0)</f>
        <v>9</v>
      </c>
      <c r="D957" s="6">
        <f>IFERROR(__xludf.DUMMYFUNCTION("""COMPUTED_VALUE"""),2339.1)</f>
        <v>2339.1</v>
      </c>
      <c r="E957" s="6">
        <f>IFERROR(__xludf.DUMMYFUNCTION("GOOGLEFINANCE(""Currency:BRLMXN"")*D957"),7945.922699999999)</f>
        <v>7945.9227</v>
      </c>
      <c r="F957" s="6">
        <f>IFERROR(__xludf.DUMMYFUNCTION("GOOGLEFINANCE(""Currency:BRLPEN"")*D957"),1533.5139599999998)</f>
        <v>1533.51396</v>
      </c>
      <c r="G957" s="2" t="str">
        <f t="array" ref="G957">_xlfn.XLOOKUP(B957,Vendedores!$A$2:$A$41,Vendedores!$B$2:$B$41,"No hay datos")</f>
        <v>No hay datos</v>
      </c>
      <c r="H957" s="2" t="str">
        <f t="array" ref="H957">_xlfn.XLOOKUP(B957,Vendedores!$A$2:$A$41,Vendedores!$C$2:$C$41,"No hay datos")</f>
        <v>No hay datos</v>
      </c>
      <c r="I957" s="2" t="str">
        <f t="array" ref="I957">_xlfn.XLOOKUP(B957,Vendedores!$A$2:$A$41,Vendedores!$D$2:$D$41,"No hay datos")</f>
        <v>No hay datos</v>
      </c>
      <c r="J957" s="2" t="str">
        <f t="array" ref="J957">_xlfn.XLOOKUP(A957,Productos!$A$2:$A$61,Productos!$B$2:$F$61)</f>
        <v>#N/A</v>
      </c>
    </row>
    <row r="958">
      <c r="A958" s="2" t="str">
        <f>IFERROR(__xludf.DUMMYFUNCTION("""COMPUTED_VALUE"""),"PR019")</f>
        <v>PR019</v>
      </c>
      <c r="B958" s="2" t="str">
        <f>IFERROR(__xludf.DUMMYFUNCTION("""COMPUTED_VALUE"""),"VD027")</f>
        <v>VD027</v>
      </c>
      <c r="C958" s="2">
        <f>IFERROR(__xludf.DUMMYFUNCTION("""COMPUTED_VALUE"""),1.0)</f>
        <v>1</v>
      </c>
      <c r="D958" s="6">
        <f>IFERROR(__xludf.DUMMYFUNCTION("""COMPUTED_VALUE"""),49.9)</f>
        <v>49.9</v>
      </c>
      <c r="E958" s="6">
        <f>IFERROR(__xludf.DUMMYFUNCTION("GOOGLEFINANCE(""Currency:BRLMXN"")*D958"),169.51029999999997)</f>
        <v>169.5103</v>
      </c>
      <c r="F958" s="6">
        <f>IFERROR(__xludf.DUMMYFUNCTION("GOOGLEFINANCE(""Currency:BRLPEN"")*D958"),32.714439999999996)</f>
        <v>32.71444</v>
      </c>
      <c r="G958" s="2" t="str">
        <f t="array" ref="G958">_xlfn.XLOOKUP(B958,Vendedores!$A$2:$A$41,Vendedores!$B$2:$B$41,"No hay datos")</f>
        <v>No hay datos</v>
      </c>
      <c r="H958" s="2" t="str">
        <f t="array" ref="H958">_xlfn.XLOOKUP(B958,Vendedores!$A$2:$A$41,Vendedores!$C$2:$C$41,"No hay datos")</f>
        <v>No hay datos</v>
      </c>
      <c r="I958" s="2" t="str">
        <f t="array" ref="I958">_xlfn.XLOOKUP(B958,Vendedores!$A$2:$A$41,Vendedores!$D$2:$D$41,"No hay datos")</f>
        <v>No hay datos</v>
      </c>
      <c r="J958" s="2" t="str">
        <f t="array" ref="J958">_xlfn.XLOOKUP(A958,Productos!$A$2:$A$61,Productos!$B$2:$F$61)</f>
        <v>#N/A</v>
      </c>
    </row>
    <row r="959">
      <c r="A959" s="2" t="str">
        <f>IFERROR(__xludf.DUMMYFUNCTION("""COMPUTED_VALUE"""),"PR019")</f>
        <v>PR019</v>
      </c>
      <c r="B959" s="2" t="str">
        <f>IFERROR(__xludf.DUMMYFUNCTION("""COMPUTED_VALUE"""),"VD019")</f>
        <v>VD019</v>
      </c>
      <c r="C959" s="2">
        <f>IFERROR(__xludf.DUMMYFUNCTION("""COMPUTED_VALUE"""),20.0)</f>
        <v>20</v>
      </c>
      <c r="D959" s="6">
        <f>IFERROR(__xludf.DUMMYFUNCTION("""COMPUTED_VALUE"""),1027.94)</f>
        <v>1027.94</v>
      </c>
      <c r="E959" s="6">
        <f>IFERROR(__xludf.DUMMYFUNCTION("GOOGLEFINANCE(""Currency:BRLMXN"")*D959"),3491.91218)</f>
        <v>3491.91218</v>
      </c>
      <c r="F959" s="6">
        <f>IFERROR(__xludf.DUMMYFUNCTION("GOOGLEFINANCE(""Currency:BRLPEN"")*D959"),673.917464)</f>
        <v>673.917464</v>
      </c>
      <c r="G959" s="2" t="str">
        <f t="array" ref="G959">_xlfn.XLOOKUP(B959,Vendedores!$A$2:$A$41,Vendedores!$B$2:$B$41,"No hay datos")</f>
        <v>No hay datos</v>
      </c>
      <c r="H959" s="2" t="str">
        <f t="array" ref="H959">_xlfn.XLOOKUP(B959,Vendedores!$A$2:$A$41,Vendedores!$C$2:$C$41,"No hay datos")</f>
        <v>No hay datos</v>
      </c>
      <c r="I959" s="2" t="str">
        <f t="array" ref="I959">_xlfn.XLOOKUP(B959,Vendedores!$A$2:$A$41,Vendedores!$D$2:$D$41,"No hay datos")</f>
        <v>No hay datos</v>
      </c>
      <c r="J959" s="2" t="str">
        <f t="array" ref="J959">_xlfn.XLOOKUP(A959,Productos!$A$2:$A$61,Productos!$B$2:$F$61)</f>
        <v>#N/A</v>
      </c>
    </row>
    <row r="960">
      <c r="A960" s="2" t="str">
        <f>IFERROR(__xludf.DUMMYFUNCTION("""COMPUTED_VALUE"""),"PR020")</f>
        <v>PR020</v>
      </c>
      <c r="B960" s="2" t="str">
        <f>IFERROR(__xludf.DUMMYFUNCTION("""COMPUTED_VALUE"""),"VD038")</f>
        <v>VD038</v>
      </c>
      <c r="C960" s="2">
        <f>IFERROR(__xludf.DUMMYFUNCTION("""COMPUTED_VALUE"""),7.0)</f>
        <v>7</v>
      </c>
      <c r="D960" s="6">
        <f>IFERROR(__xludf.DUMMYFUNCTION("""COMPUTED_VALUE"""),2225.26)</f>
        <v>2225.26</v>
      </c>
      <c r="E960" s="6">
        <f>IFERROR(__xludf.DUMMYFUNCTION("GOOGLEFINANCE(""Currency:BRLMXN"")*D960"),7559.20822)</f>
        <v>7559.20822</v>
      </c>
      <c r="F960" s="6">
        <f>IFERROR(__xludf.DUMMYFUNCTION("GOOGLEFINANCE(""Currency:BRLPEN"")*D960"),1458.880456)</f>
        <v>1458.880456</v>
      </c>
      <c r="G960" s="2" t="str">
        <f t="array" ref="G960">_xlfn.XLOOKUP(B960,Vendedores!$A$2:$A$41,Vendedores!$B$2:$B$41,"No hay datos")</f>
        <v>No hay datos</v>
      </c>
      <c r="H960" s="2" t="str">
        <f t="array" ref="H960">_xlfn.XLOOKUP(B960,Vendedores!$A$2:$A$41,Vendedores!$C$2:$C$41,"No hay datos")</f>
        <v>No hay datos</v>
      </c>
      <c r="I960" s="2" t="str">
        <f t="array" ref="I960">_xlfn.XLOOKUP(B960,Vendedores!$A$2:$A$41,Vendedores!$D$2:$D$41,"No hay datos")</f>
        <v>No hay datos</v>
      </c>
      <c r="J960" s="2" t="str">
        <f t="array" ref="J960">_xlfn.XLOOKUP(A960,Productos!$A$2:$A$61,Productos!$B$2:$F$61)</f>
        <v>#N/A</v>
      </c>
    </row>
    <row r="961">
      <c r="A961" s="2" t="str">
        <f>IFERROR(__xludf.DUMMYFUNCTION("""COMPUTED_VALUE"""),"PR041")</f>
        <v>PR041</v>
      </c>
      <c r="B961" s="2" t="str">
        <f>IFERROR(__xludf.DUMMYFUNCTION("""COMPUTED_VALUE"""),"VD023")</f>
        <v>VD023</v>
      </c>
      <c r="C961" s="2">
        <f>IFERROR(__xludf.DUMMYFUNCTION("""COMPUTED_VALUE"""),16.0)</f>
        <v>16</v>
      </c>
      <c r="D961" s="6">
        <f>IFERROR(__xludf.DUMMYFUNCTION("""COMPUTED_VALUE"""),887.18)</f>
        <v>887.18</v>
      </c>
      <c r="E961" s="6">
        <f>IFERROR(__xludf.DUMMYFUNCTION("GOOGLEFINANCE(""Currency:BRLMXN"")*D961"),3013.7504599999997)</f>
        <v>3013.75046</v>
      </c>
      <c r="F961" s="6">
        <f>IFERROR(__xludf.DUMMYFUNCTION("GOOGLEFINANCE(""Currency:BRLPEN"")*D961"),581.6352079999999)</f>
        <v>581.635208</v>
      </c>
      <c r="G961" s="2" t="str">
        <f t="array" ref="G961">_xlfn.XLOOKUP(B961,Vendedores!$A$2:$A$41,Vendedores!$B$2:$B$41,"No hay datos")</f>
        <v>No hay datos</v>
      </c>
      <c r="H961" s="2" t="str">
        <f t="array" ref="H961">_xlfn.XLOOKUP(B961,Vendedores!$A$2:$A$41,Vendedores!$C$2:$C$41,"No hay datos")</f>
        <v>No hay datos</v>
      </c>
      <c r="I961" s="2" t="str">
        <f t="array" ref="I961">_xlfn.XLOOKUP(B961,Vendedores!$A$2:$A$41,Vendedores!$D$2:$D$41,"No hay datos")</f>
        <v>No hay datos</v>
      </c>
      <c r="J961" s="2" t="str">
        <f t="array" ref="J961">_xlfn.XLOOKUP(A961,Productos!$A$2:$A$61,Productos!$B$2:$F$61)</f>
        <v>#N/A</v>
      </c>
    </row>
    <row r="962">
      <c r="A962" s="2" t="str">
        <f>IFERROR(__xludf.DUMMYFUNCTION("""COMPUTED_VALUE"""),"PR004")</f>
        <v>PR004</v>
      </c>
      <c r="B962" s="2" t="str">
        <f>IFERROR(__xludf.DUMMYFUNCTION("""COMPUTED_VALUE"""),"VD039")</f>
        <v>VD039</v>
      </c>
      <c r="C962" s="2">
        <f>IFERROR(__xludf.DUMMYFUNCTION("""COMPUTED_VALUE"""),8.0)</f>
        <v>8</v>
      </c>
      <c r="D962" s="6">
        <f>IFERROR(__xludf.DUMMYFUNCTION("""COMPUTED_VALUE"""),1160.0)</f>
        <v>1160</v>
      </c>
      <c r="E962" s="6">
        <f>IFERROR(__xludf.DUMMYFUNCTION("GOOGLEFINANCE(""Currency:BRLMXN"")*D962"),3940.52)</f>
        <v>3940.52</v>
      </c>
      <c r="F962" s="6">
        <f>IFERROR(__xludf.DUMMYFUNCTION("GOOGLEFINANCE(""Currency:BRLPEN"")*D962"),760.496)</f>
        <v>760.496</v>
      </c>
      <c r="G962" s="2" t="str">
        <f t="array" ref="G962">_xlfn.XLOOKUP(B962,Vendedores!$A$2:$A$41,Vendedores!$B$2:$B$41,"No hay datos")</f>
        <v>No hay datos</v>
      </c>
      <c r="H962" s="2" t="str">
        <f t="array" ref="H962">_xlfn.XLOOKUP(B962,Vendedores!$A$2:$A$41,Vendedores!$C$2:$C$41,"No hay datos")</f>
        <v>No hay datos</v>
      </c>
      <c r="I962" s="2" t="str">
        <f t="array" ref="I962">_xlfn.XLOOKUP(B962,Vendedores!$A$2:$A$41,Vendedores!$D$2:$D$41,"No hay datos")</f>
        <v>No hay datos</v>
      </c>
      <c r="J962" s="2" t="str">
        <f t="array" ref="J962">_xlfn.XLOOKUP(A962,Productos!$A$2:$A$61,Productos!$B$2:$F$61)</f>
        <v>#N/A</v>
      </c>
    </row>
    <row r="963">
      <c r="A963" s="2" t="str">
        <f>IFERROR(__xludf.DUMMYFUNCTION("""COMPUTED_VALUE"""),"PR028")</f>
        <v>PR028</v>
      </c>
      <c r="B963" s="2" t="str">
        <f>IFERROR(__xludf.DUMMYFUNCTION("""COMPUTED_VALUE"""),"VD038")</f>
        <v>VD038</v>
      </c>
      <c r="C963" s="2">
        <f>IFERROR(__xludf.DUMMYFUNCTION("""COMPUTED_VALUE"""),6.0)</f>
        <v>6</v>
      </c>
      <c r="D963" s="6">
        <f>IFERROR(__xludf.DUMMYFUNCTION("""COMPUTED_VALUE"""),1544.38)</f>
        <v>1544.38</v>
      </c>
      <c r="E963" s="6">
        <f>IFERROR(__xludf.DUMMYFUNCTION("GOOGLEFINANCE(""Currency:BRLMXN"")*D963"),5246.25886)</f>
        <v>5246.25886</v>
      </c>
      <c r="F963" s="6">
        <f>IFERROR(__xludf.DUMMYFUNCTION("GOOGLEFINANCE(""Currency:BRLPEN"")*D963"),1012.495528)</f>
        <v>1012.495528</v>
      </c>
      <c r="G963" s="2" t="str">
        <f t="array" ref="G963">_xlfn.XLOOKUP(B963,Vendedores!$A$2:$A$41,Vendedores!$B$2:$B$41,"No hay datos")</f>
        <v>No hay datos</v>
      </c>
      <c r="H963" s="2" t="str">
        <f t="array" ref="H963">_xlfn.XLOOKUP(B963,Vendedores!$A$2:$A$41,Vendedores!$C$2:$C$41,"No hay datos")</f>
        <v>No hay datos</v>
      </c>
      <c r="I963" s="2" t="str">
        <f t="array" ref="I963">_xlfn.XLOOKUP(B963,Vendedores!$A$2:$A$41,Vendedores!$D$2:$D$41,"No hay datos")</f>
        <v>No hay datos</v>
      </c>
      <c r="J963" s="2" t="str">
        <f t="array" ref="J963">_xlfn.XLOOKUP(A963,Productos!$A$2:$A$61,Productos!$B$2:$F$61)</f>
        <v>#N/A</v>
      </c>
    </row>
    <row r="964">
      <c r="A964" s="2" t="str">
        <f>IFERROR(__xludf.DUMMYFUNCTION("""COMPUTED_VALUE"""),"PR023")</f>
        <v>PR023</v>
      </c>
      <c r="B964" s="2" t="str">
        <f>IFERROR(__xludf.DUMMYFUNCTION("""COMPUTED_VALUE"""),"VD012")</f>
        <v>VD012</v>
      </c>
      <c r="C964" s="2">
        <f>IFERROR(__xludf.DUMMYFUNCTION("""COMPUTED_VALUE"""),10.0)</f>
        <v>10</v>
      </c>
      <c r="D964" s="6">
        <f>IFERROR(__xludf.DUMMYFUNCTION("""COMPUTED_VALUE"""),2673.93)</f>
        <v>2673.93</v>
      </c>
      <c r="E964" s="6">
        <f>IFERROR(__xludf.DUMMYFUNCTION("GOOGLEFINANCE(""Currency:BRLMXN"")*D964"),9083.340209999998)</f>
        <v>9083.34021</v>
      </c>
      <c r="F964" s="6">
        <f>IFERROR(__xludf.DUMMYFUNCTION("GOOGLEFINANCE(""Currency:BRLPEN"")*D964"),1753.0285079999999)</f>
        <v>1753.028508</v>
      </c>
      <c r="G964" s="2" t="str">
        <f t="array" ref="G964">_xlfn.XLOOKUP(B964,Vendedores!$A$2:$A$41,Vendedores!$B$2:$B$41,"No hay datos")</f>
        <v>No hay datos</v>
      </c>
      <c r="H964" s="2" t="str">
        <f t="array" ref="H964">_xlfn.XLOOKUP(B964,Vendedores!$A$2:$A$41,Vendedores!$C$2:$C$41,"No hay datos")</f>
        <v>No hay datos</v>
      </c>
      <c r="I964" s="2" t="str">
        <f t="array" ref="I964">_xlfn.XLOOKUP(B964,Vendedores!$A$2:$A$41,Vendedores!$D$2:$D$41,"No hay datos")</f>
        <v>No hay datos</v>
      </c>
      <c r="J964" s="2" t="str">
        <f t="array" ref="J964">_xlfn.XLOOKUP(A964,Productos!$A$2:$A$61,Productos!$B$2:$F$61)</f>
        <v>#N/A</v>
      </c>
    </row>
    <row r="965">
      <c r="A965" s="2" t="str">
        <f>IFERROR(__xludf.DUMMYFUNCTION("""COMPUTED_VALUE"""),"PR033")</f>
        <v>PR033</v>
      </c>
      <c r="B965" s="2" t="str">
        <f>IFERROR(__xludf.DUMMYFUNCTION("""COMPUTED_VALUE"""),"VD015")</f>
        <v>VD015</v>
      </c>
      <c r="C965" s="2">
        <f>IFERROR(__xludf.DUMMYFUNCTION("""COMPUTED_VALUE"""),7.0)</f>
        <v>7</v>
      </c>
      <c r="D965" s="6">
        <f>IFERROR(__xludf.DUMMYFUNCTION("""COMPUTED_VALUE"""),1910.27)</f>
        <v>1910.27</v>
      </c>
      <c r="E965" s="6">
        <f>IFERROR(__xludf.DUMMYFUNCTION("GOOGLEFINANCE(""Currency:BRLMXN"")*D965"),6489.18719)</f>
        <v>6489.18719</v>
      </c>
      <c r="F965" s="6">
        <f>IFERROR(__xludf.DUMMYFUNCTION("GOOGLEFINANCE(""Currency:BRLPEN"")*D965"),1252.373012)</f>
        <v>1252.373012</v>
      </c>
      <c r="G965" s="2" t="str">
        <f t="array" ref="G965">_xlfn.XLOOKUP(B965,Vendedores!$A$2:$A$41,Vendedores!$B$2:$B$41,"No hay datos")</f>
        <v>No hay datos</v>
      </c>
      <c r="H965" s="2" t="str">
        <f t="array" ref="H965">_xlfn.XLOOKUP(B965,Vendedores!$A$2:$A$41,Vendedores!$C$2:$C$41,"No hay datos")</f>
        <v>No hay datos</v>
      </c>
      <c r="I965" s="2" t="str">
        <f t="array" ref="I965">_xlfn.XLOOKUP(B965,Vendedores!$A$2:$A$41,Vendedores!$D$2:$D$41,"No hay datos")</f>
        <v>No hay datos</v>
      </c>
      <c r="J965" s="2" t="str">
        <f t="array" ref="J965">_xlfn.XLOOKUP(A965,Productos!$A$2:$A$61,Productos!$B$2:$F$61)</f>
        <v>#N/A</v>
      </c>
    </row>
    <row r="966">
      <c r="A966" s="2" t="str">
        <f>IFERROR(__xludf.DUMMYFUNCTION("""COMPUTED_VALUE"""),"PR014")</f>
        <v>PR014</v>
      </c>
      <c r="B966" s="2" t="str">
        <f>IFERROR(__xludf.DUMMYFUNCTION("""COMPUTED_VALUE"""),"VD028")</f>
        <v>VD028</v>
      </c>
      <c r="C966" s="2">
        <f>IFERROR(__xludf.DUMMYFUNCTION("""COMPUTED_VALUE"""),10.0)</f>
        <v>10</v>
      </c>
      <c r="D966" s="6">
        <f>IFERROR(__xludf.DUMMYFUNCTION("""COMPUTED_VALUE"""),430.92)</f>
        <v>430.92</v>
      </c>
      <c r="E966" s="6">
        <f>IFERROR(__xludf.DUMMYFUNCTION("GOOGLEFINANCE(""Currency:BRLMXN"")*D966"),1463.8352399999999)</f>
        <v>1463.83524</v>
      </c>
      <c r="F966" s="6">
        <f>IFERROR(__xludf.DUMMYFUNCTION("GOOGLEFINANCE(""Currency:BRLPEN"")*D966"),282.511152)</f>
        <v>282.511152</v>
      </c>
      <c r="G966" s="2" t="str">
        <f t="array" ref="G966">_xlfn.XLOOKUP(B966,Vendedores!$A$2:$A$41,Vendedores!$B$2:$B$41,"No hay datos")</f>
        <v>No hay datos</v>
      </c>
      <c r="H966" s="2" t="str">
        <f t="array" ref="H966">_xlfn.XLOOKUP(B966,Vendedores!$A$2:$A$41,Vendedores!$C$2:$C$41,"No hay datos")</f>
        <v>No hay datos</v>
      </c>
      <c r="I966" s="2" t="str">
        <f t="array" ref="I966">_xlfn.XLOOKUP(B966,Vendedores!$A$2:$A$41,Vendedores!$D$2:$D$41,"No hay datos")</f>
        <v>No hay datos</v>
      </c>
      <c r="J966" s="2" t="str">
        <f t="array" ref="J966">_xlfn.XLOOKUP(A966,Productos!$A$2:$A$61,Productos!$B$2:$F$61)</f>
        <v>#N/A</v>
      </c>
    </row>
    <row r="967">
      <c r="A967" s="2" t="str">
        <f>IFERROR(__xludf.DUMMYFUNCTION("""COMPUTED_VALUE"""),"PR003")</f>
        <v>PR003</v>
      </c>
      <c r="B967" s="2" t="str">
        <f>IFERROR(__xludf.DUMMYFUNCTION("""COMPUTED_VALUE"""),"VD043")</f>
        <v>VD043</v>
      </c>
      <c r="C967" s="2">
        <f>IFERROR(__xludf.DUMMYFUNCTION("""COMPUTED_VALUE"""),12.0)</f>
        <v>12</v>
      </c>
      <c r="D967" s="6">
        <f>IFERROR(__xludf.DUMMYFUNCTION("""COMPUTED_VALUE"""),893.34)</f>
        <v>893.34</v>
      </c>
      <c r="E967" s="6">
        <f>IFERROR(__xludf.DUMMYFUNCTION("GOOGLEFINANCE(""Currency:BRLMXN"")*D967"),3034.67598)</f>
        <v>3034.67598</v>
      </c>
      <c r="F967" s="6">
        <f>IFERROR(__xludf.DUMMYFUNCTION("GOOGLEFINANCE(""Currency:BRLPEN"")*D967"),585.6737039999999)</f>
        <v>585.673704</v>
      </c>
      <c r="G967" s="2" t="str">
        <f t="array" ref="G967">_xlfn.XLOOKUP(B967,Vendedores!$A$2:$A$41,Vendedores!$B$2:$B$41,"No hay datos")</f>
        <v>No hay datos</v>
      </c>
      <c r="H967" s="2" t="str">
        <f t="array" ref="H967">_xlfn.XLOOKUP(B967,Vendedores!$A$2:$A$41,Vendedores!$C$2:$C$41,"No hay datos")</f>
        <v>No hay datos</v>
      </c>
      <c r="I967" s="2" t="str">
        <f t="array" ref="I967">_xlfn.XLOOKUP(B967,Vendedores!$A$2:$A$41,Vendedores!$D$2:$D$41,"No hay datos")</f>
        <v>No hay datos</v>
      </c>
      <c r="J967" s="2" t="str">
        <f t="array" ref="J967">_xlfn.XLOOKUP(A967,Productos!$A$2:$A$61,Productos!$B$2:$F$61)</f>
        <v>#N/A</v>
      </c>
    </row>
    <row r="968">
      <c r="A968" s="2" t="str">
        <f>IFERROR(__xludf.DUMMYFUNCTION("""COMPUTED_VALUE"""),"PR037")</f>
        <v>PR037</v>
      </c>
      <c r="B968" s="2" t="str">
        <f>IFERROR(__xludf.DUMMYFUNCTION("""COMPUTED_VALUE"""),"VD047")</f>
        <v>VD047</v>
      </c>
      <c r="C968" s="2">
        <f>IFERROR(__xludf.DUMMYFUNCTION("""COMPUTED_VALUE"""),16.0)</f>
        <v>16</v>
      </c>
      <c r="D968" s="6">
        <f>IFERROR(__xludf.DUMMYFUNCTION("""COMPUTED_VALUE"""),2307.2)</f>
        <v>2307.2</v>
      </c>
      <c r="E968" s="6">
        <f>IFERROR(__xludf.DUMMYFUNCTION("GOOGLEFINANCE(""Currency:BRLMXN"")*D968"),7837.558399999999)</f>
        <v>7837.5584</v>
      </c>
      <c r="F968" s="6">
        <f>IFERROR(__xludf.DUMMYFUNCTION("GOOGLEFINANCE(""Currency:BRLPEN"")*D968"),1512.6003199999998)</f>
        <v>1512.60032</v>
      </c>
      <c r="G968" s="2" t="str">
        <f t="array" ref="G968">_xlfn.XLOOKUP(B968,Vendedores!$A$2:$A$41,Vendedores!$B$2:$B$41,"No hay datos")</f>
        <v>No hay datos</v>
      </c>
      <c r="H968" s="2" t="str">
        <f t="array" ref="H968">_xlfn.XLOOKUP(B968,Vendedores!$A$2:$A$41,Vendedores!$C$2:$C$41,"No hay datos")</f>
        <v>No hay datos</v>
      </c>
      <c r="I968" s="2" t="str">
        <f t="array" ref="I968">_xlfn.XLOOKUP(B968,Vendedores!$A$2:$A$41,Vendedores!$D$2:$D$41,"No hay datos")</f>
        <v>No hay datos</v>
      </c>
      <c r="J968" s="2" t="str">
        <f t="array" ref="J968">_xlfn.XLOOKUP(A968,Productos!$A$2:$A$61,Productos!$B$2:$F$61)</f>
        <v>#N/A</v>
      </c>
    </row>
    <row r="969">
      <c r="A969" s="2" t="str">
        <f>IFERROR(__xludf.DUMMYFUNCTION("""COMPUTED_VALUE"""),"PR010")</f>
        <v>PR010</v>
      </c>
      <c r="B969" s="2" t="str">
        <f>IFERROR(__xludf.DUMMYFUNCTION("""COMPUTED_VALUE"""),"VD048")</f>
        <v>VD048</v>
      </c>
      <c r="C969" s="2">
        <f>IFERROR(__xludf.DUMMYFUNCTION("""COMPUTED_VALUE"""),20.0)</f>
        <v>20</v>
      </c>
      <c r="D969" s="6">
        <f>IFERROR(__xludf.DUMMYFUNCTION("""COMPUTED_VALUE"""),915.96)</f>
        <v>915.96</v>
      </c>
      <c r="E969" s="6">
        <f>IFERROR(__xludf.DUMMYFUNCTION("GOOGLEFINANCE(""Currency:BRLMXN"")*D969"),3111.51612)</f>
        <v>3111.51612</v>
      </c>
      <c r="F969" s="6">
        <f>IFERROR(__xludf.DUMMYFUNCTION("GOOGLEFINANCE(""Currency:BRLPEN"")*D969"),600.503376)</f>
        <v>600.503376</v>
      </c>
      <c r="G969" s="2" t="str">
        <f t="array" ref="G969">_xlfn.XLOOKUP(B969,Vendedores!$A$2:$A$41,Vendedores!$B$2:$B$41,"No hay datos")</f>
        <v>No hay datos</v>
      </c>
      <c r="H969" s="2" t="str">
        <f t="array" ref="H969">_xlfn.XLOOKUP(B969,Vendedores!$A$2:$A$41,Vendedores!$C$2:$C$41,"No hay datos")</f>
        <v>No hay datos</v>
      </c>
      <c r="I969" s="2" t="str">
        <f t="array" ref="I969">_xlfn.XLOOKUP(B969,Vendedores!$A$2:$A$41,Vendedores!$D$2:$D$41,"No hay datos")</f>
        <v>No hay datos</v>
      </c>
      <c r="J969" s="2" t="str">
        <f t="array" ref="J969">_xlfn.XLOOKUP(A969,Productos!$A$2:$A$61,Productos!$B$2:$F$61)</f>
        <v>#N/A</v>
      </c>
    </row>
    <row r="970">
      <c r="A970" s="2" t="str">
        <f>IFERROR(__xludf.DUMMYFUNCTION("""COMPUTED_VALUE"""),"PR023")</f>
        <v>PR023</v>
      </c>
      <c r="B970" s="2" t="str">
        <f>IFERROR(__xludf.DUMMYFUNCTION("""COMPUTED_VALUE"""),"VD034")</f>
        <v>VD034</v>
      </c>
      <c r="C970" s="2">
        <f>IFERROR(__xludf.DUMMYFUNCTION("""COMPUTED_VALUE"""),4.0)</f>
        <v>4</v>
      </c>
      <c r="D970" s="6">
        <f>IFERROR(__xludf.DUMMYFUNCTION("""COMPUTED_VALUE"""),1059.58)</f>
        <v>1059.58</v>
      </c>
      <c r="E970" s="6">
        <f>IFERROR(__xludf.DUMMYFUNCTION("GOOGLEFINANCE(""Currency:BRLMXN"")*D970"),3599.3932599999994)</f>
        <v>3599.39326</v>
      </c>
      <c r="F970" s="6">
        <f>IFERROR(__xludf.DUMMYFUNCTION("GOOGLEFINANCE(""Currency:BRLPEN"")*D970"),694.6606479999999)</f>
        <v>694.660648</v>
      </c>
      <c r="G970" s="2" t="str">
        <f t="array" ref="G970">_xlfn.XLOOKUP(B970,Vendedores!$A$2:$A$41,Vendedores!$B$2:$B$41,"No hay datos")</f>
        <v>No hay datos</v>
      </c>
      <c r="H970" s="2" t="str">
        <f t="array" ref="H970">_xlfn.XLOOKUP(B970,Vendedores!$A$2:$A$41,Vendedores!$C$2:$C$41,"No hay datos")</f>
        <v>No hay datos</v>
      </c>
      <c r="I970" s="2" t="str">
        <f t="array" ref="I970">_xlfn.XLOOKUP(B970,Vendedores!$A$2:$A$41,Vendedores!$D$2:$D$41,"No hay datos")</f>
        <v>No hay datos</v>
      </c>
      <c r="J970" s="2" t="str">
        <f t="array" ref="J970">_xlfn.XLOOKUP(A970,Productos!$A$2:$A$61,Productos!$B$2:$F$61)</f>
        <v>#N/A</v>
      </c>
    </row>
    <row r="971">
      <c r="A971" s="2" t="str">
        <f>IFERROR(__xludf.DUMMYFUNCTION("""COMPUTED_VALUE"""),"PR038")</f>
        <v>PR038</v>
      </c>
      <c r="B971" s="2" t="str">
        <f>IFERROR(__xludf.DUMMYFUNCTION("""COMPUTED_VALUE"""),"VD024")</f>
        <v>VD024</v>
      </c>
      <c r="C971" s="2">
        <f>IFERROR(__xludf.DUMMYFUNCTION("""COMPUTED_VALUE"""),1.0)</f>
        <v>1</v>
      </c>
      <c r="D971" s="6">
        <f>IFERROR(__xludf.DUMMYFUNCTION("""COMPUTED_VALUE"""),142.9)</f>
        <v>142.9</v>
      </c>
      <c r="E971" s="6">
        <f>IFERROR(__xludf.DUMMYFUNCTION("GOOGLEFINANCE(""Currency:BRLMXN"")*D971"),485.43129999999996)</f>
        <v>485.4313</v>
      </c>
      <c r="F971" s="6">
        <f>IFERROR(__xludf.DUMMYFUNCTION("GOOGLEFINANCE(""Currency:BRLPEN"")*D971"),93.68524)</f>
        <v>93.68524</v>
      </c>
      <c r="G971" s="2" t="str">
        <f t="array" ref="G971">_xlfn.XLOOKUP(B971,Vendedores!$A$2:$A$41,Vendedores!$B$2:$B$41,"No hay datos")</f>
        <v>No hay datos</v>
      </c>
      <c r="H971" s="2" t="str">
        <f t="array" ref="H971">_xlfn.XLOOKUP(B971,Vendedores!$A$2:$A$41,Vendedores!$C$2:$C$41,"No hay datos")</f>
        <v>No hay datos</v>
      </c>
      <c r="I971" s="2" t="str">
        <f t="array" ref="I971">_xlfn.XLOOKUP(B971,Vendedores!$A$2:$A$41,Vendedores!$D$2:$D$41,"No hay datos")</f>
        <v>No hay datos</v>
      </c>
      <c r="J971" s="2" t="str">
        <f t="array" ref="J971">_xlfn.XLOOKUP(A971,Productos!$A$2:$A$61,Productos!$B$2:$F$61)</f>
        <v>#N/A</v>
      </c>
    </row>
    <row r="972">
      <c r="A972" s="2" t="str">
        <f>IFERROR(__xludf.DUMMYFUNCTION("""COMPUTED_VALUE"""),"PR021")</f>
        <v>PR021</v>
      </c>
      <c r="B972" s="2" t="str">
        <f>IFERROR(__xludf.DUMMYFUNCTION("""COMPUTED_VALUE"""),"VD018")</f>
        <v>VD018</v>
      </c>
      <c r="C972" s="2">
        <f>IFERROR(__xludf.DUMMYFUNCTION("""COMPUTED_VALUE"""),4.0)</f>
        <v>4</v>
      </c>
      <c r="D972" s="6">
        <f>IFERROR(__xludf.DUMMYFUNCTION("""COMPUTED_VALUE"""),1211.6)</f>
        <v>1211.6</v>
      </c>
      <c r="E972" s="6">
        <f>IFERROR(__xludf.DUMMYFUNCTION("GOOGLEFINANCE(""Currency:BRLMXN"")*D972"),4115.8052)</f>
        <v>4115.8052</v>
      </c>
      <c r="F972" s="6">
        <f>IFERROR(__xludf.DUMMYFUNCTION("GOOGLEFINANCE(""Currency:BRLPEN"")*D972"),794.3249599999999)</f>
        <v>794.32496</v>
      </c>
      <c r="G972" s="2" t="str">
        <f t="array" ref="G972">_xlfn.XLOOKUP(B972,Vendedores!$A$2:$A$41,Vendedores!$B$2:$B$41,"No hay datos")</f>
        <v>No hay datos</v>
      </c>
      <c r="H972" s="2" t="str">
        <f t="array" ref="H972">_xlfn.XLOOKUP(B972,Vendedores!$A$2:$A$41,Vendedores!$C$2:$C$41,"No hay datos")</f>
        <v>No hay datos</v>
      </c>
      <c r="I972" s="2" t="str">
        <f t="array" ref="I972">_xlfn.XLOOKUP(B972,Vendedores!$A$2:$A$41,Vendedores!$D$2:$D$41,"No hay datos")</f>
        <v>No hay datos</v>
      </c>
      <c r="J972" s="2" t="str">
        <f t="array" ref="J972">_xlfn.XLOOKUP(A972,Productos!$A$2:$A$61,Productos!$B$2:$F$61)</f>
        <v>#N/A</v>
      </c>
    </row>
    <row r="973">
      <c r="A973" s="2" t="str">
        <f>IFERROR(__xludf.DUMMYFUNCTION("""COMPUTED_VALUE"""),"PR022")</f>
        <v>PR022</v>
      </c>
      <c r="B973" s="2" t="str">
        <f>IFERROR(__xludf.DUMMYFUNCTION("""COMPUTED_VALUE"""),"VD045")</f>
        <v>VD045</v>
      </c>
      <c r="C973" s="2">
        <f>IFERROR(__xludf.DUMMYFUNCTION("""COMPUTED_VALUE"""),20.0)</f>
        <v>20</v>
      </c>
      <c r="D973" s="6">
        <f>IFERROR(__xludf.DUMMYFUNCTION("""COMPUTED_VALUE"""),6000.0)</f>
        <v>6000</v>
      </c>
      <c r="E973" s="6">
        <f>IFERROR(__xludf.DUMMYFUNCTION("GOOGLEFINANCE(""Currency:BRLMXN"")*D973"),20382.0)</f>
        <v>20382</v>
      </c>
      <c r="F973" s="6">
        <f>IFERROR(__xludf.DUMMYFUNCTION("GOOGLEFINANCE(""Currency:BRLPEN"")*D973"),3933.6)</f>
        <v>3933.6</v>
      </c>
      <c r="G973" s="2" t="str">
        <f t="array" ref="G973">_xlfn.XLOOKUP(B973,Vendedores!$A$2:$A$41,Vendedores!$B$2:$B$41,"No hay datos")</f>
        <v>No hay datos</v>
      </c>
      <c r="H973" s="2" t="str">
        <f t="array" ref="H973">_xlfn.XLOOKUP(B973,Vendedores!$A$2:$A$41,Vendedores!$C$2:$C$41,"No hay datos")</f>
        <v>No hay datos</v>
      </c>
      <c r="I973" s="2" t="str">
        <f t="array" ref="I973">_xlfn.XLOOKUP(B973,Vendedores!$A$2:$A$41,Vendedores!$D$2:$D$41,"No hay datos")</f>
        <v>No hay datos</v>
      </c>
      <c r="J973" s="2" t="str">
        <f t="array" ref="J973">_xlfn.XLOOKUP(A973,Productos!$A$2:$A$61,Productos!$B$2:$F$61)</f>
        <v>#N/A</v>
      </c>
    </row>
    <row r="974">
      <c r="A974" s="2" t="str">
        <f>IFERROR(__xludf.DUMMYFUNCTION("""COMPUTED_VALUE"""),"PR002")</f>
        <v>PR002</v>
      </c>
      <c r="B974" s="2" t="str">
        <f>IFERROR(__xludf.DUMMYFUNCTION("""COMPUTED_VALUE"""),"VD023")</f>
        <v>VD023</v>
      </c>
      <c r="C974" s="2">
        <f>IFERROR(__xludf.DUMMYFUNCTION("""COMPUTED_VALUE"""),3.0)</f>
        <v>3</v>
      </c>
      <c r="D974" s="6">
        <f>IFERROR(__xludf.DUMMYFUNCTION("""COMPUTED_VALUE"""),220.19)</f>
        <v>220.19</v>
      </c>
      <c r="E974" s="6">
        <f>IFERROR(__xludf.DUMMYFUNCTION("GOOGLEFINANCE(""Currency:BRLMXN"")*D974"),747.98543)</f>
        <v>747.98543</v>
      </c>
      <c r="F974" s="6">
        <f>IFERROR(__xludf.DUMMYFUNCTION("GOOGLEFINANCE(""Currency:BRLPEN"")*D974"),144.356564)</f>
        <v>144.356564</v>
      </c>
      <c r="G974" s="2" t="str">
        <f t="array" ref="G974">_xlfn.XLOOKUP(B974,Vendedores!$A$2:$A$41,Vendedores!$B$2:$B$41,"No hay datos")</f>
        <v>No hay datos</v>
      </c>
      <c r="H974" s="2" t="str">
        <f t="array" ref="H974">_xlfn.XLOOKUP(B974,Vendedores!$A$2:$A$41,Vendedores!$C$2:$C$41,"No hay datos")</f>
        <v>No hay datos</v>
      </c>
      <c r="I974" s="2" t="str">
        <f t="array" ref="I974">_xlfn.XLOOKUP(B974,Vendedores!$A$2:$A$41,Vendedores!$D$2:$D$41,"No hay datos")</f>
        <v>No hay datos</v>
      </c>
      <c r="J974" s="2" t="str">
        <f t="array" ref="J974">_xlfn.XLOOKUP(A974,Productos!$A$2:$A$61,Productos!$B$2:$F$61)</f>
        <v>#N/A</v>
      </c>
    </row>
    <row r="975">
      <c r="A975" s="2" t="str">
        <f>IFERROR(__xludf.DUMMYFUNCTION("""COMPUTED_VALUE"""),"PR035")</f>
        <v>PR035</v>
      </c>
      <c r="B975" s="2" t="str">
        <f>IFERROR(__xludf.DUMMYFUNCTION("""COMPUTED_VALUE"""),"VD010")</f>
        <v>VD010</v>
      </c>
      <c r="C975" s="2">
        <f>IFERROR(__xludf.DUMMYFUNCTION("""COMPUTED_VALUE"""),6.0)</f>
        <v>6</v>
      </c>
      <c r="D975" s="6">
        <f>IFERROR(__xludf.DUMMYFUNCTION("""COMPUTED_VALUE"""),559.37)</f>
        <v>559.37</v>
      </c>
      <c r="E975" s="6">
        <f>IFERROR(__xludf.DUMMYFUNCTION("GOOGLEFINANCE(""Currency:BRLMXN"")*D975"),1900.17989)</f>
        <v>1900.17989</v>
      </c>
      <c r="F975" s="6">
        <f>IFERROR(__xludf.DUMMYFUNCTION("GOOGLEFINANCE(""Currency:BRLPEN"")*D975"),366.72297199999997)</f>
        <v>366.722972</v>
      </c>
      <c r="G975" s="2" t="str">
        <f t="array" ref="G975">_xlfn.XLOOKUP(B975,Vendedores!$A$2:$A$41,Vendedores!$B$2:$B$41,"No hay datos")</f>
        <v>No hay datos</v>
      </c>
      <c r="H975" s="2" t="str">
        <f t="array" ref="H975">_xlfn.XLOOKUP(B975,Vendedores!$A$2:$A$41,Vendedores!$C$2:$C$41,"No hay datos")</f>
        <v>No hay datos</v>
      </c>
      <c r="I975" s="2" t="str">
        <f t="array" ref="I975">_xlfn.XLOOKUP(B975,Vendedores!$A$2:$A$41,Vendedores!$D$2:$D$41,"No hay datos")</f>
        <v>No hay datos</v>
      </c>
      <c r="J975" s="2" t="str">
        <f t="array" ref="J975">_xlfn.XLOOKUP(A975,Productos!$A$2:$A$61,Productos!$B$2:$F$61)</f>
        <v>#N/A</v>
      </c>
    </row>
    <row r="976">
      <c r="A976" s="2" t="str">
        <f>IFERROR(__xludf.DUMMYFUNCTION("""COMPUTED_VALUE"""),"PR045")</f>
        <v>PR045</v>
      </c>
      <c r="B976" s="2" t="str">
        <f>IFERROR(__xludf.DUMMYFUNCTION("""COMPUTED_VALUE"""),"VD031")</f>
        <v>VD031</v>
      </c>
      <c r="C976" s="2">
        <f>IFERROR(__xludf.DUMMYFUNCTION("""COMPUTED_VALUE"""),2.0)</f>
        <v>2</v>
      </c>
      <c r="D976" s="6">
        <f>IFERROR(__xludf.DUMMYFUNCTION("""COMPUTED_VALUE"""),146.45)</f>
        <v>146.45</v>
      </c>
      <c r="E976" s="6">
        <f>IFERROR(__xludf.DUMMYFUNCTION("GOOGLEFINANCE(""Currency:BRLMXN"")*D976"),497.49064999999996)</f>
        <v>497.49065</v>
      </c>
      <c r="F976" s="6">
        <f>IFERROR(__xludf.DUMMYFUNCTION("GOOGLEFINANCE(""Currency:BRLPEN"")*D976"),96.01261999999998)</f>
        <v>96.01262</v>
      </c>
      <c r="G976" s="2" t="str">
        <f t="array" ref="G976">_xlfn.XLOOKUP(B976,Vendedores!$A$2:$A$41,Vendedores!$B$2:$B$41,"No hay datos")</f>
        <v>No hay datos</v>
      </c>
      <c r="H976" s="2" t="str">
        <f t="array" ref="H976">_xlfn.XLOOKUP(B976,Vendedores!$A$2:$A$41,Vendedores!$C$2:$C$41,"No hay datos")</f>
        <v>No hay datos</v>
      </c>
      <c r="I976" s="2" t="str">
        <f t="array" ref="I976">_xlfn.XLOOKUP(B976,Vendedores!$A$2:$A$41,Vendedores!$D$2:$D$41,"No hay datos")</f>
        <v>No hay datos</v>
      </c>
      <c r="J976" s="2" t="str">
        <f t="array" ref="J976">_xlfn.XLOOKUP(A976,Productos!$A$2:$A$61,Productos!$B$2:$F$61)</f>
        <v>#N/A</v>
      </c>
    </row>
    <row r="977">
      <c r="A977" s="2" t="str">
        <f>IFERROR(__xludf.DUMMYFUNCTION("""COMPUTED_VALUE"""),"PR011")</f>
        <v>PR011</v>
      </c>
      <c r="B977" s="2" t="str">
        <f>IFERROR(__xludf.DUMMYFUNCTION("""COMPUTED_VALUE"""),"VD040")</f>
        <v>VD040</v>
      </c>
      <c r="C977" s="2">
        <f>IFERROR(__xludf.DUMMYFUNCTION("""COMPUTED_VALUE"""),4.0)</f>
        <v>4</v>
      </c>
      <c r="D977" s="6">
        <f>IFERROR(__xludf.DUMMYFUNCTION("""COMPUTED_VALUE"""),202.61)</f>
        <v>202.61</v>
      </c>
      <c r="E977" s="6">
        <f>IFERROR(__xludf.DUMMYFUNCTION("GOOGLEFINANCE(""Currency:BRLMXN"")*D977"),688.26617)</f>
        <v>688.26617</v>
      </c>
      <c r="F977" s="6">
        <f>IFERROR(__xludf.DUMMYFUNCTION("GOOGLEFINANCE(""Currency:BRLPEN"")*D977"),132.831116)</f>
        <v>132.831116</v>
      </c>
      <c r="G977" s="2" t="str">
        <f t="array" ref="G977">_xlfn.XLOOKUP(B977,Vendedores!$A$2:$A$41,Vendedores!$B$2:$B$41,"No hay datos")</f>
        <v>No hay datos</v>
      </c>
      <c r="H977" s="2" t="str">
        <f t="array" ref="H977">_xlfn.XLOOKUP(B977,Vendedores!$A$2:$A$41,Vendedores!$C$2:$C$41,"No hay datos")</f>
        <v>No hay datos</v>
      </c>
      <c r="I977" s="2" t="str">
        <f t="array" ref="I977">_xlfn.XLOOKUP(B977,Vendedores!$A$2:$A$41,Vendedores!$D$2:$D$41,"No hay datos")</f>
        <v>No hay datos</v>
      </c>
      <c r="J977" s="2" t="str">
        <f t="array" ref="J977">_xlfn.XLOOKUP(A977,Productos!$A$2:$A$61,Productos!$B$2:$F$61)</f>
        <v>#N/A</v>
      </c>
    </row>
    <row r="978">
      <c r="A978" s="2" t="str">
        <f>IFERROR(__xludf.DUMMYFUNCTION("""COMPUTED_VALUE"""),"PR028")</f>
        <v>PR028</v>
      </c>
      <c r="B978" s="2" t="str">
        <f>IFERROR(__xludf.DUMMYFUNCTION("""COMPUTED_VALUE"""),"VD010")</f>
        <v>VD010</v>
      </c>
      <c r="C978" s="2">
        <f>IFERROR(__xludf.DUMMYFUNCTION("""COMPUTED_VALUE"""),10.0)</f>
        <v>10</v>
      </c>
      <c r="D978" s="6">
        <f>IFERROR(__xludf.DUMMYFUNCTION("""COMPUTED_VALUE"""),2673.93)</f>
        <v>2673.93</v>
      </c>
      <c r="E978" s="6">
        <f>IFERROR(__xludf.DUMMYFUNCTION("GOOGLEFINANCE(""Currency:BRLMXN"")*D978"),9083.340209999998)</f>
        <v>9083.34021</v>
      </c>
      <c r="F978" s="6">
        <f>IFERROR(__xludf.DUMMYFUNCTION("GOOGLEFINANCE(""Currency:BRLPEN"")*D978"),1753.0285079999999)</f>
        <v>1753.028508</v>
      </c>
      <c r="G978" s="2" t="str">
        <f t="array" ref="G978">_xlfn.XLOOKUP(B978,Vendedores!$A$2:$A$41,Vendedores!$B$2:$B$41,"No hay datos")</f>
        <v>No hay datos</v>
      </c>
      <c r="H978" s="2" t="str">
        <f t="array" ref="H978">_xlfn.XLOOKUP(B978,Vendedores!$A$2:$A$41,Vendedores!$C$2:$C$41,"No hay datos")</f>
        <v>No hay datos</v>
      </c>
      <c r="I978" s="2" t="str">
        <f t="array" ref="I978">_xlfn.XLOOKUP(B978,Vendedores!$A$2:$A$41,Vendedores!$D$2:$D$41,"No hay datos")</f>
        <v>No hay datos</v>
      </c>
      <c r="J978" s="2" t="str">
        <f t="array" ref="J978">_xlfn.XLOOKUP(A978,Productos!$A$2:$A$61,Productos!$B$2:$F$61)</f>
        <v>#N/A</v>
      </c>
    </row>
    <row r="979">
      <c r="A979" s="2" t="str">
        <f>IFERROR(__xludf.DUMMYFUNCTION("""COMPUTED_VALUE"""),"PR007")</f>
        <v>PR007</v>
      </c>
      <c r="B979" s="2" t="str">
        <f>IFERROR(__xludf.DUMMYFUNCTION("""COMPUTED_VALUE"""),"VD017")</f>
        <v>VD017</v>
      </c>
      <c r="C979" s="2">
        <f>IFERROR(__xludf.DUMMYFUNCTION("""COMPUTED_VALUE"""),14.0)</f>
        <v>14</v>
      </c>
      <c r="D979" s="6">
        <f>IFERROR(__xludf.DUMMYFUNCTION("""COMPUTED_VALUE"""),1274.76)</f>
        <v>1274.76</v>
      </c>
      <c r="E979" s="6">
        <f>IFERROR(__xludf.DUMMYFUNCTION("GOOGLEFINANCE(""Currency:BRLMXN"")*D979"),4330.3597199999995)</f>
        <v>4330.35972</v>
      </c>
      <c r="F979" s="6">
        <f>IFERROR(__xludf.DUMMYFUNCTION("GOOGLEFINANCE(""Currency:BRLPEN"")*D979"),835.7326559999999)</f>
        <v>835.732656</v>
      </c>
      <c r="G979" s="2" t="str">
        <f t="array" ref="G979">_xlfn.XLOOKUP(B979,Vendedores!$A$2:$A$41,Vendedores!$B$2:$B$41,"No hay datos")</f>
        <v>No hay datos</v>
      </c>
      <c r="H979" s="2" t="str">
        <f t="array" ref="H979">_xlfn.XLOOKUP(B979,Vendedores!$A$2:$A$41,Vendedores!$C$2:$C$41,"No hay datos")</f>
        <v>No hay datos</v>
      </c>
      <c r="I979" s="2" t="str">
        <f t="array" ref="I979">_xlfn.XLOOKUP(B979,Vendedores!$A$2:$A$41,Vendedores!$D$2:$D$41,"No hay datos")</f>
        <v>No hay datos</v>
      </c>
      <c r="J979" s="2" t="str">
        <f t="array" ref="J979">_xlfn.XLOOKUP(A979,Productos!$A$2:$A$61,Productos!$B$2:$F$61)</f>
        <v>#N/A</v>
      </c>
    </row>
    <row r="980">
      <c r="A980" s="2" t="str">
        <f>IFERROR(__xludf.DUMMYFUNCTION("""COMPUTED_VALUE"""),"PR052")</f>
        <v>PR052</v>
      </c>
      <c r="B980" s="2" t="str">
        <f>IFERROR(__xludf.DUMMYFUNCTION("""COMPUTED_VALUE"""),"VD029")</f>
        <v>VD029</v>
      </c>
      <c r="C980" s="2">
        <f>IFERROR(__xludf.DUMMYFUNCTION("""COMPUTED_VALUE"""),6.0)</f>
        <v>6</v>
      </c>
      <c r="D980" s="6">
        <f>IFERROR(__xludf.DUMMYFUNCTION("""COMPUTED_VALUE"""),326.35)</f>
        <v>326.35</v>
      </c>
      <c r="E980" s="6">
        <f>IFERROR(__xludf.DUMMYFUNCTION("GOOGLEFINANCE(""Currency:BRLMXN"")*D980"),1108.61095)</f>
        <v>1108.61095</v>
      </c>
      <c r="F980" s="6">
        <f>IFERROR(__xludf.DUMMYFUNCTION("GOOGLEFINANCE(""Currency:BRLPEN"")*D980"),213.95506)</f>
        <v>213.95506</v>
      </c>
      <c r="G980" s="2" t="str">
        <f t="array" ref="G980">_xlfn.XLOOKUP(B980,Vendedores!$A$2:$A$41,Vendedores!$B$2:$B$41,"No hay datos")</f>
        <v>No hay datos</v>
      </c>
      <c r="H980" s="2" t="str">
        <f t="array" ref="H980">_xlfn.XLOOKUP(B980,Vendedores!$A$2:$A$41,Vendedores!$C$2:$C$41,"No hay datos")</f>
        <v>No hay datos</v>
      </c>
      <c r="I980" s="2" t="str">
        <f t="array" ref="I980">_xlfn.XLOOKUP(B980,Vendedores!$A$2:$A$41,Vendedores!$D$2:$D$41,"No hay datos")</f>
        <v>No hay datos</v>
      </c>
      <c r="J980" s="2" t="str">
        <f t="array" ref="J980">_xlfn.XLOOKUP(A980,Productos!$A$2:$A$61,Productos!$B$2:$F$61)</f>
        <v>#N/A</v>
      </c>
    </row>
    <row r="981">
      <c r="A981" s="2" t="str">
        <f>IFERROR(__xludf.DUMMYFUNCTION("""COMPUTED_VALUE"""),"PR046")</f>
        <v>PR046</v>
      </c>
      <c r="B981" s="2" t="str">
        <f>IFERROR(__xludf.DUMMYFUNCTION("""COMPUTED_VALUE"""),"VD022")</f>
        <v>VD022</v>
      </c>
      <c r="C981" s="2">
        <f>IFERROR(__xludf.DUMMYFUNCTION("""COMPUTED_VALUE"""),4.0)</f>
        <v>4</v>
      </c>
      <c r="D981" s="6">
        <f>IFERROR(__xludf.DUMMYFUNCTION("""COMPUTED_VALUE"""),1263.96)</f>
        <v>1263.96</v>
      </c>
      <c r="E981" s="6">
        <f>IFERROR(__xludf.DUMMYFUNCTION("GOOGLEFINANCE(""Currency:BRLMXN"")*D981"),4293.67212)</f>
        <v>4293.67212</v>
      </c>
      <c r="F981" s="6">
        <f>IFERROR(__xludf.DUMMYFUNCTION("GOOGLEFINANCE(""Currency:BRLPEN"")*D981"),828.6521759999999)</f>
        <v>828.652176</v>
      </c>
      <c r="G981" s="2" t="str">
        <f t="array" ref="G981">_xlfn.XLOOKUP(B981,Vendedores!$A$2:$A$41,Vendedores!$B$2:$B$41,"No hay datos")</f>
        <v>No hay datos</v>
      </c>
      <c r="H981" s="2" t="str">
        <f t="array" ref="H981">_xlfn.XLOOKUP(B981,Vendedores!$A$2:$A$41,Vendedores!$C$2:$C$41,"No hay datos")</f>
        <v>No hay datos</v>
      </c>
      <c r="I981" s="2" t="str">
        <f t="array" ref="I981">_xlfn.XLOOKUP(B981,Vendedores!$A$2:$A$41,Vendedores!$D$2:$D$41,"No hay datos")</f>
        <v>No hay datos</v>
      </c>
      <c r="J981" s="2" t="str">
        <f t="array" ref="J981">_xlfn.XLOOKUP(A981,Productos!$A$2:$A$61,Productos!$B$2:$F$61)</f>
        <v>#N/A</v>
      </c>
    </row>
    <row r="982">
      <c r="A982" s="2" t="str">
        <f>IFERROR(__xludf.DUMMYFUNCTION("""COMPUTED_VALUE"""),"PR008")</f>
        <v>PR008</v>
      </c>
      <c r="B982" s="2" t="str">
        <f>IFERROR(__xludf.DUMMYFUNCTION("""COMPUTED_VALUE"""),"VD038")</f>
        <v>VD038</v>
      </c>
      <c r="C982" s="2">
        <f>IFERROR(__xludf.DUMMYFUNCTION("""COMPUTED_VALUE"""),8.0)</f>
        <v>8</v>
      </c>
      <c r="D982" s="6">
        <f>IFERROR(__xludf.DUMMYFUNCTION("""COMPUTED_VALUE"""),769.54)</f>
        <v>769.54</v>
      </c>
      <c r="E982" s="6">
        <f>IFERROR(__xludf.DUMMYFUNCTION("GOOGLEFINANCE(""Currency:BRLMXN"")*D982"),2614.12738)</f>
        <v>2614.12738</v>
      </c>
      <c r="F982" s="6">
        <f>IFERROR(__xludf.DUMMYFUNCTION("GOOGLEFINANCE(""Currency:BRLPEN"")*D982"),504.51042399999994)</f>
        <v>504.510424</v>
      </c>
      <c r="G982" s="2" t="str">
        <f t="array" ref="G982">_xlfn.XLOOKUP(B982,Vendedores!$A$2:$A$41,Vendedores!$B$2:$B$41,"No hay datos")</f>
        <v>No hay datos</v>
      </c>
      <c r="H982" s="2" t="str">
        <f t="array" ref="H982">_xlfn.XLOOKUP(B982,Vendedores!$A$2:$A$41,Vendedores!$C$2:$C$41,"No hay datos")</f>
        <v>No hay datos</v>
      </c>
      <c r="I982" s="2" t="str">
        <f t="array" ref="I982">_xlfn.XLOOKUP(B982,Vendedores!$A$2:$A$41,Vendedores!$D$2:$D$41,"No hay datos")</f>
        <v>No hay datos</v>
      </c>
      <c r="J982" s="2" t="str">
        <f t="array" ref="J982">_xlfn.XLOOKUP(A982,Productos!$A$2:$A$61,Productos!$B$2:$F$61)</f>
        <v>#N/A</v>
      </c>
    </row>
    <row r="983">
      <c r="A983" s="2" t="str">
        <f>IFERROR(__xludf.DUMMYFUNCTION("""COMPUTED_VALUE"""),"PR039")</f>
        <v>PR039</v>
      </c>
      <c r="B983" s="2" t="str">
        <f>IFERROR(__xludf.DUMMYFUNCTION("""COMPUTED_VALUE"""),"VD038")</f>
        <v>VD038</v>
      </c>
      <c r="C983" s="2">
        <f>IFERROR(__xludf.DUMMYFUNCTION("""COMPUTED_VALUE"""),1.0)</f>
        <v>1</v>
      </c>
      <c r="D983" s="6">
        <f>IFERROR(__xludf.DUMMYFUNCTION("""COMPUTED_VALUE"""),146.0)</f>
        <v>146</v>
      </c>
      <c r="E983" s="6">
        <f>IFERROR(__xludf.DUMMYFUNCTION("GOOGLEFINANCE(""Currency:BRLMXN"")*D983"),495.962)</f>
        <v>495.962</v>
      </c>
      <c r="F983" s="6">
        <f>IFERROR(__xludf.DUMMYFUNCTION("GOOGLEFINANCE(""Currency:BRLPEN"")*D983"),95.71759999999999)</f>
        <v>95.7176</v>
      </c>
      <c r="G983" s="2" t="str">
        <f t="array" ref="G983">_xlfn.XLOOKUP(B983,Vendedores!$A$2:$A$41,Vendedores!$B$2:$B$41,"No hay datos")</f>
        <v>No hay datos</v>
      </c>
      <c r="H983" s="2" t="str">
        <f t="array" ref="H983">_xlfn.XLOOKUP(B983,Vendedores!$A$2:$A$41,Vendedores!$C$2:$C$41,"No hay datos")</f>
        <v>No hay datos</v>
      </c>
      <c r="I983" s="2" t="str">
        <f t="array" ref="I983">_xlfn.XLOOKUP(B983,Vendedores!$A$2:$A$41,Vendedores!$D$2:$D$41,"No hay datos")</f>
        <v>No hay datos</v>
      </c>
      <c r="J983" s="2" t="str">
        <f t="array" ref="J983">_xlfn.XLOOKUP(A983,Productos!$A$2:$A$61,Productos!$B$2:$F$61)</f>
        <v>#N/A</v>
      </c>
    </row>
    <row r="984">
      <c r="A984" s="2" t="str">
        <f>IFERROR(__xludf.DUMMYFUNCTION("""COMPUTED_VALUE"""),"PR038")</f>
        <v>PR038</v>
      </c>
      <c r="B984" s="2" t="str">
        <f>IFERROR(__xludf.DUMMYFUNCTION("""COMPUTED_VALUE"""),"VD012")</f>
        <v>VD012</v>
      </c>
      <c r="C984" s="2">
        <f>IFERROR(__xludf.DUMMYFUNCTION("""COMPUTED_VALUE"""),4.0)</f>
        <v>4</v>
      </c>
      <c r="D984" s="6">
        <f>IFERROR(__xludf.DUMMYFUNCTION("""COMPUTED_VALUE"""),577.32)</f>
        <v>577.32</v>
      </c>
      <c r="E984" s="6">
        <f>IFERROR(__xludf.DUMMYFUNCTION("GOOGLEFINANCE(""Currency:BRLMXN"")*D984"),1961.15604)</f>
        <v>1961.15604</v>
      </c>
      <c r="F984" s="6">
        <f>IFERROR(__xludf.DUMMYFUNCTION("GOOGLEFINANCE(""Currency:BRLPEN"")*D984"),378.490992)</f>
        <v>378.490992</v>
      </c>
      <c r="G984" s="2" t="str">
        <f t="array" ref="G984">_xlfn.XLOOKUP(B984,Vendedores!$A$2:$A$41,Vendedores!$B$2:$B$41,"No hay datos")</f>
        <v>No hay datos</v>
      </c>
      <c r="H984" s="2" t="str">
        <f t="array" ref="H984">_xlfn.XLOOKUP(B984,Vendedores!$A$2:$A$41,Vendedores!$C$2:$C$41,"No hay datos")</f>
        <v>No hay datos</v>
      </c>
      <c r="I984" s="2" t="str">
        <f t="array" ref="I984">_xlfn.XLOOKUP(B984,Vendedores!$A$2:$A$41,Vendedores!$D$2:$D$41,"No hay datos")</f>
        <v>No hay datos</v>
      </c>
      <c r="J984" s="2" t="str">
        <f t="array" ref="J984">_xlfn.XLOOKUP(A984,Productos!$A$2:$A$61,Productos!$B$2:$F$61)</f>
        <v>#N/A</v>
      </c>
    </row>
    <row r="985">
      <c r="A985" s="2" t="str">
        <f>IFERROR(__xludf.DUMMYFUNCTION("""COMPUTED_VALUE"""),"PR030")</f>
        <v>PR030</v>
      </c>
      <c r="B985" s="2" t="str">
        <f>IFERROR(__xludf.DUMMYFUNCTION("""COMPUTED_VALUE"""),"VD035")</f>
        <v>VD035</v>
      </c>
      <c r="C985" s="2">
        <f>IFERROR(__xludf.DUMMYFUNCTION("""COMPUTED_VALUE"""),2.0)</f>
        <v>2</v>
      </c>
      <c r="D985" s="6">
        <f>IFERROR(__xludf.DUMMYFUNCTION("""COMPUTED_VALUE"""),571.78)</f>
        <v>571.78</v>
      </c>
      <c r="E985" s="6">
        <f>IFERROR(__xludf.DUMMYFUNCTION("GOOGLEFINANCE(""Currency:BRLMXN"")*D985"),1942.3366599999997)</f>
        <v>1942.33666</v>
      </c>
      <c r="F985" s="6">
        <f>IFERROR(__xludf.DUMMYFUNCTION("GOOGLEFINANCE(""Currency:BRLPEN"")*D985"),374.85896799999995)</f>
        <v>374.858968</v>
      </c>
      <c r="G985" s="2" t="str">
        <f t="array" ref="G985">_xlfn.XLOOKUP(B985,Vendedores!$A$2:$A$41,Vendedores!$B$2:$B$41,"No hay datos")</f>
        <v>No hay datos</v>
      </c>
      <c r="H985" s="2" t="str">
        <f t="array" ref="H985">_xlfn.XLOOKUP(B985,Vendedores!$A$2:$A$41,Vendedores!$C$2:$C$41,"No hay datos")</f>
        <v>No hay datos</v>
      </c>
      <c r="I985" s="2" t="str">
        <f t="array" ref="I985">_xlfn.XLOOKUP(B985,Vendedores!$A$2:$A$41,Vendedores!$D$2:$D$41,"No hay datos")</f>
        <v>No hay datos</v>
      </c>
      <c r="J985" s="2" t="str">
        <f t="array" ref="J985">_xlfn.XLOOKUP(A985,Productos!$A$2:$A$61,Productos!$B$2:$F$61)</f>
        <v>#N/A</v>
      </c>
    </row>
    <row r="986">
      <c r="A986" s="2" t="str">
        <f>IFERROR(__xludf.DUMMYFUNCTION("""COMPUTED_VALUE"""),"PR015")</f>
        <v>PR015</v>
      </c>
      <c r="B986" s="2" t="str">
        <f>IFERROR(__xludf.DUMMYFUNCTION("""COMPUTED_VALUE"""),"VD013")</f>
        <v>VD013</v>
      </c>
      <c r="C986" s="2">
        <f>IFERROR(__xludf.DUMMYFUNCTION("""COMPUTED_VALUE"""),20.0)</f>
        <v>20</v>
      </c>
      <c r="D986" s="6">
        <f>IFERROR(__xludf.DUMMYFUNCTION("""COMPUTED_VALUE"""),901.0)</f>
        <v>901</v>
      </c>
      <c r="E986" s="6">
        <f>IFERROR(__xludf.DUMMYFUNCTION("GOOGLEFINANCE(""Currency:BRLMXN"")*D986"),3060.6969999999997)</f>
        <v>3060.697</v>
      </c>
      <c r="F986" s="6">
        <f>IFERROR(__xludf.DUMMYFUNCTION("GOOGLEFINANCE(""Currency:BRLPEN"")*D986"),590.6956)</f>
        <v>590.6956</v>
      </c>
      <c r="G986" s="2" t="str">
        <f t="array" ref="G986">_xlfn.XLOOKUP(B986,Vendedores!$A$2:$A$41,Vendedores!$B$2:$B$41,"No hay datos")</f>
        <v>No hay datos</v>
      </c>
      <c r="H986" s="2" t="str">
        <f t="array" ref="H986">_xlfn.XLOOKUP(B986,Vendedores!$A$2:$A$41,Vendedores!$C$2:$C$41,"No hay datos")</f>
        <v>No hay datos</v>
      </c>
      <c r="I986" s="2" t="str">
        <f t="array" ref="I986">_xlfn.XLOOKUP(B986,Vendedores!$A$2:$A$41,Vendedores!$D$2:$D$41,"No hay datos")</f>
        <v>No hay datos</v>
      </c>
      <c r="J986" s="2" t="str">
        <f t="array" ref="J986">_xlfn.XLOOKUP(A986,Productos!$A$2:$A$61,Productos!$B$2:$F$61)</f>
        <v>#N/A</v>
      </c>
    </row>
    <row r="987">
      <c r="A987" s="2" t="str">
        <f>IFERROR(__xludf.DUMMYFUNCTION("""COMPUTED_VALUE"""),"PR025")</f>
        <v>PR025</v>
      </c>
      <c r="B987" s="2" t="str">
        <f>IFERROR(__xludf.DUMMYFUNCTION("""COMPUTED_VALUE"""),"VD021")</f>
        <v>VD021</v>
      </c>
      <c r="C987" s="2">
        <f>IFERROR(__xludf.DUMMYFUNCTION("""COMPUTED_VALUE"""),12.0)</f>
        <v>12</v>
      </c>
      <c r="D987" s="6">
        <f>IFERROR(__xludf.DUMMYFUNCTION("""COMPUTED_VALUE"""),3850.72)</f>
        <v>3850.72</v>
      </c>
      <c r="E987" s="6">
        <f>IFERROR(__xludf.DUMMYFUNCTION("GOOGLEFINANCE(""Currency:BRLMXN"")*D987"),13080.89584)</f>
        <v>13080.89584</v>
      </c>
      <c r="F987" s="6">
        <f>IFERROR(__xludf.DUMMYFUNCTION("GOOGLEFINANCE(""Currency:BRLPEN"")*D987"),2524.5320319999996)</f>
        <v>2524.532032</v>
      </c>
      <c r="G987" s="2" t="str">
        <f t="array" ref="G987">_xlfn.XLOOKUP(B987,Vendedores!$A$2:$A$41,Vendedores!$B$2:$B$41,"No hay datos")</f>
        <v>No hay datos</v>
      </c>
      <c r="H987" s="2" t="str">
        <f t="array" ref="H987">_xlfn.XLOOKUP(B987,Vendedores!$A$2:$A$41,Vendedores!$C$2:$C$41,"No hay datos")</f>
        <v>No hay datos</v>
      </c>
      <c r="I987" s="2" t="str">
        <f t="array" ref="I987">_xlfn.XLOOKUP(B987,Vendedores!$A$2:$A$41,Vendedores!$D$2:$D$41,"No hay datos")</f>
        <v>No hay datos</v>
      </c>
      <c r="J987" s="2" t="str">
        <f t="array" ref="J987">_xlfn.XLOOKUP(A987,Productos!$A$2:$A$61,Productos!$B$2:$F$61)</f>
        <v>#N/A</v>
      </c>
    </row>
    <row r="988">
      <c r="A988" s="2" t="str">
        <f>IFERROR(__xludf.DUMMYFUNCTION("""COMPUTED_VALUE"""),"PR016")</f>
        <v>PR016</v>
      </c>
      <c r="B988" s="2" t="str">
        <f>IFERROR(__xludf.DUMMYFUNCTION("""COMPUTED_VALUE"""),"VD023")</f>
        <v>VD023</v>
      </c>
      <c r="C988" s="2">
        <f>IFERROR(__xludf.DUMMYFUNCTION("""COMPUTED_VALUE"""),14.0)</f>
        <v>14</v>
      </c>
      <c r="D988" s="6">
        <f>IFERROR(__xludf.DUMMYFUNCTION("""COMPUTED_VALUE"""),398.86)</f>
        <v>398.86</v>
      </c>
      <c r="E988" s="6">
        <f>IFERROR(__xludf.DUMMYFUNCTION("GOOGLEFINANCE(""Currency:BRLMXN"")*D988"),1354.92742)</f>
        <v>1354.92742</v>
      </c>
      <c r="F988" s="6">
        <f>IFERROR(__xludf.DUMMYFUNCTION("GOOGLEFINANCE(""Currency:BRLPEN"")*D988"),261.492616)</f>
        <v>261.492616</v>
      </c>
      <c r="G988" s="2" t="str">
        <f t="array" ref="G988">_xlfn.XLOOKUP(B988,Vendedores!$A$2:$A$41,Vendedores!$B$2:$B$41,"No hay datos")</f>
        <v>No hay datos</v>
      </c>
      <c r="H988" s="2" t="str">
        <f t="array" ref="H988">_xlfn.XLOOKUP(B988,Vendedores!$A$2:$A$41,Vendedores!$C$2:$C$41,"No hay datos")</f>
        <v>No hay datos</v>
      </c>
      <c r="I988" s="2" t="str">
        <f t="array" ref="I988">_xlfn.XLOOKUP(B988,Vendedores!$A$2:$A$41,Vendedores!$D$2:$D$41,"No hay datos")</f>
        <v>No hay datos</v>
      </c>
      <c r="J988" s="2" t="str">
        <f t="array" ref="J988">_xlfn.XLOOKUP(A988,Productos!$A$2:$A$61,Productos!$B$2:$F$61)</f>
        <v>#N/A</v>
      </c>
    </row>
    <row r="989">
      <c r="A989" s="2" t="str">
        <f>IFERROR(__xludf.DUMMYFUNCTION("""COMPUTED_VALUE"""),"PR048")</f>
        <v>PR048</v>
      </c>
      <c r="B989" s="2" t="str">
        <f>IFERROR(__xludf.DUMMYFUNCTION("""COMPUTED_VALUE"""),"VD038")</f>
        <v>VD038</v>
      </c>
      <c r="C989" s="2">
        <f>IFERROR(__xludf.DUMMYFUNCTION("""COMPUTED_VALUE"""),2.0)</f>
        <v>2</v>
      </c>
      <c r="D989" s="6">
        <f>IFERROR(__xludf.DUMMYFUNCTION("""COMPUTED_VALUE"""),620.39)</f>
        <v>620.39</v>
      </c>
      <c r="E989" s="6">
        <f>IFERROR(__xludf.DUMMYFUNCTION("GOOGLEFINANCE(""Currency:BRLMXN"")*D989"),2107.46483)</f>
        <v>2107.46483</v>
      </c>
      <c r="F989" s="6">
        <f>IFERROR(__xludf.DUMMYFUNCTION("GOOGLEFINANCE(""Currency:BRLPEN"")*D989"),406.72768399999995)</f>
        <v>406.727684</v>
      </c>
      <c r="G989" s="2" t="str">
        <f t="array" ref="G989">_xlfn.XLOOKUP(B989,Vendedores!$A$2:$A$41,Vendedores!$B$2:$B$41,"No hay datos")</f>
        <v>No hay datos</v>
      </c>
      <c r="H989" s="2" t="str">
        <f t="array" ref="H989">_xlfn.XLOOKUP(B989,Vendedores!$A$2:$A$41,Vendedores!$C$2:$C$41,"No hay datos")</f>
        <v>No hay datos</v>
      </c>
      <c r="I989" s="2" t="str">
        <f t="array" ref="I989">_xlfn.XLOOKUP(B989,Vendedores!$A$2:$A$41,Vendedores!$D$2:$D$41,"No hay datos")</f>
        <v>No hay datos</v>
      </c>
      <c r="J989" s="2" t="str">
        <f t="array" ref="J989">_xlfn.XLOOKUP(A989,Productos!$A$2:$A$61,Productos!$B$2:$F$61)</f>
        <v>#N/A</v>
      </c>
    </row>
    <row r="990">
      <c r="A990" s="2" t="str">
        <f>IFERROR(__xludf.DUMMYFUNCTION("""COMPUTED_VALUE"""),"PR051")</f>
        <v>PR051</v>
      </c>
      <c r="B990" s="2" t="str">
        <f>IFERROR(__xludf.DUMMYFUNCTION("""COMPUTED_VALUE"""),"VD010")</f>
        <v>VD010</v>
      </c>
      <c r="C990" s="2">
        <f>IFERROR(__xludf.DUMMYFUNCTION("""COMPUTED_VALUE"""),10.0)</f>
        <v>10</v>
      </c>
      <c r="D990" s="6">
        <f>IFERROR(__xludf.DUMMYFUNCTION("""COMPUTED_VALUE"""),342.16)</f>
        <v>342.16</v>
      </c>
      <c r="E990" s="6">
        <f>IFERROR(__xludf.DUMMYFUNCTION("GOOGLEFINANCE(""Currency:BRLMXN"")*D990"),1162.31752)</f>
        <v>1162.31752</v>
      </c>
      <c r="F990" s="6">
        <f>IFERROR(__xludf.DUMMYFUNCTION("GOOGLEFINANCE(""Currency:BRLPEN"")*D990"),224.320096)</f>
        <v>224.320096</v>
      </c>
      <c r="G990" s="2" t="str">
        <f t="array" ref="G990">_xlfn.XLOOKUP(B990,Vendedores!$A$2:$A$41,Vendedores!$B$2:$B$41,"No hay datos")</f>
        <v>No hay datos</v>
      </c>
      <c r="H990" s="2" t="str">
        <f t="array" ref="H990">_xlfn.XLOOKUP(B990,Vendedores!$A$2:$A$41,Vendedores!$C$2:$C$41,"No hay datos")</f>
        <v>No hay datos</v>
      </c>
      <c r="I990" s="2" t="str">
        <f t="array" ref="I990">_xlfn.XLOOKUP(B990,Vendedores!$A$2:$A$41,Vendedores!$D$2:$D$41,"No hay datos")</f>
        <v>No hay datos</v>
      </c>
      <c r="J990" s="2" t="str">
        <f t="array" ref="J990">_xlfn.XLOOKUP(A990,Productos!$A$2:$A$61,Productos!$B$2:$F$61)</f>
        <v>#N/A</v>
      </c>
    </row>
    <row r="991">
      <c r="A991" s="2" t="str">
        <f>IFERROR(__xludf.DUMMYFUNCTION("""COMPUTED_VALUE"""),"PR060")</f>
        <v>PR060</v>
      </c>
      <c r="B991" s="2" t="str">
        <f>IFERROR(__xludf.DUMMYFUNCTION("""COMPUTED_VALUE"""),"VD025")</f>
        <v>VD025</v>
      </c>
      <c r="C991" s="2">
        <f>IFERROR(__xludf.DUMMYFUNCTION("""COMPUTED_VALUE"""),7.0)</f>
        <v>7</v>
      </c>
      <c r="D991" s="6">
        <f>IFERROR(__xludf.DUMMYFUNCTION("""COMPUTED_VALUE"""),1335.6)</f>
        <v>1335.6</v>
      </c>
      <c r="E991" s="6">
        <f>IFERROR(__xludf.DUMMYFUNCTION("GOOGLEFINANCE(""Currency:BRLMXN"")*D991"),4537.0332)</f>
        <v>4537.0332</v>
      </c>
      <c r="F991" s="6">
        <f>IFERROR(__xludf.DUMMYFUNCTION("GOOGLEFINANCE(""Currency:BRLPEN"")*D991"),875.6193599999999)</f>
        <v>875.61936</v>
      </c>
      <c r="G991" s="2" t="str">
        <f t="array" ref="G991">_xlfn.XLOOKUP(B991,Vendedores!$A$2:$A$41,Vendedores!$B$2:$B$41,"No hay datos")</f>
        <v>No hay datos</v>
      </c>
      <c r="H991" s="2" t="str">
        <f t="array" ref="H991">_xlfn.XLOOKUP(B991,Vendedores!$A$2:$A$41,Vendedores!$C$2:$C$41,"No hay datos")</f>
        <v>No hay datos</v>
      </c>
      <c r="I991" s="2" t="str">
        <f t="array" ref="I991">_xlfn.XLOOKUP(B991,Vendedores!$A$2:$A$41,Vendedores!$D$2:$D$41,"No hay datos")</f>
        <v>No hay datos</v>
      </c>
      <c r="J991" s="2" t="str">
        <f t="array" ref="J991">_xlfn.XLOOKUP(A991,Productos!$A$2:$A$61,Productos!$B$2:$F$61)</f>
        <v>#N/A</v>
      </c>
    </row>
    <row r="992">
      <c r="A992" s="2" t="str">
        <f>IFERROR(__xludf.DUMMYFUNCTION("""COMPUTED_VALUE"""),"PR056")</f>
        <v>PR056</v>
      </c>
      <c r="B992" s="2" t="str">
        <f>IFERROR(__xludf.DUMMYFUNCTION("""COMPUTED_VALUE"""),"VD035")</f>
        <v>VD035</v>
      </c>
      <c r="C992" s="2">
        <f>IFERROR(__xludf.DUMMYFUNCTION("""COMPUTED_VALUE"""),4.0)</f>
        <v>4</v>
      </c>
      <c r="D992" s="6">
        <f>IFERROR(__xludf.DUMMYFUNCTION("""COMPUTED_VALUE"""),370.39)</f>
        <v>370.39</v>
      </c>
      <c r="E992" s="6">
        <f>IFERROR(__xludf.DUMMYFUNCTION("GOOGLEFINANCE(""Currency:BRLMXN"")*D992"),1258.21483)</f>
        <v>1258.21483</v>
      </c>
      <c r="F992" s="6">
        <f>IFERROR(__xludf.DUMMYFUNCTION("GOOGLEFINANCE(""Currency:BRLPEN"")*D992"),242.82768399999998)</f>
        <v>242.827684</v>
      </c>
      <c r="G992" s="2" t="str">
        <f t="array" ref="G992">_xlfn.XLOOKUP(B992,Vendedores!$A$2:$A$41,Vendedores!$B$2:$B$41,"No hay datos")</f>
        <v>No hay datos</v>
      </c>
      <c r="H992" s="2" t="str">
        <f t="array" ref="H992">_xlfn.XLOOKUP(B992,Vendedores!$A$2:$A$41,Vendedores!$C$2:$C$41,"No hay datos")</f>
        <v>No hay datos</v>
      </c>
      <c r="I992" s="2" t="str">
        <f t="array" ref="I992">_xlfn.XLOOKUP(B992,Vendedores!$A$2:$A$41,Vendedores!$D$2:$D$41,"No hay datos")</f>
        <v>No hay datos</v>
      </c>
      <c r="J992" s="2" t="str">
        <f t="array" ref="J992">_xlfn.XLOOKUP(A992,Productos!$A$2:$A$61,Productos!$B$2:$F$61)</f>
        <v>#N/A</v>
      </c>
    </row>
    <row r="993">
      <c r="A993" s="2" t="str">
        <f>IFERROR(__xludf.DUMMYFUNCTION("""COMPUTED_VALUE"""),"PR033")</f>
        <v>PR033</v>
      </c>
      <c r="B993" s="2" t="str">
        <f>IFERROR(__xludf.DUMMYFUNCTION("""COMPUTED_VALUE"""),"VD036")</f>
        <v>VD036</v>
      </c>
      <c r="C993" s="2">
        <f>IFERROR(__xludf.DUMMYFUNCTION("""COMPUTED_VALUE"""),1.0)</f>
        <v>1</v>
      </c>
      <c r="D993" s="6">
        <f>IFERROR(__xludf.DUMMYFUNCTION("""COMPUTED_VALUE"""),262.5)</f>
        <v>262.5</v>
      </c>
      <c r="E993" s="6">
        <f>IFERROR(__xludf.DUMMYFUNCTION("GOOGLEFINANCE(""Currency:BRLMXN"")*D993"),891.7125)</f>
        <v>891.7125</v>
      </c>
      <c r="F993" s="6">
        <f>IFERROR(__xludf.DUMMYFUNCTION("GOOGLEFINANCE(""Currency:BRLPEN"")*D993"),172.095)</f>
        <v>172.095</v>
      </c>
      <c r="G993" s="2" t="str">
        <f t="array" ref="G993">_xlfn.XLOOKUP(B993,Vendedores!$A$2:$A$41,Vendedores!$B$2:$B$41,"No hay datos")</f>
        <v>No hay datos</v>
      </c>
      <c r="H993" s="2" t="str">
        <f t="array" ref="H993">_xlfn.XLOOKUP(B993,Vendedores!$A$2:$A$41,Vendedores!$C$2:$C$41,"No hay datos")</f>
        <v>No hay datos</v>
      </c>
      <c r="I993" s="2" t="str">
        <f t="array" ref="I993">_xlfn.XLOOKUP(B993,Vendedores!$A$2:$A$41,Vendedores!$D$2:$D$41,"No hay datos")</f>
        <v>No hay datos</v>
      </c>
      <c r="J993" s="2" t="str">
        <f t="array" ref="J993">_xlfn.XLOOKUP(A993,Productos!$A$2:$A$61,Productos!$B$2:$F$61)</f>
        <v>#N/A</v>
      </c>
    </row>
    <row r="994">
      <c r="A994" s="2" t="str">
        <f>IFERROR(__xludf.DUMMYFUNCTION("""COMPUTED_VALUE"""),"PR040")</f>
        <v>PR040</v>
      </c>
      <c r="B994" s="2" t="str">
        <f>IFERROR(__xludf.DUMMYFUNCTION("""COMPUTED_VALUE"""),"VD036")</f>
        <v>VD036</v>
      </c>
      <c r="C994" s="2">
        <f>IFERROR(__xludf.DUMMYFUNCTION("""COMPUTED_VALUE"""),8.0)</f>
        <v>8</v>
      </c>
      <c r="D994" s="6">
        <f>IFERROR(__xludf.DUMMYFUNCTION("""COMPUTED_VALUE"""),576.8)</f>
        <v>576.8</v>
      </c>
      <c r="E994" s="6">
        <f>IFERROR(__xludf.DUMMYFUNCTION("GOOGLEFINANCE(""Currency:BRLMXN"")*D994"),1959.3895999999997)</f>
        <v>1959.3896</v>
      </c>
      <c r="F994" s="6">
        <f>IFERROR(__xludf.DUMMYFUNCTION("GOOGLEFINANCE(""Currency:BRLPEN"")*D994"),378.15007999999995)</f>
        <v>378.15008</v>
      </c>
      <c r="G994" s="2" t="str">
        <f t="array" ref="G994">_xlfn.XLOOKUP(B994,Vendedores!$A$2:$A$41,Vendedores!$B$2:$B$41,"No hay datos")</f>
        <v>No hay datos</v>
      </c>
      <c r="H994" s="2" t="str">
        <f t="array" ref="H994">_xlfn.XLOOKUP(B994,Vendedores!$A$2:$A$41,Vendedores!$C$2:$C$41,"No hay datos")</f>
        <v>No hay datos</v>
      </c>
      <c r="I994" s="2" t="str">
        <f t="array" ref="I994">_xlfn.XLOOKUP(B994,Vendedores!$A$2:$A$41,Vendedores!$D$2:$D$41,"No hay datos")</f>
        <v>No hay datos</v>
      </c>
      <c r="J994" s="2" t="str">
        <f t="array" ref="J994">_xlfn.XLOOKUP(A994,Productos!$A$2:$A$61,Productos!$B$2:$F$61)</f>
        <v>#N/A</v>
      </c>
    </row>
    <row r="995">
      <c r="A995" s="2" t="str">
        <f>IFERROR(__xludf.DUMMYFUNCTION("""COMPUTED_VALUE"""),"PR045")</f>
        <v>PR045</v>
      </c>
      <c r="B995" s="2" t="str">
        <f>IFERROR(__xludf.DUMMYFUNCTION("""COMPUTED_VALUE"""),"VD020")</f>
        <v>VD020</v>
      </c>
      <c r="C995" s="2">
        <f>IFERROR(__xludf.DUMMYFUNCTION("""COMPUTED_VALUE"""),6.0)</f>
        <v>6</v>
      </c>
      <c r="D995" s="6">
        <f>IFERROR(__xludf.DUMMYFUNCTION("""COMPUTED_VALUE"""),435.0)</f>
        <v>435</v>
      </c>
      <c r="E995" s="6">
        <f>IFERROR(__xludf.DUMMYFUNCTION("GOOGLEFINANCE(""Currency:BRLMXN"")*D995"),1477.695)</f>
        <v>1477.695</v>
      </c>
      <c r="F995" s="6">
        <f>IFERROR(__xludf.DUMMYFUNCTION("GOOGLEFINANCE(""Currency:BRLPEN"")*D995"),285.186)</f>
        <v>285.186</v>
      </c>
      <c r="G995" s="2" t="str">
        <f t="array" ref="G995">_xlfn.XLOOKUP(B995,Vendedores!$A$2:$A$41,Vendedores!$B$2:$B$41,"No hay datos")</f>
        <v>No hay datos</v>
      </c>
      <c r="H995" s="2" t="str">
        <f t="array" ref="H995">_xlfn.XLOOKUP(B995,Vendedores!$A$2:$A$41,Vendedores!$C$2:$C$41,"No hay datos")</f>
        <v>No hay datos</v>
      </c>
      <c r="I995" s="2" t="str">
        <f t="array" ref="I995">_xlfn.XLOOKUP(B995,Vendedores!$A$2:$A$41,Vendedores!$D$2:$D$41,"No hay datos")</f>
        <v>No hay datos</v>
      </c>
      <c r="J995" s="2" t="str">
        <f t="array" ref="J995">_xlfn.XLOOKUP(A995,Productos!$A$2:$A$61,Productos!$B$2:$F$61)</f>
        <v>#N/A</v>
      </c>
    </row>
    <row r="996">
      <c r="A996" s="2" t="str">
        <f>IFERROR(__xludf.DUMMYFUNCTION("""COMPUTED_VALUE"""),"PR017")</f>
        <v>PR017</v>
      </c>
      <c r="B996" s="2" t="str">
        <f>IFERROR(__xludf.DUMMYFUNCTION("""COMPUTED_VALUE"""),"VD022")</f>
        <v>VD022</v>
      </c>
      <c r="C996" s="2">
        <f>IFERROR(__xludf.DUMMYFUNCTION("""COMPUTED_VALUE"""),10.0)</f>
        <v>10</v>
      </c>
      <c r="D996" s="6">
        <f>IFERROR(__xludf.DUMMYFUNCTION("""COMPUTED_VALUE"""),325.91)</f>
        <v>325.91</v>
      </c>
      <c r="E996" s="6">
        <f>IFERROR(__xludf.DUMMYFUNCTION("GOOGLEFINANCE(""Currency:BRLMXN"")*D996"),1107.11627)</f>
        <v>1107.11627</v>
      </c>
      <c r="F996" s="6">
        <f>IFERROR(__xludf.DUMMYFUNCTION("GOOGLEFINANCE(""Currency:BRLPEN"")*D996"),213.666596)</f>
        <v>213.666596</v>
      </c>
      <c r="G996" s="2" t="str">
        <f t="array" ref="G996">_xlfn.XLOOKUP(B996,Vendedores!$A$2:$A$41,Vendedores!$B$2:$B$41,"No hay datos")</f>
        <v>No hay datos</v>
      </c>
      <c r="H996" s="2" t="str">
        <f t="array" ref="H996">_xlfn.XLOOKUP(B996,Vendedores!$A$2:$A$41,Vendedores!$C$2:$C$41,"No hay datos")</f>
        <v>No hay datos</v>
      </c>
      <c r="I996" s="2" t="str">
        <f t="array" ref="I996">_xlfn.XLOOKUP(B996,Vendedores!$A$2:$A$41,Vendedores!$D$2:$D$41,"No hay datos")</f>
        <v>No hay datos</v>
      </c>
      <c r="J996" s="2" t="str">
        <f t="array" ref="J996">_xlfn.XLOOKUP(A996,Productos!$A$2:$A$61,Productos!$B$2:$F$61)</f>
        <v>#N/A</v>
      </c>
    </row>
    <row r="997">
      <c r="A997" s="2" t="str">
        <f>IFERROR(__xludf.DUMMYFUNCTION("""COMPUTED_VALUE"""),"PR033")</f>
        <v>PR033</v>
      </c>
      <c r="B997" s="2" t="str">
        <f>IFERROR(__xludf.DUMMYFUNCTION("""COMPUTED_VALUE"""),"VD036")</f>
        <v>VD036</v>
      </c>
      <c r="C997" s="2">
        <f>IFERROR(__xludf.DUMMYFUNCTION("""COMPUTED_VALUE"""),10.0)</f>
        <v>10</v>
      </c>
      <c r="D997" s="6">
        <f>IFERROR(__xludf.DUMMYFUNCTION("""COMPUTED_VALUE"""),2780.93)</f>
        <v>2780.93</v>
      </c>
      <c r="E997" s="6">
        <f>IFERROR(__xludf.DUMMYFUNCTION("GOOGLEFINANCE(""Currency:BRLMXN"")*D997"),9446.81921)</f>
        <v>9446.81921</v>
      </c>
      <c r="F997" s="6">
        <f>IFERROR(__xludf.DUMMYFUNCTION("GOOGLEFINANCE(""Currency:BRLPEN"")*D997"),1823.1777079999997)</f>
        <v>1823.177708</v>
      </c>
      <c r="G997" s="2" t="str">
        <f t="array" ref="G997">_xlfn.XLOOKUP(B997,Vendedores!$A$2:$A$41,Vendedores!$B$2:$B$41,"No hay datos")</f>
        <v>No hay datos</v>
      </c>
      <c r="H997" s="2" t="str">
        <f t="array" ref="H997">_xlfn.XLOOKUP(B997,Vendedores!$A$2:$A$41,Vendedores!$C$2:$C$41,"No hay datos")</f>
        <v>No hay datos</v>
      </c>
      <c r="I997" s="2" t="str">
        <f t="array" ref="I997">_xlfn.XLOOKUP(B997,Vendedores!$A$2:$A$41,Vendedores!$D$2:$D$41,"No hay datos")</f>
        <v>No hay datos</v>
      </c>
      <c r="J997" s="2" t="str">
        <f t="array" ref="J997">_xlfn.XLOOKUP(A997,Productos!$A$2:$A$61,Productos!$B$2:$F$61)</f>
        <v>#N/A</v>
      </c>
    </row>
    <row r="998">
      <c r="A998" s="2" t="str">
        <f>IFERROR(__xludf.DUMMYFUNCTION("""COMPUTED_VALUE"""),"PR017")</f>
        <v>PR017</v>
      </c>
      <c r="B998" s="2" t="str">
        <f>IFERROR(__xludf.DUMMYFUNCTION("""COMPUTED_VALUE"""),"VD025")</f>
        <v>VD025</v>
      </c>
      <c r="C998" s="2">
        <f>IFERROR(__xludf.DUMMYFUNCTION("""COMPUTED_VALUE"""),1.0)</f>
        <v>1</v>
      </c>
      <c r="D998" s="6">
        <f>IFERROR(__xludf.DUMMYFUNCTION("""COMPUTED_VALUE"""),30.2)</f>
        <v>30.2</v>
      </c>
      <c r="E998" s="6">
        <f>IFERROR(__xludf.DUMMYFUNCTION("GOOGLEFINANCE(""Currency:BRLMXN"")*D998"),102.5894)</f>
        <v>102.5894</v>
      </c>
      <c r="F998" s="6">
        <f>IFERROR(__xludf.DUMMYFUNCTION("GOOGLEFINANCE(""Currency:BRLPEN"")*D998"),19.79912)</f>
        <v>19.79912</v>
      </c>
      <c r="G998" s="2" t="str">
        <f t="array" ref="G998">_xlfn.XLOOKUP(B998,Vendedores!$A$2:$A$41,Vendedores!$B$2:$B$41,"No hay datos")</f>
        <v>No hay datos</v>
      </c>
      <c r="H998" s="2" t="str">
        <f t="array" ref="H998">_xlfn.XLOOKUP(B998,Vendedores!$A$2:$A$41,Vendedores!$C$2:$C$41,"No hay datos")</f>
        <v>No hay datos</v>
      </c>
      <c r="I998" s="2" t="str">
        <f t="array" ref="I998">_xlfn.XLOOKUP(B998,Vendedores!$A$2:$A$41,Vendedores!$D$2:$D$41,"No hay datos")</f>
        <v>No hay datos</v>
      </c>
      <c r="J998" s="2" t="str">
        <f t="array" ref="J998">_xlfn.XLOOKUP(A998,Productos!$A$2:$A$61,Productos!$B$2:$F$61)</f>
        <v>#N/A</v>
      </c>
    </row>
    <row r="999">
      <c r="A999" s="2" t="str">
        <f>IFERROR(__xludf.DUMMYFUNCTION("""COMPUTED_VALUE"""),"PR055")</f>
        <v>PR055</v>
      </c>
      <c r="B999" s="2" t="str">
        <f>IFERROR(__xludf.DUMMYFUNCTION("""COMPUTED_VALUE"""),"VD037")</f>
        <v>VD037</v>
      </c>
      <c r="C999" s="2">
        <f>IFERROR(__xludf.DUMMYFUNCTION("""COMPUTED_VALUE"""),3.0)</f>
        <v>3</v>
      </c>
      <c r="D999" s="6">
        <f>IFERROR(__xludf.DUMMYFUNCTION("""COMPUTED_VALUE"""),296.67)</f>
        <v>296.67</v>
      </c>
      <c r="E999" s="6">
        <f>IFERROR(__xludf.DUMMYFUNCTION("GOOGLEFINANCE(""Currency:BRLMXN"")*D999"),1007.78799)</f>
        <v>1007.78799</v>
      </c>
      <c r="F999" s="6">
        <f>IFERROR(__xludf.DUMMYFUNCTION("GOOGLEFINANCE(""Currency:BRLPEN"")*D999"),194.496852)</f>
        <v>194.496852</v>
      </c>
      <c r="G999" s="2" t="str">
        <f t="array" ref="G999">_xlfn.XLOOKUP(B999,Vendedores!$A$2:$A$41,Vendedores!$B$2:$B$41,"No hay datos")</f>
        <v>No hay datos</v>
      </c>
      <c r="H999" s="2" t="str">
        <f t="array" ref="H999">_xlfn.XLOOKUP(B999,Vendedores!$A$2:$A$41,Vendedores!$C$2:$C$41,"No hay datos")</f>
        <v>No hay datos</v>
      </c>
      <c r="I999" s="2" t="str">
        <f t="array" ref="I999">_xlfn.XLOOKUP(B999,Vendedores!$A$2:$A$41,Vendedores!$D$2:$D$41,"No hay datos")</f>
        <v>No hay datos</v>
      </c>
      <c r="J999" s="2" t="str">
        <f t="array" ref="J999">_xlfn.XLOOKUP(A999,Productos!$A$2:$A$61,Productos!$B$2:$F$61)</f>
        <v>#N/A</v>
      </c>
    </row>
    <row r="1000">
      <c r="A1000" s="2" t="str">
        <f>IFERROR(__xludf.DUMMYFUNCTION("""COMPUTED_VALUE"""),"PR019")</f>
        <v>PR019</v>
      </c>
      <c r="B1000" s="2" t="str">
        <f>IFERROR(__xludf.DUMMYFUNCTION("""COMPUTED_VALUE"""),"VD027")</f>
        <v>VD027</v>
      </c>
      <c r="C1000" s="2">
        <f>IFERROR(__xludf.DUMMYFUNCTION("""COMPUTED_VALUE"""),4.0)</f>
        <v>4</v>
      </c>
      <c r="D1000" s="6">
        <f>IFERROR(__xludf.DUMMYFUNCTION("""COMPUTED_VALUE"""),217.56)</f>
        <v>217.56</v>
      </c>
      <c r="E1000" s="6">
        <f>IFERROR(__xludf.DUMMYFUNCTION("GOOGLEFINANCE(""Currency:BRLMXN"")*D1000"),739.0513199999999)</f>
        <v>739.05132</v>
      </c>
      <c r="F1000" s="6">
        <f>IFERROR(__xludf.DUMMYFUNCTION("GOOGLEFINANCE(""Currency:BRLPEN"")*D1000"),142.63233599999998)</f>
        <v>142.632336</v>
      </c>
      <c r="G1000" s="2" t="str">
        <f t="array" ref="G1000">_xlfn.XLOOKUP(B1000,Vendedores!$A$2:$A$41,Vendedores!$B$2:$B$41,"No hay datos")</f>
        <v>No hay datos</v>
      </c>
      <c r="H1000" s="2" t="str">
        <f t="array" ref="H1000">_xlfn.XLOOKUP(B1000,Vendedores!$A$2:$A$41,Vendedores!$C$2:$C$41,"No hay datos")</f>
        <v>No hay datos</v>
      </c>
      <c r="I1000" s="2" t="str">
        <f t="array" ref="I1000">_xlfn.XLOOKUP(B1000,Vendedores!$A$2:$A$41,Vendedores!$D$2:$D$41,"No hay datos")</f>
        <v>No hay datos</v>
      </c>
      <c r="J1000" s="2" t="str">
        <f t="array" ref="J1000">_xlfn.XLOOKUP(A1000,Productos!$A$2:$A$61,Productos!$B$2:$F$61)</f>
        <v>#N/A</v>
      </c>
    </row>
    <row r="1001">
      <c r="A1001" s="2" t="str">
        <f>IFERROR(__xludf.DUMMYFUNCTION("""COMPUTED_VALUE"""),"PR014")</f>
        <v>PR014</v>
      </c>
      <c r="B1001" s="2" t="str">
        <f>IFERROR(__xludf.DUMMYFUNCTION("""COMPUTED_VALUE"""),"VD018")</f>
        <v>VD018</v>
      </c>
      <c r="C1001" s="2">
        <f>IFERROR(__xludf.DUMMYFUNCTION("""COMPUTED_VALUE"""),18.0)</f>
        <v>18</v>
      </c>
      <c r="D1001" s="6">
        <f>IFERROR(__xludf.DUMMYFUNCTION("""COMPUTED_VALUE"""),775.66)</f>
        <v>775.66</v>
      </c>
      <c r="E1001" s="6">
        <f>IFERROR(__xludf.DUMMYFUNCTION("GOOGLEFINANCE(""Currency:BRLMXN"")*D1001"),2634.91702)</f>
        <v>2634.91702</v>
      </c>
      <c r="F1001" s="6">
        <f>IFERROR(__xludf.DUMMYFUNCTION("GOOGLEFINANCE(""Currency:BRLPEN"")*D1001"),508.52269599999994)</f>
        <v>508.522696</v>
      </c>
      <c r="G1001" s="2" t="str">
        <f t="array" ref="G1001">_xlfn.XLOOKUP(B1001,Vendedores!$A$2:$A$41,Vendedores!$B$2:$B$41,"No hay datos")</f>
        <v>No hay datos</v>
      </c>
      <c r="H1001" s="2" t="str">
        <f t="array" ref="H1001">_xlfn.XLOOKUP(B1001,Vendedores!$A$2:$A$41,Vendedores!$C$2:$C$41,"No hay datos")</f>
        <v>No hay datos</v>
      </c>
      <c r="I1001" s="2" t="str">
        <f t="array" ref="I1001">_xlfn.XLOOKUP(B1001,Vendedores!$A$2:$A$41,Vendedores!$D$2:$D$41,"No hay datos")</f>
        <v>No hay datos</v>
      </c>
      <c r="J1001" s="2" t="str">
        <f t="array" ref="J1001">_xlfn.XLOOKUP(A1001,Productos!$A$2:$A$61,Productos!$B$2:$F$61)</f>
        <v>#N/A</v>
      </c>
    </row>
    <row r="1002">
      <c r="A1002" s="2" t="str">
        <f>IFERROR(__xludf.DUMMYFUNCTION("""COMPUTED_VALUE"""),"PR045")</f>
        <v>PR045</v>
      </c>
      <c r="B1002" s="2" t="str">
        <f>IFERROR(__xludf.DUMMYFUNCTION("""COMPUTED_VALUE"""),"VD036")</f>
        <v>VD036</v>
      </c>
      <c r="C1002" s="2">
        <f>IFERROR(__xludf.DUMMYFUNCTION("""COMPUTED_VALUE"""),14.0)</f>
        <v>14</v>
      </c>
      <c r="D1002" s="6">
        <f>IFERROR(__xludf.DUMMYFUNCTION("""COMPUTED_VALUE"""),1025.15)</f>
        <v>1025.15</v>
      </c>
      <c r="E1002" s="6">
        <f>IFERROR(__xludf.DUMMYFUNCTION("GOOGLEFINANCE(""Currency:BRLMXN"")*D1002"),3482.43455)</f>
        <v>3482.43455</v>
      </c>
      <c r="F1002" s="6">
        <f>IFERROR(__xludf.DUMMYFUNCTION("GOOGLEFINANCE(""Currency:BRLPEN"")*D1002"),672.08834)</f>
        <v>672.08834</v>
      </c>
      <c r="G1002" s="2" t="str">
        <f t="array" ref="G1002">_xlfn.XLOOKUP(B1002,Vendedores!$A$2:$A$41,Vendedores!$B$2:$B$41,"No hay datos")</f>
        <v>No hay datos</v>
      </c>
      <c r="H1002" s="2" t="str">
        <f t="array" ref="H1002">_xlfn.XLOOKUP(B1002,Vendedores!$A$2:$A$41,Vendedores!$C$2:$C$41,"No hay datos")</f>
        <v>No hay datos</v>
      </c>
      <c r="I1002" s="2" t="str">
        <f t="array" ref="I1002">_xlfn.XLOOKUP(B1002,Vendedores!$A$2:$A$41,Vendedores!$D$2:$D$41,"No hay datos")</f>
        <v>No hay datos</v>
      </c>
      <c r="J1002" s="2" t="str">
        <f t="array" ref="J1002">_xlfn.XLOOKUP(A1002,Productos!$A$2:$A$61,Productos!$B$2:$F$61)</f>
        <v>#N/A</v>
      </c>
    </row>
    <row r="1003">
      <c r="A1003" s="2" t="str">
        <f>IFERROR(__xludf.DUMMYFUNCTION("""COMPUTED_VALUE"""),"PR036")</f>
        <v>PR036</v>
      </c>
      <c r="B1003" s="2" t="str">
        <f>IFERROR(__xludf.DUMMYFUNCTION("""COMPUTED_VALUE"""),"VD034")</f>
        <v>VD034</v>
      </c>
      <c r="C1003" s="2">
        <f>IFERROR(__xludf.DUMMYFUNCTION("""COMPUTED_VALUE"""),8.0)</f>
        <v>8</v>
      </c>
      <c r="D1003" s="6">
        <f>IFERROR(__xludf.DUMMYFUNCTION("""COMPUTED_VALUE"""),770.44)</f>
        <v>770.44</v>
      </c>
      <c r="E1003" s="6">
        <f>IFERROR(__xludf.DUMMYFUNCTION("GOOGLEFINANCE(""Currency:BRLMXN"")*D1003"),2617.18468)</f>
        <v>2617.18468</v>
      </c>
      <c r="F1003" s="6">
        <f>IFERROR(__xludf.DUMMYFUNCTION("GOOGLEFINANCE(""Currency:BRLPEN"")*D1003"),505.100464)</f>
        <v>505.100464</v>
      </c>
      <c r="G1003" s="2" t="str">
        <f t="array" ref="G1003">_xlfn.XLOOKUP(B1003,Vendedores!$A$2:$A$41,Vendedores!$B$2:$B$41,"No hay datos")</f>
        <v>No hay datos</v>
      </c>
      <c r="H1003" s="2" t="str">
        <f t="array" ref="H1003">_xlfn.XLOOKUP(B1003,Vendedores!$A$2:$A$41,Vendedores!$C$2:$C$41,"No hay datos")</f>
        <v>No hay datos</v>
      </c>
      <c r="I1003" s="2" t="str">
        <f t="array" ref="I1003">_xlfn.XLOOKUP(B1003,Vendedores!$A$2:$A$41,Vendedores!$D$2:$D$41,"No hay datos")</f>
        <v>No hay datos</v>
      </c>
      <c r="J1003" s="2" t="str">
        <f t="array" ref="J1003">_xlfn.XLOOKUP(A1003,Productos!$A$2:$A$61,Productos!$B$2:$F$61)</f>
        <v>#N/A</v>
      </c>
    </row>
    <row r="1004">
      <c r="A1004" s="2" t="str">
        <f>IFERROR(__xludf.DUMMYFUNCTION("""COMPUTED_VALUE"""),"PR007")</f>
        <v>PR007</v>
      </c>
      <c r="B1004" s="2" t="str">
        <f>IFERROR(__xludf.DUMMYFUNCTION("""COMPUTED_VALUE"""),"VD013")</f>
        <v>VD013</v>
      </c>
      <c r="C1004" s="2">
        <f>IFERROR(__xludf.DUMMYFUNCTION("""COMPUTED_VALUE"""),3.0)</f>
        <v>3</v>
      </c>
      <c r="D1004" s="6">
        <f>IFERROR(__xludf.DUMMYFUNCTION("""COMPUTED_VALUE"""),278.32)</f>
        <v>278.32</v>
      </c>
      <c r="E1004" s="6">
        <f>IFERROR(__xludf.DUMMYFUNCTION("GOOGLEFINANCE(""Currency:BRLMXN"")*D1004"),945.4530399999999)</f>
        <v>945.45304</v>
      </c>
      <c r="F1004" s="6">
        <f>IFERROR(__xludf.DUMMYFUNCTION("GOOGLEFINANCE(""Currency:BRLPEN"")*D1004"),182.466592)</f>
        <v>182.466592</v>
      </c>
      <c r="G1004" s="2" t="str">
        <f t="array" ref="G1004">_xlfn.XLOOKUP(B1004,Vendedores!$A$2:$A$41,Vendedores!$B$2:$B$41,"No hay datos")</f>
        <v>No hay datos</v>
      </c>
      <c r="H1004" s="2" t="str">
        <f t="array" ref="H1004">_xlfn.XLOOKUP(B1004,Vendedores!$A$2:$A$41,Vendedores!$C$2:$C$41,"No hay datos")</f>
        <v>No hay datos</v>
      </c>
      <c r="I1004" s="2" t="str">
        <f t="array" ref="I1004">_xlfn.XLOOKUP(B1004,Vendedores!$A$2:$A$41,Vendedores!$D$2:$D$41,"No hay datos")</f>
        <v>No hay datos</v>
      </c>
      <c r="J1004" s="2" t="str">
        <f t="array" ref="J1004">_xlfn.XLOOKUP(A1004,Productos!$A$2:$A$61,Productos!$B$2:$F$61)</f>
        <v>#N/A</v>
      </c>
    </row>
    <row r="1005">
      <c r="A1005" s="2" t="str">
        <f>IFERROR(__xludf.DUMMYFUNCTION("""COMPUTED_VALUE"""),"PR051")</f>
        <v>PR051</v>
      </c>
      <c r="B1005" s="2" t="str">
        <f>IFERROR(__xludf.DUMMYFUNCTION("""COMPUTED_VALUE"""),"VD028")</f>
        <v>VD028</v>
      </c>
      <c r="C1005" s="2">
        <f>IFERROR(__xludf.DUMMYFUNCTION("""COMPUTED_VALUE"""),7.0)</f>
        <v>7</v>
      </c>
      <c r="D1005" s="6">
        <f>IFERROR(__xludf.DUMMYFUNCTION("""COMPUTED_VALUE"""),230.3)</f>
        <v>230.3</v>
      </c>
      <c r="E1005" s="6">
        <f>IFERROR(__xludf.DUMMYFUNCTION("GOOGLEFINANCE(""Currency:BRLMXN"")*D1005"),782.3291)</f>
        <v>782.3291</v>
      </c>
      <c r="F1005" s="6">
        <f>IFERROR(__xludf.DUMMYFUNCTION("GOOGLEFINANCE(""Currency:BRLPEN"")*D1005"),150.98468)</f>
        <v>150.98468</v>
      </c>
      <c r="G1005" s="2" t="str">
        <f t="array" ref="G1005">_xlfn.XLOOKUP(B1005,Vendedores!$A$2:$A$41,Vendedores!$B$2:$B$41,"No hay datos")</f>
        <v>No hay datos</v>
      </c>
      <c r="H1005" s="2" t="str">
        <f t="array" ref="H1005">_xlfn.XLOOKUP(B1005,Vendedores!$A$2:$A$41,Vendedores!$C$2:$C$41,"No hay datos")</f>
        <v>No hay datos</v>
      </c>
      <c r="I1005" s="2" t="str">
        <f t="array" ref="I1005">_xlfn.XLOOKUP(B1005,Vendedores!$A$2:$A$41,Vendedores!$D$2:$D$41,"No hay datos")</f>
        <v>No hay datos</v>
      </c>
      <c r="J1005" s="2" t="str">
        <f t="array" ref="J1005">_xlfn.XLOOKUP(A1005,Productos!$A$2:$A$61,Productos!$B$2:$F$61)</f>
        <v>#N/A</v>
      </c>
    </row>
    <row r="1006">
      <c r="A1006" s="2" t="str">
        <f>IFERROR(__xludf.DUMMYFUNCTION("""COMPUTED_VALUE"""),"PR020")</f>
        <v>PR020</v>
      </c>
      <c r="B1006" s="2" t="str">
        <f>IFERROR(__xludf.DUMMYFUNCTION("""COMPUTED_VALUE"""),"VD013")</f>
        <v>VD013</v>
      </c>
      <c r="C1006" s="2">
        <f>IFERROR(__xludf.DUMMYFUNCTION("""COMPUTED_VALUE"""),20.0)</f>
        <v>20</v>
      </c>
      <c r="D1006" s="6">
        <f>IFERROR(__xludf.DUMMYFUNCTION("""COMPUTED_VALUE"""),6597.8)</f>
        <v>6597.8</v>
      </c>
      <c r="E1006" s="6">
        <f>IFERROR(__xludf.DUMMYFUNCTION("GOOGLEFINANCE(""Currency:BRLMXN"")*D1006"),22412.726599999998)</f>
        <v>22412.7266</v>
      </c>
      <c r="F1006" s="6">
        <f>IFERROR(__xludf.DUMMYFUNCTION("GOOGLEFINANCE(""Currency:BRLPEN"")*D1006"),4325.51768)</f>
        <v>4325.51768</v>
      </c>
      <c r="G1006" s="2" t="str">
        <f t="array" ref="G1006">_xlfn.XLOOKUP(B1006,Vendedores!$A$2:$A$41,Vendedores!$B$2:$B$41,"No hay datos")</f>
        <v>No hay datos</v>
      </c>
      <c r="H1006" s="2" t="str">
        <f t="array" ref="H1006">_xlfn.XLOOKUP(B1006,Vendedores!$A$2:$A$41,Vendedores!$C$2:$C$41,"No hay datos")</f>
        <v>No hay datos</v>
      </c>
      <c r="I1006" s="2" t="str">
        <f t="array" ref="I1006">_xlfn.XLOOKUP(B1006,Vendedores!$A$2:$A$41,Vendedores!$D$2:$D$41,"No hay datos")</f>
        <v>No hay datos</v>
      </c>
      <c r="J1006" s="2" t="str">
        <f t="array" ref="J1006">_xlfn.XLOOKUP(A1006,Productos!$A$2:$A$61,Productos!$B$2:$F$61)</f>
        <v>#N/A</v>
      </c>
    </row>
    <row r="1007">
      <c r="A1007" s="2" t="str">
        <f>IFERROR(__xludf.DUMMYFUNCTION("""COMPUTED_VALUE"""),"PR021")</f>
        <v>PR021</v>
      </c>
      <c r="B1007" s="2" t="str">
        <f>IFERROR(__xludf.DUMMYFUNCTION("""COMPUTED_VALUE"""),"VD033")</f>
        <v>VD033</v>
      </c>
      <c r="C1007" s="2">
        <f>IFERROR(__xludf.DUMMYFUNCTION("""COMPUTED_VALUE"""),6.0)</f>
        <v>6</v>
      </c>
      <c r="D1007" s="6">
        <f>IFERROR(__xludf.DUMMYFUNCTION("""COMPUTED_VALUE"""),1999.14)</f>
        <v>1999.14</v>
      </c>
      <c r="E1007" s="6">
        <f>IFERROR(__xludf.DUMMYFUNCTION("GOOGLEFINANCE(""Currency:BRLMXN"")*D1007"),6791.07858)</f>
        <v>6791.07858</v>
      </c>
      <c r="F1007" s="6">
        <f>IFERROR(__xludf.DUMMYFUNCTION("GOOGLEFINANCE(""Currency:BRLPEN"")*D1007"),1310.636184)</f>
        <v>1310.636184</v>
      </c>
      <c r="G1007" s="2" t="str">
        <f t="array" ref="G1007">_xlfn.XLOOKUP(B1007,Vendedores!$A$2:$A$41,Vendedores!$B$2:$B$41,"No hay datos")</f>
        <v>No hay datos</v>
      </c>
      <c r="H1007" s="2" t="str">
        <f t="array" ref="H1007">_xlfn.XLOOKUP(B1007,Vendedores!$A$2:$A$41,Vendedores!$C$2:$C$41,"No hay datos")</f>
        <v>No hay datos</v>
      </c>
      <c r="I1007" s="2" t="str">
        <f t="array" ref="I1007">_xlfn.XLOOKUP(B1007,Vendedores!$A$2:$A$41,Vendedores!$D$2:$D$41,"No hay datos")</f>
        <v>No hay datos</v>
      </c>
      <c r="J1007" s="2" t="str">
        <f t="array" ref="J1007">_xlfn.XLOOKUP(A1007,Productos!$A$2:$A$61,Productos!$B$2:$F$61)</f>
        <v>#N/A</v>
      </c>
    </row>
    <row r="1008">
      <c r="A1008" s="2" t="str">
        <f>IFERROR(__xludf.DUMMYFUNCTION("""COMPUTED_VALUE"""),"PR034")</f>
        <v>PR034</v>
      </c>
      <c r="B1008" s="2" t="str">
        <f>IFERROR(__xludf.DUMMYFUNCTION("""COMPUTED_VALUE"""),"VD017")</f>
        <v>VD017</v>
      </c>
      <c r="C1008" s="2">
        <f>IFERROR(__xludf.DUMMYFUNCTION("""COMPUTED_VALUE"""),8.0)</f>
        <v>8</v>
      </c>
      <c r="D1008" s="6">
        <f>IFERROR(__xludf.DUMMYFUNCTION("""COMPUTED_VALUE"""),726.39)</f>
        <v>726.39</v>
      </c>
      <c r="E1008" s="6">
        <f>IFERROR(__xludf.DUMMYFUNCTION("GOOGLEFINANCE(""Currency:BRLMXN"")*D1008"),2467.5468299999998)</f>
        <v>2467.54683</v>
      </c>
      <c r="F1008" s="6">
        <f>IFERROR(__xludf.DUMMYFUNCTION("GOOGLEFINANCE(""Currency:BRLPEN"")*D1008"),476.22128399999997)</f>
        <v>476.221284</v>
      </c>
      <c r="G1008" s="2" t="str">
        <f t="array" ref="G1008">_xlfn.XLOOKUP(B1008,Vendedores!$A$2:$A$41,Vendedores!$B$2:$B$41,"No hay datos")</f>
        <v>No hay datos</v>
      </c>
      <c r="H1008" s="2" t="str">
        <f t="array" ref="H1008">_xlfn.XLOOKUP(B1008,Vendedores!$A$2:$A$41,Vendedores!$C$2:$C$41,"No hay datos")</f>
        <v>No hay datos</v>
      </c>
      <c r="I1008" s="2" t="str">
        <f t="array" ref="I1008">_xlfn.XLOOKUP(B1008,Vendedores!$A$2:$A$41,Vendedores!$D$2:$D$41,"No hay datos")</f>
        <v>No hay datos</v>
      </c>
      <c r="J1008" s="2" t="str">
        <f t="array" ref="J1008">_xlfn.XLOOKUP(A1008,Productos!$A$2:$A$61,Productos!$B$2:$F$61)</f>
        <v>#N/A</v>
      </c>
    </row>
    <row r="1009">
      <c r="A1009" s="2" t="str">
        <f>IFERROR(__xludf.DUMMYFUNCTION("""COMPUTED_VALUE"""),"PR032")</f>
        <v>PR032</v>
      </c>
      <c r="B1009" s="2" t="str">
        <f>IFERROR(__xludf.DUMMYFUNCTION("""COMPUTED_VALUE"""),"VD016")</f>
        <v>VD016</v>
      </c>
      <c r="C1009" s="2">
        <f>IFERROR(__xludf.DUMMYFUNCTION("""COMPUTED_VALUE"""),12.0)</f>
        <v>12</v>
      </c>
      <c r="D1009" s="6">
        <f>IFERROR(__xludf.DUMMYFUNCTION("""COMPUTED_VALUE"""),3150.0)</f>
        <v>3150</v>
      </c>
      <c r="E1009" s="6">
        <f>IFERROR(__xludf.DUMMYFUNCTION("GOOGLEFINANCE(""Currency:BRLMXN"")*D1009"),10700.55)</f>
        <v>10700.55</v>
      </c>
      <c r="F1009" s="6">
        <f>IFERROR(__xludf.DUMMYFUNCTION("GOOGLEFINANCE(""Currency:BRLPEN"")*D1009"),2065.14)</f>
        <v>2065.14</v>
      </c>
      <c r="G1009" s="2" t="str">
        <f t="array" ref="G1009">_xlfn.XLOOKUP(B1009,Vendedores!$A$2:$A$41,Vendedores!$B$2:$B$41,"No hay datos")</f>
        <v>No hay datos</v>
      </c>
      <c r="H1009" s="2" t="str">
        <f t="array" ref="H1009">_xlfn.XLOOKUP(B1009,Vendedores!$A$2:$A$41,Vendedores!$C$2:$C$41,"No hay datos")</f>
        <v>No hay datos</v>
      </c>
      <c r="I1009" s="2" t="str">
        <f t="array" ref="I1009">_xlfn.XLOOKUP(B1009,Vendedores!$A$2:$A$41,Vendedores!$D$2:$D$41,"No hay datos")</f>
        <v>No hay datos</v>
      </c>
      <c r="J1009" s="2" t="str">
        <f t="array" ref="J1009">_xlfn.XLOOKUP(A1009,Productos!$A$2:$A$61,Productos!$B$2:$F$61)</f>
        <v>#N/A</v>
      </c>
    </row>
    <row r="1010">
      <c r="A1010" s="2" t="str">
        <f>IFERROR(__xludf.DUMMYFUNCTION("""COMPUTED_VALUE"""),"PR032")</f>
        <v>PR032</v>
      </c>
      <c r="B1010" s="2" t="str">
        <f>IFERROR(__xludf.DUMMYFUNCTION("""COMPUTED_VALUE"""),"VD014")</f>
        <v>VD014</v>
      </c>
      <c r="C1010" s="2">
        <f>IFERROR(__xludf.DUMMYFUNCTION("""COMPUTED_VALUE"""),5.0)</f>
        <v>5</v>
      </c>
      <c r="D1010" s="6">
        <f>IFERROR(__xludf.DUMMYFUNCTION("""COMPUTED_VALUE"""),1325.0)</f>
        <v>1325</v>
      </c>
      <c r="E1010" s="6">
        <f>IFERROR(__xludf.DUMMYFUNCTION("GOOGLEFINANCE(""Currency:BRLMXN"")*D1010"),4501.025)</f>
        <v>4501.025</v>
      </c>
      <c r="F1010" s="6">
        <f>IFERROR(__xludf.DUMMYFUNCTION("GOOGLEFINANCE(""Currency:BRLPEN"")*D1010"),868.67)</f>
        <v>868.67</v>
      </c>
      <c r="G1010" s="2" t="str">
        <f t="array" ref="G1010">_xlfn.XLOOKUP(B1010,Vendedores!$A$2:$A$41,Vendedores!$B$2:$B$41,"No hay datos")</f>
        <v>No hay datos</v>
      </c>
      <c r="H1010" s="2" t="str">
        <f t="array" ref="H1010">_xlfn.XLOOKUP(B1010,Vendedores!$A$2:$A$41,Vendedores!$C$2:$C$41,"No hay datos")</f>
        <v>No hay datos</v>
      </c>
      <c r="I1010" s="2" t="str">
        <f t="array" ref="I1010">_xlfn.XLOOKUP(B1010,Vendedores!$A$2:$A$41,Vendedores!$D$2:$D$41,"No hay datos")</f>
        <v>No hay datos</v>
      </c>
      <c r="J1010" s="2" t="str">
        <f t="array" ref="J1010">_xlfn.XLOOKUP(A1010,Productos!$A$2:$A$61,Productos!$B$2:$F$61)</f>
        <v>#N/A</v>
      </c>
    </row>
    <row r="1011">
      <c r="A1011" s="2" t="str">
        <f>IFERROR(__xludf.DUMMYFUNCTION("""COMPUTED_VALUE"""),"PR053")</f>
        <v>PR053</v>
      </c>
      <c r="B1011" s="2" t="str">
        <f>IFERROR(__xludf.DUMMYFUNCTION("""COMPUTED_VALUE"""),"VD029")</f>
        <v>VD029</v>
      </c>
      <c r="C1011" s="2">
        <f>IFERROR(__xludf.DUMMYFUNCTION("""COMPUTED_VALUE"""),8.0)</f>
        <v>8</v>
      </c>
      <c r="D1011" s="6">
        <f>IFERROR(__xludf.DUMMYFUNCTION("""COMPUTED_VALUE"""),431.14)</f>
        <v>431.14</v>
      </c>
      <c r="E1011" s="6">
        <f>IFERROR(__xludf.DUMMYFUNCTION("GOOGLEFINANCE(""Currency:BRLMXN"")*D1011"),1464.5825799999998)</f>
        <v>1464.58258</v>
      </c>
      <c r="F1011" s="6">
        <f>IFERROR(__xludf.DUMMYFUNCTION("GOOGLEFINANCE(""Currency:BRLPEN"")*D1011"),282.65538399999997)</f>
        <v>282.655384</v>
      </c>
      <c r="G1011" s="2" t="str">
        <f t="array" ref="G1011">_xlfn.XLOOKUP(B1011,Vendedores!$A$2:$A$41,Vendedores!$B$2:$B$41,"No hay datos")</f>
        <v>No hay datos</v>
      </c>
      <c r="H1011" s="2" t="str">
        <f t="array" ref="H1011">_xlfn.XLOOKUP(B1011,Vendedores!$A$2:$A$41,Vendedores!$C$2:$C$41,"No hay datos")</f>
        <v>No hay datos</v>
      </c>
      <c r="I1011" s="2" t="str">
        <f t="array" ref="I1011">_xlfn.XLOOKUP(B1011,Vendedores!$A$2:$A$41,Vendedores!$D$2:$D$41,"No hay datos")</f>
        <v>No hay datos</v>
      </c>
      <c r="J1011" s="2" t="str">
        <f t="array" ref="J1011">_xlfn.XLOOKUP(A1011,Productos!$A$2:$A$61,Productos!$B$2:$F$61)</f>
        <v>#N/A</v>
      </c>
    </row>
    <row r="1012">
      <c r="A1012" s="2" t="str">
        <f>IFERROR(__xludf.DUMMYFUNCTION("""COMPUTED_VALUE"""),"PR014")</f>
        <v>PR014</v>
      </c>
      <c r="B1012" s="2" t="str">
        <f>IFERROR(__xludf.DUMMYFUNCTION("""COMPUTED_VALUE"""),"VD029")</f>
        <v>VD029</v>
      </c>
      <c r="C1012" s="2">
        <f>IFERROR(__xludf.DUMMYFUNCTION("""COMPUTED_VALUE"""),20.0)</f>
        <v>20</v>
      </c>
      <c r="D1012" s="6">
        <f>IFERROR(__xludf.DUMMYFUNCTION("""COMPUTED_VALUE"""),805.98)</f>
        <v>805.98</v>
      </c>
      <c r="E1012" s="6">
        <f>IFERROR(__xludf.DUMMYFUNCTION("GOOGLEFINANCE(""Currency:BRLMXN"")*D1012"),2737.91406)</f>
        <v>2737.91406</v>
      </c>
      <c r="F1012" s="6">
        <f>IFERROR(__xludf.DUMMYFUNCTION("GOOGLEFINANCE(""Currency:BRLPEN"")*D1012"),528.400488)</f>
        <v>528.400488</v>
      </c>
      <c r="G1012" s="2" t="str">
        <f t="array" ref="G1012">_xlfn.XLOOKUP(B1012,Vendedores!$A$2:$A$41,Vendedores!$B$2:$B$41,"No hay datos")</f>
        <v>No hay datos</v>
      </c>
      <c r="H1012" s="2" t="str">
        <f t="array" ref="H1012">_xlfn.XLOOKUP(B1012,Vendedores!$A$2:$A$41,Vendedores!$C$2:$C$41,"No hay datos")</f>
        <v>No hay datos</v>
      </c>
      <c r="I1012" s="2" t="str">
        <f t="array" ref="I1012">_xlfn.XLOOKUP(B1012,Vendedores!$A$2:$A$41,Vendedores!$D$2:$D$41,"No hay datos")</f>
        <v>No hay datos</v>
      </c>
      <c r="J1012" s="2" t="str">
        <f t="array" ref="J1012">_xlfn.XLOOKUP(A1012,Productos!$A$2:$A$61,Productos!$B$2:$F$61)</f>
        <v>#N/A</v>
      </c>
    </row>
    <row r="1013">
      <c r="A1013" s="2" t="str">
        <f>IFERROR(__xludf.DUMMYFUNCTION("""COMPUTED_VALUE"""),"PR005")</f>
        <v>PR005</v>
      </c>
      <c r="B1013" s="2" t="str">
        <f>IFERROR(__xludf.DUMMYFUNCTION("""COMPUTED_VALUE"""),"VD047")</f>
        <v>VD047</v>
      </c>
      <c r="C1013" s="2">
        <f>IFERROR(__xludf.DUMMYFUNCTION("""COMPUTED_VALUE"""),2.0)</f>
        <v>2</v>
      </c>
      <c r="D1013" s="6">
        <f>IFERROR(__xludf.DUMMYFUNCTION("""COMPUTED_VALUE"""),566.58)</f>
        <v>566.58</v>
      </c>
      <c r="E1013" s="6">
        <f>IFERROR(__xludf.DUMMYFUNCTION("GOOGLEFINANCE(""Currency:BRLMXN"")*D1013"),1924.67226)</f>
        <v>1924.67226</v>
      </c>
      <c r="F1013" s="6">
        <f>IFERROR(__xludf.DUMMYFUNCTION("GOOGLEFINANCE(""Currency:BRLPEN"")*D1013"),371.44984800000003)</f>
        <v>371.449848</v>
      </c>
      <c r="G1013" s="2" t="str">
        <f t="array" ref="G1013">_xlfn.XLOOKUP(B1013,Vendedores!$A$2:$A$41,Vendedores!$B$2:$B$41,"No hay datos")</f>
        <v>No hay datos</v>
      </c>
      <c r="H1013" s="2" t="str">
        <f t="array" ref="H1013">_xlfn.XLOOKUP(B1013,Vendedores!$A$2:$A$41,Vendedores!$C$2:$C$41,"No hay datos")</f>
        <v>No hay datos</v>
      </c>
      <c r="I1013" s="2" t="str">
        <f t="array" ref="I1013">_xlfn.XLOOKUP(B1013,Vendedores!$A$2:$A$41,Vendedores!$D$2:$D$41,"No hay datos")</f>
        <v>No hay datos</v>
      </c>
      <c r="J1013" s="2" t="str">
        <f t="array" ref="J1013">_xlfn.XLOOKUP(A1013,Productos!$A$2:$A$61,Productos!$B$2:$F$61)</f>
        <v>#N/A</v>
      </c>
    </row>
    <row r="1014">
      <c r="A1014" s="2" t="str">
        <f>IFERROR(__xludf.DUMMYFUNCTION("""COMPUTED_VALUE"""),"PR008")</f>
        <v>PR008</v>
      </c>
      <c r="B1014" s="2" t="str">
        <f>IFERROR(__xludf.DUMMYFUNCTION("""COMPUTED_VALUE"""),"VD032")</f>
        <v>VD032</v>
      </c>
      <c r="C1014" s="2">
        <f>IFERROR(__xludf.DUMMYFUNCTION("""COMPUTED_VALUE"""),18.0)</f>
        <v>18</v>
      </c>
      <c r="D1014" s="6">
        <f>IFERROR(__xludf.DUMMYFUNCTION("""COMPUTED_VALUE"""),1715.29)</f>
        <v>1715.29</v>
      </c>
      <c r="E1014" s="6">
        <f>IFERROR(__xludf.DUMMYFUNCTION("GOOGLEFINANCE(""Currency:BRLMXN"")*D1014"),5826.84013)</f>
        <v>5826.84013</v>
      </c>
      <c r="F1014" s="6">
        <f>IFERROR(__xludf.DUMMYFUNCTION("GOOGLEFINANCE(""Currency:BRLPEN"")*D1014"),1124.544124)</f>
        <v>1124.544124</v>
      </c>
      <c r="G1014" s="2" t="str">
        <f t="array" ref="G1014">_xlfn.XLOOKUP(B1014,Vendedores!$A$2:$A$41,Vendedores!$B$2:$B$41,"No hay datos")</f>
        <v>No hay datos</v>
      </c>
      <c r="H1014" s="2" t="str">
        <f t="array" ref="H1014">_xlfn.XLOOKUP(B1014,Vendedores!$A$2:$A$41,Vendedores!$C$2:$C$41,"No hay datos")</f>
        <v>No hay datos</v>
      </c>
      <c r="I1014" s="2" t="str">
        <f t="array" ref="I1014">_xlfn.XLOOKUP(B1014,Vendedores!$A$2:$A$41,Vendedores!$D$2:$D$41,"No hay datos")</f>
        <v>No hay datos</v>
      </c>
      <c r="J1014" s="2" t="str">
        <f t="array" ref="J1014">_xlfn.XLOOKUP(A1014,Productos!$A$2:$A$61,Productos!$B$2:$F$61)</f>
        <v>#N/A</v>
      </c>
    </row>
    <row r="1015">
      <c r="A1015" s="2" t="str">
        <f>IFERROR(__xludf.DUMMYFUNCTION("""COMPUTED_VALUE"""),"PR048")</f>
        <v>PR048</v>
      </c>
      <c r="B1015" s="2" t="str">
        <f>IFERROR(__xludf.DUMMYFUNCTION("""COMPUTED_VALUE"""),"VD044")</f>
        <v>VD044</v>
      </c>
      <c r="C1015" s="2">
        <f>IFERROR(__xludf.DUMMYFUNCTION("""COMPUTED_VALUE"""),18.0)</f>
        <v>18</v>
      </c>
      <c r="D1015" s="6">
        <f>IFERROR(__xludf.DUMMYFUNCTION("""COMPUTED_VALUE"""),5740.02)</f>
        <v>5740.02</v>
      </c>
      <c r="E1015" s="6">
        <f>IFERROR(__xludf.DUMMYFUNCTION("GOOGLEFINANCE(""Currency:BRLMXN"")*D1015"),19498.84794)</f>
        <v>19498.84794</v>
      </c>
      <c r="F1015" s="6">
        <f>IFERROR(__xludf.DUMMYFUNCTION("GOOGLEFINANCE(""Currency:BRLPEN"")*D1015"),3763.157112)</f>
        <v>3763.157112</v>
      </c>
      <c r="G1015" s="2" t="str">
        <f t="array" ref="G1015">_xlfn.XLOOKUP(B1015,Vendedores!$A$2:$A$41,Vendedores!$B$2:$B$41,"No hay datos")</f>
        <v>No hay datos</v>
      </c>
      <c r="H1015" s="2" t="str">
        <f t="array" ref="H1015">_xlfn.XLOOKUP(B1015,Vendedores!$A$2:$A$41,Vendedores!$C$2:$C$41,"No hay datos")</f>
        <v>No hay datos</v>
      </c>
      <c r="I1015" s="2" t="str">
        <f t="array" ref="I1015">_xlfn.XLOOKUP(B1015,Vendedores!$A$2:$A$41,Vendedores!$D$2:$D$41,"No hay datos")</f>
        <v>No hay datos</v>
      </c>
      <c r="J1015" s="2" t="str">
        <f t="array" ref="J1015">_xlfn.XLOOKUP(A1015,Productos!$A$2:$A$61,Productos!$B$2:$F$61)</f>
        <v>#N/A</v>
      </c>
    </row>
    <row r="1016">
      <c r="A1016" s="2" t="str">
        <f>IFERROR(__xludf.DUMMYFUNCTION("""COMPUTED_VALUE"""),"PR011")</f>
        <v>PR011</v>
      </c>
      <c r="B1016" s="2" t="str">
        <f>IFERROR(__xludf.DUMMYFUNCTION("""COMPUTED_VALUE"""),"VD030")</f>
        <v>VD030</v>
      </c>
      <c r="C1016" s="2">
        <f>IFERROR(__xludf.DUMMYFUNCTION("""COMPUTED_VALUE"""),8.0)</f>
        <v>8</v>
      </c>
      <c r="D1016" s="6">
        <f>IFERROR(__xludf.DUMMYFUNCTION("""COMPUTED_VALUE"""),390.21)</f>
        <v>390.21</v>
      </c>
      <c r="E1016" s="6">
        <f>IFERROR(__xludf.DUMMYFUNCTION("GOOGLEFINANCE(""Currency:BRLMXN"")*D1016"),1325.5433699999999)</f>
        <v>1325.54337</v>
      </c>
      <c r="F1016" s="6">
        <f>IFERROR(__xludf.DUMMYFUNCTION("GOOGLEFINANCE(""Currency:BRLPEN"")*D1016"),255.82167599999997)</f>
        <v>255.821676</v>
      </c>
      <c r="G1016" s="2" t="str">
        <f t="array" ref="G1016">_xlfn.XLOOKUP(B1016,Vendedores!$A$2:$A$41,Vendedores!$B$2:$B$41,"No hay datos")</f>
        <v>No hay datos</v>
      </c>
      <c r="H1016" s="2" t="str">
        <f t="array" ref="H1016">_xlfn.XLOOKUP(B1016,Vendedores!$A$2:$A$41,Vendedores!$C$2:$C$41,"No hay datos")</f>
        <v>No hay datos</v>
      </c>
      <c r="I1016" s="2" t="str">
        <f t="array" ref="I1016">_xlfn.XLOOKUP(B1016,Vendedores!$A$2:$A$41,Vendedores!$D$2:$D$41,"No hay datos")</f>
        <v>No hay datos</v>
      </c>
      <c r="J1016" s="2" t="str">
        <f t="array" ref="J1016">_xlfn.XLOOKUP(A1016,Productos!$A$2:$A$61,Productos!$B$2:$F$61)</f>
        <v>#N/A</v>
      </c>
    </row>
    <row r="1017">
      <c r="A1017" s="2" t="str">
        <f>IFERROR(__xludf.DUMMYFUNCTION("""COMPUTED_VALUE"""),"PR057")</f>
        <v>PR057</v>
      </c>
      <c r="B1017" s="2" t="str">
        <f>IFERROR(__xludf.DUMMYFUNCTION("""COMPUTED_VALUE"""),"VD025")</f>
        <v>VD025</v>
      </c>
      <c r="C1017" s="2">
        <f>IFERROR(__xludf.DUMMYFUNCTION("""COMPUTED_VALUE"""),14.0)</f>
        <v>14</v>
      </c>
      <c r="D1017" s="6">
        <f>IFERROR(__xludf.DUMMYFUNCTION("""COMPUTED_VALUE"""),1346.7)</f>
        <v>1346.7</v>
      </c>
      <c r="E1017" s="6">
        <f>IFERROR(__xludf.DUMMYFUNCTION("GOOGLEFINANCE(""Currency:BRLMXN"")*D1017"),4574.7399)</f>
        <v>4574.7399</v>
      </c>
      <c r="F1017" s="6">
        <f>IFERROR(__xludf.DUMMYFUNCTION("GOOGLEFINANCE(""Currency:BRLPEN"")*D1017"),882.89652)</f>
        <v>882.89652</v>
      </c>
      <c r="G1017" s="2" t="str">
        <f t="array" ref="G1017">_xlfn.XLOOKUP(B1017,Vendedores!$A$2:$A$41,Vendedores!$B$2:$B$41,"No hay datos")</f>
        <v>No hay datos</v>
      </c>
      <c r="H1017" s="2" t="str">
        <f t="array" ref="H1017">_xlfn.XLOOKUP(B1017,Vendedores!$A$2:$A$41,Vendedores!$C$2:$C$41,"No hay datos")</f>
        <v>No hay datos</v>
      </c>
      <c r="I1017" s="2" t="str">
        <f t="array" ref="I1017">_xlfn.XLOOKUP(B1017,Vendedores!$A$2:$A$41,Vendedores!$D$2:$D$41,"No hay datos")</f>
        <v>No hay datos</v>
      </c>
      <c r="J1017" s="2" t="str">
        <f t="array" ref="J1017">_xlfn.XLOOKUP(A1017,Productos!$A$2:$A$61,Productos!$B$2:$F$61)</f>
        <v>#N/A</v>
      </c>
    </row>
    <row r="1018">
      <c r="A1018" s="2" t="str">
        <f>IFERROR(__xludf.DUMMYFUNCTION("""COMPUTED_VALUE"""),"PR029")</f>
        <v>PR029</v>
      </c>
      <c r="B1018" s="2" t="str">
        <f>IFERROR(__xludf.DUMMYFUNCTION("""COMPUTED_VALUE"""),"VD033")</f>
        <v>VD033</v>
      </c>
      <c r="C1018" s="2">
        <f>IFERROR(__xludf.DUMMYFUNCTION("""COMPUTED_VALUE"""),3.0)</f>
        <v>3</v>
      </c>
      <c r="D1018" s="6">
        <f>IFERROR(__xludf.DUMMYFUNCTION("""COMPUTED_VALUE"""),787.95)</f>
        <v>787.95</v>
      </c>
      <c r="E1018" s="6">
        <f>IFERROR(__xludf.DUMMYFUNCTION("GOOGLEFINANCE(""Currency:BRLMXN"")*D1018"),2676.66615)</f>
        <v>2676.66615</v>
      </c>
      <c r="F1018" s="6">
        <f>IFERROR(__xludf.DUMMYFUNCTION("GOOGLEFINANCE(""Currency:BRLPEN"")*D1018"),516.58002)</f>
        <v>516.58002</v>
      </c>
      <c r="G1018" s="2" t="str">
        <f t="array" ref="G1018">_xlfn.XLOOKUP(B1018,Vendedores!$A$2:$A$41,Vendedores!$B$2:$B$41,"No hay datos")</f>
        <v>No hay datos</v>
      </c>
      <c r="H1018" s="2" t="str">
        <f t="array" ref="H1018">_xlfn.XLOOKUP(B1018,Vendedores!$A$2:$A$41,Vendedores!$C$2:$C$41,"No hay datos")</f>
        <v>No hay datos</v>
      </c>
      <c r="I1018" s="2" t="str">
        <f t="array" ref="I1018">_xlfn.XLOOKUP(B1018,Vendedores!$A$2:$A$41,Vendedores!$D$2:$D$41,"No hay datos")</f>
        <v>No hay datos</v>
      </c>
      <c r="J1018" s="2" t="str">
        <f t="array" ref="J1018">_xlfn.XLOOKUP(A1018,Productos!$A$2:$A$61,Productos!$B$2:$F$61)</f>
        <v>#N/A</v>
      </c>
    </row>
    <row r="1019">
      <c r="A1019" s="2" t="str">
        <f>IFERROR(__xludf.DUMMYFUNCTION("""COMPUTED_VALUE"""),"PR053")</f>
        <v>PR053</v>
      </c>
      <c r="B1019" s="2" t="str">
        <f>IFERROR(__xludf.DUMMYFUNCTION("""COMPUTED_VALUE"""),"VD031")</f>
        <v>VD031</v>
      </c>
      <c r="C1019" s="2">
        <f>IFERROR(__xludf.DUMMYFUNCTION("""COMPUTED_VALUE"""),7.0)</f>
        <v>7</v>
      </c>
      <c r="D1019" s="6">
        <f>IFERROR(__xludf.DUMMYFUNCTION("""COMPUTED_VALUE"""),349.3)</f>
        <v>349.3</v>
      </c>
      <c r="E1019" s="6">
        <f>IFERROR(__xludf.DUMMYFUNCTION("GOOGLEFINANCE(""Currency:BRLMXN"")*D1019"),1186.5720999999999)</f>
        <v>1186.5721</v>
      </c>
      <c r="F1019" s="6">
        <f>IFERROR(__xludf.DUMMYFUNCTION("GOOGLEFINANCE(""Currency:BRLPEN"")*D1019"),229.00108)</f>
        <v>229.00108</v>
      </c>
      <c r="G1019" s="2" t="str">
        <f t="array" ref="G1019">_xlfn.XLOOKUP(B1019,Vendedores!$A$2:$A$41,Vendedores!$B$2:$B$41,"No hay datos")</f>
        <v>No hay datos</v>
      </c>
      <c r="H1019" s="2" t="str">
        <f t="array" ref="H1019">_xlfn.XLOOKUP(B1019,Vendedores!$A$2:$A$41,Vendedores!$C$2:$C$41,"No hay datos")</f>
        <v>No hay datos</v>
      </c>
      <c r="I1019" s="2" t="str">
        <f t="array" ref="I1019">_xlfn.XLOOKUP(B1019,Vendedores!$A$2:$A$41,Vendedores!$D$2:$D$41,"No hay datos")</f>
        <v>No hay datos</v>
      </c>
      <c r="J1019" s="2" t="str">
        <f t="array" ref="J1019">_xlfn.XLOOKUP(A1019,Productos!$A$2:$A$61,Productos!$B$2:$F$61)</f>
        <v>#N/A</v>
      </c>
    </row>
    <row r="1020">
      <c r="A1020" s="2" t="str">
        <f>IFERROR(__xludf.DUMMYFUNCTION("""COMPUTED_VALUE"""),"PR018")</f>
        <v>PR018</v>
      </c>
      <c r="B1020" s="2" t="str">
        <f>IFERROR(__xludf.DUMMYFUNCTION("""COMPUTED_VALUE"""),"VD027")</f>
        <v>VD027</v>
      </c>
      <c r="C1020" s="2">
        <f>IFERROR(__xludf.DUMMYFUNCTION("""COMPUTED_VALUE"""),10.0)</f>
        <v>10</v>
      </c>
      <c r="D1020" s="6">
        <f>IFERROR(__xludf.DUMMYFUNCTION("""COMPUTED_VALUE"""),335.58)</f>
        <v>335.58</v>
      </c>
      <c r="E1020" s="6">
        <f>IFERROR(__xludf.DUMMYFUNCTION("GOOGLEFINANCE(""Currency:BRLMXN"")*D1020"),1139.96526)</f>
        <v>1139.96526</v>
      </c>
      <c r="F1020" s="6">
        <f>IFERROR(__xludf.DUMMYFUNCTION("GOOGLEFINANCE(""Currency:BRLPEN"")*D1020"),220.00624799999997)</f>
        <v>220.006248</v>
      </c>
      <c r="G1020" s="2" t="str">
        <f t="array" ref="G1020">_xlfn.XLOOKUP(B1020,Vendedores!$A$2:$A$41,Vendedores!$B$2:$B$41,"No hay datos")</f>
        <v>No hay datos</v>
      </c>
      <c r="H1020" s="2" t="str">
        <f t="array" ref="H1020">_xlfn.XLOOKUP(B1020,Vendedores!$A$2:$A$41,Vendedores!$C$2:$C$41,"No hay datos")</f>
        <v>No hay datos</v>
      </c>
      <c r="I1020" s="2" t="str">
        <f t="array" ref="I1020">_xlfn.XLOOKUP(B1020,Vendedores!$A$2:$A$41,Vendedores!$D$2:$D$41,"No hay datos")</f>
        <v>No hay datos</v>
      </c>
      <c r="J1020" s="2" t="str">
        <f t="array" ref="J1020">_xlfn.XLOOKUP(A1020,Productos!$A$2:$A$61,Productos!$B$2:$F$61)</f>
        <v>#N/A</v>
      </c>
    </row>
    <row r="1021">
      <c r="A1021" s="2" t="str">
        <f>IFERROR(__xludf.DUMMYFUNCTION("""COMPUTED_VALUE"""),"PR048")</f>
        <v>PR048</v>
      </c>
      <c r="B1021" s="2" t="str">
        <f>IFERROR(__xludf.DUMMYFUNCTION("""COMPUTED_VALUE"""),"VD046")</f>
        <v>VD046</v>
      </c>
      <c r="C1021" s="2">
        <f>IFERROR(__xludf.DUMMYFUNCTION("""COMPUTED_VALUE"""),12.0)</f>
        <v>12</v>
      </c>
      <c r="D1021" s="6">
        <f>IFERROR(__xludf.DUMMYFUNCTION("""COMPUTED_VALUE"""),3757.1)</f>
        <v>3757.1</v>
      </c>
      <c r="E1021" s="6">
        <f>IFERROR(__xludf.DUMMYFUNCTION("GOOGLEFINANCE(""Currency:BRLMXN"")*D1021"),12762.868699999999)</f>
        <v>12762.8687</v>
      </c>
      <c r="F1021" s="6">
        <f>IFERROR(__xludf.DUMMYFUNCTION("GOOGLEFINANCE(""Currency:BRLPEN"")*D1021"),2463.15476)</f>
        <v>2463.15476</v>
      </c>
      <c r="G1021" s="2" t="str">
        <f t="array" ref="G1021">_xlfn.XLOOKUP(B1021,Vendedores!$A$2:$A$41,Vendedores!$B$2:$B$41,"No hay datos")</f>
        <v>No hay datos</v>
      </c>
      <c r="H1021" s="2" t="str">
        <f t="array" ref="H1021">_xlfn.XLOOKUP(B1021,Vendedores!$A$2:$A$41,Vendedores!$C$2:$C$41,"No hay datos")</f>
        <v>No hay datos</v>
      </c>
      <c r="I1021" s="2" t="str">
        <f t="array" ref="I1021">_xlfn.XLOOKUP(B1021,Vendedores!$A$2:$A$41,Vendedores!$D$2:$D$41,"No hay datos")</f>
        <v>No hay datos</v>
      </c>
      <c r="J1021" s="2" t="str">
        <f t="array" ref="J1021">_xlfn.XLOOKUP(A1021,Productos!$A$2:$A$61,Productos!$B$2:$F$61)</f>
        <v>#N/A</v>
      </c>
    </row>
    <row r="1022">
      <c r="A1022" s="2" t="str">
        <f>IFERROR(__xludf.DUMMYFUNCTION("""COMPUTED_VALUE"""),"PR031")</f>
        <v>PR031</v>
      </c>
      <c r="B1022" s="2" t="str">
        <f>IFERROR(__xludf.DUMMYFUNCTION("""COMPUTED_VALUE"""),"VD011")</f>
        <v>VD011</v>
      </c>
      <c r="C1022" s="2">
        <f>IFERROR(__xludf.DUMMYFUNCTION("""COMPUTED_VALUE"""),10.0)</f>
        <v>10</v>
      </c>
      <c r="D1022" s="6">
        <f>IFERROR(__xludf.DUMMYFUNCTION("""COMPUTED_VALUE"""),2474.5)</f>
        <v>2474.5</v>
      </c>
      <c r="E1022" s="6">
        <f>IFERROR(__xludf.DUMMYFUNCTION("GOOGLEFINANCE(""Currency:BRLMXN"")*D1022"),8405.8765)</f>
        <v>8405.8765</v>
      </c>
      <c r="F1022" s="6">
        <f>IFERROR(__xludf.DUMMYFUNCTION("GOOGLEFINANCE(""Currency:BRLPEN"")*D1022"),1622.2821999999999)</f>
        <v>1622.2822</v>
      </c>
      <c r="G1022" s="2" t="str">
        <f t="array" ref="G1022">_xlfn.XLOOKUP(B1022,Vendedores!$A$2:$A$41,Vendedores!$B$2:$B$41,"No hay datos")</f>
        <v>No hay datos</v>
      </c>
      <c r="H1022" s="2" t="str">
        <f t="array" ref="H1022">_xlfn.XLOOKUP(B1022,Vendedores!$A$2:$A$41,Vendedores!$C$2:$C$41,"No hay datos")</f>
        <v>No hay datos</v>
      </c>
      <c r="I1022" s="2" t="str">
        <f t="array" ref="I1022">_xlfn.XLOOKUP(B1022,Vendedores!$A$2:$A$41,Vendedores!$D$2:$D$41,"No hay datos")</f>
        <v>No hay datos</v>
      </c>
      <c r="J1022" s="2" t="str">
        <f t="array" ref="J1022">_xlfn.XLOOKUP(A1022,Productos!$A$2:$A$61,Productos!$B$2:$F$61)</f>
        <v>#N/A</v>
      </c>
    </row>
    <row r="1023">
      <c r="A1023" s="2" t="str">
        <f>IFERROR(__xludf.DUMMYFUNCTION("""COMPUTED_VALUE"""),"PR042")</f>
        <v>PR042</v>
      </c>
      <c r="B1023" s="2" t="str">
        <f>IFERROR(__xludf.DUMMYFUNCTION("""COMPUTED_VALUE"""),"VD020")</f>
        <v>VD020</v>
      </c>
      <c r="C1023" s="2">
        <f>IFERROR(__xludf.DUMMYFUNCTION("""COMPUTED_VALUE"""),3.0)</f>
        <v>3</v>
      </c>
      <c r="D1023" s="6">
        <f>IFERROR(__xludf.DUMMYFUNCTION("""COMPUTED_VALUE"""),169.64)</f>
        <v>169.64</v>
      </c>
      <c r="E1023" s="6">
        <f>IFERROR(__xludf.DUMMYFUNCTION("GOOGLEFINANCE(""Currency:BRLMXN"")*D1023"),576.26708)</f>
        <v>576.26708</v>
      </c>
      <c r="F1023" s="6">
        <f>IFERROR(__xludf.DUMMYFUNCTION("GOOGLEFINANCE(""Currency:BRLPEN"")*D1023"),111.21598399999998)</f>
        <v>111.215984</v>
      </c>
      <c r="G1023" s="2" t="str">
        <f t="array" ref="G1023">_xlfn.XLOOKUP(B1023,Vendedores!$A$2:$A$41,Vendedores!$B$2:$B$41,"No hay datos")</f>
        <v>No hay datos</v>
      </c>
      <c r="H1023" s="2" t="str">
        <f t="array" ref="H1023">_xlfn.XLOOKUP(B1023,Vendedores!$A$2:$A$41,Vendedores!$C$2:$C$41,"No hay datos")</f>
        <v>No hay datos</v>
      </c>
      <c r="I1023" s="2" t="str">
        <f t="array" ref="I1023">_xlfn.XLOOKUP(B1023,Vendedores!$A$2:$A$41,Vendedores!$D$2:$D$41,"No hay datos")</f>
        <v>No hay datos</v>
      </c>
      <c r="J1023" s="2" t="str">
        <f t="array" ref="J1023">_xlfn.XLOOKUP(A1023,Productos!$A$2:$A$61,Productos!$B$2:$F$61)</f>
        <v>#N/A</v>
      </c>
    </row>
    <row r="1024">
      <c r="A1024" s="2" t="str">
        <f>IFERROR(__xludf.DUMMYFUNCTION("""COMPUTED_VALUE"""),"PR053")</f>
        <v>PR053</v>
      </c>
      <c r="B1024" s="2" t="str">
        <f>IFERROR(__xludf.DUMMYFUNCTION("""COMPUTED_VALUE"""),"VD027")</f>
        <v>VD027</v>
      </c>
      <c r="C1024" s="2">
        <f>IFERROR(__xludf.DUMMYFUNCTION("""COMPUTED_VALUE"""),12.0)</f>
        <v>12</v>
      </c>
      <c r="D1024" s="6">
        <f>IFERROR(__xludf.DUMMYFUNCTION("""COMPUTED_VALUE"""),604.79)</f>
        <v>604.79</v>
      </c>
      <c r="E1024" s="6">
        <f>IFERROR(__xludf.DUMMYFUNCTION("GOOGLEFINANCE(""Currency:BRLMXN"")*D1024"),2054.4716299999995)</f>
        <v>2054.47163</v>
      </c>
      <c r="F1024" s="6">
        <f>IFERROR(__xludf.DUMMYFUNCTION("GOOGLEFINANCE(""Currency:BRLPEN"")*D1024"),396.500324)</f>
        <v>396.500324</v>
      </c>
      <c r="G1024" s="2" t="str">
        <f t="array" ref="G1024">_xlfn.XLOOKUP(B1024,Vendedores!$A$2:$A$41,Vendedores!$B$2:$B$41,"No hay datos")</f>
        <v>No hay datos</v>
      </c>
      <c r="H1024" s="2" t="str">
        <f t="array" ref="H1024">_xlfn.XLOOKUP(B1024,Vendedores!$A$2:$A$41,Vendedores!$C$2:$C$41,"No hay datos")</f>
        <v>No hay datos</v>
      </c>
      <c r="I1024" s="2" t="str">
        <f t="array" ref="I1024">_xlfn.XLOOKUP(B1024,Vendedores!$A$2:$A$41,Vendedores!$D$2:$D$41,"No hay datos")</f>
        <v>No hay datos</v>
      </c>
      <c r="J1024" s="2" t="str">
        <f t="array" ref="J1024">_xlfn.XLOOKUP(A1024,Productos!$A$2:$A$61,Productos!$B$2:$F$61)</f>
        <v>#N/A</v>
      </c>
    </row>
    <row r="1025">
      <c r="A1025" s="2" t="str">
        <f>IFERROR(__xludf.DUMMYFUNCTION("""COMPUTED_VALUE"""),"PR032")</f>
        <v>PR032</v>
      </c>
      <c r="B1025" s="2" t="str">
        <f>IFERROR(__xludf.DUMMYFUNCTION("""COMPUTED_VALUE"""),"VD047")</f>
        <v>VD047</v>
      </c>
      <c r="C1025" s="2">
        <f>IFERROR(__xludf.DUMMYFUNCTION("""COMPUTED_VALUE"""),18.0)</f>
        <v>18</v>
      </c>
      <c r="D1025" s="6">
        <f>IFERROR(__xludf.DUMMYFUNCTION("""COMPUTED_VALUE"""),4860.0)</f>
        <v>4860</v>
      </c>
      <c r="E1025" s="6">
        <f>IFERROR(__xludf.DUMMYFUNCTION("GOOGLEFINANCE(""Currency:BRLMXN"")*D1025"),16509.42)</f>
        <v>16509.42</v>
      </c>
      <c r="F1025" s="6">
        <f>IFERROR(__xludf.DUMMYFUNCTION("GOOGLEFINANCE(""Currency:BRLPEN"")*D1025"),3186.216)</f>
        <v>3186.216</v>
      </c>
      <c r="G1025" s="2" t="str">
        <f t="array" ref="G1025">_xlfn.XLOOKUP(B1025,Vendedores!$A$2:$A$41,Vendedores!$B$2:$B$41,"No hay datos")</f>
        <v>No hay datos</v>
      </c>
      <c r="H1025" s="2" t="str">
        <f t="array" ref="H1025">_xlfn.XLOOKUP(B1025,Vendedores!$A$2:$A$41,Vendedores!$C$2:$C$41,"No hay datos")</f>
        <v>No hay datos</v>
      </c>
      <c r="I1025" s="2" t="str">
        <f t="array" ref="I1025">_xlfn.XLOOKUP(B1025,Vendedores!$A$2:$A$41,Vendedores!$D$2:$D$41,"No hay datos")</f>
        <v>No hay datos</v>
      </c>
      <c r="J1025" s="2" t="str">
        <f t="array" ref="J1025">_xlfn.XLOOKUP(A1025,Productos!$A$2:$A$61,Productos!$B$2:$F$61)</f>
        <v>#N/A</v>
      </c>
    </row>
    <row r="1026">
      <c r="A1026" s="2" t="str">
        <f>IFERROR(__xludf.DUMMYFUNCTION("""COMPUTED_VALUE"""),"PR015")</f>
        <v>PR015</v>
      </c>
      <c r="B1026" s="2" t="str">
        <f>IFERROR(__xludf.DUMMYFUNCTION("""COMPUTED_VALUE"""),"VD038")</f>
        <v>VD038</v>
      </c>
      <c r="C1026" s="2">
        <f>IFERROR(__xludf.DUMMYFUNCTION("""COMPUTED_VALUE"""),12.0)</f>
        <v>12</v>
      </c>
      <c r="D1026" s="6">
        <f>IFERROR(__xludf.DUMMYFUNCTION("""COMPUTED_VALUE"""),535.5)</f>
        <v>535.5</v>
      </c>
      <c r="E1026" s="6">
        <f>IFERROR(__xludf.DUMMYFUNCTION("GOOGLEFINANCE(""Currency:BRLMXN"")*D1026"),1819.0935)</f>
        <v>1819.0935</v>
      </c>
      <c r="F1026" s="6">
        <f>IFERROR(__xludf.DUMMYFUNCTION("GOOGLEFINANCE(""Currency:BRLPEN"")*D1026"),351.0738)</f>
        <v>351.0738</v>
      </c>
      <c r="G1026" s="2" t="str">
        <f t="array" ref="G1026">_xlfn.XLOOKUP(B1026,Vendedores!$A$2:$A$41,Vendedores!$B$2:$B$41,"No hay datos")</f>
        <v>No hay datos</v>
      </c>
      <c r="H1026" s="2" t="str">
        <f t="array" ref="H1026">_xlfn.XLOOKUP(B1026,Vendedores!$A$2:$A$41,Vendedores!$C$2:$C$41,"No hay datos")</f>
        <v>No hay datos</v>
      </c>
      <c r="I1026" s="2" t="str">
        <f t="array" ref="I1026">_xlfn.XLOOKUP(B1026,Vendedores!$A$2:$A$41,Vendedores!$D$2:$D$41,"No hay datos")</f>
        <v>No hay datos</v>
      </c>
      <c r="J1026" s="2" t="str">
        <f t="array" ref="J1026">_xlfn.XLOOKUP(A1026,Productos!$A$2:$A$61,Productos!$B$2:$F$61)</f>
        <v>#N/A</v>
      </c>
    </row>
    <row r="1027">
      <c r="A1027" s="2" t="str">
        <f>IFERROR(__xludf.DUMMYFUNCTION("""COMPUTED_VALUE"""),"PR059")</f>
        <v>PR059</v>
      </c>
      <c r="B1027" s="2" t="str">
        <f>IFERROR(__xludf.DUMMYFUNCTION("""COMPUTED_VALUE"""),"VD047")</f>
        <v>VD047</v>
      </c>
      <c r="C1027" s="2">
        <f>IFERROR(__xludf.DUMMYFUNCTION("""COMPUTED_VALUE"""),14.0)</f>
        <v>14</v>
      </c>
      <c r="D1027" s="6">
        <f>IFERROR(__xludf.DUMMYFUNCTION("""COMPUTED_VALUE"""),2671.2)</f>
        <v>2671.2</v>
      </c>
      <c r="E1027" s="6">
        <f>IFERROR(__xludf.DUMMYFUNCTION("GOOGLEFINANCE(""Currency:BRLMXN"")*D1027"),9074.0664)</f>
        <v>9074.0664</v>
      </c>
      <c r="F1027" s="6">
        <f>IFERROR(__xludf.DUMMYFUNCTION("GOOGLEFINANCE(""Currency:BRLPEN"")*D1027"),1751.2387199999998)</f>
        <v>1751.23872</v>
      </c>
      <c r="G1027" s="2" t="str">
        <f t="array" ref="G1027">_xlfn.XLOOKUP(B1027,Vendedores!$A$2:$A$41,Vendedores!$B$2:$B$41,"No hay datos")</f>
        <v>No hay datos</v>
      </c>
      <c r="H1027" s="2" t="str">
        <f t="array" ref="H1027">_xlfn.XLOOKUP(B1027,Vendedores!$A$2:$A$41,Vendedores!$C$2:$C$41,"No hay datos")</f>
        <v>No hay datos</v>
      </c>
      <c r="I1027" s="2" t="str">
        <f t="array" ref="I1027">_xlfn.XLOOKUP(B1027,Vendedores!$A$2:$A$41,Vendedores!$D$2:$D$41,"No hay datos")</f>
        <v>No hay datos</v>
      </c>
      <c r="J1027" s="2" t="str">
        <f t="array" ref="J1027">_xlfn.XLOOKUP(A1027,Productos!$A$2:$A$61,Productos!$B$2:$F$61)</f>
        <v>#N/A</v>
      </c>
    </row>
    <row r="1028">
      <c r="A1028" s="2" t="str">
        <f>IFERROR(__xludf.DUMMYFUNCTION("""COMPUTED_VALUE"""),"PR004")</f>
        <v>PR004</v>
      </c>
      <c r="B1028" s="2" t="str">
        <f>IFERROR(__xludf.DUMMYFUNCTION("""COMPUTED_VALUE"""),"VD022")</f>
        <v>VD022</v>
      </c>
      <c r="C1028" s="2">
        <f>IFERROR(__xludf.DUMMYFUNCTION("""COMPUTED_VALUE"""),6.0)</f>
        <v>6</v>
      </c>
      <c r="D1028" s="6">
        <f>IFERROR(__xludf.DUMMYFUNCTION("""COMPUTED_VALUE"""),887.4)</f>
        <v>887.4</v>
      </c>
      <c r="E1028" s="6">
        <f>IFERROR(__xludf.DUMMYFUNCTION("GOOGLEFINANCE(""Currency:BRLMXN"")*D1028"),3014.4977999999996)</f>
        <v>3014.4978</v>
      </c>
      <c r="F1028" s="6">
        <f>IFERROR(__xludf.DUMMYFUNCTION("GOOGLEFINANCE(""Currency:BRLPEN"")*D1028"),581.7794399999999)</f>
        <v>581.77944</v>
      </c>
      <c r="G1028" s="2" t="str">
        <f t="array" ref="G1028">_xlfn.XLOOKUP(B1028,Vendedores!$A$2:$A$41,Vendedores!$B$2:$B$41,"No hay datos")</f>
        <v>No hay datos</v>
      </c>
      <c r="H1028" s="2" t="str">
        <f t="array" ref="H1028">_xlfn.XLOOKUP(B1028,Vendedores!$A$2:$A$41,Vendedores!$C$2:$C$41,"No hay datos")</f>
        <v>No hay datos</v>
      </c>
      <c r="I1028" s="2" t="str">
        <f t="array" ref="I1028">_xlfn.XLOOKUP(B1028,Vendedores!$A$2:$A$41,Vendedores!$D$2:$D$41,"No hay datos")</f>
        <v>No hay datos</v>
      </c>
      <c r="J1028" s="2" t="str">
        <f t="array" ref="J1028">_xlfn.XLOOKUP(A1028,Productos!$A$2:$A$61,Productos!$B$2:$F$61)</f>
        <v>#N/A</v>
      </c>
    </row>
    <row r="1029">
      <c r="A1029" s="2" t="str">
        <f>IFERROR(__xludf.DUMMYFUNCTION("""COMPUTED_VALUE"""),"PR028")</f>
        <v>PR028</v>
      </c>
      <c r="B1029" s="2" t="str">
        <f>IFERROR(__xludf.DUMMYFUNCTION("""COMPUTED_VALUE"""),"VD026")</f>
        <v>VD026</v>
      </c>
      <c r="C1029" s="2">
        <f>IFERROR(__xludf.DUMMYFUNCTION("""COMPUTED_VALUE"""),5.0)</f>
        <v>5</v>
      </c>
      <c r="D1029" s="6">
        <f>IFERROR(__xludf.DUMMYFUNCTION("""COMPUTED_VALUE"""),1361.96)</f>
        <v>1361.96</v>
      </c>
      <c r="E1029" s="6">
        <f>IFERROR(__xludf.DUMMYFUNCTION("GOOGLEFINANCE(""Currency:BRLMXN"")*D1029"),4626.57812)</f>
        <v>4626.57812</v>
      </c>
      <c r="F1029" s="6">
        <f>IFERROR(__xludf.DUMMYFUNCTION("GOOGLEFINANCE(""Currency:BRLPEN"")*D1029"),892.900976)</f>
        <v>892.900976</v>
      </c>
      <c r="G1029" s="2" t="str">
        <f t="array" ref="G1029">_xlfn.XLOOKUP(B1029,Vendedores!$A$2:$A$41,Vendedores!$B$2:$B$41,"No hay datos")</f>
        <v>No hay datos</v>
      </c>
      <c r="H1029" s="2" t="str">
        <f t="array" ref="H1029">_xlfn.XLOOKUP(B1029,Vendedores!$A$2:$A$41,Vendedores!$C$2:$C$41,"No hay datos")</f>
        <v>No hay datos</v>
      </c>
      <c r="I1029" s="2" t="str">
        <f t="array" ref="I1029">_xlfn.XLOOKUP(B1029,Vendedores!$A$2:$A$41,Vendedores!$D$2:$D$41,"No hay datos")</f>
        <v>No hay datos</v>
      </c>
      <c r="J1029" s="2" t="str">
        <f t="array" ref="J1029">_xlfn.XLOOKUP(A1029,Productos!$A$2:$A$61,Productos!$B$2:$F$61)</f>
        <v>#N/A</v>
      </c>
    </row>
    <row r="1030">
      <c r="A1030" s="2" t="str">
        <f>IFERROR(__xludf.DUMMYFUNCTION("""COMPUTED_VALUE"""),"PR037")</f>
        <v>PR037</v>
      </c>
      <c r="B1030" s="2" t="str">
        <f>IFERROR(__xludf.DUMMYFUNCTION("""COMPUTED_VALUE"""),"VD019")</f>
        <v>VD019</v>
      </c>
      <c r="C1030" s="2">
        <f>IFERROR(__xludf.DUMMYFUNCTION("""COMPUTED_VALUE"""),12.0)</f>
        <v>12</v>
      </c>
      <c r="D1030" s="6">
        <f>IFERROR(__xludf.DUMMYFUNCTION("""COMPUTED_VALUE"""),1747.2)</f>
        <v>1747.2</v>
      </c>
      <c r="E1030" s="6">
        <f>IFERROR(__xludf.DUMMYFUNCTION("GOOGLEFINANCE(""Currency:BRLMXN"")*D1030"),5935.2384)</f>
        <v>5935.2384</v>
      </c>
      <c r="F1030" s="6">
        <f>IFERROR(__xludf.DUMMYFUNCTION("GOOGLEFINANCE(""Currency:BRLPEN"")*D1030"),1145.46432)</f>
        <v>1145.46432</v>
      </c>
      <c r="G1030" s="2" t="str">
        <f t="array" ref="G1030">_xlfn.XLOOKUP(B1030,Vendedores!$A$2:$A$41,Vendedores!$B$2:$B$41,"No hay datos")</f>
        <v>No hay datos</v>
      </c>
      <c r="H1030" s="2" t="str">
        <f t="array" ref="H1030">_xlfn.XLOOKUP(B1030,Vendedores!$A$2:$A$41,Vendedores!$C$2:$C$41,"No hay datos")</f>
        <v>No hay datos</v>
      </c>
      <c r="I1030" s="2" t="str">
        <f t="array" ref="I1030">_xlfn.XLOOKUP(B1030,Vendedores!$A$2:$A$41,Vendedores!$D$2:$D$41,"No hay datos")</f>
        <v>No hay datos</v>
      </c>
      <c r="J1030" s="2" t="str">
        <f t="array" ref="J1030">_xlfn.XLOOKUP(A1030,Productos!$A$2:$A$61,Productos!$B$2:$F$61)</f>
        <v>#N/A</v>
      </c>
    </row>
    <row r="1031">
      <c r="A1031" s="2" t="str">
        <f>IFERROR(__xludf.DUMMYFUNCTION("""COMPUTED_VALUE"""),"PR031")</f>
        <v>PR031</v>
      </c>
      <c r="B1031" s="2" t="str">
        <f>IFERROR(__xludf.DUMMYFUNCTION("""COMPUTED_VALUE"""),"VD036")</f>
        <v>VD036</v>
      </c>
      <c r="C1031" s="2">
        <f>IFERROR(__xludf.DUMMYFUNCTION("""COMPUTED_VALUE"""),6.0)</f>
        <v>6</v>
      </c>
      <c r="D1031" s="6">
        <f>IFERROR(__xludf.DUMMYFUNCTION("""COMPUTED_VALUE"""),1499.4)</f>
        <v>1499.4</v>
      </c>
      <c r="E1031" s="6">
        <f>IFERROR(__xludf.DUMMYFUNCTION("GOOGLEFINANCE(""Currency:BRLMXN"")*D1031"),5093.4618)</f>
        <v>5093.4618</v>
      </c>
      <c r="F1031" s="6">
        <f>IFERROR(__xludf.DUMMYFUNCTION("GOOGLEFINANCE(""Currency:BRLPEN"")*D1031"),983.00664)</f>
        <v>983.00664</v>
      </c>
      <c r="G1031" s="2" t="str">
        <f t="array" ref="G1031">_xlfn.XLOOKUP(B1031,Vendedores!$A$2:$A$41,Vendedores!$B$2:$B$41,"No hay datos")</f>
        <v>No hay datos</v>
      </c>
      <c r="H1031" s="2" t="str">
        <f t="array" ref="H1031">_xlfn.XLOOKUP(B1031,Vendedores!$A$2:$A$41,Vendedores!$C$2:$C$41,"No hay datos")</f>
        <v>No hay datos</v>
      </c>
      <c r="I1031" s="2" t="str">
        <f t="array" ref="I1031">_xlfn.XLOOKUP(B1031,Vendedores!$A$2:$A$41,Vendedores!$D$2:$D$41,"No hay datos")</f>
        <v>No hay datos</v>
      </c>
      <c r="J1031" s="2" t="str">
        <f t="array" ref="J1031">_xlfn.XLOOKUP(A1031,Productos!$A$2:$A$61,Productos!$B$2:$F$61)</f>
        <v>#N/A</v>
      </c>
    </row>
    <row r="1032">
      <c r="A1032" s="2" t="str">
        <f>IFERROR(__xludf.DUMMYFUNCTION("""COMPUTED_VALUE"""),"PR038")</f>
        <v>PR038</v>
      </c>
      <c r="B1032" s="2" t="str">
        <f>IFERROR(__xludf.DUMMYFUNCTION("""COMPUTED_VALUE"""),"VD033")</f>
        <v>VD033</v>
      </c>
      <c r="C1032" s="2">
        <f>IFERROR(__xludf.DUMMYFUNCTION("""COMPUTED_VALUE"""),10.0)</f>
        <v>10</v>
      </c>
      <c r="D1032" s="6">
        <f>IFERROR(__xludf.DUMMYFUNCTION("""COMPUTED_VALUE"""),1443.29)</f>
        <v>1443.29</v>
      </c>
      <c r="E1032" s="6">
        <f>IFERROR(__xludf.DUMMYFUNCTION("GOOGLEFINANCE(""Currency:BRLMXN"")*D1032"),4902.856129999999)</f>
        <v>4902.85613</v>
      </c>
      <c r="F1032" s="6">
        <f>IFERROR(__xludf.DUMMYFUNCTION("GOOGLEFINANCE(""Currency:BRLPEN"")*D1032"),946.220924)</f>
        <v>946.220924</v>
      </c>
      <c r="G1032" s="2" t="str">
        <f t="array" ref="G1032">_xlfn.XLOOKUP(B1032,Vendedores!$A$2:$A$41,Vendedores!$B$2:$B$41,"No hay datos")</f>
        <v>No hay datos</v>
      </c>
      <c r="H1032" s="2" t="str">
        <f t="array" ref="H1032">_xlfn.XLOOKUP(B1032,Vendedores!$A$2:$A$41,Vendedores!$C$2:$C$41,"No hay datos")</f>
        <v>No hay datos</v>
      </c>
      <c r="I1032" s="2" t="str">
        <f t="array" ref="I1032">_xlfn.XLOOKUP(B1032,Vendedores!$A$2:$A$41,Vendedores!$D$2:$D$41,"No hay datos")</f>
        <v>No hay datos</v>
      </c>
      <c r="J1032" s="2" t="str">
        <f t="array" ref="J1032">_xlfn.XLOOKUP(A1032,Productos!$A$2:$A$61,Productos!$B$2:$F$61)</f>
        <v>#N/A</v>
      </c>
    </row>
    <row r="1033">
      <c r="A1033" s="2" t="str">
        <f>IFERROR(__xludf.DUMMYFUNCTION("""COMPUTED_VALUE"""),"PR009")</f>
        <v>PR009</v>
      </c>
      <c r="B1033" s="2" t="str">
        <f>IFERROR(__xludf.DUMMYFUNCTION("""COMPUTED_VALUE"""),"VD035")</f>
        <v>VD035</v>
      </c>
      <c r="C1033" s="2">
        <f>IFERROR(__xludf.DUMMYFUNCTION("""COMPUTED_VALUE"""),16.0)</f>
        <v>16</v>
      </c>
      <c r="D1033" s="6">
        <f>IFERROR(__xludf.DUMMYFUNCTION("""COMPUTED_VALUE"""),1545.86)</f>
        <v>1545.86</v>
      </c>
      <c r="E1033" s="6">
        <f>IFERROR(__xludf.DUMMYFUNCTION("GOOGLEFINANCE(""Currency:BRLMXN"")*D1033"),5251.286419999999)</f>
        <v>5251.28642</v>
      </c>
      <c r="F1033" s="6">
        <f>IFERROR(__xludf.DUMMYFUNCTION("GOOGLEFINANCE(""Currency:BRLPEN"")*D1033"),1013.4658159999999)</f>
        <v>1013.465816</v>
      </c>
      <c r="G1033" s="2" t="str">
        <f t="array" ref="G1033">_xlfn.XLOOKUP(B1033,Vendedores!$A$2:$A$41,Vendedores!$B$2:$B$41,"No hay datos")</f>
        <v>No hay datos</v>
      </c>
      <c r="H1033" s="2" t="str">
        <f t="array" ref="H1033">_xlfn.XLOOKUP(B1033,Vendedores!$A$2:$A$41,Vendedores!$C$2:$C$41,"No hay datos")</f>
        <v>No hay datos</v>
      </c>
      <c r="I1033" s="2" t="str">
        <f t="array" ref="I1033">_xlfn.XLOOKUP(B1033,Vendedores!$A$2:$A$41,Vendedores!$D$2:$D$41,"No hay datos")</f>
        <v>No hay datos</v>
      </c>
      <c r="J1033" s="2" t="str">
        <f t="array" ref="J1033">_xlfn.XLOOKUP(A1033,Productos!$A$2:$A$61,Productos!$B$2:$F$61)</f>
        <v>#N/A</v>
      </c>
    </row>
    <row r="1034">
      <c r="A1034" s="2" t="str">
        <f>IFERROR(__xludf.DUMMYFUNCTION("""COMPUTED_VALUE"""),"PR041")</f>
        <v>PR041</v>
      </c>
      <c r="B1034" s="2" t="str">
        <f>IFERROR(__xludf.DUMMYFUNCTION("""COMPUTED_VALUE"""),"VD019")</f>
        <v>VD019</v>
      </c>
      <c r="C1034" s="2">
        <f>IFERROR(__xludf.DUMMYFUNCTION("""COMPUTED_VALUE"""),3.0)</f>
        <v>3</v>
      </c>
      <c r="D1034" s="6">
        <f>IFERROR(__xludf.DUMMYFUNCTION("""COMPUTED_VALUE"""),171.29)</f>
        <v>171.29</v>
      </c>
      <c r="E1034" s="6">
        <f>IFERROR(__xludf.DUMMYFUNCTION("GOOGLEFINANCE(""Currency:BRLMXN"")*D1034"),581.87213)</f>
        <v>581.87213</v>
      </c>
      <c r="F1034" s="6">
        <f>IFERROR(__xludf.DUMMYFUNCTION("GOOGLEFINANCE(""Currency:BRLPEN"")*D1034"),112.29772399999999)</f>
        <v>112.297724</v>
      </c>
      <c r="G1034" s="2" t="str">
        <f t="array" ref="G1034">_xlfn.XLOOKUP(B1034,Vendedores!$A$2:$A$41,Vendedores!$B$2:$B$41,"No hay datos")</f>
        <v>No hay datos</v>
      </c>
      <c r="H1034" s="2" t="str">
        <f t="array" ref="H1034">_xlfn.XLOOKUP(B1034,Vendedores!$A$2:$A$41,Vendedores!$C$2:$C$41,"No hay datos")</f>
        <v>No hay datos</v>
      </c>
      <c r="I1034" s="2" t="str">
        <f t="array" ref="I1034">_xlfn.XLOOKUP(B1034,Vendedores!$A$2:$A$41,Vendedores!$D$2:$D$41,"No hay datos")</f>
        <v>No hay datos</v>
      </c>
      <c r="J1034" s="2" t="str">
        <f t="array" ref="J1034">_xlfn.XLOOKUP(A1034,Productos!$A$2:$A$61,Productos!$B$2:$F$61)</f>
        <v>#N/A</v>
      </c>
    </row>
    <row r="1035">
      <c r="A1035" s="2" t="str">
        <f>IFERROR(__xludf.DUMMYFUNCTION("""COMPUTED_VALUE"""),"PR026")</f>
        <v>PR026</v>
      </c>
      <c r="B1035" s="2" t="str">
        <f>IFERROR(__xludf.DUMMYFUNCTION("""COMPUTED_VALUE"""),"VD027")</f>
        <v>VD027</v>
      </c>
      <c r="C1035" s="2">
        <f>IFERROR(__xludf.DUMMYFUNCTION("""COMPUTED_VALUE"""),12.0)</f>
        <v>12</v>
      </c>
      <c r="D1035" s="6">
        <f>IFERROR(__xludf.DUMMYFUNCTION("""COMPUTED_VALUE"""),4618.68)</f>
        <v>4618.68</v>
      </c>
      <c r="E1035" s="6">
        <f>IFERROR(__xludf.DUMMYFUNCTION("GOOGLEFINANCE(""Currency:BRLMXN"")*D1035"),15689.65596)</f>
        <v>15689.65596</v>
      </c>
      <c r="F1035" s="6">
        <f>IFERROR(__xludf.DUMMYFUNCTION("GOOGLEFINANCE(""Currency:BRLPEN"")*D1035"),3028.006608)</f>
        <v>3028.006608</v>
      </c>
      <c r="G1035" s="2" t="str">
        <f t="array" ref="G1035">_xlfn.XLOOKUP(B1035,Vendedores!$A$2:$A$41,Vendedores!$B$2:$B$41,"No hay datos")</f>
        <v>No hay datos</v>
      </c>
      <c r="H1035" s="2" t="str">
        <f t="array" ref="H1035">_xlfn.XLOOKUP(B1035,Vendedores!$A$2:$A$41,Vendedores!$C$2:$C$41,"No hay datos")</f>
        <v>No hay datos</v>
      </c>
      <c r="I1035" s="2" t="str">
        <f t="array" ref="I1035">_xlfn.XLOOKUP(B1035,Vendedores!$A$2:$A$41,Vendedores!$D$2:$D$41,"No hay datos")</f>
        <v>No hay datos</v>
      </c>
      <c r="J1035" s="2" t="str">
        <f t="array" ref="J1035">_xlfn.XLOOKUP(A1035,Productos!$A$2:$A$61,Productos!$B$2:$F$61)</f>
        <v>#N/A</v>
      </c>
    </row>
    <row r="1036">
      <c r="A1036" s="2" t="str">
        <f>IFERROR(__xludf.DUMMYFUNCTION("""COMPUTED_VALUE"""),"PR026")</f>
        <v>PR026</v>
      </c>
      <c r="B1036" s="2" t="str">
        <f>IFERROR(__xludf.DUMMYFUNCTION("""COMPUTED_VALUE"""),"VD030")</f>
        <v>VD030</v>
      </c>
      <c r="C1036" s="2">
        <f>IFERROR(__xludf.DUMMYFUNCTION("""COMPUTED_VALUE"""),2.0)</f>
        <v>2</v>
      </c>
      <c r="D1036" s="6">
        <f>IFERROR(__xludf.DUMMYFUNCTION("""COMPUTED_VALUE"""),713.8)</f>
        <v>713.8</v>
      </c>
      <c r="E1036" s="6">
        <f>IFERROR(__xludf.DUMMYFUNCTION("GOOGLEFINANCE(""Currency:BRLMXN"")*D1036"),2424.7785999999996)</f>
        <v>2424.7786</v>
      </c>
      <c r="F1036" s="6">
        <f>IFERROR(__xludf.DUMMYFUNCTION("GOOGLEFINANCE(""Currency:BRLPEN"")*D1036"),467.96727999999996)</f>
        <v>467.96728</v>
      </c>
      <c r="G1036" s="2" t="str">
        <f t="array" ref="G1036">_xlfn.XLOOKUP(B1036,Vendedores!$A$2:$A$41,Vendedores!$B$2:$B$41,"No hay datos")</f>
        <v>No hay datos</v>
      </c>
      <c r="H1036" s="2" t="str">
        <f t="array" ref="H1036">_xlfn.XLOOKUP(B1036,Vendedores!$A$2:$A$41,Vendedores!$C$2:$C$41,"No hay datos")</f>
        <v>No hay datos</v>
      </c>
      <c r="I1036" s="2" t="str">
        <f t="array" ref="I1036">_xlfn.XLOOKUP(B1036,Vendedores!$A$2:$A$41,Vendedores!$D$2:$D$41,"No hay datos")</f>
        <v>No hay datos</v>
      </c>
      <c r="J1036" s="2" t="str">
        <f t="array" ref="J1036">_xlfn.XLOOKUP(A1036,Productos!$A$2:$A$61,Productos!$B$2:$F$61)</f>
        <v>#N/A</v>
      </c>
    </row>
    <row r="1037">
      <c r="A1037" s="2" t="str">
        <f>IFERROR(__xludf.DUMMYFUNCTION("""COMPUTED_VALUE"""),"PR012")</f>
        <v>PR012</v>
      </c>
      <c r="B1037" s="2" t="str">
        <f>IFERROR(__xludf.DUMMYFUNCTION("""COMPUTED_VALUE"""),"VD027")</f>
        <v>VD027</v>
      </c>
      <c r="C1037" s="2">
        <f>IFERROR(__xludf.DUMMYFUNCTION("""COMPUTED_VALUE"""),18.0)</f>
        <v>18</v>
      </c>
      <c r="D1037" s="6">
        <f>IFERROR(__xludf.DUMMYFUNCTION("""COMPUTED_VALUE"""),933.01)</f>
        <v>933.01</v>
      </c>
      <c r="E1037" s="6">
        <f>IFERROR(__xludf.DUMMYFUNCTION("GOOGLEFINANCE(""Currency:BRLMXN"")*D1037"),3169.43497)</f>
        <v>3169.43497</v>
      </c>
      <c r="F1037" s="6">
        <f>IFERROR(__xludf.DUMMYFUNCTION("GOOGLEFINANCE(""Currency:BRLPEN"")*D1037"),611.6813559999999)</f>
        <v>611.681356</v>
      </c>
      <c r="G1037" s="2" t="str">
        <f t="array" ref="G1037">_xlfn.XLOOKUP(B1037,Vendedores!$A$2:$A$41,Vendedores!$B$2:$B$41,"No hay datos")</f>
        <v>No hay datos</v>
      </c>
      <c r="H1037" s="2" t="str">
        <f t="array" ref="H1037">_xlfn.XLOOKUP(B1037,Vendedores!$A$2:$A$41,Vendedores!$C$2:$C$41,"No hay datos")</f>
        <v>No hay datos</v>
      </c>
      <c r="I1037" s="2" t="str">
        <f t="array" ref="I1037">_xlfn.XLOOKUP(B1037,Vendedores!$A$2:$A$41,Vendedores!$D$2:$D$41,"No hay datos")</f>
        <v>No hay datos</v>
      </c>
      <c r="J1037" s="2" t="str">
        <f t="array" ref="J1037">_xlfn.XLOOKUP(A1037,Productos!$A$2:$A$61,Productos!$B$2:$F$61)</f>
        <v>#N/A</v>
      </c>
    </row>
    <row r="1038">
      <c r="A1038" s="2" t="str">
        <f>IFERROR(__xludf.DUMMYFUNCTION("""COMPUTED_VALUE"""),"PR010")</f>
        <v>PR010</v>
      </c>
      <c r="B1038" s="2" t="str">
        <f>IFERROR(__xludf.DUMMYFUNCTION("""COMPUTED_VALUE"""),"VD025")</f>
        <v>VD025</v>
      </c>
      <c r="C1038" s="2">
        <f>IFERROR(__xludf.DUMMYFUNCTION("""COMPUTED_VALUE"""),14.0)</f>
        <v>14</v>
      </c>
      <c r="D1038" s="6">
        <f>IFERROR(__xludf.DUMMYFUNCTION("""COMPUTED_VALUE"""),672.6)</f>
        <v>672.6</v>
      </c>
      <c r="E1038" s="6">
        <f>IFERROR(__xludf.DUMMYFUNCTION("GOOGLEFINANCE(""Currency:BRLMXN"")*D1038"),2284.8222)</f>
        <v>2284.8222</v>
      </c>
      <c r="F1038" s="6">
        <f>IFERROR(__xludf.DUMMYFUNCTION("GOOGLEFINANCE(""Currency:BRLPEN"")*D1038"),440.95655999999997)</f>
        <v>440.95656</v>
      </c>
      <c r="G1038" s="2" t="str">
        <f t="array" ref="G1038">_xlfn.XLOOKUP(B1038,Vendedores!$A$2:$A$41,Vendedores!$B$2:$B$41,"No hay datos")</f>
        <v>No hay datos</v>
      </c>
      <c r="H1038" s="2" t="str">
        <f t="array" ref="H1038">_xlfn.XLOOKUP(B1038,Vendedores!$A$2:$A$41,Vendedores!$C$2:$C$41,"No hay datos")</f>
        <v>No hay datos</v>
      </c>
      <c r="I1038" s="2" t="str">
        <f t="array" ref="I1038">_xlfn.XLOOKUP(B1038,Vendedores!$A$2:$A$41,Vendedores!$D$2:$D$41,"No hay datos")</f>
        <v>No hay datos</v>
      </c>
      <c r="J1038" s="2" t="str">
        <f t="array" ref="J1038">_xlfn.XLOOKUP(A1038,Productos!$A$2:$A$61,Productos!$B$2:$F$61)</f>
        <v>#N/A</v>
      </c>
    </row>
    <row r="1039">
      <c r="A1039" s="2" t="str">
        <f>IFERROR(__xludf.DUMMYFUNCTION("""COMPUTED_VALUE"""),"PR060")</f>
        <v>PR060</v>
      </c>
      <c r="B1039" s="2" t="str">
        <f>IFERROR(__xludf.DUMMYFUNCTION("""COMPUTED_VALUE"""),"VD033")</f>
        <v>VD033</v>
      </c>
      <c r="C1039" s="2">
        <f>IFERROR(__xludf.DUMMYFUNCTION("""COMPUTED_VALUE"""),10.0)</f>
        <v>10</v>
      </c>
      <c r="D1039" s="6">
        <f>IFERROR(__xludf.DUMMYFUNCTION("""COMPUTED_VALUE"""),1962.0)</f>
        <v>1962</v>
      </c>
      <c r="E1039" s="6">
        <f>IFERROR(__xludf.DUMMYFUNCTION("GOOGLEFINANCE(""Currency:BRLMXN"")*D1039"),6664.914)</f>
        <v>6664.914</v>
      </c>
      <c r="F1039" s="6">
        <f>IFERROR(__xludf.DUMMYFUNCTION("GOOGLEFINANCE(""Currency:BRLPEN"")*D1039"),1286.2872)</f>
        <v>1286.2872</v>
      </c>
      <c r="G1039" s="2" t="str">
        <f t="array" ref="G1039">_xlfn.XLOOKUP(B1039,Vendedores!$A$2:$A$41,Vendedores!$B$2:$B$41,"No hay datos")</f>
        <v>No hay datos</v>
      </c>
      <c r="H1039" s="2" t="str">
        <f t="array" ref="H1039">_xlfn.XLOOKUP(B1039,Vendedores!$A$2:$A$41,Vendedores!$C$2:$C$41,"No hay datos")</f>
        <v>No hay datos</v>
      </c>
      <c r="I1039" s="2" t="str">
        <f t="array" ref="I1039">_xlfn.XLOOKUP(B1039,Vendedores!$A$2:$A$41,Vendedores!$D$2:$D$41,"No hay datos")</f>
        <v>No hay datos</v>
      </c>
      <c r="J1039" s="2" t="str">
        <f t="array" ref="J1039">_xlfn.XLOOKUP(A1039,Productos!$A$2:$A$61,Productos!$B$2:$F$61)</f>
        <v>#N/A</v>
      </c>
    </row>
    <row r="1040">
      <c r="A1040" s="2" t="str">
        <f>IFERROR(__xludf.DUMMYFUNCTION("""COMPUTED_VALUE"""),"PR016")</f>
        <v>PR016</v>
      </c>
      <c r="B1040" s="2" t="str">
        <f>IFERROR(__xludf.DUMMYFUNCTION("""COMPUTED_VALUE"""),"VD011")</f>
        <v>VD011</v>
      </c>
      <c r="C1040" s="2">
        <f>IFERROR(__xludf.DUMMYFUNCTION("""COMPUTED_VALUE"""),2.0)</f>
        <v>2</v>
      </c>
      <c r="D1040" s="6">
        <f>IFERROR(__xludf.DUMMYFUNCTION("""COMPUTED_VALUE"""),51.8)</f>
        <v>51.8</v>
      </c>
      <c r="E1040" s="6">
        <f>IFERROR(__xludf.DUMMYFUNCTION("GOOGLEFINANCE(""Currency:BRLMXN"")*D1040"),175.9646)</f>
        <v>175.9646</v>
      </c>
      <c r="F1040" s="6">
        <f>IFERROR(__xludf.DUMMYFUNCTION("GOOGLEFINANCE(""Currency:BRLPEN"")*D1040"),33.96008)</f>
        <v>33.96008</v>
      </c>
      <c r="G1040" s="2" t="str">
        <f t="array" ref="G1040">_xlfn.XLOOKUP(B1040,Vendedores!$A$2:$A$41,Vendedores!$B$2:$B$41,"No hay datos")</f>
        <v>No hay datos</v>
      </c>
      <c r="H1040" s="2" t="str">
        <f t="array" ref="H1040">_xlfn.XLOOKUP(B1040,Vendedores!$A$2:$A$41,Vendedores!$C$2:$C$41,"No hay datos")</f>
        <v>No hay datos</v>
      </c>
      <c r="I1040" s="2" t="str">
        <f t="array" ref="I1040">_xlfn.XLOOKUP(B1040,Vendedores!$A$2:$A$41,Vendedores!$D$2:$D$41,"No hay datos")</f>
        <v>No hay datos</v>
      </c>
      <c r="J1040" s="2" t="str">
        <f t="array" ref="J1040">_xlfn.XLOOKUP(A1040,Productos!$A$2:$A$61,Productos!$B$2:$F$61)</f>
        <v>#N/A</v>
      </c>
    </row>
    <row r="1041">
      <c r="A1041" s="2" t="str">
        <f>IFERROR(__xludf.DUMMYFUNCTION("""COMPUTED_VALUE"""),"PR044")</f>
        <v>PR044</v>
      </c>
      <c r="B1041" s="2" t="str">
        <f>IFERROR(__xludf.DUMMYFUNCTION("""COMPUTED_VALUE"""),"VD044")</f>
        <v>VD044</v>
      </c>
      <c r="C1041" s="2">
        <f>IFERROR(__xludf.DUMMYFUNCTION("""COMPUTED_VALUE"""),8.0)</f>
        <v>8</v>
      </c>
      <c r="D1041" s="6">
        <f>IFERROR(__xludf.DUMMYFUNCTION("""COMPUTED_VALUE"""),580.0)</f>
        <v>580</v>
      </c>
      <c r="E1041" s="6">
        <f>IFERROR(__xludf.DUMMYFUNCTION("GOOGLEFINANCE(""Currency:BRLMXN"")*D1041"),1970.26)</f>
        <v>1970.26</v>
      </c>
      <c r="F1041" s="6">
        <f>IFERROR(__xludf.DUMMYFUNCTION("GOOGLEFINANCE(""Currency:BRLPEN"")*D1041"),380.248)</f>
        <v>380.248</v>
      </c>
      <c r="G1041" s="2" t="str">
        <f t="array" ref="G1041">_xlfn.XLOOKUP(B1041,Vendedores!$A$2:$A$41,Vendedores!$B$2:$B$41,"No hay datos")</f>
        <v>No hay datos</v>
      </c>
      <c r="H1041" s="2" t="str">
        <f t="array" ref="H1041">_xlfn.XLOOKUP(B1041,Vendedores!$A$2:$A$41,Vendedores!$C$2:$C$41,"No hay datos")</f>
        <v>No hay datos</v>
      </c>
      <c r="I1041" s="2" t="str">
        <f t="array" ref="I1041">_xlfn.XLOOKUP(B1041,Vendedores!$A$2:$A$41,Vendedores!$D$2:$D$41,"No hay datos")</f>
        <v>No hay datos</v>
      </c>
      <c r="J1041" s="2" t="str">
        <f t="array" ref="J1041">_xlfn.XLOOKUP(A1041,Productos!$A$2:$A$61,Productos!$B$2:$F$61)</f>
        <v>#N/A</v>
      </c>
    </row>
    <row r="1042">
      <c r="A1042" s="2" t="str">
        <f>IFERROR(__xludf.DUMMYFUNCTION("""COMPUTED_VALUE"""),"PR001")</f>
        <v>PR001</v>
      </c>
      <c r="B1042" s="2" t="str">
        <f>IFERROR(__xludf.DUMMYFUNCTION("""COMPUTED_VALUE"""),"VD027")</f>
        <v>VD027</v>
      </c>
      <c r="C1042" s="2">
        <f>IFERROR(__xludf.DUMMYFUNCTION("""COMPUTED_VALUE"""),2.0)</f>
        <v>2</v>
      </c>
      <c r="D1042" s="6">
        <f>IFERROR(__xludf.DUMMYFUNCTION("""COMPUTED_VALUE"""),133.12)</f>
        <v>133.12</v>
      </c>
      <c r="E1042" s="6">
        <f>IFERROR(__xludf.DUMMYFUNCTION("GOOGLEFINANCE(""Currency:BRLMXN"")*D1042"),452.20864)</f>
        <v>452.20864</v>
      </c>
      <c r="F1042" s="6">
        <f>IFERROR(__xludf.DUMMYFUNCTION("GOOGLEFINANCE(""Currency:BRLPEN"")*D1042"),87.273472)</f>
        <v>87.273472</v>
      </c>
      <c r="G1042" s="2" t="str">
        <f t="array" ref="G1042">_xlfn.XLOOKUP(B1042,Vendedores!$A$2:$A$41,Vendedores!$B$2:$B$41,"No hay datos")</f>
        <v>No hay datos</v>
      </c>
      <c r="H1042" s="2" t="str">
        <f t="array" ref="H1042">_xlfn.XLOOKUP(B1042,Vendedores!$A$2:$A$41,Vendedores!$C$2:$C$41,"No hay datos")</f>
        <v>No hay datos</v>
      </c>
      <c r="I1042" s="2" t="str">
        <f t="array" ref="I1042">_xlfn.XLOOKUP(B1042,Vendedores!$A$2:$A$41,Vendedores!$D$2:$D$41,"No hay datos")</f>
        <v>No hay datos</v>
      </c>
      <c r="J1042" s="2" t="str">
        <f t="array" ref="J1042">_xlfn.XLOOKUP(A1042,Productos!$A$2:$A$61,Productos!$B$2:$F$61)</f>
        <v>#N/A</v>
      </c>
    </row>
    <row r="1043">
      <c r="A1043" s="2" t="str">
        <f>IFERROR(__xludf.DUMMYFUNCTION("""COMPUTED_VALUE"""),"PR013")</f>
        <v>PR013</v>
      </c>
      <c r="B1043" s="2" t="str">
        <f>IFERROR(__xludf.DUMMYFUNCTION("""COMPUTED_VALUE"""),"VD044")</f>
        <v>VD044</v>
      </c>
      <c r="C1043" s="2">
        <f>IFERROR(__xludf.DUMMYFUNCTION("""COMPUTED_VALUE"""),5.0)</f>
        <v>5</v>
      </c>
      <c r="D1043" s="6">
        <f>IFERROR(__xludf.DUMMYFUNCTION("""COMPUTED_VALUE"""),215.46)</f>
        <v>215.46</v>
      </c>
      <c r="E1043" s="6">
        <f>IFERROR(__xludf.DUMMYFUNCTION("GOOGLEFINANCE(""Currency:BRLMXN"")*D1043"),731.9176199999999)</f>
        <v>731.91762</v>
      </c>
      <c r="F1043" s="6">
        <f>IFERROR(__xludf.DUMMYFUNCTION("GOOGLEFINANCE(""Currency:BRLPEN"")*D1043"),141.255576)</f>
        <v>141.255576</v>
      </c>
      <c r="G1043" s="2" t="str">
        <f t="array" ref="G1043">_xlfn.XLOOKUP(B1043,Vendedores!$A$2:$A$41,Vendedores!$B$2:$B$41,"No hay datos")</f>
        <v>No hay datos</v>
      </c>
      <c r="H1043" s="2" t="str">
        <f t="array" ref="H1043">_xlfn.XLOOKUP(B1043,Vendedores!$A$2:$A$41,Vendedores!$C$2:$C$41,"No hay datos")</f>
        <v>No hay datos</v>
      </c>
      <c r="I1043" s="2" t="str">
        <f t="array" ref="I1043">_xlfn.XLOOKUP(B1043,Vendedores!$A$2:$A$41,Vendedores!$D$2:$D$41,"No hay datos")</f>
        <v>No hay datos</v>
      </c>
      <c r="J1043" s="2" t="str">
        <f t="array" ref="J1043">_xlfn.XLOOKUP(A1043,Productos!$A$2:$A$61,Productos!$B$2:$F$61)</f>
        <v>#N/A</v>
      </c>
    </row>
    <row r="1044">
      <c r="A1044" s="2" t="str">
        <f>IFERROR(__xludf.DUMMYFUNCTION("""COMPUTED_VALUE"""),"PR017")</f>
        <v>PR017</v>
      </c>
      <c r="B1044" s="2" t="str">
        <f>IFERROR(__xludf.DUMMYFUNCTION("""COMPUTED_VALUE"""),"VD020")</f>
        <v>VD020</v>
      </c>
      <c r="C1044" s="2">
        <f>IFERROR(__xludf.DUMMYFUNCTION("""COMPUTED_VALUE"""),2.0)</f>
        <v>2</v>
      </c>
      <c r="D1044" s="6">
        <f>IFERROR(__xludf.DUMMYFUNCTION("""COMPUTED_VALUE"""),61.59)</f>
        <v>61.59</v>
      </c>
      <c r="E1044" s="6">
        <f>IFERROR(__xludf.DUMMYFUNCTION("GOOGLEFINANCE(""Currency:BRLMXN"")*D1044"),209.22123)</f>
        <v>209.22123</v>
      </c>
      <c r="F1044" s="6">
        <f>IFERROR(__xludf.DUMMYFUNCTION("GOOGLEFINANCE(""Currency:BRLPEN"")*D1044"),40.378404)</f>
        <v>40.378404</v>
      </c>
      <c r="G1044" s="2" t="str">
        <f t="array" ref="G1044">_xlfn.XLOOKUP(B1044,Vendedores!$A$2:$A$41,Vendedores!$B$2:$B$41,"No hay datos")</f>
        <v>No hay datos</v>
      </c>
      <c r="H1044" s="2" t="str">
        <f t="array" ref="H1044">_xlfn.XLOOKUP(B1044,Vendedores!$A$2:$A$41,Vendedores!$C$2:$C$41,"No hay datos")</f>
        <v>No hay datos</v>
      </c>
      <c r="I1044" s="2" t="str">
        <f t="array" ref="I1044">_xlfn.XLOOKUP(B1044,Vendedores!$A$2:$A$41,Vendedores!$D$2:$D$41,"No hay datos")</f>
        <v>No hay datos</v>
      </c>
      <c r="J1044" s="2" t="str">
        <f t="array" ref="J1044">_xlfn.XLOOKUP(A1044,Productos!$A$2:$A$61,Productos!$B$2:$F$61)</f>
        <v>#N/A</v>
      </c>
    </row>
    <row r="1045">
      <c r="A1045" s="2" t="str">
        <f>IFERROR(__xludf.DUMMYFUNCTION("""COMPUTED_VALUE"""),"PR036")</f>
        <v>PR036</v>
      </c>
      <c r="B1045" s="2" t="str">
        <f>IFERROR(__xludf.DUMMYFUNCTION("""COMPUTED_VALUE"""),"VD010")</f>
        <v>VD010</v>
      </c>
      <c r="C1045" s="2">
        <f>IFERROR(__xludf.DUMMYFUNCTION("""COMPUTED_VALUE"""),10.0)</f>
        <v>10</v>
      </c>
      <c r="D1045" s="6">
        <f>IFERROR(__xludf.DUMMYFUNCTION("""COMPUTED_VALUE"""),935.0)</f>
        <v>935</v>
      </c>
      <c r="E1045" s="6">
        <f>IFERROR(__xludf.DUMMYFUNCTION("GOOGLEFINANCE(""Currency:BRLMXN"")*D1045"),3176.1949999999997)</f>
        <v>3176.195</v>
      </c>
      <c r="F1045" s="6">
        <f>IFERROR(__xludf.DUMMYFUNCTION("GOOGLEFINANCE(""Currency:BRLPEN"")*D1045"),612.986)</f>
        <v>612.986</v>
      </c>
      <c r="G1045" s="2" t="str">
        <f t="array" ref="G1045">_xlfn.XLOOKUP(B1045,Vendedores!$A$2:$A$41,Vendedores!$B$2:$B$41,"No hay datos")</f>
        <v>No hay datos</v>
      </c>
      <c r="H1045" s="2" t="str">
        <f t="array" ref="H1045">_xlfn.XLOOKUP(B1045,Vendedores!$A$2:$A$41,Vendedores!$C$2:$C$41,"No hay datos")</f>
        <v>No hay datos</v>
      </c>
      <c r="I1045" s="2" t="str">
        <f t="array" ref="I1045">_xlfn.XLOOKUP(B1045,Vendedores!$A$2:$A$41,Vendedores!$D$2:$D$41,"No hay datos")</f>
        <v>No hay datos</v>
      </c>
      <c r="J1045" s="2" t="str">
        <f t="array" ref="J1045">_xlfn.XLOOKUP(A1045,Productos!$A$2:$A$61,Productos!$B$2:$F$61)</f>
        <v>#N/A</v>
      </c>
    </row>
    <row r="1046">
      <c r="A1046" s="2" t="str">
        <f>IFERROR(__xludf.DUMMYFUNCTION("""COMPUTED_VALUE"""),"PR009")</f>
        <v>PR009</v>
      </c>
      <c r="B1046" s="2" t="str">
        <f>IFERROR(__xludf.DUMMYFUNCTION("""COMPUTED_VALUE"""),"VD048")</f>
        <v>VD048</v>
      </c>
      <c r="C1046" s="2">
        <f>IFERROR(__xludf.DUMMYFUNCTION("""COMPUTED_VALUE"""),16.0)</f>
        <v>16</v>
      </c>
      <c r="D1046" s="6">
        <f>IFERROR(__xludf.DUMMYFUNCTION("""COMPUTED_VALUE"""),1560.72)</f>
        <v>1560.72</v>
      </c>
      <c r="E1046" s="6">
        <f>IFERROR(__xludf.DUMMYFUNCTION("GOOGLEFINANCE(""Currency:BRLMXN"")*D1046"),5301.76584)</f>
        <v>5301.76584</v>
      </c>
      <c r="F1046" s="6">
        <f>IFERROR(__xludf.DUMMYFUNCTION("GOOGLEFINANCE(""Currency:BRLPEN"")*D1046"),1023.208032)</f>
        <v>1023.208032</v>
      </c>
      <c r="G1046" s="2" t="str">
        <f t="array" ref="G1046">_xlfn.XLOOKUP(B1046,Vendedores!$A$2:$A$41,Vendedores!$B$2:$B$41,"No hay datos")</f>
        <v>No hay datos</v>
      </c>
      <c r="H1046" s="2" t="str">
        <f t="array" ref="H1046">_xlfn.XLOOKUP(B1046,Vendedores!$A$2:$A$41,Vendedores!$C$2:$C$41,"No hay datos")</f>
        <v>No hay datos</v>
      </c>
      <c r="I1046" s="2" t="str">
        <f t="array" ref="I1046">_xlfn.XLOOKUP(B1046,Vendedores!$A$2:$A$41,Vendedores!$D$2:$D$41,"No hay datos")</f>
        <v>No hay datos</v>
      </c>
      <c r="J1046" s="2" t="str">
        <f t="array" ref="J1046">_xlfn.XLOOKUP(A1046,Productos!$A$2:$A$61,Productos!$B$2:$F$61)</f>
        <v>#N/A</v>
      </c>
    </row>
    <row r="1047">
      <c r="A1047" s="2" t="str">
        <f>IFERROR(__xludf.DUMMYFUNCTION("""COMPUTED_VALUE"""),"PR009")</f>
        <v>PR009</v>
      </c>
      <c r="B1047" s="2" t="str">
        <f>IFERROR(__xludf.DUMMYFUNCTION("""COMPUTED_VALUE"""),"VD043")</f>
        <v>VD043</v>
      </c>
      <c r="C1047" s="2">
        <f>IFERROR(__xludf.DUMMYFUNCTION("""COMPUTED_VALUE"""),2.0)</f>
        <v>2</v>
      </c>
      <c r="D1047" s="6">
        <f>IFERROR(__xludf.DUMMYFUNCTION("""COMPUTED_VALUE"""),198.81)</f>
        <v>198.81</v>
      </c>
      <c r="E1047" s="6">
        <f>IFERROR(__xludf.DUMMYFUNCTION("GOOGLEFINANCE(""Currency:BRLMXN"")*D1047"),675.35757)</f>
        <v>675.35757</v>
      </c>
      <c r="F1047" s="6">
        <f>IFERROR(__xludf.DUMMYFUNCTION("GOOGLEFINANCE(""Currency:BRLPEN"")*D1047"),130.339836)</f>
        <v>130.339836</v>
      </c>
      <c r="G1047" s="2" t="str">
        <f t="array" ref="G1047">_xlfn.XLOOKUP(B1047,Vendedores!$A$2:$A$41,Vendedores!$B$2:$B$41,"No hay datos")</f>
        <v>No hay datos</v>
      </c>
      <c r="H1047" s="2" t="str">
        <f t="array" ref="H1047">_xlfn.XLOOKUP(B1047,Vendedores!$A$2:$A$41,Vendedores!$C$2:$C$41,"No hay datos")</f>
        <v>No hay datos</v>
      </c>
      <c r="I1047" s="2" t="str">
        <f t="array" ref="I1047">_xlfn.XLOOKUP(B1047,Vendedores!$A$2:$A$41,Vendedores!$D$2:$D$41,"No hay datos")</f>
        <v>No hay datos</v>
      </c>
      <c r="J1047" s="2" t="str">
        <f t="array" ref="J1047">_xlfn.XLOOKUP(A1047,Productos!$A$2:$A$61,Productos!$B$2:$F$61)</f>
        <v>#N/A</v>
      </c>
    </row>
    <row r="1048">
      <c r="A1048" s="2" t="str">
        <f>IFERROR(__xludf.DUMMYFUNCTION("""COMPUTED_VALUE"""),"PR001")</f>
        <v>PR001</v>
      </c>
      <c r="B1048" s="2" t="str">
        <f>IFERROR(__xludf.DUMMYFUNCTION("""COMPUTED_VALUE"""),"VD044")</f>
        <v>VD044</v>
      </c>
      <c r="C1048" s="2">
        <f>IFERROR(__xludf.DUMMYFUNCTION("""COMPUTED_VALUE"""),1.0)</f>
        <v>1</v>
      </c>
      <c r="D1048" s="6">
        <f>IFERROR(__xludf.DUMMYFUNCTION("""COMPUTED_VALUE"""),66.56)</f>
        <v>66.56</v>
      </c>
      <c r="E1048" s="6">
        <f>IFERROR(__xludf.DUMMYFUNCTION("GOOGLEFINANCE(""Currency:BRLMXN"")*D1048"),226.10432)</f>
        <v>226.10432</v>
      </c>
      <c r="F1048" s="6">
        <f>IFERROR(__xludf.DUMMYFUNCTION("GOOGLEFINANCE(""Currency:BRLPEN"")*D1048"),43.636736)</f>
        <v>43.636736</v>
      </c>
      <c r="G1048" s="2" t="str">
        <f t="array" ref="G1048">_xlfn.XLOOKUP(B1048,Vendedores!$A$2:$A$41,Vendedores!$B$2:$B$41,"No hay datos")</f>
        <v>No hay datos</v>
      </c>
      <c r="H1048" s="2" t="str">
        <f t="array" ref="H1048">_xlfn.XLOOKUP(B1048,Vendedores!$A$2:$A$41,Vendedores!$C$2:$C$41,"No hay datos")</f>
        <v>No hay datos</v>
      </c>
      <c r="I1048" s="2" t="str">
        <f t="array" ref="I1048">_xlfn.XLOOKUP(B1048,Vendedores!$A$2:$A$41,Vendedores!$D$2:$D$41,"No hay datos")</f>
        <v>No hay datos</v>
      </c>
      <c r="J1048" s="2" t="str">
        <f t="array" ref="J1048">_xlfn.XLOOKUP(A1048,Productos!$A$2:$A$61,Productos!$B$2:$F$61)</f>
        <v>#N/A</v>
      </c>
    </row>
    <row r="1049">
      <c r="A1049" s="2" t="str">
        <f>IFERROR(__xludf.DUMMYFUNCTION("""COMPUTED_VALUE"""),"PR056")</f>
        <v>PR056</v>
      </c>
      <c r="B1049" s="2" t="str">
        <f>IFERROR(__xludf.DUMMYFUNCTION("""COMPUTED_VALUE"""),"VD020")</f>
        <v>VD020</v>
      </c>
      <c r="C1049" s="2">
        <f>IFERROR(__xludf.DUMMYFUNCTION("""COMPUTED_VALUE"""),10.0)</f>
        <v>10</v>
      </c>
      <c r="D1049" s="6">
        <f>IFERROR(__xludf.DUMMYFUNCTION("""COMPUTED_VALUE"""),916.98)</f>
        <v>916.98</v>
      </c>
      <c r="E1049" s="6">
        <f>IFERROR(__xludf.DUMMYFUNCTION("GOOGLEFINANCE(""Currency:BRLMXN"")*D1049"),3114.98106)</f>
        <v>3114.98106</v>
      </c>
      <c r="F1049" s="6">
        <f>IFERROR(__xludf.DUMMYFUNCTION("GOOGLEFINANCE(""Currency:BRLPEN"")*D1049"),601.172088)</f>
        <v>601.172088</v>
      </c>
      <c r="G1049" s="2" t="str">
        <f t="array" ref="G1049">_xlfn.XLOOKUP(B1049,Vendedores!$A$2:$A$41,Vendedores!$B$2:$B$41,"No hay datos")</f>
        <v>No hay datos</v>
      </c>
      <c r="H1049" s="2" t="str">
        <f t="array" ref="H1049">_xlfn.XLOOKUP(B1049,Vendedores!$A$2:$A$41,Vendedores!$C$2:$C$41,"No hay datos")</f>
        <v>No hay datos</v>
      </c>
      <c r="I1049" s="2" t="str">
        <f t="array" ref="I1049">_xlfn.XLOOKUP(B1049,Vendedores!$A$2:$A$41,Vendedores!$D$2:$D$41,"No hay datos")</f>
        <v>No hay datos</v>
      </c>
      <c r="J1049" s="2" t="str">
        <f t="array" ref="J1049">_xlfn.XLOOKUP(A1049,Productos!$A$2:$A$61,Productos!$B$2:$F$61)</f>
        <v>#N/A</v>
      </c>
    </row>
    <row r="1050">
      <c r="A1050" s="2" t="str">
        <f>IFERROR(__xludf.DUMMYFUNCTION("""COMPUTED_VALUE"""),"PR008")</f>
        <v>PR008</v>
      </c>
      <c r="B1050" s="2" t="str">
        <f>IFERROR(__xludf.DUMMYFUNCTION("""COMPUTED_VALUE"""),"VD023")</f>
        <v>VD023</v>
      </c>
      <c r="C1050" s="2">
        <f>IFERROR(__xludf.DUMMYFUNCTION("""COMPUTED_VALUE"""),2.0)</f>
        <v>2</v>
      </c>
      <c r="D1050" s="6">
        <f>IFERROR(__xludf.DUMMYFUNCTION("""COMPUTED_VALUE"""),194.18)</f>
        <v>194.18</v>
      </c>
      <c r="E1050" s="6">
        <f>IFERROR(__xludf.DUMMYFUNCTION("GOOGLEFINANCE(""Currency:BRLMXN"")*D1050"),659.62946)</f>
        <v>659.62946</v>
      </c>
      <c r="F1050" s="6">
        <f>IFERROR(__xludf.DUMMYFUNCTION("GOOGLEFINANCE(""Currency:BRLPEN"")*D1050"),127.304408)</f>
        <v>127.304408</v>
      </c>
      <c r="G1050" s="2" t="str">
        <f t="array" ref="G1050">_xlfn.XLOOKUP(B1050,Vendedores!$A$2:$A$41,Vendedores!$B$2:$B$41,"No hay datos")</f>
        <v>No hay datos</v>
      </c>
      <c r="H1050" s="2" t="str">
        <f t="array" ref="H1050">_xlfn.XLOOKUP(B1050,Vendedores!$A$2:$A$41,Vendedores!$C$2:$C$41,"No hay datos")</f>
        <v>No hay datos</v>
      </c>
      <c r="I1050" s="2" t="str">
        <f t="array" ref="I1050">_xlfn.XLOOKUP(B1050,Vendedores!$A$2:$A$41,Vendedores!$D$2:$D$41,"No hay datos")</f>
        <v>No hay datos</v>
      </c>
      <c r="J1050" s="2" t="str">
        <f t="array" ref="J1050">_xlfn.XLOOKUP(A1050,Productos!$A$2:$A$61,Productos!$B$2:$F$61)</f>
        <v>#N/A</v>
      </c>
    </row>
    <row r="1051">
      <c r="A1051" s="2" t="str">
        <f>IFERROR(__xludf.DUMMYFUNCTION("""COMPUTED_VALUE"""),"PR051")</f>
        <v>PR051</v>
      </c>
      <c r="B1051" s="2" t="str">
        <f>IFERROR(__xludf.DUMMYFUNCTION("""COMPUTED_VALUE"""),"VD011")</f>
        <v>VD011</v>
      </c>
      <c r="C1051" s="2">
        <f>IFERROR(__xludf.DUMMYFUNCTION("""COMPUTED_VALUE"""),10.0)</f>
        <v>10</v>
      </c>
      <c r="D1051" s="6">
        <f>IFERROR(__xludf.DUMMYFUNCTION("""COMPUTED_VALUE"""),338.87)</f>
        <v>338.87</v>
      </c>
      <c r="E1051" s="6">
        <f>IFERROR(__xludf.DUMMYFUNCTION("GOOGLEFINANCE(""Currency:BRLMXN"")*D1051"),1151.14139)</f>
        <v>1151.14139</v>
      </c>
      <c r="F1051" s="6">
        <f>IFERROR(__xludf.DUMMYFUNCTION("GOOGLEFINANCE(""Currency:BRLPEN"")*D1051"),222.163172)</f>
        <v>222.163172</v>
      </c>
      <c r="G1051" s="2" t="str">
        <f t="array" ref="G1051">_xlfn.XLOOKUP(B1051,Vendedores!$A$2:$A$41,Vendedores!$B$2:$B$41,"No hay datos")</f>
        <v>No hay datos</v>
      </c>
      <c r="H1051" s="2" t="str">
        <f t="array" ref="H1051">_xlfn.XLOOKUP(B1051,Vendedores!$A$2:$A$41,Vendedores!$C$2:$C$41,"No hay datos")</f>
        <v>No hay datos</v>
      </c>
      <c r="I1051" s="2" t="str">
        <f t="array" ref="I1051">_xlfn.XLOOKUP(B1051,Vendedores!$A$2:$A$41,Vendedores!$D$2:$D$41,"No hay datos")</f>
        <v>No hay datos</v>
      </c>
      <c r="J1051" s="2" t="str">
        <f t="array" ref="J1051">_xlfn.XLOOKUP(A1051,Productos!$A$2:$A$61,Productos!$B$2:$F$61)</f>
        <v>#N/A</v>
      </c>
    </row>
    <row r="1052">
      <c r="A1052" s="2" t="str">
        <f>IFERROR(__xludf.DUMMYFUNCTION("""COMPUTED_VALUE"""),"PR037")</f>
        <v>PR037</v>
      </c>
      <c r="B1052" s="2" t="str">
        <f>IFERROR(__xludf.DUMMYFUNCTION("""COMPUTED_VALUE"""),"VD019")</f>
        <v>VD019</v>
      </c>
      <c r="C1052" s="2">
        <f>IFERROR(__xludf.DUMMYFUNCTION("""COMPUTED_VALUE"""),4.0)</f>
        <v>4</v>
      </c>
      <c r="D1052" s="6">
        <f>IFERROR(__xludf.DUMMYFUNCTION("""COMPUTED_VALUE"""),616.0)</f>
        <v>616</v>
      </c>
      <c r="E1052" s="6">
        <f>IFERROR(__xludf.DUMMYFUNCTION("GOOGLEFINANCE(""Currency:BRLMXN"")*D1052"),2092.5519999999997)</f>
        <v>2092.552</v>
      </c>
      <c r="F1052" s="6">
        <f>IFERROR(__xludf.DUMMYFUNCTION("GOOGLEFINANCE(""Currency:BRLPEN"")*D1052"),403.84959999999995)</f>
        <v>403.8496</v>
      </c>
      <c r="G1052" s="2" t="str">
        <f t="array" ref="G1052">_xlfn.XLOOKUP(B1052,Vendedores!$A$2:$A$41,Vendedores!$B$2:$B$41,"No hay datos")</f>
        <v>No hay datos</v>
      </c>
      <c r="H1052" s="2" t="str">
        <f t="array" ref="H1052">_xlfn.XLOOKUP(B1052,Vendedores!$A$2:$A$41,Vendedores!$C$2:$C$41,"No hay datos")</f>
        <v>No hay datos</v>
      </c>
      <c r="I1052" s="2" t="str">
        <f t="array" ref="I1052">_xlfn.XLOOKUP(B1052,Vendedores!$A$2:$A$41,Vendedores!$D$2:$D$41,"No hay datos")</f>
        <v>No hay datos</v>
      </c>
      <c r="J1052" s="2" t="str">
        <f t="array" ref="J1052">_xlfn.XLOOKUP(A1052,Productos!$A$2:$A$61,Productos!$B$2:$F$61)</f>
        <v>#N/A</v>
      </c>
    </row>
    <row r="1053">
      <c r="A1053" s="2" t="str">
        <f>IFERROR(__xludf.DUMMYFUNCTION("""COMPUTED_VALUE"""),"PR055")</f>
        <v>PR055</v>
      </c>
      <c r="B1053" s="2" t="str">
        <f>IFERROR(__xludf.DUMMYFUNCTION("""COMPUTED_VALUE"""),"VD038")</f>
        <v>VD038</v>
      </c>
      <c r="C1053" s="2">
        <f>IFERROR(__xludf.DUMMYFUNCTION("""COMPUTED_VALUE"""),20.0)</f>
        <v>20</v>
      </c>
      <c r="D1053" s="6">
        <f>IFERROR(__xludf.DUMMYFUNCTION("""COMPUTED_VALUE"""),1923.86)</f>
        <v>1923.86</v>
      </c>
      <c r="E1053" s="6">
        <f>IFERROR(__xludf.DUMMYFUNCTION("GOOGLEFINANCE(""Currency:BRLMXN"")*D1053"),6535.352419999999)</f>
        <v>6535.35242</v>
      </c>
      <c r="F1053" s="6">
        <f>IFERROR(__xludf.DUMMYFUNCTION("GOOGLEFINANCE(""Currency:BRLPEN"")*D1053"),1261.282616)</f>
        <v>1261.282616</v>
      </c>
      <c r="G1053" s="2" t="str">
        <f t="array" ref="G1053">_xlfn.XLOOKUP(B1053,Vendedores!$A$2:$A$41,Vendedores!$B$2:$B$41,"No hay datos")</f>
        <v>No hay datos</v>
      </c>
      <c r="H1053" s="2" t="str">
        <f t="array" ref="H1053">_xlfn.XLOOKUP(B1053,Vendedores!$A$2:$A$41,Vendedores!$C$2:$C$41,"No hay datos")</f>
        <v>No hay datos</v>
      </c>
      <c r="I1053" s="2" t="str">
        <f t="array" ref="I1053">_xlfn.XLOOKUP(B1053,Vendedores!$A$2:$A$41,Vendedores!$D$2:$D$41,"No hay datos")</f>
        <v>No hay datos</v>
      </c>
      <c r="J1053" s="2" t="str">
        <f t="array" ref="J1053">_xlfn.XLOOKUP(A1053,Productos!$A$2:$A$61,Productos!$B$2:$F$61)</f>
        <v>#N/A</v>
      </c>
    </row>
    <row r="1054">
      <c r="A1054" s="2" t="str">
        <f>IFERROR(__xludf.DUMMYFUNCTION("""COMPUTED_VALUE"""),"PR005")</f>
        <v>PR005</v>
      </c>
      <c r="B1054" s="2" t="str">
        <f>IFERROR(__xludf.DUMMYFUNCTION("""COMPUTED_VALUE"""),"VD049")</f>
        <v>VD049</v>
      </c>
      <c r="C1054" s="2">
        <f>IFERROR(__xludf.DUMMYFUNCTION("""COMPUTED_VALUE"""),5.0)</f>
        <v>5</v>
      </c>
      <c r="D1054" s="6">
        <f>IFERROR(__xludf.DUMMYFUNCTION("""COMPUTED_VALUE"""),1364.48)</f>
        <v>1364.48</v>
      </c>
      <c r="E1054" s="6">
        <f>IFERROR(__xludf.DUMMYFUNCTION("GOOGLEFINANCE(""Currency:BRLMXN"")*D1054"),4635.138559999999)</f>
        <v>4635.13856</v>
      </c>
      <c r="F1054" s="6">
        <f>IFERROR(__xludf.DUMMYFUNCTION("GOOGLEFINANCE(""Currency:BRLPEN"")*D1054"),894.553088)</f>
        <v>894.553088</v>
      </c>
      <c r="G1054" s="2" t="str">
        <f t="array" ref="G1054">_xlfn.XLOOKUP(B1054,Vendedores!$A$2:$A$41,Vendedores!$B$2:$B$41,"No hay datos")</f>
        <v>No hay datos</v>
      </c>
      <c r="H1054" s="2" t="str">
        <f t="array" ref="H1054">_xlfn.XLOOKUP(B1054,Vendedores!$A$2:$A$41,Vendedores!$C$2:$C$41,"No hay datos")</f>
        <v>No hay datos</v>
      </c>
      <c r="I1054" s="2" t="str">
        <f t="array" ref="I1054">_xlfn.XLOOKUP(B1054,Vendedores!$A$2:$A$41,Vendedores!$D$2:$D$41,"No hay datos")</f>
        <v>No hay datos</v>
      </c>
      <c r="J1054" s="2" t="str">
        <f t="array" ref="J1054">_xlfn.XLOOKUP(A1054,Productos!$A$2:$A$61,Productos!$B$2:$F$61)</f>
        <v>#N/A</v>
      </c>
    </row>
    <row r="1055">
      <c r="A1055" s="2" t="str">
        <f>IFERROR(__xludf.DUMMYFUNCTION("""COMPUTED_VALUE"""),"PR025")</f>
        <v>PR025</v>
      </c>
      <c r="B1055" s="2" t="str">
        <f>IFERROR(__xludf.DUMMYFUNCTION("""COMPUTED_VALUE"""),"VD018")</f>
        <v>VD018</v>
      </c>
      <c r="C1055" s="2">
        <f>IFERROR(__xludf.DUMMYFUNCTION("""COMPUTED_VALUE"""),8.0)</f>
        <v>8</v>
      </c>
      <c r="D1055" s="6">
        <f>IFERROR(__xludf.DUMMYFUNCTION("""COMPUTED_VALUE"""),2519.16)</f>
        <v>2519.16</v>
      </c>
      <c r="E1055" s="6">
        <f>IFERROR(__xludf.DUMMYFUNCTION("GOOGLEFINANCE(""Currency:BRLMXN"")*D1055"),8557.586519999999)</f>
        <v>8557.58652</v>
      </c>
      <c r="F1055" s="6">
        <f>IFERROR(__xludf.DUMMYFUNCTION("GOOGLEFINANCE(""Currency:BRLPEN"")*D1055"),1651.5612959999999)</f>
        <v>1651.561296</v>
      </c>
      <c r="G1055" s="2" t="str">
        <f t="array" ref="G1055">_xlfn.XLOOKUP(B1055,Vendedores!$A$2:$A$41,Vendedores!$B$2:$B$41,"No hay datos")</f>
        <v>No hay datos</v>
      </c>
      <c r="H1055" s="2" t="str">
        <f t="array" ref="H1055">_xlfn.XLOOKUP(B1055,Vendedores!$A$2:$A$41,Vendedores!$C$2:$C$41,"No hay datos")</f>
        <v>No hay datos</v>
      </c>
      <c r="I1055" s="2" t="str">
        <f t="array" ref="I1055">_xlfn.XLOOKUP(B1055,Vendedores!$A$2:$A$41,Vendedores!$D$2:$D$41,"No hay datos")</f>
        <v>No hay datos</v>
      </c>
      <c r="J1055" s="2" t="str">
        <f t="array" ref="J1055">_xlfn.XLOOKUP(A1055,Productos!$A$2:$A$61,Productos!$B$2:$F$61)</f>
        <v>#N/A</v>
      </c>
    </row>
    <row r="1056">
      <c r="A1056" s="2" t="str">
        <f>IFERROR(__xludf.DUMMYFUNCTION("""COMPUTED_VALUE"""),"PR034")</f>
        <v>PR034</v>
      </c>
      <c r="B1056" s="2" t="str">
        <f>IFERROR(__xludf.DUMMYFUNCTION("""COMPUTED_VALUE"""),"VD015")</f>
        <v>VD015</v>
      </c>
      <c r="C1056" s="2">
        <f>IFERROR(__xludf.DUMMYFUNCTION("""COMPUTED_VALUE"""),2.0)</f>
        <v>2</v>
      </c>
      <c r="D1056" s="6">
        <f>IFERROR(__xludf.DUMMYFUNCTION("""COMPUTED_VALUE"""),192.39)</f>
        <v>192.39</v>
      </c>
      <c r="E1056" s="6">
        <f>IFERROR(__xludf.DUMMYFUNCTION("GOOGLEFINANCE(""Currency:BRLMXN"")*D1056"),653.54883)</f>
        <v>653.54883</v>
      </c>
      <c r="F1056" s="6">
        <f>IFERROR(__xludf.DUMMYFUNCTION("GOOGLEFINANCE(""Currency:BRLPEN"")*D1056"),126.13088399999998)</f>
        <v>126.130884</v>
      </c>
      <c r="G1056" s="2" t="str">
        <f t="array" ref="G1056">_xlfn.XLOOKUP(B1056,Vendedores!$A$2:$A$41,Vendedores!$B$2:$B$41,"No hay datos")</f>
        <v>No hay datos</v>
      </c>
      <c r="H1056" s="2" t="str">
        <f t="array" ref="H1056">_xlfn.XLOOKUP(B1056,Vendedores!$A$2:$A$41,Vendedores!$C$2:$C$41,"No hay datos")</f>
        <v>No hay datos</v>
      </c>
      <c r="I1056" s="2" t="str">
        <f t="array" ref="I1056">_xlfn.XLOOKUP(B1056,Vendedores!$A$2:$A$41,Vendedores!$D$2:$D$41,"No hay datos")</f>
        <v>No hay datos</v>
      </c>
      <c r="J1056" s="2" t="str">
        <f t="array" ref="J1056">_xlfn.XLOOKUP(A1056,Productos!$A$2:$A$61,Productos!$B$2:$F$61)</f>
        <v>#N/A</v>
      </c>
    </row>
    <row r="1057">
      <c r="A1057" s="2" t="str">
        <f>IFERROR(__xludf.DUMMYFUNCTION("""COMPUTED_VALUE"""),"PR048")</f>
        <v>PR048</v>
      </c>
      <c r="B1057" s="2" t="str">
        <f>IFERROR(__xludf.DUMMYFUNCTION("""COMPUTED_VALUE"""),"VD034")</f>
        <v>VD034</v>
      </c>
      <c r="C1057" s="2">
        <f>IFERROR(__xludf.DUMMYFUNCTION("""COMPUTED_VALUE"""),20.0)</f>
        <v>20</v>
      </c>
      <c r="D1057" s="6">
        <f>IFERROR(__xludf.DUMMYFUNCTION("""COMPUTED_VALUE"""),5855.98)</f>
        <v>5855.98</v>
      </c>
      <c r="E1057" s="6">
        <f>IFERROR(__xludf.DUMMYFUNCTION("GOOGLEFINANCE(""Currency:BRLMXN"")*D1057"),19892.764059999998)</f>
        <v>19892.76406</v>
      </c>
      <c r="F1057" s="6">
        <f>IFERROR(__xludf.DUMMYFUNCTION("GOOGLEFINANCE(""Currency:BRLPEN"")*D1057"),3839.1804879999995)</f>
        <v>3839.180488</v>
      </c>
      <c r="G1057" s="2" t="str">
        <f t="array" ref="G1057">_xlfn.XLOOKUP(B1057,Vendedores!$A$2:$A$41,Vendedores!$B$2:$B$41,"No hay datos")</f>
        <v>No hay datos</v>
      </c>
      <c r="H1057" s="2" t="str">
        <f t="array" ref="H1057">_xlfn.XLOOKUP(B1057,Vendedores!$A$2:$A$41,Vendedores!$C$2:$C$41,"No hay datos")</f>
        <v>No hay datos</v>
      </c>
      <c r="I1057" s="2" t="str">
        <f t="array" ref="I1057">_xlfn.XLOOKUP(B1057,Vendedores!$A$2:$A$41,Vendedores!$D$2:$D$41,"No hay datos")</f>
        <v>No hay datos</v>
      </c>
      <c r="J1057" s="2" t="str">
        <f t="array" ref="J1057">_xlfn.XLOOKUP(A1057,Productos!$A$2:$A$61,Productos!$B$2:$F$61)</f>
        <v>#N/A</v>
      </c>
    </row>
    <row r="1058">
      <c r="A1058" s="2" t="str">
        <f>IFERROR(__xludf.DUMMYFUNCTION("""COMPUTED_VALUE"""),"PR024")</f>
        <v>PR024</v>
      </c>
      <c r="B1058" s="2" t="str">
        <f>IFERROR(__xludf.DUMMYFUNCTION("""COMPUTED_VALUE"""),"VD046")</f>
        <v>VD046</v>
      </c>
      <c r="C1058" s="2">
        <f>IFERROR(__xludf.DUMMYFUNCTION("""COMPUTED_VALUE"""),2.0)</f>
        <v>2</v>
      </c>
      <c r="D1058" s="6">
        <f>IFERROR(__xludf.DUMMYFUNCTION("""COMPUTED_VALUE"""),530.2)</f>
        <v>530.2</v>
      </c>
      <c r="E1058" s="6">
        <f>IFERROR(__xludf.DUMMYFUNCTION("GOOGLEFINANCE(""Currency:BRLMXN"")*D1058"),1801.0894)</f>
        <v>1801.0894</v>
      </c>
      <c r="F1058" s="6">
        <f>IFERROR(__xludf.DUMMYFUNCTION("GOOGLEFINANCE(""Currency:BRLPEN"")*D1058"),347.59912)</f>
        <v>347.59912</v>
      </c>
      <c r="G1058" s="2" t="str">
        <f t="array" ref="G1058">_xlfn.XLOOKUP(B1058,Vendedores!$A$2:$A$41,Vendedores!$B$2:$B$41,"No hay datos")</f>
        <v>No hay datos</v>
      </c>
      <c r="H1058" s="2" t="str">
        <f t="array" ref="H1058">_xlfn.XLOOKUP(B1058,Vendedores!$A$2:$A$41,Vendedores!$C$2:$C$41,"No hay datos")</f>
        <v>No hay datos</v>
      </c>
      <c r="I1058" s="2" t="str">
        <f t="array" ref="I1058">_xlfn.XLOOKUP(B1058,Vendedores!$A$2:$A$41,Vendedores!$D$2:$D$41,"No hay datos")</f>
        <v>No hay datos</v>
      </c>
      <c r="J1058" s="2" t="str">
        <f t="array" ref="J1058">_xlfn.XLOOKUP(A1058,Productos!$A$2:$A$61,Productos!$B$2:$F$61)</f>
        <v>#N/A</v>
      </c>
    </row>
    <row r="1059">
      <c r="A1059" s="2" t="str">
        <f>IFERROR(__xludf.DUMMYFUNCTION("""COMPUTED_VALUE"""),"PR028")</f>
        <v>PR028</v>
      </c>
      <c r="B1059" s="2" t="str">
        <f>IFERROR(__xludf.DUMMYFUNCTION("""COMPUTED_VALUE"""),"VD014")</f>
        <v>VD014</v>
      </c>
      <c r="C1059" s="2">
        <f>IFERROR(__xludf.DUMMYFUNCTION("""COMPUTED_VALUE"""),4.0)</f>
        <v>4</v>
      </c>
      <c r="D1059" s="6">
        <f>IFERROR(__xludf.DUMMYFUNCTION("""COMPUTED_VALUE"""),1069.57)</f>
        <v>1069.57</v>
      </c>
      <c r="E1059" s="6">
        <f>IFERROR(__xludf.DUMMYFUNCTION("GOOGLEFINANCE(""Currency:BRLMXN"")*D1059"),3633.3292899999997)</f>
        <v>3633.32929</v>
      </c>
      <c r="F1059" s="6">
        <f>IFERROR(__xludf.DUMMYFUNCTION("GOOGLEFINANCE(""Currency:BRLPEN"")*D1059"),701.2100919999999)</f>
        <v>701.210092</v>
      </c>
      <c r="G1059" s="2" t="str">
        <f t="array" ref="G1059">_xlfn.XLOOKUP(B1059,Vendedores!$A$2:$A$41,Vendedores!$B$2:$B$41,"No hay datos")</f>
        <v>No hay datos</v>
      </c>
      <c r="H1059" s="2" t="str">
        <f t="array" ref="H1059">_xlfn.XLOOKUP(B1059,Vendedores!$A$2:$A$41,Vendedores!$C$2:$C$41,"No hay datos")</f>
        <v>No hay datos</v>
      </c>
      <c r="I1059" s="2" t="str">
        <f t="array" ref="I1059">_xlfn.XLOOKUP(B1059,Vendedores!$A$2:$A$41,Vendedores!$D$2:$D$41,"No hay datos")</f>
        <v>No hay datos</v>
      </c>
      <c r="J1059" s="2" t="str">
        <f t="array" ref="J1059">_xlfn.XLOOKUP(A1059,Productos!$A$2:$A$61,Productos!$B$2:$F$61)</f>
        <v>#N/A</v>
      </c>
    </row>
    <row r="1060">
      <c r="A1060" s="2" t="str">
        <f>IFERROR(__xludf.DUMMYFUNCTION("""COMPUTED_VALUE"""),"PR018")</f>
        <v>PR018</v>
      </c>
      <c r="B1060" s="2" t="str">
        <f>IFERROR(__xludf.DUMMYFUNCTION("""COMPUTED_VALUE"""),"VD041")</f>
        <v>VD041</v>
      </c>
      <c r="C1060" s="2">
        <f>IFERROR(__xludf.DUMMYFUNCTION("""COMPUTED_VALUE"""),3.0)</f>
        <v>3</v>
      </c>
      <c r="D1060" s="6">
        <f>IFERROR(__xludf.DUMMYFUNCTION("""COMPUTED_VALUE"""),102.65)</f>
        <v>102.65</v>
      </c>
      <c r="E1060" s="6">
        <f>IFERROR(__xludf.DUMMYFUNCTION("GOOGLEFINANCE(""Currency:BRLMXN"")*D1060"),348.70205)</f>
        <v>348.70205</v>
      </c>
      <c r="F1060" s="6">
        <f>IFERROR(__xludf.DUMMYFUNCTION("GOOGLEFINANCE(""Currency:BRLPEN"")*D1060"),67.29734)</f>
        <v>67.29734</v>
      </c>
      <c r="G1060" s="2" t="str">
        <f t="array" ref="G1060">_xlfn.XLOOKUP(B1060,Vendedores!$A$2:$A$41,Vendedores!$B$2:$B$41,"No hay datos")</f>
        <v>No hay datos</v>
      </c>
      <c r="H1060" s="2" t="str">
        <f t="array" ref="H1060">_xlfn.XLOOKUP(B1060,Vendedores!$A$2:$A$41,Vendedores!$C$2:$C$41,"No hay datos")</f>
        <v>No hay datos</v>
      </c>
      <c r="I1060" s="2" t="str">
        <f t="array" ref="I1060">_xlfn.XLOOKUP(B1060,Vendedores!$A$2:$A$41,Vendedores!$D$2:$D$41,"No hay datos")</f>
        <v>No hay datos</v>
      </c>
      <c r="J1060" s="2" t="str">
        <f t="array" ref="J1060">_xlfn.XLOOKUP(A1060,Productos!$A$2:$A$61,Productos!$B$2:$F$61)</f>
        <v>#N/A</v>
      </c>
    </row>
    <row r="1061">
      <c r="A1061" s="2" t="str">
        <f>IFERROR(__xludf.DUMMYFUNCTION("""COMPUTED_VALUE"""),"PR001")</f>
        <v>PR001</v>
      </c>
      <c r="B1061" s="2" t="str">
        <f>IFERROR(__xludf.DUMMYFUNCTION("""COMPUTED_VALUE"""),"VD027")</f>
        <v>VD027</v>
      </c>
      <c r="C1061" s="2">
        <f>IFERROR(__xludf.DUMMYFUNCTION("""COMPUTED_VALUE"""),18.0)</f>
        <v>18</v>
      </c>
      <c r="D1061" s="6">
        <f>IFERROR(__xludf.DUMMYFUNCTION("""COMPUTED_VALUE"""),1221.79)</f>
        <v>1221.79</v>
      </c>
      <c r="E1061" s="6">
        <f>IFERROR(__xludf.DUMMYFUNCTION("GOOGLEFINANCE(""Currency:BRLMXN"")*D1061"),4150.42063)</f>
        <v>4150.42063</v>
      </c>
      <c r="F1061" s="6">
        <f>IFERROR(__xludf.DUMMYFUNCTION("GOOGLEFINANCE(""Currency:BRLPEN"")*D1061"),801.0055239999999)</f>
        <v>801.005524</v>
      </c>
      <c r="G1061" s="2" t="str">
        <f t="array" ref="G1061">_xlfn.XLOOKUP(B1061,Vendedores!$A$2:$A$41,Vendedores!$B$2:$B$41,"No hay datos")</f>
        <v>No hay datos</v>
      </c>
      <c r="H1061" s="2" t="str">
        <f t="array" ref="H1061">_xlfn.XLOOKUP(B1061,Vendedores!$A$2:$A$41,Vendedores!$C$2:$C$41,"No hay datos")</f>
        <v>No hay datos</v>
      </c>
      <c r="I1061" s="2" t="str">
        <f t="array" ref="I1061">_xlfn.XLOOKUP(B1061,Vendedores!$A$2:$A$41,Vendedores!$D$2:$D$41,"No hay datos")</f>
        <v>No hay datos</v>
      </c>
      <c r="J1061" s="2" t="str">
        <f t="array" ref="J1061">_xlfn.XLOOKUP(A1061,Productos!$A$2:$A$61,Productos!$B$2:$F$61)</f>
        <v>#N/A</v>
      </c>
    </row>
    <row r="1062">
      <c r="A1062" s="2" t="str">
        <f>IFERROR(__xludf.DUMMYFUNCTION("""COMPUTED_VALUE"""),"PR021")</f>
        <v>PR021</v>
      </c>
      <c r="B1062" s="2" t="str">
        <f>IFERROR(__xludf.DUMMYFUNCTION("""COMPUTED_VALUE"""),"VD048")</f>
        <v>VD048</v>
      </c>
      <c r="C1062" s="2">
        <f>IFERROR(__xludf.DUMMYFUNCTION("""COMPUTED_VALUE"""),2.0)</f>
        <v>2</v>
      </c>
      <c r="D1062" s="6">
        <f>IFERROR(__xludf.DUMMYFUNCTION("""COMPUTED_VALUE"""),617.92)</f>
        <v>617.92</v>
      </c>
      <c r="E1062" s="6">
        <f>IFERROR(__xludf.DUMMYFUNCTION("GOOGLEFINANCE(""Currency:BRLMXN"")*D1062"),2099.07424)</f>
        <v>2099.07424</v>
      </c>
      <c r="F1062" s="6">
        <f>IFERROR(__xludf.DUMMYFUNCTION("GOOGLEFINANCE(""Currency:BRLPEN"")*D1062"),405.10835199999997)</f>
        <v>405.108352</v>
      </c>
      <c r="G1062" s="2" t="str">
        <f t="array" ref="G1062">_xlfn.XLOOKUP(B1062,Vendedores!$A$2:$A$41,Vendedores!$B$2:$B$41,"No hay datos")</f>
        <v>No hay datos</v>
      </c>
      <c r="H1062" s="2" t="str">
        <f t="array" ref="H1062">_xlfn.XLOOKUP(B1062,Vendedores!$A$2:$A$41,Vendedores!$C$2:$C$41,"No hay datos")</f>
        <v>No hay datos</v>
      </c>
      <c r="I1062" s="2" t="str">
        <f t="array" ref="I1062">_xlfn.XLOOKUP(B1062,Vendedores!$A$2:$A$41,Vendedores!$D$2:$D$41,"No hay datos")</f>
        <v>No hay datos</v>
      </c>
      <c r="J1062" s="2" t="str">
        <f t="array" ref="J1062">_xlfn.XLOOKUP(A1062,Productos!$A$2:$A$61,Productos!$B$2:$F$61)</f>
        <v>#N/A</v>
      </c>
    </row>
    <row r="1063">
      <c r="A1063" s="2" t="str">
        <f>IFERROR(__xludf.DUMMYFUNCTION("""COMPUTED_VALUE"""),"PR012")</f>
        <v>PR012</v>
      </c>
      <c r="B1063" s="2" t="str">
        <f>IFERROR(__xludf.DUMMYFUNCTION("""COMPUTED_VALUE"""),"VD012")</f>
        <v>VD012</v>
      </c>
      <c r="C1063" s="2">
        <f>IFERROR(__xludf.DUMMYFUNCTION("""COMPUTED_VALUE"""),3.0)</f>
        <v>3</v>
      </c>
      <c r="D1063" s="6">
        <f>IFERROR(__xludf.DUMMYFUNCTION("""COMPUTED_VALUE"""),152.57)</f>
        <v>152.57</v>
      </c>
      <c r="E1063" s="6">
        <f>IFERROR(__xludf.DUMMYFUNCTION("GOOGLEFINANCE(""Currency:BRLMXN"")*D1063"),518.2802899999999)</f>
        <v>518.28029</v>
      </c>
      <c r="F1063" s="6">
        <f>IFERROR(__xludf.DUMMYFUNCTION("GOOGLEFINANCE(""Currency:BRLPEN"")*D1063"),100.024892)</f>
        <v>100.024892</v>
      </c>
      <c r="G1063" s="2" t="str">
        <f t="array" ref="G1063">_xlfn.XLOOKUP(B1063,Vendedores!$A$2:$A$41,Vendedores!$B$2:$B$41,"No hay datos")</f>
        <v>No hay datos</v>
      </c>
      <c r="H1063" s="2" t="str">
        <f t="array" ref="H1063">_xlfn.XLOOKUP(B1063,Vendedores!$A$2:$A$41,Vendedores!$C$2:$C$41,"No hay datos")</f>
        <v>No hay datos</v>
      </c>
      <c r="I1063" s="2" t="str">
        <f t="array" ref="I1063">_xlfn.XLOOKUP(B1063,Vendedores!$A$2:$A$41,Vendedores!$D$2:$D$41,"No hay datos")</f>
        <v>No hay datos</v>
      </c>
      <c r="J1063" s="2" t="str">
        <f t="array" ref="J1063">_xlfn.XLOOKUP(A1063,Productos!$A$2:$A$61,Productos!$B$2:$F$61)</f>
        <v>#N/A</v>
      </c>
    </row>
    <row r="1064">
      <c r="A1064" s="2" t="str">
        <f>IFERROR(__xludf.DUMMYFUNCTION("""COMPUTED_VALUE"""),"PR035")</f>
        <v>PR035</v>
      </c>
      <c r="B1064" s="2" t="str">
        <f>IFERROR(__xludf.DUMMYFUNCTION("""COMPUTED_VALUE"""),"VD023")</f>
        <v>VD023</v>
      </c>
      <c r="C1064" s="2">
        <f>IFERROR(__xludf.DUMMYFUNCTION("""COMPUTED_VALUE"""),1.0)</f>
        <v>1</v>
      </c>
      <c r="D1064" s="6">
        <f>IFERROR(__xludf.DUMMYFUNCTION("""COMPUTED_VALUE"""),99.63)</f>
        <v>99.63</v>
      </c>
      <c r="E1064" s="6">
        <f>IFERROR(__xludf.DUMMYFUNCTION("GOOGLEFINANCE(""Currency:BRLMXN"")*D1064"),338.44311)</f>
        <v>338.44311</v>
      </c>
      <c r="F1064" s="6">
        <f>IFERROR(__xludf.DUMMYFUNCTION("GOOGLEFINANCE(""Currency:BRLPEN"")*D1064"),65.31742799999999)</f>
        <v>65.317428</v>
      </c>
      <c r="G1064" s="2" t="str">
        <f t="array" ref="G1064">_xlfn.XLOOKUP(B1064,Vendedores!$A$2:$A$41,Vendedores!$B$2:$B$41,"No hay datos")</f>
        <v>No hay datos</v>
      </c>
      <c r="H1064" s="2" t="str">
        <f t="array" ref="H1064">_xlfn.XLOOKUP(B1064,Vendedores!$A$2:$A$41,Vendedores!$C$2:$C$41,"No hay datos")</f>
        <v>No hay datos</v>
      </c>
      <c r="I1064" s="2" t="str">
        <f t="array" ref="I1064">_xlfn.XLOOKUP(B1064,Vendedores!$A$2:$A$41,Vendedores!$D$2:$D$41,"No hay datos")</f>
        <v>No hay datos</v>
      </c>
      <c r="J1064" s="2" t="str">
        <f t="array" ref="J1064">_xlfn.XLOOKUP(A1064,Productos!$A$2:$A$61,Productos!$B$2:$F$61)</f>
        <v>#N/A</v>
      </c>
    </row>
    <row r="1065">
      <c r="A1065" s="2" t="str">
        <f>IFERROR(__xludf.DUMMYFUNCTION("""COMPUTED_VALUE"""),"PR006")</f>
        <v>PR006</v>
      </c>
      <c r="B1065" s="2" t="str">
        <f>IFERROR(__xludf.DUMMYFUNCTION("""COMPUTED_VALUE"""),"VD030")</f>
        <v>VD030</v>
      </c>
      <c r="C1065" s="2">
        <f>IFERROR(__xludf.DUMMYFUNCTION("""COMPUTED_VALUE"""),16.0)</f>
        <v>16</v>
      </c>
      <c r="D1065" s="6">
        <f>IFERROR(__xludf.DUMMYFUNCTION("""COMPUTED_VALUE"""),689.47)</f>
        <v>689.47</v>
      </c>
      <c r="E1065" s="6">
        <f>IFERROR(__xludf.DUMMYFUNCTION("GOOGLEFINANCE(""Currency:BRLMXN"")*D1065"),2342.12959)</f>
        <v>2342.12959</v>
      </c>
      <c r="F1065" s="6">
        <f>IFERROR(__xludf.DUMMYFUNCTION("GOOGLEFINANCE(""Currency:BRLPEN"")*D1065"),452.016532)</f>
        <v>452.016532</v>
      </c>
      <c r="G1065" s="2" t="str">
        <f t="array" ref="G1065">_xlfn.XLOOKUP(B1065,Vendedores!$A$2:$A$41,Vendedores!$B$2:$B$41,"No hay datos")</f>
        <v>No hay datos</v>
      </c>
      <c r="H1065" s="2" t="str">
        <f t="array" ref="H1065">_xlfn.XLOOKUP(B1065,Vendedores!$A$2:$A$41,Vendedores!$C$2:$C$41,"No hay datos")</f>
        <v>No hay datos</v>
      </c>
      <c r="I1065" s="2" t="str">
        <f t="array" ref="I1065">_xlfn.XLOOKUP(B1065,Vendedores!$A$2:$A$41,Vendedores!$D$2:$D$41,"No hay datos")</f>
        <v>No hay datos</v>
      </c>
      <c r="J1065" s="2" t="str">
        <f t="array" ref="J1065">_xlfn.XLOOKUP(A1065,Productos!$A$2:$A$61,Productos!$B$2:$F$61)</f>
        <v>#N/A</v>
      </c>
    </row>
    <row r="1066">
      <c r="A1066" s="2" t="str">
        <f>IFERROR(__xludf.DUMMYFUNCTION("""COMPUTED_VALUE"""),"PR053")</f>
        <v>PR053</v>
      </c>
      <c r="B1066" s="2" t="str">
        <f>IFERROR(__xludf.DUMMYFUNCTION("""COMPUTED_VALUE"""),"VD011")</f>
        <v>VD011</v>
      </c>
      <c r="C1066" s="2">
        <f>IFERROR(__xludf.DUMMYFUNCTION("""COMPUTED_VALUE"""),8.0)</f>
        <v>8</v>
      </c>
      <c r="D1066" s="6">
        <f>IFERROR(__xludf.DUMMYFUNCTION("""COMPUTED_VALUE"""),415.17)</f>
        <v>415.17</v>
      </c>
      <c r="E1066" s="6">
        <f>IFERROR(__xludf.DUMMYFUNCTION("GOOGLEFINANCE(""Currency:BRLMXN"")*D1066"),1410.33249)</f>
        <v>1410.33249</v>
      </c>
      <c r="F1066" s="6">
        <f>IFERROR(__xludf.DUMMYFUNCTION("GOOGLEFINANCE(""Currency:BRLPEN"")*D1066"),272.185452)</f>
        <v>272.185452</v>
      </c>
      <c r="G1066" s="2" t="str">
        <f t="array" ref="G1066">_xlfn.XLOOKUP(B1066,Vendedores!$A$2:$A$41,Vendedores!$B$2:$B$41,"No hay datos")</f>
        <v>No hay datos</v>
      </c>
      <c r="H1066" s="2" t="str">
        <f t="array" ref="H1066">_xlfn.XLOOKUP(B1066,Vendedores!$A$2:$A$41,Vendedores!$C$2:$C$41,"No hay datos")</f>
        <v>No hay datos</v>
      </c>
      <c r="I1066" s="2" t="str">
        <f t="array" ref="I1066">_xlfn.XLOOKUP(B1066,Vendedores!$A$2:$A$41,Vendedores!$D$2:$D$41,"No hay datos")</f>
        <v>No hay datos</v>
      </c>
      <c r="J1066" s="2" t="str">
        <f t="array" ref="J1066">_xlfn.XLOOKUP(A1066,Productos!$A$2:$A$61,Productos!$B$2:$F$61)</f>
        <v>#N/A</v>
      </c>
    </row>
    <row r="1067">
      <c r="A1067" s="2" t="str">
        <f>IFERROR(__xludf.DUMMYFUNCTION("""COMPUTED_VALUE"""),"PR009")</f>
        <v>PR009</v>
      </c>
      <c r="B1067" s="2" t="str">
        <f>IFERROR(__xludf.DUMMYFUNCTION("""COMPUTED_VALUE"""),"VD028")</f>
        <v>VD028</v>
      </c>
      <c r="C1067" s="2">
        <f>IFERROR(__xludf.DUMMYFUNCTION("""COMPUTED_VALUE"""),8.0)</f>
        <v>8</v>
      </c>
      <c r="D1067" s="6">
        <f>IFERROR(__xludf.DUMMYFUNCTION("""COMPUTED_VALUE"""),765.5)</f>
        <v>765.5</v>
      </c>
      <c r="E1067" s="6">
        <f>IFERROR(__xludf.DUMMYFUNCTION("GOOGLEFINANCE(""Currency:BRLMXN"")*D1067"),2600.4035)</f>
        <v>2600.4035</v>
      </c>
      <c r="F1067" s="6">
        <f>IFERROR(__xludf.DUMMYFUNCTION("GOOGLEFINANCE(""Currency:BRLPEN"")*D1067"),501.86179999999996)</f>
        <v>501.8618</v>
      </c>
      <c r="G1067" s="2" t="str">
        <f t="array" ref="G1067">_xlfn.XLOOKUP(B1067,Vendedores!$A$2:$A$41,Vendedores!$B$2:$B$41,"No hay datos")</f>
        <v>No hay datos</v>
      </c>
      <c r="H1067" s="2" t="str">
        <f t="array" ref="H1067">_xlfn.XLOOKUP(B1067,Vendedores!$A$2:$A$41,Vendedores!$C$2:$C$41,"No hay datos")</f>
        <v>No hay datos</v>
      </c>
      <c r="I1067" s="2" t="str">
        <f t="array" ref="I1067">_xlfn.XLOOKUP(B1067,Vendedores!$A$2:$A$41,Vendedores!$D$2:$D$41,"No hay datos")</f>
        <v>No hay datos</v>
      </c>
      <c r="J1067" s="2" t="str">
        <f t="array" ref="J1067">_xlfn.XLOOKUP(A1067,Productos!$A$2:$A$61,Productos!$B$2:$F$61)</f>
        <v>#N/A</v>
      </c>
    </row>
    <row r="1068">
      <c r="A1068" s="2" t="str">
        <f>IFERROR(__xludf.DUMMYFUNCTION("""COMPUTED_VALUE"""),"PR004")</f>
        <v>PR004</v>
      </c>
      <c r="B1068" s="2" t="str">
        <f>IFERROR(__xludf.DUMMYFUNCTION("""COMPUTED_VALUE"""),"VD043")</f>
        <v>VD043</v>
      </c>
      <c r="C1068" s="2">
        <f>IFERROR(__xludf.DUMMYFUNCTION("""COMPUTED_VALUE"""),8.0)</f>
        <v>8</v>
      </c>
      <c r="D1068" s="6">
        <f>IFERROR(__xludf.DUMMYFUNCTION("""COMPUTED_VALUE"""),1194.8)</f>
        <v>1194.8</v>
      </c>
      <c r="E1068" s="6">
        <f>IFERROR(__xludf.DUMMYFUNCTION("GOOGLEFINANCE(""Currency:BRLMXN"")*D1068"),4058.7355999999995)</f>
        <v>4058.7356</v>
      </c>
      <c r="F1068" s="6">
        <f>IFERROR(__xludf.DUMMYFUNCTION("GOOGLEFINANCE(""Currency:BRLPEN"")*D1068"),783.3108799999999)</f>
        <v>783.31088</v>
      </c>
      <c r="G1068" s="2" t="str">
        <f t="array" ref="G1068">_xlfn.XLOOKUP(B1068,Vendedores!$A$2:$A$41,Vendedores!$B$2:$B$41,"No hay datos")</f>
        <v>No hay datos</v>
      </c>
      <c r="H1068" s="2" t="str">
        <f t="array" ref="H1068">_xlfn.XLOOKUP(B1068,Vendedores!$A$2:$A$41,Vendedores!$C$2:$C$41,"No hay datos")</f>
        <v>No hay datos</v>
      </c>
      <c r="I1068" s="2" t="str">
        <f t="array" ref="I1068">_xlfn.XLOOKUP(B1068,Vendedores!$A$2:$A$41,Vendedores!$D$2:$D$41,"No hay datos")</f>
        <v>No hay datos</v>
      </c>
      <c r="J1068" s="2" t="str">
        <f t="array" ref="J1068">_xlfn.XLOOKUP(A1068,Productos!$A$2:$A$61,Productos!$B$2:$F$61)</f>
        <v>#N/A</v>
      </c>
    </row>
    <row r="1069">
      <c r="A1069" s="2" t="str">
        <f>IFERROR(__xludf.DUMMYFUNCTION("""COMPUTED_VALUE"""),"PR024")</f>
        <v>PR024</v>
      </c>
      <c r="B1069" s="2" t="str">
        <f>IFERROR(__xludf.DUMMYFUNCTION("""COMPUTED_VALUE"""),"VD027")</f>
        <v>VD027</v>
      </c>
      <c r="C1069" s="2">
        <f>IFERROR(__xludf.DUMMYFUNCTION("""COMPUTED_VALUE"""),4.0)</f>
        <v>4</v>
      </c>
      <c r="D1069" s="6">
        <f>IFERROR(__xludf.DUMMYFUNCTION("""COMPUTED_VALUE"""),1070.79)</f>
        <v>1070.79</v>
      </c>
      <c r="E1069" s="6">
        <f>IFERROR(__xludf.DUMMYFUNCTION("GOOGLEFINANCE(""Currency:BRLMXN"")*D1069"),3637.4736299999995)</f>
        <v>3637.47363</v>
      </c>
      <c r="F1069" s="6">
        <f>IFERROR(__xludf.DUMMYFUNCTION("GOOGLEFINANCE(""Currency:BRLPEN"")*D1069"),702.009924)</f>
        <v>702.009924</v>
      </c>
      <c r="G1069" s="2" t="str">
        <f t="array" ref="G1069">_xlfn.XLOOKUP(B1069,Vendedores!$A$2:$A$41,Vendedores!$B$2:$B$41,"No hay datos")</f>
        <v>No hay datos</v>
      </c>
      <c r="H1069" s="2" t="str">
        <f t="array" ref="H1069">_xlfn.XLOOKUP(B1069,Vendedores!$A$2:$A$41,Vendedores!$C$2:$C$41,"No hay datos")</f>
        <v>No hay datos</v>
      </c>
      <c r="I1069" s="2" t="str">
        <f t="array" ref="I1069">_xlfn.XLOOKUP(B1069,Vendedores!$A$2:$A$41,Vendedores!$D$2:$D$41,"No hay datos")</f>
        <v>No hay datos</v>
      </c>
      <c r="J1069" s="2" t="str">
        <f t="array" ref="J1069">_xlfn.XLOOKUP(A1069,Productos!$A$2:$A$61,Productos!$B$2:$F$61)</f>
        <v>#N/A</v>
      </c>
    </row>
    <row r="1070">
      <c r="A1070" s="2" t="str">
        <f>IFERROR(__xludf.DUMMYFUNCTION("""COMPUTED_VALUE"""),"PR035")</f>
        <v>PR035</v>
      </c>
      <c r="B1070" s="2" t="str">
        <f>IFERROR(__xludf.DUMMYFUNCTION("""COMPUTED_VALUE"""),"VD046")</f>
        <v>VD046</v>
      </c>
      <c r="C1070" s="2">
        <f>IFERROR(__xludf.DUMMYFUNCTION("""COMPUTED_VALUE"""),2.0)</f>
        <v>2</v>
      </c>
      <c r="D1070" s="6">
        <f>IFERROR(__xludf.DUMMYFUNCTION("""COMPUTED_VALUE"""),190.11)</f>
        <v>190.11</v>
      </c>
      <c r="E1070" s="6">
        <f>IFERROR(__xludf.DUMMYFUNCTION("GOOGLEFINANCE(""Currency:BRLMXN"")*D1070"),645.80367)</f>
        <v>645.80367</v>
      </c>
      <c r="F1070" s="6">
        <f>IFERROR(__xludf.DUMMYFUNCTION("GOOGLEFINANCE(""Currency:BRLPEN"")*D1070"),124.636116)</f>
        <v>124.636116</v>
      </c>
      <c r="G1070" s="2" t="str">
        <f t="array" ref="G1070">_xlfn.XLOOKUP(B1070,Vendedores!$A$2:$A$41,Vendedores!$B$2:$B$41,"No hay datos")</f>
        <v>No hay datos</v>
      </c>
      <c r="H1070" s="2" t="str">
        <f t="array" ref="H1070">_xlfn.XLOOKUP(B1070,Vendedores!$A$2:$A$41,Vendedores!$C$2:$C$41,"No hay datos")</f>
        <v>No hay datos</v>
      </c>
      <c r="I1070" s="2" t="str">
        <f t="array" ref="I1070">_xlfn.XLOOKUP(B1070,Vendedores!$A$2:$A$41,Vendedores!$D$2:$D$41,"No hay datos")</f>
        <v>No hay datos</v>
      </c>
      <c r="J1070" s="2" t="str">
        <f t="array" ref="J1070">_xlfn.XLOOKUP(A1070,Productos!$A$2:$A$61,Productos!$B$2:$F$61)</f>
        <v>#N/A</v>
      </c>
    </row>
    <row r="1071">
      <c r="A1071" s="2" t="str">
        <f>IFERROR(__xludf.DUMMYFUNCTION("""COMPUTED_VALUE"""),"PR031")</f>
        <v>PR031</v>
      </c>
      <c r="B1071" s="2" t="str">
        <f>IFERROR(__xludf.DUMMYFUNCTION("""COMPUTED_VALUE"""),"VD029")</f>
        <v>VD029</v>
      </c>
      <c r="C1071" s="2">
        <f>IFERROR(__xludf.DUMMYFUNCTION("""COMPUTED_VALUE"""),16.0)</f>
        <v>16</v>
      </c>
      <c r="D1071" s="6">
        <f>IFERROR(__xludf.DUMMYFUNCTION("""COMPUTED_VALUE"""),3998.4)</f>
        <v>3998.4</v>
      </c>
      <c r="E1071" s="6">
        <f>IFERROR(__xludf.DUMMYFUNCTION("GOOGLEFINANCE(""Currency:BRLMXN"")*D1071"),13582.5648)</f>
        <v>13582.5648</v>
      </c>
      <c r="F1071" s="6">
        <f>IFERROR(__xludf.DUMMYFUNCTION("GOOGLEFINANCE(""Currency:BRLPEN"")*D1071"),2621.35104)</f>
        <v>2621.35104</v>
      </c>
      <c r="G1071" s="2" t="str">
        <f t="array" ref="G1071">_xlfn.XLOOKUP(B1071,Vendedores!$A$2:$A$41,Vendedores!$B$2:$B$41,"No hay datos")</f>
        <v>No hay datos</v>
      </c>
      <c r="H1071" s="2" t="str">
        <f t="array" ref="H1071">_xlfn.XLOOKUP(B1071,Vendedores!$A$2:$A$41,Vendedores!$C$2:$C$41,"No hay datos")</f>
        <v>No hay datos</v>
      </c>
      <c r="I1071" s="2" t="str">
        <f t="array" ref="I1071">_xlfn.XLOOKUP(B1071,Vendedores!$A$2:$A$41,Vendedores!$D$2:$D$41,"No hay datos")</f>
        <v>No hay datos</v>
      </c>
      <c r="J1071" s="2" t="str">
        <f t="array" ref="J1071">_xlfn.XLOOKUP(A1071,Productos!$A$2:$A$61,Productos!$B$2:$F$61)</f>
        <v>#N/A</v>
      </c>
    </row>
    <row r="1072">
      <c r="A1072" s="2" t="str">
        <f>IFERROR(__xludf.DUMMYFUNCTION("""COMPUTED_VALUE"""),"PR052")</f>
        <v>PR052</v>
      </c>
      <c r="B1072" s="2" t="str">
        <f>IFERROR(__xludf.DUMMYFUNCTION("""COMPUTED_VALUE"""),"VD043")</f>
        <v>VD043</v>
      </c>
      <c r="C1072" s="2">
        <f>IFERROR(__xludf.DUMMYFUNCTION("""COMPUTED_VALUE"""),10.0)</f>
        <v>10</v>
      </c>
      <c r="D1072" s="6">
        <f>IFERROR(__xludf.DUMMYFUNCTION("""COMPUTED_VALUE"""),528.94)</f>
        <v>528.94</v>
      </c>
      <c r="E1072" s="6">
        <f>IFERROR(__xludf.DUMMYFUNCTION("GOOGLEFINANCE(""Currency:BRLMXN"")*D1072"),1796.80918)</f>
        <v>1796.80918</v>
      </c>
      <c r="F1072" s="6">
        <f>IFERROR(__xludf.DUMMYFUNCTION("GOOGLEFINANCE(""Currency:BRLPEN"")*D1072"),346.77306400000003)</f>
        <v>346.773064</v>
      </c>
      <c r="G1072" s="2" t="str">
        <f t="array" ref="G1072">_xlfn.XLOOKUP(B1072,Vendedores!$A$2:$A$41,Vendedores!$B$2:$B$41,"No hay datos")</f>
        <v>No hay datos</v>
      </c>
      <c r="H1072" s="2" t="str">
        <f t="array" ref="H1072">_xlfn.XLOOKUP(B1072,Vendedores!$A$2:$A$41,Vendedores!$C$2:$C$41,"No hay datos")</f>
        <v>No hay datos</v>
      </c>
      <c r="I1072" s="2" t="str">
        <f t="array" ref="I1072">_xlfn.XLOOKUP(B1072,Vendedores!$A$2:$A$41,Vendedores!$D$2:$D$41,"No hay datos")</f>
        <v>No hay datos</v>
      </c>
      <c r="J1072" s="2" t="str">
        <f t="array" ref="J1072">_xlfn.XLOOKUP(A1072,Productos!$A$2:$A$61,Productos!$B$2:$F$61)</f>
        <v>#N/A</v>
      </c>
    </row>
    <row r="1073">
      <c r="A1073" s="2" t="str">
        <f>IFERROR(__xludf.DUMMYFUNCTION("""COMPUTED_VALUE"""),"PR044")</f>
        <v>PR044</v>
      </c>
      <c r="B1073" s="2" t="str">
        <f>IFERROR(__xludf.DUMMYFUNCTION("""COMPUTED_VALUE"""),"VD023")</f>
        <v>VD023</v>
      </c>
      <c r="C1073" s="2">
        <f>IFERROR(__xludf.DUMMYFUNCTION("""COMPUTED_VALUE"""),1.0)</f>
        <v>1</v>
      </c>
      <c r="D1073" s="6">
        <f>IFERROR(__xludf.DUMMYFUNCTION("""COMPUTED_VALUE"""),77.58)</f>
        <v>77.58</v>
      </c>
      <c r="E1073" s="6">
        <f>IFERROR(__xludf.DUMMYFUNCTION("GOOGLEFINANCE(""Currency:BRLMXN"")*D1073"),263.53925999999996)</f>
        <v>263.53926</v>
      </c>
      <c r="F1073" s="6">
        <f>IFERROR(__xludf.DUMMYFUNCTION("GOOGLEFINANCE(""Currency:BRLPEN"")*D1073"),50.861447999999996)</f>
        <v>50.861448</v>
      </c>
      <c r="G1073" s="2" t="str">
        <f t="array" ref="G1073">_xlfn.XLOOKUP(B1073,Vendedores!$A$2:$A$41,Vendedores!$B$2:$B$41,"No hay datos")</f>
        <v>No hay datos</v>
      </c>
      <c r="H1073" s="2" t="str">
        <f t="array" ref="H1073">_xlfn.XLOOKUP(B1073,Vendedores!$A$2:$A$41,Vendedores!$C$2:$C$41,"No hay datos")</f>
        <v>No hay datos</v>
      </c>
      <c r="I1073" s="2" t="str">
        <f t="array" ref="I1073">_xlfn.XLOOKUP(B1073,Vendedores!$A$2:$A$41,Vendedores!$D$2:$D$41,"No hay datos")</f>
        <v>No hay datos</v>
      </c>
      <c r="J1073" s="2" t="str">
        <f t="array" ref="J1073">_xlfn.XLOOKUP(A1073,Productos!$A$2:$A$61,Productos!$B$2:$F$61)</f>
        <v>#N/A</v>
      </c>
    </row>
    <row r="1074">
      <c r="A1074" s="2" t="str">
        <f>IFERROR(__xludf.DUMMYFUNCTION("""COMPUTED_VALUE"""),"PR047")</f>
        <v>PR047</v>
      </c>
      <c r="B1074" s="2" t="str">
        <f>IFERROR(__xludf.DUMMYFUNCTION("""COMPUTED_VALUE"""),"VD041")</f>
        <v>VD041</v>
      </c>
      <c r="C1074" s="2">
        <f>IFERROR(__xludf.DUMMYFUNCTION("""COMPUTED_VALUE"""),9.0)</f>
        <v>9</v>
      </c>
      <c r="D1074" s="6">
        <f>IFERROR(__xludf.DUMMYFUNCTION("""COMPUTED_VALUE"""),2870.01)</f>
        <v>2870.01</v>
      </c>
      <c r="E1074" s="6">
        <f>IFERROR(__xludf.DUMMYFUNCTION("GOOGLEFINANCE(""Currency:BRLMXN"")*D1074"),9749.42397)</f>
        <v>9749.42397</v>
      </c>
      <c r="F1074" s="6">
        <f>IFERROR(__xludf.DUMMYFUNCTION("GOOGLEFINANCE(""Currency:BRLPEN"")*D1074"),1881.578556)</f>
        <v>1881.578556</v>
      </c>
      <c r="G1074" s="2" t="str">
        <f t="array" ref="G1074">_xlfn.XLOOKUP(B1074,Vendedores!$A$2:$A$41,Vendedores!$B$2:$B$41,"No hay datos")</f>
        <v>No hay datos</v>
      </c>
      <c r="H1074" s="2" t="str">
        <f t="array" ref="H1074">_xlfn.XLOOKUP(B1074,Vendedores!$A$2:$A$41,Vendedores!$C$2:$C$41,"No hay datos")</f>
        <v>No hay datos</v>
      </c>
      <c r="I1074" s="2" t="str">
        <f t="array" ref="I1074">_xlfn.XLOOKUP(B1074,Vendedores!$A$2:$A$41,Vendedores!$D$2:$D$41,"No hay datos")</f>
        <v>No hay datos</v>
      </c>
      <c r="J1074" s="2" t="str">
        <f t="array" ref="J1074">_xlfn.XLOOKUP(A1074,Productos!$A$2:$A$61,Productos!$B$2:$F$61)</f>
        <v>#N/A</v>
      </c>
    </row>
    <row r="1075">
      <c r="A1075" s="2" t="str">
        <f>IFERROR(__xludf.DUMMYFUNCTION("""COMPUTED_VALUE"""),"PR023")</f>
        <v>PR023</v>
      </c>
      <c r="B1075" s="2" t="str">
        <f>IFERROR(__xludf.DUMMYFUNCTION("""COMPUTED_VALUE"""),"VD021")</f>
        <v>VD021</v>
      </c>
      <c r="C1075" s="2">
        <f>IFERROR(__xludf.DUMMYFUNCTION("""COMPUTED_VALUE"""),3.0)</f>
        <v>3</v>
      </c>
      <c r="D1075" s="6">
        <f>IFERROR(__xludf.DUMMYFUNCTION("""COMPUTED_VALUE"""),764.69)</f>
        <v>764.69</v>
      </c>
      <c r="E1075" s="6">
        <f>IFERROR(__xludf.DUMMYFUNCTION("GOOGLEFINANCE(""Currency:BRLMXN"")*D1075"),2597.65193)</f>
        <v>2597.65193</v>
      </c>
      <c r="F1075" s="6">
        <f>IFERROR(__xludf.DUMMYFUNCTION("GOOGLEFINANCE(""Currency:BRLPEN"")*D1075"),501.330764)</f>
        <v>501.330764</v>
      </c>
      <c r="G1075" s="2" t="str">
        <f t="array" ref="G1075">_xlfn.XLOOKUP(B1075,Vendedores!$A$2:$A$41,Vendedores!$B$2:$B$41,"No hay datos")</f>
        <v>No hay datos</v>
      </c>
      <c r="H1075" s="2" t="str">
        <f t="array" ref="H1075">_xlfn.XLOOKUP(B1075,Vendedores!$A$2:$A$41,Vendedores!$C$2:$C$41,"No hay datos")</f>
        <v>No hay datos</v>
      </c>
      <c r="I1075" s="2" t="str">
        <f t="array" ref="I1075">_xlfn.XLOOKUP(B1075,Vendedores!$A$2:$A$41,Vendedores!$D$2:$D$41,"No hay datos")</f>
        <v>No hay datos</v>
      </c>
      <c r="J1075" s="2" t="str">
        <f t="array" ref="J1075">_xlfn.XLOOKUP(A1075,Productos!$A$2:$A$61,Productos!$B$2:$F$61)</f>
        <v>#N/A</v>
      </c>
    </row>
    <row r="1076">
      <c r="A1076" s="2" t="str">
        <f>IFERROR(__xludf.DUMMYFUNCTION("""COMPUTED_VALUE"""),"PR036")</f>
        <v>PR036</v>
      </c>
      <c r="B1076" s="2" t="str">
        <f>IFERROR(__xludf.DUMMYFUNCTION("""COMPUTED_VALUE"""),"VD022")</f>
        <v>VD022</v>
      </c>
      <c r="C1076" s="2">
        <f>IFERROR(__xludf.DUMMYFUNCTION("""COMPUTED_VALUE"""),20.0)</f>
        <v>20</v>
      </c>
      <c r="D1076" s="6">
        <f>IFERROR(__xludf.DUMMYFUNCTION("""COMPUTED_VALUE"""),1926.1)</f>
        <v>1926.1</v>
      </c>
      <c r="E1076" s="6">
        <f>IFERROR(__xludf.DUMMYFUNCTION("GOOGLEFINANCE(""Currency:BRLMXN"")*D1076"),6542.961699999999)</f>
        <v>6542.9617</v>
      </c>
      <c r="F1076" s="6">
        <f>IFERROR(__xludf.DUMMYFUNCTION("GOOGLEFINANCE(""Currency:BRLPEN"")*D1076"),1262.7511599999998)</f>
        <v>1262.75116</v>
      </c>
      <c r="G1076" s="2" t="str">
        <f t="array" ref="G1076">_xlfn.XLOOKUP(B1076,Vendedores!$A$2:$A$41,Vendedores!$B$2:$B$41,"No hay datos")</f>
        <v>No hay datos</v>
      </c>
      <c r="H1076" s="2" t="str">
        <f t="array" ref="H1076">_xlfn.XLOOKUP(B1076,Vendedores!$A$2:$A$41,Vendedores!$C$2:$C$41,"No hay datos")</f>
        <v>No hay datos</v>
      </c>
      <c r="I1076" s="2" t="str">
        <f t="array" ref="I1076">_xlfn.XLOOKUP(B1076,Vendedores!$A$2:$A$41,Vendedores!$D$2:$D$41,"No hay datos")</f>
        <v>No hay datos</v>
      </c>
      <c r="J1076" s="2" t="str">
        <f t="array" ref="J1076">_xlfn.XLOOKUP(A1076,Productos!$A$2:$A$61,Productos!$B$2:$F$61)</f>
        <v>#N/A</v>
      </c>
    </row>
    <row r="1077">
      <c r="A1077" s="2" t="str">
        <f>IFERROR(__xludf.DUMMYFUNCTION("""COMPUTED_VALUE"""),"PR048")</f>
        <v>PR048</v>
      </c>
      <c r="B1077" s="2" t="str">
        <f>IFERROR(__xludf.DUMMYFUNCTION("""COMPUTED_VALUE"""),"VD013")</f>
        <v>VD013</v>
      </c>
      <c r="C1077" s="2">
        <f>IFERROR(__xludf.DUMMYFUNCTION("""COMPUTED_VALUE"""),10.0)</f>
        <v>10</v>
      </c>
      <c r="D1077" s="6">
        <f>IFERROR(__xludf.DUMMYFUNCTION("""COMPUTED_VALUE"""),3043.95)</f>
        <v>3043.95</v>
      </c>
      <c r="E1077" s="6">
        <f>IFERROR(__xludf.DUMMYFUNCTION("GOOGLEFINANCE(""Currency:BRLMXN"")*D1077"),10340.298149999999)</f>
        <v>10340.29815</v>
      </c>
      <c r="F1077" s="6">
        <f>IFERROR(__xludf.DUMMYFUNCTION("GOOGLEFINANCE(""Currency:BRLPEN"")*D1077"),1995.6136199999999)</f>
        <v>1995.61362</v>
      </c>
      <c r="G1077" s="2" t="str">
        <f t="array" ref="G1077">_xlfn.XLOOKUP(B1077,Vendedores!$A$2:$A$41,Vendedores!$B$2:$B$41,"No hay datos")</f>
        <v>No hay datos</v>
      </c>
      <c r="H1077" s="2" t="str">
        <f t="array" ref="H1077">_xlfn.XLOOKUP(B1077,Vendedores!$A$2:$A$41,Vendedores!$C$2:$C$41,"No hay datos")</f>
        <v>No hay datos</v>
      </c>
      <c r="I1077" s="2" t="str">
        <f t="array" ref="I1077">_xlfn.XLOOKUP(B1077,Vendedores!$A$2:$A$41,Vendedores!$D$2:$D$41,"No hay datos")</f>
        <v>No hay datos</v>
      </c>
      <c r="J1077" s="2" t="str">
        <f t="array" ref="J1077">_xlfn.XLOOKUP(A1077,Productos!$A$2:$A$61,Productos!$B$2:$F$61)</f>
        <v>#N/A</v>
      </c>
    </row>
    <row r="1078">
      <c r="A1078" s="2" t="str">
        <f>IFERROR(__xludf.DUMMYFUNCTION("""COMPUTED_VALUE"""),"PR056")</f>
        <v>PR056</v>
      </c>
      <c r="B1078" s="2" t="str">
        <f>IFERROR(__xludf.DUMMYFUNCTION("""COMPUTED_VALUE"""),"VD036")</f>
        <v>VD036</v>
      </c>
      <c r="C1078" s="2">
        <f>IFERROR(__xludf.DUMMYFUNCTION("""COMPUTED_VALUE"""),10.0)</f>
        <v>10</v>
      </c>
      <c r="D1078" s="6">
        <f>IFERROR(__xludf.DUMMYFUNCTION("""COMPUTED_VALUE"""),943.95)</f>
        <v>943.95</v>
      </c>
      <c r="E1078" s="6">
        <f>IFERROR(__xludf.DUMMYFUNCTION("GOOGLEFINANCE(""Currency:BRLMXN"")*D1078"),3206.59815)</f>
        <v>3206.59815</v>
      </c>
      <c r="F1078" s="6">
        <f>IFERROR(__xludf.DUMMYFUNCTION("GOOGLEFINANCE(""Currency:BRLPEN"")*D1078"),618.85362)</f>
        <v>618.85362</v>
      </c>
      <c r="G1078" s="2" t="str">
        <f t="array" ref="G1078">_xlfn.XLOOKUP(B1078,Vendedores!$A$2:$A$41,Vendedores!$B$2:$B$41,"No hay datos")</f>
        <v>No hay datos</v>
      </c>
      <c r="H1078" s="2" t="str">
        <f t="array" ref="H1078">_xlfn.XLOOKUP(B1078,Vendedores!$A$2:$A$41,Vendedores!$C$2:$C$41,"No hay datos")</f>
        <v>No hay datos</v>
      </c>
      <c r="I1078" s="2" t="str">
        <f t="array" ref="I1078">_xlfn.XLOOKUP(B1078,Vendedores!$A$2:$A$41,Vendedores!$D$2:$D$41,"No hay datos")</f>
        <v>No hay datos</v>
      </c>
      <c r="J1078" s="2" t="str">
        <f t="array" ref="J1078">_xlfn.XLOOKUP(A1078,Productos!$A$2:$A$61,Productos!$B$2:$F$61)</f>
        <v>#N/A</v>
      </c>
    </row>
    <row r="1079">
      <c r="A1079" s="2" t="str">
        <f>IFERROR(__xludf.DUMMYFUNCTION("""COMPUTED_VALUE"""),"PR018")</f>
        <v>PR018</v>
      </c>
      <c r="B1079" s="2" t="str">
        <f>IFERROR(__xludf.DUMMYFUNCTION("""COMPUTED_VALUE"""),"VD011")</f>
        <v>VD011</v>
      </c>
      <c r="C1079" s="2">
        <f>IFERROR(__xludf.DUMMYFUNCTION("""COMPUTED_VALUE"""),9.0)</f>
        <v>9</v>
      </c>
      <c r="D1079" s="6">
        <f>IFERROR(__xludf.DUMMYFUNCTION("""COMPUTED_VALUE"""),319.79)</f>
        <v>319.79</v>
      </c>
      <c r="E1079" s="6">
        <f>IFERROR(__xludf.DUMMYFUNCTION("GOOGLEFINANCE(""Currency:BRLMXN"")*D1079"),1086.32663)</f>
        <v>1086.32663</v>
      </c>
      <c r="F1079" s="6">
        <f>IFERROR(__xludf.DUMMYFUNCTION("GOOGLEFINANCE(""Currency:BRLPEN"")*D1079"),209.654324)</f>
        <v>209.654324</v>
      </c>
      <c r="G1079" s="2" t="str">
        <f t="array" ref="G1079">_xlfn.XLOOKUP(B1079,Vendedores!$A$2:$A$41,Vendedores!$B$2:$B$41,"No hay datos")</f>
        <v>No hay datos</v>
      </c>
      <c r="H1079" s="2" t="str">
        <f t="array" ref="H1079">_xlfn.XLOOKUP(B1079,Vendedores!$A$2:$A$41,Vendedores!$C$2:$C$41,"No hay datos")</f>
        <v>No hay datos</v>
      </c>
      <c r="I1079" s="2" t="str">
        <f t="array" ref="I1079">_xlfn.XLOOKUP(B1079,Vendedores!$A$2:$A$41,Vendedores!$D$2:$D$41,"No hay datos")</f>
        <v>No hay datos</v>
      </c>
      <c r="J1079" s="2" t="str">
        <f t="array" ref="J1079">_xlfn.XLOOKUP(A1079,Productos!$A$2:$A$61,Productos!$B$2:$F$61)</f>
        <v>#N/A</v>
      </c>
    </row>
    <row r="1080">
      <c r="A1080" s="2" t="str">
        <f>IFERROR(__xludf.DUMMYFUNCTION("""COMPUTED_VALUE"""),"PR017")</f>
        <v>PR017</v>
      </c>
      <c r="B1080" s="2" t="str">
        <f>IFERROR(__xludf.DUMMYFUNCTION("""COMPUTED_VALUE"""),"VD020")</f>
        <v>VD020</v>
      </c>
      <c r="C1080" s="2">
        <f>IFERROR(__xludf.DUMMYFUNCTION("""COMPUTED_VALUE"""),8.0)</f>
        <v>8</v>
      </c>
      <c r="D1080" s="6">
        <f>IFERROR(__xludf.DUMMYFUNCTION("""COMPUTED_VALUE"""),241.59)</f>
        <v>241.59</v>
      </c>
      <c r="E1080" s="6">
        <f>IFERROR(__xludf.DUMMYFUNCTION("GOOGLEFINANCE(""Currency:BRLMXN"")*D1080"),820.6812299999999)</f>
        <v>820.68123</v>
      </c>
      <c r="F1080" s="6">
        <f>IFERROR(__xludf.DUMMYFUNCTION("GOOGLEFINANCE(""Currency:BRLPEN"")*D1080"),158.386404)</f>
        <v>158.386404</v>
      </c>
      <c r="G1080" s="2" t="str">
        <f t="array" ref="G1080">_xlfn.XLOOKUP(B1080,Vendedores!$A$2:$A$41,Vendedores!$B$2:$B$41,"No hay datos")</f>
        <v>No hay datos</v>
      </c>
      <c r="H1080" s="2" t="str">
        <f t="array" ref="H1080">_xlfn.XLOOKUP(B1080,Vendedores!$A$2:$A$41,Vendedores!$C$2:$C$41,"No hay datos")</f>
        <v>No hay datos</v>
      </c>
      <c r="I1080" s="2" t="str">
        <f t="array" ref="I1080">_xlfn.XLOOKUP(B1080,Vendedores!$A$2:$A$41,Vendedores!$D$2:$D$41,"No hay datos")</f>
        <v>No hay datos</v>
      </c>
      <c r="J1080" s="2" t="str">
        <f t="array" ref="J1080">_xlfn.XLOOKUP(A1080,Productos!$A$2:$A$61,Productos!$B$2:$F$61)</f>
        <v>#N/A</v>
      </c>
    </row>
    <row r="1081">
      <c r="A1081" s="2" t="str">
        <f>IFERROR(__xludf.DUMMYFUNCTION("""COMPUTED_VALUE"""),"PR048")</f>
        <v>PR048</v>
      </c>
      <c r="B1081" s="2" t="str">
        <f>IFERROR(__xludf.DUMMYFUNCTION("""COMPUTED_VALUE"""),"VD046")</f>
        <v>VD046</v>
      </c>
      <c r="C1081" s="2">
        <f>IFERROR(__xludf.DUMMYFUNCTION("""COMPUTED_VALUE"""),10.0)</f>
        <v>10</v>
      </c>
      <c r="D1081" s="6">
        <f>IFERROR(__xludf.DUMMYFUNCTION("""COMPUTED_VALUE"""),3101.93)</f>
        <v>3101.93</v>
      </c>
      <c r="E1081" s="6">
        <f>IFERROR(__xludf.DUMMYFUNCTION("GOOGLEFINANCE(""Currency:BRLMXN"")*D1081"),10537.25621)</f>
        <v>10537.25621</v>
      </c>
      <c r="F1081" s="6">
        <f>IFERROR(__xludf.DUMMYFUNCTION("GOOGLEFINANCE(""Currency:BRLPEN"")*D1081"),2033.6253079999997)</f>
        <v>2033.625308</v>
      </c>
      <c r="G1081" s="2" t="str">
        <f t="array" ref="G1081">_xlfn.XLOOKUP(B1081,Vendedores!$A$2:$A$41,Vendedores!$B$2:$B$41,"No hay datos")</f>
        <v>No hay datos</v>
      </c>
      <c r="H1081" s="2" t="str">
        <f t="array" ref="H1081">_xlfn.XLOOKUP(B1081,Vendedores!$A$2:$A$41,Vendedores!$C$2:$C$41,"No hay datos")</f>
        <v>No hay datos</v>
      </c>
      <c r="I1081" s="2" t="str">
        <f t="array" ref="I1081">_xlfn.XLOOKUP(B1081,Vendedores!$A$2:$A$41,Vendedores!$D$2:$D$41,"No hay datos")</f>
        <v>No hay datos</v>
      </c>
      <c r="J1081" s="2" t="str">
        <f t="array" ref="J1081">_xlfn.XLOOKUP(A1081,Productos!$A$2:$A$61,Productos!$B$2:$F$61)</f>
        <v>#N/A</v>
      </c>
    </row>
    <row r="1082">
      <c r="A1082" s="2" t="str">
        <f>IFERROR(__xludf.DUMMYFUNCTION("""COMPUTED_VALUE"""),"PR014")</f>
        <v>PR014</v>
      </c>
      <c r="B1082" s="2" t="str">
        <f>IFERROR(__xludf.DUMMYFUNCTION("""COMPUTED_VALUE"""),"VD029")</f>
        <v>VD029</v>
      </c>
      <c r="C1082" s="2">
        <f>IFERROR(__xludf.DUMMYFUNCTION("""COMPUTED_VALUE"""),18.0)</f>
        <v>18</v>
      </c>
      <c r="D1082" s="6">
        <f>IFERROR(__xludf.DUMMYFUNCTION("""COMPUTED_VALUE"""),718.2)</f>
        <v>718.2</v>
      </c>
      <c r="E1082" s="6">
        <f>IFERROR(__xludf.DUMMYFUNCTION("GOOGLEFINANCE(""Currency:BRLMXN"")*D1082"),2439.7254)</f>
        <v>2439.7254</v>
      </c>
      <c r="F1082" s="6">
        <f>IFERROR(__xludf.DUMMYFUNCTION("GOOGLEFINANCE(""Currency:BRLPEN"")*D1082"),470.85192)</f>
        <v>470.85192</v>
      </c>
      <c r="G1082" s="2" t="str">
        <f t="array" ref="G1082">_xlfn.XLOOKUP(B1082,Vendedores!$A$2:$A$41,Vendedores!$B$2:$B$41,"No hay datos")</f>
        <v>No hay datos</v>
      </c>
      <c r="H1082" s="2" t="str">
        <f t="array" ref="H1082">_xlfn.XLOOKUP(B1082,Vendedores!$A$2:$A$41,Vendedores!$C$2:$C$41,"No hay datos")</f>
        <v>No hay datos</v>
      </c>
      <c r="I1082" s="2" t="str">
        <f t="array" ref="I1082">_xlfn.XLOOKUP(B1082,Vendedores!$A$2:$A$41,Vendedores!$D$2:$D$41,"No hay datos")</f>
        <v>No hay datos</v>
      </c>
      <c r="J1082" s="2" t="str">
        <f t="array" ref="J1082">_xlfn.XLOOKUP(A1082,Productos!$A$2:$A$61,Productos!$B$2:$F$61)</f>
        <v>#N/A</v>
      </c>
    </row>
    <row r="1083">
      <c r="A1083" s="2" t="str">
        <f>IFERROR(__xludf.DUMMYFUNCTION("""COMPUTED_VALUE"""),"PR008")</f>
        <v>PR008</v>
      </c>
      <c r="B1083" s="2" t="str">
        <f>IFERROR(__xludf.DUMMYFUNCTION("""COMPUTED_VALUE"""),"VD020")</f>
        <v>VD020</v>
      </c>
      <c r="C1083" s="2">
        <f>IFERROR(__xludf.DUMMYFUNCTION("""COMPUTED_VALUE"""),1.0)</f>
        <v>1</v>
      </c>
      <c r="D1083" s="6">
        <f>IFERROR(__xludf.DUMMYFUNCTION("""COMPUTED_VALUE"""),90.8)</f>
        <v>90.8</v>
      </c>
      <c r="E1083" s="6">
        <f>IFERROR(__xludf.DUMMYFUNCTION("GOOGLEFINANCE(""Currency:BRLMXN"")*D1083"),308.44759999999997)</f>
        <v>308.4476</v>
      </c>
      <c r="F1083" s="6">
        <f>IFERROR(__xludf.DUMMYFUNCTION("GOOGLEFINANCE(""Currency:BRLPEN"")*D1083"),59.528479999999995)</f>
        <v>59.52848</v>
      </c>
      <c r="G1083" s="2" t="str">
        <f t="array" ref="G1083">_xlfn.XLOOKUP(B1083,Vendedores!$A$2:$A$41,Vendedores!$B$2:$B$41,"No hay datos")</f>
        <v>No hay datos</v>
      </c>
      <c r="H1083" s="2" t="str">
        <f t="array" ref="H1083">_xlfn.XLOOKUP(B1083,Vendedores!$A$2:$A$41,Vendedores!$C$2:$C$41,"No hay datos")</f>
        <v>No hay datos</v>
      </c>
      <c r="I1083" s="2" t="str">
        <f t="array" ref="I1083">_xlfn.XLOOKUP(B1083,Vendedores!$A$2:$A$41,Vendedores!$D$2:$D$41,"No hay datos")</f>
        <v>No hay datos</v>
      </c>
      <c r="J1083" s="2" t="str">
        <f t="array" ref="J1083">_xlfn.XLOOKUP(A1083,Productos!$A$2:$A$61,Productos!$B$2:$F$61)</f>
        <v>#N/A</v>
      </c>
    </row>
    <row r="1084">
      <c r="A1084" s="2" t="str">
        <f>IFERROR(__xludf.DUMMYFUNCTION("""COMPUTED_VALUE"""),"PR032")</f>
        <v>PR032</v>
      </c>
      <c r="B1084" s="2" t="str">
        <f>IFERROR(__xludf.DUMMYFUNCTION("""COMPUTED_VALUE"""),"VD042")</f>
        <v>VD042</v>
      </c>
      <c r="C1084" s="2">
        <f>IFERROR(__xludf.DUMMYFUNCTION("""COMPUTED_VALUE"""),7.0)</f>
        <v>7</v>
      </c>
      <c r="D1084" s="6">
        <f>IFERROR(__xludf.DUMMYFUNCTION("""COMPUTED_VALUE"""),1872.5)</f>
        <v>1872.5</v>
      </c>
      <c r="E1084" s="6">
        <f>IFERROR(__xludf.DUMMYFUNCTION("GOOGLEFINANCE(""Currency:BRLMXN"")*D1084"),6360.8825)</f>
        <v>6360.8825</v>
      </c>
      <c r="F1084" s="6">
        <f>IFERROR(__xludf.DUMMYFUNCTION("GOOGLEFINANCE(""Currency:BRLPEN"")*D1084"),1227.6109999999999)</f>
        <v>1227.611</v>
      </c>
      <c r="G1084" s="2" t="str">
        <f t="array" ref="G1084">_xlfn.XLOOKUP(B1084,Vendedores!$A$2:$A$41,Vendedores!$B$2:$B$41,"No hay datos")</f>
        <v>No hay datos</v>
      </c>
      <c r="H1084" s="2" t="str">
        <f t="array" ref="H1084">_xlfn.XLOOKUP(B1084,Vendedores!$A$2:$A$41,Vendedores!$C$2:$C$41,"No hay datos")</f>
        <v>No hay datos</v>
      </c>
      <c r="I1084" s="2" t="str">
        <f t="array" ref="I1084">_xlfn.XLOOKUP(B1084,Vendedores!$A$2:$A$41,Vendedores!$D$2:$D$41,"No hay datos")</f>
        <v>No hay datos</v>
      </c>
      <c r="J1084" s="2" t="str">
        <f t="array" ref="J1084">_xlfn.XLOOKUP(A1084,Productos!$A$2:$A$61,Productos!$B$2:$F$61)</f>
        <v>#N/A</v>
      </c>
    </row>
    <row r="1085">
      <c r="A1085" s="2" t="str">
        <f>IFERROR(__xludf.DUMMYFUNCTION("""COMPUTED_VALUE"""),"PR024")</f>
        <v>PR024</v>
      </c>
      <c r="B1085" s="2" t="str">
        <f>IFERROR(__xludf.DUMMYFUNCTION("""COMPUTED_VALUE"""),"VD028")</f>
        <v>VD028</v>
      </c>
      <c r="C1085" s="2">
        <f>IFERROR(__xludf.DUMMYFUNCTION("""COMPUTED_VALUE"""),20.0)</f>
        <v>20</v>
      </c>
      <c r="D1085" s="6">
        <f>IFERROR(__xludf.DUMMYFUNCTION("""COMPUTED_VALUE"""),5561.86)</f>
        <v>5561.86</v>
      </c>
      <c r="E1085" s="6">
        <f>IFERROR(__xludf.DUMMYFUNCTION("GOOGLEFINANCE(""Currency:BRLMXN"")*D1085"),18893.63842)</f>
        <v>18893.63842</v>
      </c>
      <c r="F1085" s="6">
        <f>IFERROR(__xludf.DUMMYFUNCTION("GOOGLEFINANCE(""Currency:BRLPEN"")*D1085"),3646.3554159999994)</f>
        <v>3646.355416</v>
      </c>
      <c r="G1085" s="2" t="str">
        <f t="array" ref="G1085">_xlfn.XLOOKUP(B1085,Vendedores!$A$2:$A$41,Vendedores!$B$2:$B$41,"No hay datos")</f>
        <v>No hay datos</v>
      </c>
      <c r="H1085" s="2" t="str">
        <f t="array" ref="H1085">_xlfn.XLOOKUP(B1085,Vendedores!$A$2:$A$41,Vendedores!$C$2:$C$41,"No hay datos")</f>
        <v>No hay datos</v>
      </c>
      <c r="I1085" s="2" t="str">
        <f t="array" ref="I1085">_xlfn.XLOOKUP(B1085,Vendedores!$A$2:$A$41,Vendedores!$D$2:$D$41,"No hay datos")</f>
        <v>No hay datos</v>
      </c>
      <c r="J1085" s="2" t="str">
        <f t="array" ref="J1085">_xlfn.XLOOKUP(A1085,Productos!$A$2:$A$61,Productos!$B$2:$F$61)</f>
        <v>#N/A</v>
      </c>
    </row>
    <row r="1086">
      <c r="A1086" s="2" t="str">
        <f>IFERROR(__xludf.DUMMYFUNCTION("""COMPUTED_VALUE"""),"PR047")</f>
        <v>PR047</v>
      </c>
      <c r="B1086" s="2" t="str">
        <f>IFERROR(__xludf.DUMMYFUNCTION("""COMPUTED_VALUE"""),"VD020")</f>
        <v>VD020</v>
      </c>
      <c r="C1086" s="2">
        <f>IFERROR(__xludf.DUMMYFUNCTION("""COMPUTED_VALUE"""),12.0)</f>
        <v>12</v>
      </c>
      <c r="D1086" s="6">
        <f>IFERROR(__xludf.DUMMYFUNCTION("""COMPUTED_VALUE"""),3722.32)</f>
        <v>3722.32</v>
      </c>
      <c r="E1086" s="6">
        <f>IFERROR(__xludf.DUMMYFUNCTION("GOOGLEFINANCE(""Currency:BRLMXN"")*D1086"),12644.72104)</f>
        <v>12644.72104</v>
      </c>
      <c r="F1086" s="6">
        <f>IFERROR(__xludf.DUMMYFUNCTION("GOOGLEFINANCE(""Currency:BRLPEN"")*D1086"),2440.352992)</f>
        <v>2440.352992</v>
      </c>
      <c r="G1086" s="2" t="str">
        <f t="array" ref="G1086">_xlfn.XLOOKUP(B1086,Vendedores!$A$2:$A$41,Vendedores!$B$2:$B$41,"No hay datos")</f>
        <v>No hay datos</v>
      </c>
      <c r="H1086" s="2" t="str">
        <f t="array" ref="H1086">_xlfn.XLOOKUP(B1086,Vendedores!$A$2:$A$41,Vendedores!$C$2:$C$41,"No hay datos")</f>
        <v>No hay datos</v>
      </c>
      <c r="I1086" s="2" t="str">
        <f t="array" ref="I1086">_xlfn.XLOOKUP(B1086,Vendedores!$A$2:$A$41,Vendedores!$D$2:$D$41,"No hay datos")</f>
        <v>No hay datos</v>
      </c>
      <c r="J1086" s="2" t="str">
        <f t="array" ref="J1086">_xlfn.XLOOKUP(A1086,Productos!$A$2:$A$61,Productos!$B$2:$F$61)</f>
        <v>#N/A</v>
      </c>
    </row>
    <row r="1087">
      <c r="A1087" s="2" t="str">
        <f>IFERROR(__xludf.DUMMYFUNCTION("""COMPUTED_VALUE"""),"PR033")</f>
        <v>PR033</v>
      </c>
      <c r="B1087" s="2" t="str">
        <f>IFERROR(__xludf.DUMMYFUNCTION("""COMPUTED_VALUE"""),"VD031")</f>
        <v>VD031</v>
      </c>
      <c r="C1087" s="2">
        <f>IFERROR(__xludf.DUMMYFUNCTION("""COMPUTED_VALUE"""),4.0)</f>
        <v>4</v>
      </c>
      <c r="D1087" s="6">
        <f>IFERROR(__xludf.DUMMYFUNCTION("""COMPUTED_VALUE"""),1091.58)</f>
        <v>1091.58</v>
      </c>
      <c r="E1087" s="6">
        <f>IFERROR(__xludf.DUMMYFUNCTION("GOOGLEFINANCE(""Currency:BRLMXN"")*D1087"),3708.0972599999996)</f>
        <v>3708.09726</v>
      </c>
      <c r="F1087" s="6">
        <f>IFERROR(__xludf.DUMMYFUNCTION("GOOGLEFINANCE(""Currency:BRLPEN"")*D1087"),715.6398479999999)</f>
        <v>715.639848</v>
      </c>
      <c r="G1087" s="2" t="str">
        <f t="array" ref="G1087">_xlfn.XLOOKUP(B1087,Vendedores!$A$2:$A$41,Vendedores!$B$2:$B$41,"No hay datos")</f>
        <v>No hay datos</v>
      </c>
      <c r="H1087" s="2" t="str">
        <f t="array" ref="H1087">_xlfn.XLOOKUP(B1087,Vendedores!$A$2:$A$41,Vendedores!$C$2:$C$41,"No hay datos")</f>
        <v>No hay datos</v>
      </c>
      <c r="I1087" s="2" t="str">
        <f t="array" ref="I1087">_xlfn.XLOOKUP(B1087,Vendedores!$A$2:$A$41,Vendedores!$D$2:$D$41,"No hay datos")</f>
        <v>No hay datos</v>
      </c>
      <c r="J1087" s="2" t="str">
        <f t="array" ref="J1087">_xlfn.XLOOKUP(A1087,Productos!$A$2:$A$61,Productos!$B$2:$F$61)</f>
        <v>#N/A</v>
      </c>
    </row>
    <row r="1088">
      <c r="A1088" s="2" t="str">
        <f>IFERROR(__xludf.DUMMYFUNCTION("""COMPUTED_VALUE"""),"PR017")</f>
        <v>PR017</v>
      </c>
      <c r="B1088" s="2" t="str">
        <f>IFERROR(__xludf.DUMMYFUNCTION("""COMPUTED_VALUE"""),"VD024")</f>
        <v>VD024</v>
      </c>
      <c r="C1088" s="2">
        <f>IFERROR(__xludf.DUMMYFUNCTION("""COMPUTED_VALUE"""),2.0)</f>
        <v>2</v>
      </c>
      <c r="D1088" s="6">
        <f>IFERROR(__xludf.DUMMYFUNCTION("""COMPUTED_VALUE"""),65.18)</f>
        <v>65.18</v>
      </c>
      <c r="E1088" s="6">
        <f>IFERROR(__xludf.DUMMYFUNCTION("GOOGLEFINANCE(""Currency:BRLMXN"")*D1088"),221.41646)</f>
        <v>221.41646</v>
      </c>
      <c r="F1088" s="6">
        <f>IFERROR(__xludf.DUMMYFUNCTION("GOOGLEFINANCE(""Currency:BRLPEN"")*D1088"),42.732008)</f>
        <v>42.732008</v>
      </c>
      <c r="G1088" s="2" t="str">
        <f t="array" ref="G1088">_xlfn.XLOOKUP(B1088,Vendedores!$A$2:$A$41,Vendedores!$B$2:$B$41,"No hay datos")</f>
        <v>No hay datos</v>
      </c>
      <c r="H1088" s="2" t="str">
        <f t="array" ref="H1088">_xlfn.XLOOKUP(B1088,Vendedores!$A$2:$A$41,Vendedores!$C$2:$C$41,"No hay datos")</f>
        <v>No hay datos</v>
      </c>
      <c r="I1088" s="2" t="str">
        <f t="array" ref="I1088">_xlfn.XLOOKUP(B1088,Vendedores!$A$2:$A$41,Vendedores!$D$2:$D$41,"No hay datos")</f>
        <v>No hay datos</v>
      </c>
      <c r="J1088" s="2" t="str">
        <f t="array" ref="J1088">_xlfn.XLOOKUP(A1088,Productos!$A$2:$A$61,Productos!$B$2:$F$61)</f>
        <v>#N/A</v>
      </c>
    </row>
    <row r="1089">
      <c r="A1089" s="2" t="str">
        <f>IFERROR(__xludf.DUMMYFUNCTION("""COMPUTED_VALUE"""),"PR022")</f>
        <v>PR022</v>
      </c>
      <c r="B1089" s="2" t="str">
        <f>IFERROR(__xludf.DUMMYFUNCTION("""COMPUTED_VALUE"""),"VD029")</f>
        <v>VD029</v>
      </c>
      <c r="C1089" s="2">
        <f>IFERROR(__xludf.DUMMYFUNCTION("""COMPUTED_VALUE"""),18.0)</f>
        <v>18</v>
      </c>
      <c r="D1089" s="6">
        <f>IFERROR(__xludf.DUMMYFUNCTION("""COMPUTED_VALUE"""),5832.0)</f>
        <v>5832</v>
      </c>
      <c r="E1089" s="6">
        <f>IFERROR(__xludf.DUMMYFUNCTION("GOOGLEFINANCE(""Currency:BRLMXN"")*D1089"),19811.304)</f>
        <v>19811.304</v>
      </c>
      <c r="F1089" s="6">
        <f>IFERROR(__xludf.DUMMYFUNCTION("GOOGLEFINANCE(""Currency:BRLPEN"")*D1089"),3823.4592)</f>
        <v>3823.4592</v>
      </c>
      <c r="G1089" s="2" t="str">
        <f t="array" ref="G1089">_xlfn.XLOOKUP(B1089,Vendedores!$A$2:$A$41,Vendedores!$B$2:$B$41,"No hay datos")</f>
        <v>No hay datos</v>
      </c>
      <c r="H1089" s="2" t="str">
        <f t="array" ref="H1089">_xlfn.XLOOKUP(B1089,Vendedores!$A$2:$A$41,Vendedores!$C$2:$C$41,"No hay datos")</f>
        <v>No hay datos</v>
      </c>
      <c r="I1089" s="2" t="str">
        <f t="array" ref="I1089">_xlfn.XLOOKUP(B1089,Vendedores!$A$2:$A$41,Vendedores!$D$2:$D$41,"No hay datos")</f>
        <v>No hay datos</v>
      </c>
      <c r="J1089" s="2" t="str">
        <f t="array" ref="J1089">_xlfn.XLOOKUP(A1089,Productos!$A$2:$A$61,Productos!$B$2:$F$61)</f>
        <v>#N/A</v>
      </c>
    </row>
    <row r="1090">
      <c r="A1090" s="2" t="str">
        <f>IFERROR(__xludf.DUMMYFUNCTION("""COMPUTED_VALUE"""),"PR022")</f>
        <v>PR022</v>
      </c>
      <c r="B1090" s="2" t="str">
        <f>IFERROR(__xludf.DUMMYFUNCTION("""COMPUTED_VALUE"""),"VD011")</f>
        <v>VD011</v>
      </c>
      <c r="C1090" s="2">
        <f>IFERROR(__xludf.DUMMYFUNCTION("""COMPUTED_VALUE"""),2.0)</f>
        <v>2</v>
      </c>
      <c r="D1090" s="6">
        <f>IFERROR(__xludf.DUMMYFUNCTION("""COMPUTED_VALUE"""),624.0)</f>
        <v>624</v>
      </c>
      <c r="E1090" s="6">
        <f>IFERROR(__xludf.DUMMYFUNCTION("GOOGLEFINANCE(""Currency:BRLMXN"")*D1090"),2119.728)</f>
        <v>2119.728</v>
      </c>
      <c r="F1090" s="6">
        <f>IFERROR(__xludf.DUMMYFUNCTION("GOOGLEFINANCE(""Currency:BRLPEN"")*D1090"),409.09439999999995)</f>
        <v>409.0944</v>
      </c>
      <c r="G1090" s="2" t="str">
        <f t="array" ref="G1090">_xlfn.XLOOKUP(B1090,Vendedores!$A$2:$A$41,Vendedores!$B$2:$B$41,"No hay datos")</f>
        <v>No hay datos</v>
      </c>
      <c r="H1090" s="2" t="str">
        <f t="array" ref="H1090">_xlfn.XLOOKUP(B1090,Vendedores!$A$2:$A$41,Vendedores!$C$2:$C$41,"No hay datos")</f>
        <v>No hay datos</v>
      </c>
      <c r="I1090" s="2" t="str">
        <f t="array" ref="I1090">_xlfn.XLOOKUP(B1090,Vendedores!$A$2:$A$41,Vendedores!$D$2:$D$41,"No hay datos")</f>
        <v>No hay datos</v>
      </c>
      <c r="J1090" s="2" t="str">
        <f t="array" ref="J1090">_xlfn.XLOOKUP(A1090,Productos!$A$2:$A$61,Productos!$B$2:$F$61)</f>
        <v>#N/A</v>
      </c>
    </row>
    <row r="1091">
      <c r="A1091" s="2" t="str">
        <f>IFERROR(__xludf.DUMMYFUNCTION("""COMPUTED_VALUE"""),"PR038")</f>
        <v>PR038</v>
      </c>
      <c r="B1091" s="2" t="str">
        <f>IFERROR(__xludf.DUMMYFUNCTION("""COMPUTED_VALUE"""),"VD032")</f>
        <v>VD032</v>
      </c>
      <c r="C1091" s="2">
        <f>IFERROR(__xludf.DUMMYFUNCTION("""COMPUTED_VALUE"""),8.0)</f>
        <v>8</v>
      </c>
      <c r="D1091" s="6">
        <f>IFERROR(__xludf.DUMMYFUNCTION("""COMPUTED_VALUE"""),1188.93)</f>
        <v>1188.93</v>
      </c>
      <c r="E1091" s="6">
        <f>IFERROR(__xludf.DUMMYFUNCTION("GOOGLEFINANCE(""Currency:BRLMXN"")*D1091"),4038.7952099999998)</f>
        <v>4038.79521</v>
      </c>
      <c r="F1091" s="6">
        <f>IFERROR(__xludf.DUMMYFUNCTION("GOOGLEFINANCE(""Currency:BRLPEN"")*D1091"),779.462508)</f>
        <v>779.462508</v>
      </c>
      <c r="G1091" s="2" t="str">
        <f t="array" ref="G1091">_xlfn.XLOOKUP(B1091,Vendedores!$A$2:$A$41,Vendedores!$B$2:$B$41,"No hay datos")</f>
        <v>No hay datos</v>
      </c>
      <c r="H1091" s="2" t="str">
        <f t="array" ref="H1091">_xlfn.XLOOKUP(B1091,Vendedores!$A$2:$A$41,Vendedores!$C$2:$C$41,"No hay datos")</f>
        <v>No hay datos</v>
      </c>
      <c r="I1091" s="2" t="str">
        <f t="array" ref="I1091">_xlfn.XLOOKUP(B1091,Vendedores!$A$2:$A$41,Vendedores!$D$2:$D$41,"No hay datos")</f>
        <v>No hay datos</v>
      </c>
      <c r="J1091" s="2" t="str">
        <f t="array" ref="J1091">_xlfn.XLOOKUP(A1091,Productos!$A$2:$A$61,Productos!$B$2:$F$61)</f>
        <v>#N/A</v>
      </c>
    </row>
    <row r="1092">
      <c r="A1092" s="2" t="str">
        <f>IFERROR(__xludf.DUMMYFUNCTION("""COMPUTED_VALUE"""),"PR060")</f>
        <v>PR060</v>
      </c>
      <c r="B1092" s="2" t="str">
        <f>IFERROR(__xludf.DUMMYFUNCTION("""COMPUTED_VALUE"""),"VD047")</f>
        <v>VD047</v>
      </c>
      <c r="C1092" s="2">
        <f>IFERROR(__xludf.DUMMYFUNCTION("""COMPUTED_VALUE"""),16.0)</f>
        <v>16</v>
      </c>
      <c r="D1092" s="6">
        <f>IFERROR(__xludf.DUMMYFUNCTION("""COMPUTED_VALUE"""),3139.2)</f>
        <v>3139.2</v>
      </c>
      <c r="E1092" s="6">
        <f>IFERROR(__xludf.DUMMYFUNCTION("GOOGLEFINANCE(""Currency:BRLMXN"")*D1092"),10663.862399999998)</f>
        <v>10663.8624</v>
      </c>
      <c r="F1092" s="6">
        <f>IFERROR(__xludf.DUMMYFUNCTION("GOOGLEFINANCE(""Currency:BRLPEN"")*D1092"),2058.05952)</f>
        <v>2058.05952</v>
      </c>
      <c r="G1092" s="2" t="str">
        <f t="array" ref="G1092">_xlfn.XLOOKUP(B1092,Vendedores!$A$2:$A$41,Vendedores!$B$2:$B$41,"No hay datos")</f>
        <v>No hay datos</v>
      </c>
      <c r="H1092" s="2" t="str">
        <f t="array" ref="H1092">_xlfn.XLOOKUP(B1092,Vendedores!$A$2:$A$41,Vendedores!$C$2:$C$41,"No hay datos")</f>
        <v>No hay datos</v>
      </c>
      <c r="I1092" s="2" t="str">
        <f t="array" ref="I1092">_xlfn.XLOOKUP(B1092,Vendedores!$A$2:$A$41,Vendedores!$D$2:$D$41,"No hay datos")</f>
        <v>No hay datos</v>
      </c>
      <c r="J1092" s="2" t="str">
        <f t="array" ref="J1092">_xlfn.XLOOKUP(A1092,Productos!$A$2:$A$61,Productos!$B$2:$F$61)</f>
        <v>#N/A</v>
      </c>
    </row>
    <row r="1093">
      <c r="A1093" s="2" t="str">
        <f>IFERROR(__xludf.DUMMYFUNCTION("""COMPUTED_VALUE"""),"PR049")</f>
        <v>PR049</v>
      </c>
      <c r="B1093" s="2" t="str">
        <f>IFERROR(__xludf.DUMMYFUNCTION("""COMPUTED_VALUE"""),"VD035")</f>
        <v>VD035</v>
      </c>
      <c r="C1093" s="2">
        <f>IFERROR(__xludf.DUMMYFUNCTION("""COMPUTED_VALUE"""),3.0)</f>
        <v>3</v>
      </c>
      <c r="D1093" s="6">
        <f>IFERROR(__xludf.DUMMYFUNCTION("""COMPUTED_VALUE"""),102.65)</f>
        <v>102.65</v>
      </c>
      <c r="E1093" s="6">
        <f>IFERROR(__xludf.DUMMYFUNCTION("GOOGLEFINANCE(""Currency:BRLMXN"")*D1093"),348.70205)</f>
        <v>348.70205</v>
      </c>
      <c r="F1093" s="6">
        <f>IFERROR(__xludf.DUMMYFUNCTION("GOOGLEFINANCE(""Currency:BRLPEN"")*D1093"),67.29734)</f>
        <v>67.29734</v>
      </c>
      <c r="G1093" s="2" t="str">
        <f t="array" ref="G1093">_xlfn.XLOOKUP(B1093,Vendedores!$A$2:$A$41,Vendedores!$B$2:$B$41,"No hay datos")</f>
        <v>No hay datos</v>
      </c>
      <c r="H1093" s="2" t="str">
        <f t="array" ref="H1093">_xlfn.XLOOKUP(B1093,Vendedores!$A$2:$A$41,Vendedores!$C$2:$C$41,"No hay datos")</f>
        <v>No hay datos</v>
      </c>
      <c r="I1093" s="2" t="str">
        <f t="array" ref="I1093">_xlfn.XLOOKUP(B1093,Vendedores!$A$2:$A$41,Vendedores!$D$2:$D$41,"No hay datos")</f>
        <v>No hay datos</v>
      </c>
      <c r="J1093" s="2" t="str">
        <f t="array" ref="J1093">_xlfn.XLOOKUP(A1093,Productos!$A$2:$A$61,Productos!$B$2:$F$61)</f>
        <v>#N/A</v>
      </c>
    </row>
    <row r="1094">
      <c r="A1094" s="2" t="str">
        <f>IFERROR(__xludf.DUMMYFUNCTION("""COMPUTED_VALUE"""),"PR035")</f>
        <v>PR035</v>
      </c>
      <c r="B1094" s="2" t="str">
        <f>IFERROR(__xludf.DUMMYFUNCTION("""COMPUTED_VALUE"""),"VD045")</f>
        <v>VD045</v>
      </c>
      <c r="C1094" s="2">
        <f>IFERROR(__xludf.DUMMYFUNCTION("""COMPUTED_VALUE"""),5.0)</f>
        <v>5</v>
      </c>
      <c r="D1094" s="6">
        <f>IFERROR(__xludf.DUMMYFUNCTION("""COMPUTED_VALUE"""),466.14)</f>
        <v>466.14</v>
      </c>
      <c r="E1094" s="6">
        <f>IFERROR(__xludf.DUMMYFUNCTION("GOOGLEFINANCE(""Currency:BRLMXN"")*D1094"),1583.4775799999998)</f>
        <v>1583.47758</v>
      </c>
      <c r="F1094" s="6">
        <f>IFERROR(__xludf.DUMMYFUNCTION("GOOGLEFINANCE(""Currency:BRLPEN"")*D1094"),305.601384)</f>
        <v>305.601384</v>
      </c>
      <c r="G1094" s="2" t="str">
        <f t="array" ref="G1094">_xlfn.XLOOKUP(B1094,Vendedores!$A$2:$A$41,Vendedores!$B$2:$B$41,"No hay datos")</f>
        <v>No hay datos</v>
      </c>
      <c r="H1094" s="2" t="str">
        <f t="array" ref="H1094">_xlfn.XLOOKUP(B1094,Vendedores!$A$2:$A$41,Vendedores!$C$2:$C$41,"No hay datos")</f>
        <v>No hay datos</v>
      </c>
      <c r="I1094" s="2" t="str">
        <f t="array" ref="I1094">_xlfn.XLOOKUP(B1094,Vendedores!$A$2:$A$41,Vendedores!$D$2:$D$41,"No hay datos")</f>
        <v>No hay datos</v>
      </c>
      <c r="J1094" s="2" t="str">
        <f t="array" ref="J1094">_xlfn.XLOOKUP(A1094,Productos!$A$2:$A$61,Productos!$B$2:$F$61)</f>
        <v>#N/A</v>
      </c>
    </row>
    <row r="1095">
      <c r="A1095" s="2" t="str">
        <f>IFERROR(__xludf.DUMMYFUNCTION("""COMPUTED_VALUE"""),"PR017")</f>
        <v>PR017</v>
      </c>
      <c r="B1095" s="2" t="str">
        <f>IFERROR(__xludf.DUMMYFUNCTION("""COMPUTED_VALUE"""),"VD032")</f>
        <v>VD032</v>
      </c>
      <c r="C1095" s="2">
        <f>IFERROR(__xludf.DUMMYFUNCTION("""COMPUTED_VALUE"""),18.0)</f>
        <v>18</v>
      </c>
      <c r="D1095" s="6">
        <f>IFERROR(__xludf.DUMMYFUNCTION("""COMPUTED_VALUE"""),559.73)</f>
        <v>559.73</v>
      </c>
      <c r="E1095" s="6">
        <f>IFERROR(__xludf.DUMMYFUNCTION("GOOGLEFINANCE(""Currency:BRLMXN"")*D1095"),1901.40281)</f>
        <v>1901.40281</v>
      </c>
      <c r="F1095" s="6">
        <f>IFERROR(__xludf.DUMMYFUNCTION("GOOGLEFINANCE(""Currency:BRLPEN"")*D1095"),366.958988)</f>
        <v>366.958988</v>
      </c>
      <c r="G1095" s="2" t="str">
        <f t="array" ref="G1095">_xlfn.XLOOKUP(B1095,Vendedores!$A$2:$A$41,Vendedores!$B$2:$B$41,"No hay datos")</f>
        <v>No hay datos</v>
      </c>
      <c r="H1095" s="2" t="str">
        <f t="array" ref="H1095">_xlfn.XLOOKUP(B1095,Vendedores!$A$2:$A$41,Vendedores!$C$2:$C$41,"No hay datos")</f>
        <v>No hay datos</v>
      </c>
      <c r="I1095" s="2" t="str">
        <f t="array" ref="I1095">_xlfn.XLOOKUP(B1095,Vendedores!$A$2:$A$41,Vendedores!$D$2:$D$41,"No hay datos")</f>
        <v>No hay datos</v>
      </c>
      <c r="J1095" s="2" t="str">
        <f t="array" ref="J1095">_xlfn.XLOOKUP(A1095,Productos!$A$2:$A$61,Productos!$B$2:$F$61)</f>
        <v>#N/A</v>
      </c>
    </row>
    <row r="1096">
      <c r="A1096" s="2" t="str">
        <f>IFERROR(__xludf.DUMMYFUNCTION("""COMPUTED_VALUE"""),"PR060")</f>
        <v>PR060</v>
      </c>
      <c r="B1096" s="2" t="str">
        <f>IFERROR(__xludf.DUMMYFUNCTION("""COMPUTED_VALUE"""),"VD020")</f>
        <v>VD020</v>
      </c>
      <c r="C1096" s="2">
        <f>IFERROR(__xludf.DUMMYFUNCTION("""COMPUTED_VALUE"""),9.0)</f>
        <v>9</v>
      </c>
      <c r="D1096" s="6">
        <f>IFERROR(__xludf.DUMMYFUNCTION("""COMPUTED_VALUE"""),1684.8)</f>
        <v>1684.8</v>
      </c>
      <c r="E1096" s="6">
        <f>IFERROR(__xludf.DUMMYFUNCTION("GOOGLEFINANCE(""Currency:BRLMXN"")*D1096"),5723.2656)</f>
        <v>5723.2656</v>
      </c>
      <c r="F1096" s="6">
        <f>IFERROR(__xludf.DUMMYFUNCTION("GOOGLEFINANCE(""Currency:BRLPEN"")*D1096"),1104.55488)</f>
        <v>1104.55488</v>
      </c>
      <c r="G1096" s="2" t="str">
        <f t="array" ref="G1096">_xlfn.XLOOKUP(B1096,Vendedores!$A$2:$A$41,Vendedores!$B$2:$B$41,"No hay datos")</f>
        <v>No hay datos</v>
      </c>
      <c r="H1096" s="2" t="str">
        <f t="array" ref="H1096">_xlfn.XLOOKUP(B1096,Vendedores!$A$2:$A$41,Vendedores!$C$2:$C$41,"No hay datos")</f>
        <v>No hay datos</v>
      </c>
      <c r="I1096" s="2" t="str">
        <f t="array" ref="I1096">_xlfn.XLOOKUP(B1096,Vendedores!$A$2:$A$41,Vendedores!$D$2:$D$41,"No hay datos")</f>
        <v>No hay datos</v>
      </c>
      <c r="J1096" s="2" t="str">
        <f t="array" ref="J1096">_xlfn.XLOOKUP(A1096,Productos!$A$2:$A$61,Productos!$B$2:$F$61)</f>
        <v>#N/A</v>
      </c>
    </row>
    <row r="1097">
      <c r="A1097" s="2" t="str">
        <f>IFERROR(__xludf.DUMMYFUNCTION("""COMPUTED_VALUE"""),"PR036")</f>
        <v>PR036</v>
      </c>
      <c r="B1097" s="2" t="str">
        <f>IFERROR(__xludf.DUMMYFUNCTION("""COMPUTED_VALUE"""),"VD046")</f>
        <v>VD046</v>
      </c>
      <c r="C1097" s="2">
        <f>IFERROR(__xludf.DUMMYFUNCTION("""COMPUTED_VALUE"""),10.0)</f>
        <v>10</v>
      </c>
      <c r="D1097" s="6">
        <f>IFERROR(__xludf.DUMMYFUNCTION("""COMPUTED_VALUE"""),1028.5)</f>
        <v>1028.5</v>
      </c>
      <c r="E1097" s="6">
        <f>IFERROR(__xludf.DUMMYFUNCTION("GOOGLEFINANCE(""Currency:BRLMXN"")*D1097"),3493.8145)</f>
        <v>3493.8145</v>
      </c>
      <c r="F1097" s="6">
        <f>IFERROR(__xludf.DUMMYFUNCTION("GOOGLEFINANCE(""Currency:BRLPEN"")*D1097"),674.2846)</f>
        <v>674.2846</v>
      </c>
      <c r="G1097" s="2" t="str">
        <f t="array" ref="G1097">_xlfn.XLOOKUP(B1097,Vendedores!$A$2:$A$41,Vendedores!$B$2:$B$41,"No hay datos")</f>
        <v>No hay datos</v>
      </c>
      <c r="H1097" s="2" t="str">
        <f t="array" ref="H1097">_xlfn.XLOOKUP(B1097,Vendedores!$A$2:$A$41,Vendedores!$C$2:$C$41,"No hay datos")</f>
        <v>No hay datos</v>
      </c>
      <c r="I1097" s="2" t="str">
        <f t="array" ref="I1097">_xlfn.XLOOKUP(B1097,Vendedores!$A$2:$A$41,Vendedores!$D$2:$D$41,"No hay datos")</f>
        <v>No hay datos</v>
      </c>
      <c r="J1097" s="2" t="str">
        <f t="array" ref="J1097">_xlfn.XLOOKUP(A1097,Productos!$A$2:$A$61,Productos!$B$2:$F$61)</f>
        <v>#N/A</v>
      </c>
    </row>
    <row r="1098">
      <c r="A1098" s="2" t="str">
        <f>IFERROR(__xludf.DUMMYFUNCTION("""COMPUTED_VALUE"""),"PR043")</f>
        <v>PR043</v>
      </c>
      <c r="B1098" s="2" t="str">
        <f>IFERROR(__xludf.DUMMYFUNCTION("""COMPUTED_VALUE"""),"VD022")</f>
        <v>VD022</v>
      </c>
      <c r="C1098" s="2">
        <f>IFERROR(__xludf.DUMMYFUNCTION("""COMPUTED_VALUE"""),2.0)</f>
        <v>2</v>
      </c>
      <c r="D1098" s="6">
        <f>IFERROR(__xludf.DUMMYFUNCTION("""COMPUTED_VALUE"""),153.7)</f>
        <v>153.7</v>
      </c>
      <c r="E1098" s="6">
        <f>IFERROR(__xludf.DUMMYFUNCTION("GOOGLEFINANCE(""Currency:BRLMXN"")*D1098"),522.1188999999999)</f>
        <v>522.1189</v>
      </c>
      <c r="F1098" s="6">
        <f>IFERROR(__xludf.DUMMYFUNCTION("GOOGLEFINANCE(""Currency:BRLPEN"")*D1098"),100.76571999999999)</f>
        <v>100.76572</v>
      </c>
      <c r="G1098" s="2" t="str">
        <f t="array" ref="G1098">_xlfn.XLOOKUP(B1098,Vendedores!$A$2:$A$41,Vendedores!$B$2:$B$41,"No hay datos")</f>
        <v>No hay datos</v>
      </c>
      <c r="H1098" s="2" t="str">
        <f t="array" ref="H1098">_xlfn.XLOOKUP(B1098,Vendedores!$A$2:$A$41,Vendedores!$C$2:$C$41,"No hay datos")</f>
        <v>No hay datos</v>
      </c>
      <c r="I1098" s="2" t="str">
        <f t="array" ref="I1098">_xlfn.XLOOKUP(B1098,Vendedores!$A$2:$A$41,Vendedores!$D$2:$D$41,"No hay datos")</f>
        <v>No hay datos</v>
      </c>
      <c r="J1098" s="2" t="str">
        <f t="array" ref="J1098">_xlfn.XLOOKUP(A1098,Productos!$A$2:$A$61,Productos!$B$2:$F$61)</f>
        <v>#N/A</v>
      </c>
    </row>
    <row r="1099">
      <c r="A1099" s="2" t="str">
        <f>IFERROR(__xludf.DUMMYFUNCTION("""COMPUTED_VALUE"""),"PR007")</f>
        <v>PR007</v>
      </c>
      <c r="B1099" s="2" t="str">
        <f>IFERROR(__xludf.DUMMYFUNCTION("""COMPUTED_VALUE"""),"VD041")</f>
        <v>VD041</v>
      </c>
      <c r="C1099" s="2">
        <f>IFERROR(__xludf.DUMMYFUNCTION("""COMPUTED_VALUE"""),2.0)</f>
        <v>2</v>
      </c>
      <c r="D1099" s="6">
        <f>IFERROR(__xludf.DUMMYFUNCTION("""COMPUTED_VALUE"""),187.26)</f>
        <v>187.26</v>
      </c>
      <c r="E1099" s="6">
        <f>IFERROR(__xludf.DUMMYFUNCTION("GOOGLEFINANCE(""Currency:BRLMXN"")*D1099"),636.12222)</f>
        <v>636.12222</v>
      </c>
      <c r="F1099" s="6">
        <f>IFERROR(__xludf.DUMMYFUNCTION("GOOGLEFINANCE(""Currency:BRLPEN"")*D1099"),122.76765599999999)</f>
        <v>122.767656</v>
      </c>
      <c r="G1099" s="2" t="str">
        <f t="array" ref="G1099">_xlfn.XLOOKUP(B1099,Vendedores!$A$2:$A$41,Vendedores!$B$2:$B$41,"No hay datos")</f>
        <v>No hay datos</v>
      </c>
      <c r="H1099" s="2" t="str">
        <f t="array" ref="H1099">_xlfn.XLOOKUP(B1099,Vendedores!$A$2:$A$41,Vendedores!$C$2:$C$41,"No hay datos")</f>
        <v>No hay datos</v>
      </c>
      <c r="I1099" s="2" t="str">
        <f t="array" ref="I1099">_xlfn.XLOOKUP(B1099,Vendedores!$A$2:$A$41,Vendedores!$D$2:$D$41,"No hay datos")</f>
        <v>No hay datos</v>
      </c>
      <c r="J1099" s="2" t="str">
        <f t="array" ref="J1099">_xlfn.XLOOKUP(A1099,Productos!$A$2:$A$61,Productos!$B$2:$F$61)</f>
        <v>#N/A</v>
      </c>
    </row>
    <row r="1100">
      <c r="A1100" s="2" t="str">
        <f>IFERROR(__xludf.DUMMYFUNCTION("""COMPUTED_VALUE"""),"PR037")</f>
        <v>PR037</v>
      </c>
      <c r="B1100" s="2" t="str">
        <f>IFERROR(__xludf.DUMMYFUNCTION("""COMPUTED_VALUE"""),"VD043")</f>
        <v>VD043</v>
      </c>
      <c r="C1100" s="2">
        <f>IFERROR(__xludf.DUMMYFUNCTION("""COMPUTED_VALUE"""),9.0)</f>
        <v>9</v>
      </c>
      <c r="D1100" s="6">
        <f>IFERROR(__xludf.DUMMYFUNCTION("""COMPUTED_VALUE"""),1297.8)</f>
        <v>1297.8</v>
      </c>
      <c r="E1100" s="6">
        <f>IFERROR(__xludf.DUMMYFUNCTION("GOOGLEFINANCE(""Currency:BRLMXN"")*D1100"),4408.6266)</f>
        <v>4408.6266</v>
      </c>
      <c r="F1100" s="6">
        <f>IFERROR(__xludf.DUMMYFUNCTION("GOOGLEFINANCE(""Currency:BRLPEN"")*D1100"),850.8376799999999)</f>
        <v>850.83768</v>
      </c>
      <c r="G1100" s="2" t="str">
        <f t="array" ref="G1100">_xlfn.XLOOKUP(B1100,Vendedores!$A$2:$A$41,Vendedores!$B$2:$B$41,"No hay datos")</f>
        <v>No hay datos</v>
      </c>
      <c r="H1100" s="2" t="str">
        <f t="array" ref="H1100">_xlfn.XLOOKUP(B1100,Vendedores!$A$2:$A$41,Vendedores!$C$2:$C$41,"No hay datos")</f>
        <v>No hay datos</v>
      </c>
      <c r="I1100" s="2" t="str">
        <f t="array" ref="I1100">_xlfn.XLOOKUP(B1100,Vendedores!$A$2:$A$41,Vendedores!$D$2:$D$41,"No hay datos")</f>
        <v>No hay datos</v>
      </c>
      <c r="J1100" s="2" t="str">
        <f t="array" ref="J1100">_xlfn.XLOOKUP(A1100,Productos!$A$2:$A$61,Productos!$B$2:$F$61)</f>
        <v>#N/A</v>
      </c>
    </row>
    <row r="1101">
      <c r="A1101" s="2" t="str">
        <f>IFERROR(__xludf.DUMMYFUNCTION("""COMPUTED_VALUE"""),"PR030")</f>
        <v>PR030</v>
      </c>
      <c r="B1101" s="2" t="str">
        <f>IFERROR(__xludf.DUMMYFUNCTION("""COMPUTED_VALUE"""),"VD010")</f>
        <v>VD010</v>
      </c>
      <c r="C1101" s="2">
        <f>IFERROR(__xludf.DUMMYFUNCTION("""COMPUTED_VALUE"""),18.0)</f>
        <v>18</v>
      </c>
      <c r="D1101" s="6">
        <f>IFERROR(__xludf.DUMMYFUNCTION("""COMPUTED_VALUE"""),5146.02)</f>
        <v>5146.02</v>
      </c>
      <c r="E1101" s="6">
        <f>IFERROR(__xludf.DUMMYFUNCTION("GOOGLEFINANCE(""Currency:BRLMXN"")*D1101"),17481.02994)</f>
        <v>17481.02994</v>
      </c>
      <c r="F1101" s="6">
        <f>IFERROR(__xludf.DUMMYFUNCTION("GOOGLEFINANCE(""Currency:BRLPEN"")*D1101"),3373.730712)</f>
        <v>3373.730712</v>
      </c>
      <c r="G1101" s="2" t="str">
        <f t="array" ref="G1101">_xlfn.XLOOKUP(B1101,Vendedores!$A$2:$A$41,Vendedores!$B$2:$B$41,"No hay datos")</f>
        <v>No hay datos</v>
      </c>
      <c r="H1101" s="2" t="str">
        <f t="array" ref="H1101">_xlfn.XLOOKUP(B1101,Vendedores!$A$2:$A$41,Vendedores!$C$2:$C$41,"No hay datos")</f>
        <v>No hay datos</v>
      </c>
      <c r="I1101" s="2" t="str">
        <f t="array" ref="I1101">_xlfn.XLOOKUP(B1101,Vendedores!$A$2:$A$41,Vendedores!$D$2:$D$41,"No hay datos")</f>
        <v>No hay datos</v>
      </c>
      <c r="J1101" s="2" t="str">
        <f t="array" ref="J1101">_xlfn.XLOOKUP(A1101,Productos!$A$2:$A$61,Productos!$B$2:$F$61)</f>
        <v>#N/A</v>
      </c>
    </row>
    <row r="1102">
      <c r="A1102" s="2" t="str">
        <f>IFERROR(__xludf.DUMMYFUNCTION("""COMPUTED_VALUE"""),"PR049")</f>
        <v>PR049</v>
      </c>
      <c r="B1102" s="2" t="str">
        <f>IFERROR(__xludf.DUMMYFUNCTION("""COMPUTED_VALUE"""),"VD049")</f>
        <v>VD049</v>
      </c>
      <c r="C1102" s="2">
        <f>IFERROR(__xludf.DUMMYFUNCTION("""COMPUTED_VALUE"""),4.0)</f>
        <v>4</v>
      </c>
      <c r="D1102" s="6">
        <f>IFERROR(__xludf.DUMMYFUNCTION("""COMPUTED_VALUE"""),142.13)</f>
        <v>142.13</v>
      </c>
      <c r="E1102" s="6">
        <f>IFERROR(__xludf.DUMMYFUNCTION("GOOGLEFINANCE(""Currency:BRLMXN"")*D1102"),482.81560999999994)</f>
        <v>482.81561</v>
      </c>
      <c r="F1102" s="6">
        <f>IFERROR(__xludf.DUMMYFUNCTION("GOOGLEFINANCE(""Currency:BRLPEN"")*D1102"),93.18042799999999)</f>
        <v>93.180428</v>
      </c>
      <c r="G1102" s="2" t="str">
        <f t="array" ref="G1102">_xlfn.XLOOKUP(B1102,Vendedores!$A$2:$A$41,Vendedores!$B$2:$B$41,"No hay datos")</f>
        <v>No hay datos</v>
      </c>
      <c r="H1102" s="2" t="str">
        <f t="array" ref="H1102">_xlfn.XLOOKUP(B1102,Vendedores!$A$2:$A$41,Vendedores!$C$2:$C$41,"No hay datos")</f>
        <v>No hay datos</v>
      </c>
      <c r="I1102" s="2" t="str">
        <f t="array" ref="I1102">_xlfn.XLOOKUP(B1102,Vendedores!$A$2:$A$41,Vendedores!$D$2:$D$41,"No hay datos")</f>
        <v>No hay datos</v>
      </c>
      <c r="J1102" s="2" t="str">
        <f t="array" ref="J1102">_xlfn.XLOOKUP(A1102,Productos!$A$2:$A$61,Productos!$B$2:$F$61)</f>
        <v>#N/A</v>
      </c>
    </row>
    <row r="1103">
      <c r="A1103" s="2" t="str">
        <f>IFERROR(__xludf.DUMMYFUNCTION("""COMPUTED_VALUE"""),"PR024")</f>
        <v>PR024</v>
      </c>
      <c r="B1103" s="2" t="str">
        <f>IFERROR(__xludf.DUMMYFUNCTION("""COMPUTED_VALUE"""),"VD033")</f>
        <v>VD033</v>
      </c>
      <c r="C1103" s="2">
        <f>IFERROR(__xludf.DUMMYFUNCTION("""COMPUTED_VALUE"""),5.0)</f>
        <v>5</v>
      </c>
      <c r="D1103" s="6">
        <f>IFERROR(__xludf.DUMMYFUNCTION("""COMPUTED_VALUE"""),1312.5)</f>
        <v>1312.5</v>
      </c>
      <c r="E1103" s="6">
        <f>IFERROR(__xludf.DUMMYFUNCTION("GOOGLEFINANCE(""Currency:BRLMXN"")*D1103"),4458.5625)</f>
        <v>4458.5625</v>
      </c>
      <c r="F1103" s="6">
        <f>IFERROR(__xludf.DUMMYFUNCTION("GOOGLEFINANCE(""Currency:BRLPEN"")*D1103"),860.4749999999999)</f>
        <v>860.475</v>
      </c>
      <c r="G1103" s="2" t="str">
        <f t="array" ref="G1103">_xlfn.XLOOKUP(B1103,Vendedores!$A$2:$A$41,Vendedores!$B$2:$B$41,"No hay datos")</f>
        <v>No hay datos</v>
      </c>
      <c r="H1103" s="2" t="str">
        <f t="array" ref="H1103">_xlfn.XLOOKUP(B1103,Vendedores!$A$2:$A$41,Vendedores!$C$2:$C$41,"No hay datos")</f>
        <v>No hay datos</v>
      </c>
      <c r="I1103" s="2" t="str">
        <f t="array" ref="I1103">_xlfn.XLOOKUP(B1103,Vendedores!$A$2:$A$41,Vendedores!$D$2:$D$41,"No hay datos")</f>
        <v>No hay datos</v>
      </c>
      <c r="J1103" s="2" t="str">
        <f t="array" ref="J1103">_xlfn.XLOOKUP(A1103,Productos!$A$2:$A$61,Productos!$B$2:$F$61)</f>
        <v>#N/A</v>
      </c>
    </row>
    <row r="1104">
      <c r="A1104" s="2" t="str">
        <f>IFERROR(__xludf.DUMMYFUNCTION("""COMPUTED_VALUE"""),"PR025")</f>
        <v>PR025</v>
      </c>
      <c r="B1104" s="2" t="str">
        <f>IFERROR(__xludf.DUMMYFUNCTION("""COMPUTED_VALUE"""),"VD027")</f>
        <v>VD027</v>
      </c>
      <c r="C1104" s="2">
        <f>IFERROR(__xludf.DUMMYFUNCTION("""COMPUTED_VALUE"""),16.0)</f>
        <v>16</v>
      </c>
      <c r="D1104" s="6">
        <f>IFERROR(__xludf.DUMMYFUNCTION("""COMPUTED_VALUE"""),5278.24)</f>
        <v>5278.24</v>
      </c>
      <c r="E1104" s="6">
        <f>IFERROR(__xludf.DUMMYFUNCTION("GOOGLEFINANCE(""Currency:BRLMXN"")*D1104"),17930.181279999997)</f>
        <v>17930.18128</v>
      </c>
      <c r="F1104" s="6">
        <f>IFERROR(__xludf.DUMMYFUNCTION("GOOGLEFINANCE(""Currency:BRLPEN"")*D1104"),3460.414144)</f>
        <v>3460.414144</v>
      </c>
      <c r="G1104" s="2" t="str">
        <f t="array" ref="G1104">_xlfn.XLOOKUP(B1104,Vendedores!$A$2:$A$41,Vendedores!$B$2:$B$41,"No hay datos")</f>
        <v>No hay datos</v>
      </c>
      <c r="H1104" s="2" t="str">
        <f t="array" ref="H1104">_xlfn.XLOOKUP(B1104,Vendedores!$A$2:$A$41,Vendedores!$C$2:$C$41,"No hay datos")</f>
        <v>No hay datos</v>
      </c>
      <c r="I1104" s="2" t="str">
        <f t="array" ref="I1104">_xlfn.XLOOKUP(B1104,Vendedores!$A$2:$A$41,Vendedores!$D$2:$D$41,"No hay datos")</f>
        <v>No hay datos</v>
      </c>
      <c r="J1104" s="2" t="str">
        <f t="array" ref="J1104">_xlfn.XLOOKUP(A1104,Productos!$A$2:$A$61,Productos!$B$2:$F$61)</f>
        <v>#N/A</v>
      </c>
    </row>
    <row r="1105">
      <c r="A1105" s="2" t="str">
        <f>IFERROR(__xludf.DUMMYFUNCTION("""COMPUTED_VALUE"""),"PR040")</f>
        <v>PR040</v>
      </c>
      <c r="B1105" s="2" t="str">
        <f>IFERROR(__xludf.DUMMYFUNCTION("""COMPUTED_VALUE"""),"VD020")</f>
        <v>VD020</v>
      </c>
      <c r="C1105" s="2">
        <f>IFERROR(__xludf.DUMMYFUNCTION("""COMPUTED_VALUE"""),5.0)</f>
        <v>5</v>
      </c>
      <c r="D1105" s="6">
        <f>IFERROR(__xludf.DUMMYFUNCTION("""COMPUTED_VALUE"""),385.0)</f>
        <v>385</v>
      </c>
      <c r="E1105" s="6">
        <f>IFERROR(__xludf.DUMMYFUNCTION("GOOGLEFINANCE(""Currency:BRLMXN"")*D1105"),1307.845)</f>
        <v>1307.845</v>
      </c>
      <c r="F1105" s="6">
        <f>IFERROR(__xludf.DUMMYFUNCTION("GOOGLEFINANCE(""Currency:BRLPEN"")*D1105"),252.40599999999998)</f>
        <v>252.406</v>
      </c>
      <c r="G1105" s="2" t="str">
        <f t="array" ref="G1105">_xlfn.XLOOKUP(B1105,Vendedores!$A$2:$A$41,Vendedores!$B$2:$B$41,"No hay datos")</f>
        <v>No hay datos</v>
      </c>
      <c r="H1105" s="2" t="str">
        <f t="array" ref="H1105">_xlfn.XLOOKUP(B1105,Vendedores!$A$2:$A$41,Vendedores!$C$2:$C$41,"No hay datos")</f>
        <v>No hay datos</v>
      </c>
      <c r="I1105" s="2" t="str">
        <f t="array" ref="I1105">_xlfn.XLOOKUP(B1105,Vendedores!$A$2:$A$41,Vendedores!$D$2:$D$41,"No hay datos")</f>
        <v>No hay datos</v>
      </c>
      <c r="J1105" s="2" t="str">
        <f t="array" ref="J1105">_xlfn.XLOOKUP(A1105,Productos!$A$2:$A$61,Productos!$B$2:$F$61)</f>
        <v>#N/A</v>
      </c>
    </row>
    <row r="1106">
      <c r="A1106" s="2" t="str">
        <f>IFERROR(__xludf.DUMMYFUNCTION("""COMPUTED_VALUE"""),"PR012")</f>
        <v>PR012</v>
      </c>
      <c r="B1106" s="2" t="str">
        <f>IFERROR(__xludf.DUMMYFUNCTION("""COMPUTED_VALUE"""),"VD042")</f>
        <v>VD042</v>
      </c>
      <c r="C1106" s="2">
        <f>IFERROR(__xludf.DUMMYFUNCTION("""COMPUTED_VALUE"""),6.0)</f>
        <v>6</v>
      </c>
      <c r="D1106" s="6">
        <f>IFERROR(__xludf.DUMMYFUNCTION("""COMPUTED_VALUE"""),316.87)</f>
        <v>316.87</v>
      </c>
      <c r="E1106" s="6">
        <f>IFERROR(__xludf.DUMMYFUNCTION("GOOGLEFINANCE(""Currency:BRLMXN"")*D1106"),1076.4073899999999)</f>
        <v>1076.40739</v>
      </c>
      <c r="F1106" s="6">
        <f>IFERROR(__xludf.DUMMYFUNCTION("GOOGLEFINANCE(""Currency:BRLPEN"")*D1106"),207.739972)</f>
        <v>207.739972</v>
      </c>
      <c r="G1106" s="2" t="str">
        <f t="array" ref="G1106">_xlfn.XLOOKUP(B1106,Vendedores!$A$2:$A$41,Vendedores!$B$2:$B$41,"No hay datos")</f>
        <v>No hay datos</v>
      </c>
      <c r="H1106" s="2" t="str">
        <f t="array" ref="H1106">_xlfn.XLOOKUP(B1106,Vendedores!$A$2:$A$41,Vendedores!$C$2:$C$41,"No hay datos")</f>
        <v>No hay datos</v>
      </c>
      <c r="I1106" s="2" t="str">
        <f t="array" ref="I1106">_xlfn.XLOOKUP(B1106,Vendedores!$A$2:$A$41,Vendedores!$D$2:$D$41,"No hay datos")</f>
        <v>No hay datos</v>
      </c>
      <c r="J1106" s="2" t="str">
        <f t="array" ref="J1106">_xlfn.XLOOKUP(A1106,Productos!$A$2:$A$61,Productos!$B$2:$F$61)</f>
        <v>#N/A</v>
      </c>
    </row>
    <row r="1107">
      <c r="A1107" s="2" t="str">
        <f>IFERROR(__xludf.DUMMYFUNCTION("""COMPUTED_VALUE"""),"PR050")</f>
        <v>PR050</v>
      </c>
      <c r="B1107" s="2" t="str">
        <f>IFERROR(__xludf.DUMMYFUNCTION("""COMPUTED_VALUE"""),"VD039")</f>
        <v>VD039</v>
      </c>
      <c r="C1107" s="2">
        <f>IFERROR(__xludf.DUMMYFUNCTION("""COMPUTED_VALUE"""),2.0)</f>
        <v>2</v>
      </c>
      <c r="D1107" s="6">
        <f>IFERROR(__xludf.DUMMYFUNCTION("""COMPUTED_VALUE"""),65.8)</f>
        <v>65.8</v>
      </c>
      <c r="E1107" s="6">
        <f>IFERROR(__xludf.DUMMYFUNCTION("GOOGLEFINANCE(""Currency:BRLMXN"")*D1107"),223.52259999999998)</f>
        <v>223.5226</v>
      </c>
      <c r="F1107" s="6">
        <f>IFERROR(__xludf.DUMMYFUNCTION("GOOGLEFINANCE(""Currency:BRLPEN"")*D1107"),43.138479999999994)</f>
        <v>43.13848</v>
      </c>
      <c r="G1107" s="2" t="str">
        <f t="array" ref="G1107">_xlfn.XLOOKUP(B1107,Vendedores!$A$2:$A$41,Vendedores!$B$2:$B$41,"No hay datos")</f>
        <v>No hay datos</v>
      </c>
      <c r="H1107" s="2" t="str">
        <f t="array" ref="H1107">_xlfn.XLOOKUP(B1107,Vendedores!$A$2:$A$41,Vendedores!$C$2:$C$41,"No hay datos")</f>
        <v>No hay datos</v>
      </c>
      <c r="I1107" s="2" t="str">
        <f t="array" ref="I1107">_xlfn.XLOOKUP(B1107,Vendedores!$A$2:$A$41,Vendedores!$D$2:$D$41,"No hay datos")</f>
        <v>No hay datos</v>
      </c>
      <c r="J1107" s="2" t="str">
        <f t="array" ref="J1107">_xlfn.XLOOKUP(A1107,Productos!$A$2:$A$61,Productos!$B$2:$F$61)</f>
        <v>#N/A</v>
      </c>
    </row>
    <row r="1108">
      <c r="A1108" s="2" t="str">
        <f>IFERROR(__xludf.DUMMYFUNCTION("""COMPUTED_VALUE"""),"PR036")</f>
        <v>PR036</v>
      </c>
      <c r="B1108" s="2" t="str">
        <f>IFERROR(__xludf.DUMMYFUNCTION("""COMPUTED_VALUE"""),"VD010")</f>
        <v>VD010</v>
      </c>
      <c r="C1108" s="2">
        <f>IFERROR(__xludf.DUMMYFUNCTION("""COMPUTED_VALUE"""),8.0)</f>
        <v>8</v>
      </c>
      <c r="D1108" s="6">
        <f>IFERROR(__xludf.DUMMYFUNCTION("""COMPUTED_VALUE"""),755.48)</f>
        <v>755.48</v>
      </c>
      <c r="E1108" s="6">
        <f>IFERROR(__xludf.DUMMYFUNCTION("GOOGLEFINANCE(""Currency:BRLMXN"")*D1108"),2566.3655599999997)</f>
        <v>2566.36556</v>
      </c>
      <c r="F1108" s="6">
        <f>IFERROR(__xludf.DUMMYFUNCTION("GOOGLEFINANCE(""Currency:BRLPEN"")*D1108"),495.292688)</f>
        <v>495.292688</v>
      </c>
      <c r="G1108" s="2" t="str">
        <f t="array" ref="G1108">_xlfn.XLOOKUP(B1108,Vendedores!$A$2:$A$41,Vendedores!$B$2:$B$41,"No hay datos")</f>
        <v>No hay datos</v>
      </c>
      <c r="H1108" s="2" t="str">
        <f t="array" ref="H1108">_xlfn.XLOOKUP(B1108,Vendedores!$A$2:$A$41,Vendedores!$C$2:$C$41,"No hay datos")</f>
        <v>No hay datos</v>
      </c>
      <c r="I1108" s="2" t="str">
        <f t="array" ref="I1108">_xlfn.XLOOKUP(B1108,Vendedores!$A$2:$A$41,Vendedores!$D$2:$D$41,"No hay datos")</f>
        <v>No hay datos</v>
      </c>
      <c r="J1108" s="2" t="str">
        <f t="array" ref="J1108">_xlfn.XLOOKUP(A1108,Productos!$A$2:$A$61,Productos!$B$2:$F$61)</f>
        <v>#N/A</v>
      </c>
    </row>
    <row r="1109">
      <c r="A1109" s="2" t="str">
        <f>IFERROR(__xludf.DUMMYFUNCTION("""COMPUTED_VALUE"""),"PR031")</f>
        <v>PR031</v>
      </c>
      <c r="B1109" s="2" t="str">
        <f>IFERROR(__xludf.DUMMYFUNCTION("""COMPUTED_VALUE"""),"VD030")</f>
        <v>VD030</v>
      </c>
      <c r="C1109" s="2">
        <f>IFERROR(__xludf.DUMMYFUNCTION("""COMPUTED_VALUE"""),9.0)</f>
        <v>9</v>
      </c>
      <c r="D1109" s="6">
        <f>IFERROR(__xludf.DUMMYFUNCTION("""COMPUTED_VALUE"""),2227.05)</f>
        <v>2227.05</v>
      </c>
      <c r="E1109" s="6">
        <f>IFERROR(__xludf.DUMMYFUNCTION("GOOGLEFINANCE(""Currency:BRLMXN"")*D1109"),7565.28885)</f>
        <v>7565.28885</v>
      </c>
      <c r="F1109" s="6">
        <f>IFERROR(__xludf.DUMMYFUNCTION("GOOGLEFINANCE(""Currency:BRLPEN"")*D1109"),1460.0539800000001)</f>
        <v>1460.05398</v>
      </c>
      <c r="G1109" s="2" t="str">
        <f t="array" ref="G1109">_xlfn.XLOOKUP(B1109,Vendedores!$A$2:$A$41,Vendedores!$B$2:$B$41,"No hay datos")</f>
        <v>No hay datos</v>
      </c>
      <c r="H1109" s="2" t="str">
        <f t="array" ref="H1109">_xlfn.XLOOKUP(B1109,Vendedores!$A$2:$A$41,Vendedores!$C$2:$C$41,"No hay datos")</f>
        <v>No hay datos</v>
      </c>
      <c r="I1109" s="2" t="str">
        <f t="array" ref="I1109">_xlfn.XLOOKUP(B1109,Vendedores!$A$2:$A$41,Vendedores!$D$2:$D$41,"No hay datos")</f>
        <v>No hay datos</v>
      </c>
      <c r="J1109" s="2" t="str">
        <f t="array" ref="J1109">_xlfn.XLOOKUP(A1109,Productos!$A$2:$A$61,Productos!$B$2:$F$61)</f>
        <v>#N/A</v>
      </c>
    </row>
    <row r="1110">
      <c r="A1110" s="2" t="str">
        <f>IFERROR(__xludf.DUMMYFUNCTION("""COMPUTED_VALUE"""),"PR060")</f>
        <v>PR060</v>
      </c>
      <c r="B1110" s="2" t="str">
        <f>IFERROR(__xludf.DUMMYFUNCTION("""COMPUTED_VALUE"""),"VD045")</f>
        <v>VD045</v>
      </c>
      <c r="C1110" s="2">
        <f>IFERROR(__xludf.DUMMYFUNCTION("""COMPUTED_VALUE"""),3.0)</f>
        <v>3</v>
      </c>
      <c r="D1110" s="6">
        <f>IFERROR(__xludf.DUMMYFUNCTION("""COMPUTED_VALUE"""),556.2)</f>
        <v>556.2</v>
      </c>
      <c r="E1110" s="6">
        <f>IFERROR(__xludf.DUMMYFUNCTION("GOOGLEFINANCE(""Currency:BRLMXN"")*D1110"),1889.4114)</f>
        <v>1889.4114</v>
      </c>
      <c r="F1110" s="6">
        <f>IFERROR(__xludf.DUMMYFUNCTION("GOOGLEFINANCE(""Currency:BRLPEN"")*D1110"),364.64472)</f>
        <v>364.64472</v>
      </c>
      <c r="G1110" s="2" t="str">
        <f t="array" ref="G1110">_xlfn.XLOOKUP(B1110,Vendedores!$A$2:$A$41,Vendedores!$B$2:$B$41,"No hay datos")</f>
        <v>No hay datos</v>
      </c>
      <c r="H1110" s="2" t="str">
        <f t="array" ref="H1110">_xlfn.XLOOKUP(B1110,Vendedores!$A$2:$A$41,Vendedores!$C$2:$C$41,"No hay datos")</f>
        <v>No hay datos</v>
      </c>
      <c r="I1110" s="2" t="str">
        <f t="array" ref="I1110">_xlfn.XLOOKUP(B1110,Vendedores!$A$2:$A$41,Vendedores!$D$2:$D$41,"No hay datos")</f>
        <v>No hay datos</v>
      </c>
      <c r="J1110" s="2" t="str">
        <f t="array" ref="J1110">_xlfn.XLOOKUP(A1110,Productos!$A$2:$A$61,Productos!$B$2:$F$61)</f>
        <v>#N/A</v>
      </c>
    </row>
    <row r="1111">
      <c r="A1111" s="2" t="str">
        <f>IFERROR(__xludf.DUMMYFUNCTION("""COMPUTED_VALUE"""),"PR028")</f>
        <v>PR028</v>
      </c>
      <c r="B1111" s="2" t="str">
        <f>IFERROR(__xludf.DUMMYFUNCTION("""COMPUTED_VALUE"""),"VD038")</f>
        <v>VD038</v>
      </c>
      <c r="C1111" s="2">
        <f>IFERROR(__xludf.DUMMYFUNCTION("""COMPUTED_VALUE"""),1.0)</f>
        <v>1</v>
      </c>
      <c r="D1111" s="6">
        <f>IFERROR(__xludf.DUMMYFUNCTION("""COMPUTED_VALUE"""),249.9)</f>
        <v>249.9</v>
      </c>
      <c r="E1111" s="6">
        <f>IFERROR(__xludf.DUMMYFUNCTION("GOOGLEFINANCE(""Currency:BRLMXN"")*D1111"),848.9103)</f>
        <v>848.9103</v>
      </c>
      <c r="F1111" s="6">
        <f>IFERROR(__xludf.DUMMYFUNCTION("GOOGLEFINANCE(""Currency:BRLPEN"")*D1111"),163.83444)</f>
        <v>163.83444</v>
      </c>
      <c r="G1111" s="2" t="str">
        <f t="array" ref="G1111">_xlfn.XLOOKUP(B1111,Vendedores!$A$2:$A$41,Vendedores!$B$2:$B$41,"No hay datos")</f>
        <v>No hay datos</v>
      </c>
      <c r="H1111" s="2" t="str">
        <f t="array" ref="H1111">_xlfn.XLOOKUP(B1111,Vendedores!$A$2:$A$41,Vendedores!$C$2:$C$41,"No hay datos")</f>
        <v>No hay datos</v>
      </c>
      <c r="I1111" s="2" t="str">
        <f t="array" ref="I1111">_xlfn.XLOOKUP(B1111,Vendedores!$A$2:$A$41,Vendedores!$D$2:$D$41,"No hay datos")</f>
        <v>No hay datos</v>
      </c>
      <c r="J1111" s="2" t="str">
        <f t="array" ref="J1111">_xlfn.XLOOKUP(A1111,Productos!$A$2:$A$61,Productos!$B$2:$F$61)</f>
        <v>#N/A</v>
      </c>
    </row>
    <row r="1112">
      <c r="A1112" s="2" t="str">
        <f>IFERROR(__xludf.DUMMYFUNCTION("""COMPUTED_VALUE"""),"PR056")</f>
        <v>PR056</v>
      </c>
      <c r="B1112" s="2" t="str">
        <f>IFERROR(__xludf.DUMMYFUNCTION("""COMPUTED_VALUE"""),"VD031")</f>
        <v>VD031</v>
      </c>
      <c r="C1112" s="2">
        <f>IFERROR(__xludf.DUMMYFUNCTION("""COMPUTED_VALUE"""),18.0)</f>
        <v>18</v>
      </c>
      <c r="D1112" s="6">
        <f>IFERROR(__xludf.DUMMYFUNCTION("""COMPUTED_VALUE"""),1747.66)</f>
        <v>1747.66</v>
      </c>
      <c r="E1112" s="6">
        <f>IFERROR(__xludf.DUMMYFUNCTION("GOOGLEFINANCE(""Currency:BRLMXN"")*D1112"),5936.80102)</f>
        <v>5936.80102</v>
      </c>
      <c r="F1112" s="6">
        <f>IFERROR(__xludf.DUMMYFUNCTION("GOOGLEFINANCE(""Currency:BRLPEN"")*D1112"),1145.7658959999999)</f>
        <v>1145.765896</v>
      </c>
      <c r="G1112" s="2" t="str">
        <f t="array" ref="G1112">_xlfn.XLOOKUP(B1112,Vendedores!$A$2:$A$41,Vendedores!$B$2:$B$41,"No hay datos")</f>
        <v>No hay datos</v>
      </c>
      <c r="H1112" s="2" t="str">
        <f t="array" ref="H1112">_xlfn.XLOOKUP(B1112,Vendedores!$A$2:$A$41,Vendedores!$C$2:$C$41,"No hay datos")</f>
        <v>No hay datos</v>
      </c>
      <c r="I1112" s="2" t="str">
        <f t="array" ref="I1112">_xlfn.XLOOKUP(B1112,Vendedores!$A$2:$A$41,Vendedores!$D$2:$D$41,"No hay datos")</f>
        <v>No hay datos</v>
      </c>
      <c r="J1112" s="2" t="str">
        <f t="array" ref="J1112">_xlfn.XLOOKUP(A1112,Productos!$A$2:$A$61,Productos!$B$2:$F$61)</f>
        <v>#N/A</v>
      </c>
    </row>
    <row r="1113">
      <c r="A1113" s="2" t="str">
        <f>IFERROR(__xludf.DUMMYFUNCTION("""COMPUTED_VALUE"""),"PR055")</f>
        <v>PR055</v>
      </c>
      <c r="B1113" s="2" t="str">
        <f>IFERROR(__xludf.DUMMYFUNCTION("""COMPUTED_VALUE"""),"VD041")</f>
        <v>VD041</v>
      </c>
      <c r="C1113" s="2">
        <f>IFERROR(__xludf.DUMMYFUNCTION("""COMPUTED_VALUE"""),6.0)</f>
        <v>6</v>
      </c>
      <c r="D1113" s="6">
        <f>IFERROR(__xludf.DUMMYFUNCTION("""COMPUTED_VALUE"""),550.19)</f>
        <v>550.19</v>
      </c>
      <c r="E1113" s="6">
        <f>IFERROR(__xludf.DUMMYFUNCTION("GOOGLEFINANCE(""Currency:BRLMXN"")*D1113"),1868.9954300000002)</f>
        <v>1868.99543</v>
      </c>
      <c r="F1113" s="6">
        <f>IFERROR(__xludf.DUMMYFUNCTION("GOOGLEFINANCE(""Currency:BRLPEN"")*D1113"),360.704564)</f>
        <v>360.704564</v>
      </c>
      <c r="G1113" s="2" t="str">
        <f t="array" ref="G1113">_xlfn.XLOOKUP(B1113,Vendedores!$A$2:$A$41,Vendedores!$B$2:$B$41,"No hay datos")</f>
        <v>No hay datos</v>
      </c>
      <c r="H1113" s="2" t="str">
        <f t="array" ref="H1113">_xlfn.XLOOKUP(B1113,Vendedores!$A$2:$A$41,Vendedores!$C$2:$C$41,"No hay datos")</f>
        <v>No hay datos</v>
      </c>
      <c r="I1113" s="2" t="str">
        <f t="array" ref="I1113">_xlfn.XLOOKUP(B1113,Vendedores!$A$2:$A$41,Vendedores!$D$2:$D$41,"No hay datos")</f>
        <v>No hay datos</v>
      </c>
      <c r="J1113" s="2" t="str">
        <f t="array" ref="J1113">_xlfn.XLOOKUP(A1113,Productos!$A$2:$A$61,Productos!$B$2:$F$61)</f>
        <v>#N/A</v>
      </c>
    </row>
    <row r="1114">
      <c r="A1114" s="2" t="str">
        <f>IFERROR(__xludf.DUMMYFUNCTION("""COMPUTED_VALUE"""),"PR058")</f>
        <v>PR058</v>
      </c>
      <c r="B1114" s="2" t="str">
        <f>IFERROR(__xludf.DUMMYFUNCTION("""COMPUTED_VALUE"""),"VD027")</f>
        <v>VD027</v>
      </c>
      <c r="C1114" s="2">
        <f>IFERROR(__xludf.DUMMYFUNCTION("""COMPUTED_VALUE"""),18.0)</f>
        <v>18</v>
      </c>
      <c r="D1114" s="6">
        <f>IFERROR(__xludf.DUMMYFUNCTION("""COMPUTED_VALUE"""),3531.6)</f>
        <v>3531.6</v>
      </c>
      <c r="E1114" s="6">
        <f>IFERROR(__xludf.DUMMYFUNCTION("GOOGLEFINANCE(""Currency:BRLMXN"")*D1114"),11996.8452)</f>
        <v>11996.8452</v>
      </c>
      <c r="F1114" s="6">
        <f>IFERROR(__xludf.DUMMYFUNCTION("GOOGLEFINANCE(""Currency:BRLPEN"")*D1114"),2315.3169599999997)</f>
        <v>2315.31696</v>
      </c>
      <c r="G1114" s="2" t="str">
        <f t="array" ref="G1114">_xlfn.XLOOKUP(B1114,Vendedores!$A$2:$A$41,Vendedores!$B$2:$B$41,"No hay datos")</f>
        <v>No hay datos</v>
      </c>
      <c r="H1114" s="2" t="str">
        <f t="array" ref="H1114">_xlfn.XLOOKUP(B1114,Vendedores!$A$2:$A$41,Vendedores!$C$2:$C$41,"No hay datos")</f>
        <v>No hay datos</v>
      </c>
      <c r="I1114" s="2" t="str">
        <f t="array" ref="I1114">_xlfn.XLOOKUP(B1114,Vendedores!$A$2:$A$41,Vendedores!$D$2:$D$41,"No hay datos")</f>
        <v>No hay datos</v>
      </c>
      <c r="J1114" s="2" t="str">
        <f t="array" ref="J1114">_xlfn.XLOOKUP(A1114,Productos!$A$2:$A$61,Productos!$B$2:$F$61)</f>
        <v>#N/A</v>
      </c>
    </row>
    <row r="1115">
      <c r="A1115" s="2" t="str">
        <f>IFERROR(__xludf.DUMMYFUNCTION("""COMPUTED_VALUE"""),"PR021")</f>
        <v>PR021</v>
      </c>
      <c r="B1115" s="2" t="str">
        <f>IFERROR(__xludf.DUMMYFUNCTION("""COMPUTED_VALUE"""),"VD025")</f>
        <v>VD025</v>
      </c>
      <c r="C1115" s="2">
        <f>IFERROR(__xludf.DUMMYFUNCTION("""COMPUTED_VALUE"""),10.0)</f>
        <v>10</v>
      </c>
      <c r="D1115" s="6">
        <f>IFERROR(__xludf.DUMMYFUNCTION("""COMPUTED_VALUE"""),3271.32)</f>
        <v>3271.32</v>
      </c>
      <c r="E1115" s="6">
        <f>IFERROR(__xludf.DUMMYFUNCTION("GOOGLEFINANCE(""Currency:BRLMXN"")*D1115"),11112.67404)</f>
        <v>11112.67404</v>
      </c>
      <c r="F1115" s="6">
        <f>IFERROR(__xludf.DUMMYFUNCTION("GOOGLEFINANCE(""Currency:BRLPEN"")*D1115"),2144.677392)</f>
        <v>2144.677392</v>
      </c>
      <c r="G1115" s="2" t="str">
        <f t="array" ref="G1115">_xlfn.XLOOKUP(B1115,Vendedores!$A$2:$A$41,Vendedores!$B$2:$B$41,"No hay datos")</f>
        <v>No hay datos</v>
      </c>
      <c r="H1115" s="2" t="str">
        <f t="array" ref="H1115">_xlfn.XLOOKUP(B1115,Vendedores!$A$2:$A$41,Vendedores!$C$2:$C$41,"No hay datos")</f>
        <v>No hay datos</v>
      </c>
      <c r="I1115" s="2" t="str">
        <f t="array" ref="I1115">_xlfn.XLOOKUP(B1115,Vendedores!$A$2:$A$41,Vendedores!$D$2:$D$41,"No hay datos")</f>
        <v>No hay datos</v>
      </c>
      <c r="J1115" s="2" t="str">
        <f t="array" ref="J1115">_xlfn.XLOOKUP(A1115,Productos!$A$2:$A$61,Productos!$B$2:$F$61)</f>
        <v>#N/A</v>
      </c>
    </row>
    <row r="1116">
      <c r="A1116" s="2" t="str">
        <f>IFERROR(__xludf.DUMMYFUNCTION("""COMPUTED_VALUE"""),"PR019")</f>
        <v>PR019</v>
      </c>
      <c r="B1116" s="2" t="str">
        <f>IFERROR(__xludf.DUMMYFUNCTION("""COMPUTED_VALUE"""),"VD033")</f>
        <v>VD033</v>
      </c>
      <c r="C1116" s="2">
        <f>IFERROR(__xludf.DUMMYFUNCTION("""COMPUTED_VALUE"""),6.0)</f>
        <v>6</v>
      </c>
      <c r="D1116" s="6">
        <f>IFERROR(__xludf.DUMMYFUNCTION("""COMPUTED_VALUE"""),314.37)</f>
        <v>314.37</v>
      </c>
      <c r="E1116" s="6">
        <f>IFERROR(__xludf.DUMMYFUNCTION("GOOGLEFINANCE(""Currency:BRLMXN"")*D1116"),1067.91489)</f>
        <v>1067.91489</v>
      </c>
      <c r="F1116" s="6">
        <f>IFERROR(__xludf.DUMMYFUNCTION("GOOGLEFINANCE(""Currency:BRLPEN"")*D1116"),206.10097199999998)</f>
        <v>206.100972</v>
      </c>
      <c r="G1116" s="2" t="str">
        <f t="array" ref="G1116">_xlfn.XLOOKUP(B1116,Vendedores!$A$2:$A$41,Vendedores!$B$2:$B$41,"No hay datos")</f>
        <v>No hay datos</v>
      </c>
      <c r="H1116" s="2" t="str">
        <f t="array" ref="H1116">_xlfn.XLOOKUP(B1116,Vendedores!$A$2:$A$41,Vendedores!$C$2:$C$41,"No hay datos")</f>
        <v>No hay datos</v>
      </c>
      <c r="I1116" s="2" t="str">
        <f t="array" ref="I1116">_xlfn.XLOOKUP(B1116,Vendedores!$A$2:$A$41,Vendedores!$D$2:$D$41,"No hay datos")</f>
        <v>No hay datos</v>
      </c>
      <c r="J1116" s="2" t="str">
        <f t="array" ref="J1116">_xlfn.XLOOKUP(A1116,Productos!$A$2:$A$61,Productos!$B$2:$F$61)</f>
        <v>#N/A</v>
      </c>
    </row>
    <row r="1117">
      <c r="A1117" s="2" t="str">
        <f>IFERROR(__xludf.DUMMYFUNCTION("""COMPUTED_VALUE"""),"PR024")</f>
        <v>PR024</v>
      </c>
      <c r="B1117" s="2" t="str">
        <f>IFERROR(__xludf.DUMMYFUNCTION("""COMPUTED_VALUE"""),"VD014")</f>
        <v>VD014</v>
      </c>
      <c r="C1117" s="2">
        <f>IFERROR(__xludf.DUMMYFUNCTION("""COMPUTED_VALUE"""),20.0)</f>
        <v>20</v>
      </c>
      <c r="D1117" s="6">
        <f>IFERROR(__xludf.DUMMYFUNCTION("""COMPUTED_VALUE"""),5613.84)</f>
        <v>5613.84</v>
      </c>
      <c r="E1117" s="6">
        <f>IFERROR(__xludf.DUMMYFUNCTION("GOOGLEFINANCE(""Currency:BRLMXN"")*D1117"),19070.21448)</f>
        <v>19070.21448</v>
      </c>
      <c r="F1117" s="6">
        <f>IFERROR(__xludf.DUMMYFUNCTION("GOOGLEFINANCE(""Currency:BRLPEN"")*D1117"),3680.433504)</f>
        <v>3680.433504</v>
      </c>
      <c r="G1117" s="2" t="str">
        <f t="array" ref="G1117">_xlfn.XLOOKUP(B1117,Vendedores!$A$2:$A$41,Vendedores!$B$2:$B$41,"No hay datos")</f>
        <v>No hay datos</v>
      </c>
      <c r="H1117" s="2" t="str">
        <f t="array" ref="H1117">_xlfn.XLOOKUP(B1117,Vendedores!$A$2:$A$41,Vendedores!$C$2:$C$41,"No hay datos")</f>
        <v>No hay datos</v>
      </c>
      <c r="I1117" s="2" t="str">
        <f t="array" ref="I1117">_xlfn.XLOOKUP(B1117,Vendedores!$A$2:$A$41,Vendedores!$D$2:$D$41,"No hay datos")</f>
        <v>No hay datos</v>
      </c>
      <c r="J1117" s="2" t="str">
        <f t="array" ref="J1117">_xlfn.XLOOKUP(A1117,Productos!$A$2:$A$61,Productos!$B$2:$F$61)</f>
        <v>#N/A</v>
      </c>
    </row>
    <row r="1118">
      <c r="A1118" s="2" t="str">
        <f>IFERROR(__xludf.DUMMYFUNCTION("""COMPUTED_VALUE"""),"PR042")</f>
        <v>PR042</v>
      </c>
      <c r="B1118" s="2" t="str">
        <f>IFERROR(__xludf.DUMMYFUNCTION("""COMPUTED_VALUE"""),"VD042")</f>
        <v>VD042</v>
      </c>
      <c r="C1118" s="2">
        <f>IFERROR(__xludf.DUMMYFUNCTION("""COMPUTED_VALUE"""),3.0)</f>
        <v>3</v>
      </c>
      <c r="D1118" s="6">
        <f>IFERROR(__xludf.DUMMYFUNCTION("""COMPUTED_VALUE"""),171.29)</f>
        <v>171.29</v>
      </c>
      <c r="E1118" s="6">
        <f>IFERROR(__xludf.DUMMYFUNCTION("GOOGLEFINANCE(""Currency:BRLMXN"")*D1118"),581.87213)</f>
        <v>581.87213</v>
      </c>
      <c r="F1118" s="6">
        <f>IFERROR(__xludf.DUMMYFUNCTION("GOOGLEFINANCE(""Currency:BRLPEN"")*D1118"),112.29772399999999)</f>
        <v>112.297724</v>
      </c>
      <c r="G1118" s="2" t="str">
        <f t="array" ref="G1118">_xlfn.XLOOKUP(B1118,Vendedores!$A$2:$A$41,Vendedores!$B$2:$B$41,"No hay datos")</f>
        <v>No hay datos</v>
      </c>
      <c r="H1118" s="2" t="str">
        <f t="array" ref="H1118">_xlfn.XLOOKUP(B1118,Vendedores!$A$2:$A$41,Vendedores!$C$2:$C$41,"No hay datos")</f>
        <v>No hay datos</v>
      </c>
      <c r="I1118" s="2" t="str">
        <f t="array" ref="I1118">_xlfn.XLOOKUP(B1118,Vendedores!$A$2:$A$41,Vendedores!$D$2:$D$41,"No hay datos")</f>
        <v>No hay datos</v>
      </c>
      <c r="J1118" s="2" t="str">
        <f t="array" ref="J1118">_xlfn.XLOOKUP(A1118,Productos!$A$2:$A$61,Productos!$B$2:$F$61)</f>
        <v>#N/A</v>
      </c>
    </row>
    <row r="1119">
      <c r="A1119" s="2" t="str">
        <f>IFERROR(__xludf.DUMMYFUNCTION("""COMPUTED_VALUE"""),"PR041")</f>
        <v>PR041</v>
      </c>
      <c r="B1119" s="2" t="str">
        <f>IFERROR(__xludf.DUMMYFUNCTION("""COMPUTED_VALUE"""),"VD012")</f>
        <v>VD012</v>
      </c>
      <c r="C1119" s="2">
        <f>IFERROR(__xludf.DUMMYFUNCTION("""COMPUTED_VALUE"""),1.0)</f>
        <v>1</v>
      </c>
      <c r="D1119" s="6">
        <f>IFERROR(__xludf.DUMMYFUNCTION("""COMPUTED_VALUE"""),55.45)</f>
        <v>55.45</v>
      </c>
      <c r="E1119" s="6">
        <f>IFERROR(__xludf.DUMMYFUNCTION("GOOGLEFINANCE(""Currency:BRLMXN"")*D1119"),188.36365)</f>
        <v>188.36365</v>
      </c>
      <c r="F1119" s="6">
        <f>IFERROR(__xludf.DUMMYFUNCTION("GOOGLEFINANCE(""Currency:BRLPEN"")*D1119"),36.35302)</f>
        <v>36.35302</v>
      </c>
      <c r="G1119" s="2" t="str">
        <f t="array" ref="G1119">_xlfn.XLOOKUP(B1119,Vendedores!$A$2:$A$41,Vendedores!$B$2:$B$41,"No hay datos")</f>
        <v>No hay datos</v>
      </c>
      <c r="H1119" s="2" t="str">
        <f t="array" ref="H1119">_xlfn.XLOOKUP(B1119,Vendedores!$A$2:$A$41,Vendedores!$C$2:$C$41,"No hay datos")</f>
        <v>No hay datos</v>
      </c>
      <c r="I1119" s="2" t="str">
        <f t="array" ref="I1119">_xlfn.XLOOKUP(B1119,Vendedores!$A$2:$A$41,Vendedores!$D$2:$D$41,"No hay datos")</f>
        <v>No hay datos</v>
      </c>
      <c r="J1119" s="2" t="str">
        <f t="array" ref="J1119">_xlfn.XLOOKUP(A1119,Productos!$A$2:$A$61,Productos!$B$2:$F$61)</f>
        <v>#N/A</v>
      </c>
    </row>
    <row r="1120">
      <c r="A1120" s="2" t="str">
        <f>IFERROR(__xludf.DUMMYFUNCTION("""COMPUTED_VALUE"""),"PR055")</f>
        <v>PR055</v>
      </c>
      <c r="B1120" s="2" t="str">
        <f>IFERROR(__xludf.DUMMYFUNCTION("""COMPUTED_VALUE"""),"VD040")</f>
        <v>VD040</v>
      </c>
      <c r="C1120" s="2">
        <f>IFERROR(__xludf.DUMMYFUNCTION("""COMPUTED_VALUE"""),4.0)</f>
        <v>4</v>
      </c>
      <c r="D1120" s="6">
        <f>IFERROR(__xludf.DUMMYFUNCTION("""COMPUTED_VALUE"""),373.98)</f>
        <v>373.98</v>
      </c>
      <c r="E1120" s="6">
        <f>IFERROR(__xludf.DUMMYFUNCTION("GOOGLEFINANCE(""Currency:BRLMXN"")*D1120"),1270.41006)</f>
        <v>1270.41006</v>
      </c>
      <c r="F1120" s="6">
        <f>IFERROR(__xludf.DUMMYFUNCTION("GOOGLEFINANCE(""Currency:BRLPEN"")*D1120"),245.181288)</f>
        <v>245.181288</v>
      </c>
      <c r="G1120" s="2" t="str">
        <f t="array" ref="G1120">_xlfn.XLOOKUP(B1120,Vendedores!$A$2:$A$41,Vendedores!$B$2:$B$41,"No hay datos")</f>
        <v>No hay datos</v>
      </c>
      <c r="H1120" s="2" t="str">
        <f t="array" ref="H1120">_xlfn.XLOOKUP(B1120,Vendedores!$A$2:$A$41,Vendedores!$C$2:$C$41,"No hay datos")</f>
        <v>No hay datos</v>
      </c>
      <c r="I1120" s="2" t="str">
        <f t="array" ref="I1120">_xlfn.XLOOKUP(B1120,Vendedores!$A$2:$A$41,Vendedores!$D$2:$D$41,"No hay datos")</f>
        <v>No hay datos</v>
      </c>
      <c r="J1120" s="2" t="str">
        <f t="array" ref="J1120">_xlfn.XLOOKUP(A1120,Productos!$A$2:$A$61,Productos!$B$2:$F$61)</f>
        <v>#N/A</v>
      </c>
    </row>
    <row r="1121">
      <c r="A1121" s="2" t="str">
        <f>IFERROR(__xludf.DUMMYFUNCTION("""COMPUTED_VALUE"""),"PR011")</f>
        <v>PR011</v>
      </c>
      <c r="B1121" s="2" t="str">
        <f>IFERROR(__xludf.DUMMYFUNCTION("""COMPUTED_VALUE"""),"VD018")</f>
        <v>VD018</v>
      </c>
      <c r="C1121" s="2">
        <f>IFERROR(__xludf.DUMMYFUNCTION("""COMPUTED_VALUE"""),8.0)</f>
        <v>8</v>
      </c>
      <c r="D1121" s="6">
        <f>IFERROR(__xludf.DUMMYFUNCTION("""COMPUTED_VALUE"""),378.95)</f>
        <v>378.95</v>
      </c>
      <c r="E1121" s="6">
        <f>IFERROR(__xludf.DUMMYFUNCTION("GOOGLEFINANCE(""Currency:BRLMXN"")*D1121"),1287.29315)</f>
        <v>1287.29315</v>
      </c>
      <c r="F1121" s="6">
        <f>IFERROR(__xludf.DUMMYFUNCTION("GOOGLEFINANCE(""Currency:BRLPEN"")*D1121"),248.43962)</f>
        <v>248.43962</v>
      </c>
      <c r="G1121" s="2" t="str">
        <f t="array" ref="G1121">_xlfn.XLOOKUP(B1121,Vendedores!$A$2:$A$41,Vendedores!$B$2:$B$41,"No hay datos")</f>
        <v>No hay datos</v>
      </c>
      <c r="H1121" s="2" t="str">
        <f t="array" ref="H1121">_xlfn.XLOOKUP(B1121,Vendedores!$A$2:$A$41,Vendedores!$C$2:$C$41,"No hay datos")</f>
        <v>No hay datos</v>
      </c>
      <c r="I1121" s="2" t="str">
        <f t="array" ref="I1121">_xlfn.XLOOKUP(B1121,Vendedores!$A$2:$A$41,Vendedores!$D$2:$D$41,"No hay datos")</f>
        <v>No hay datos</v>
      </c>
      <c r="J1121" s="2" t="str">
        <f t="array" ref="J1121">_xlfn.XLOOKUP(A1121,Productos!$A$2:$A$61,Productos!$B$2:$F$61)</f>
        <v>#N/A</v>
      </c>
    </row>
    <row r="1122">
      <c r="A1122" s="2" t="str">
        <f>IFERROR(__xludf.DUMMYFUNCTION("""COMPUTED_VALUE"""),"PR053")</f>
        <v>PR053</v>
      </c>
      <c r="B1122" s="2" t="str">
        <f>IFERROR(__xludf.DUMMYFUNCTION("""COMPUTED_VALUE"""),"VD016")</f>
        <v>VD016</v>
      </c>
      <c r="C1122" s="2">
        <f>IFERROR(__xludf.DUMMYFUNCTION("""COMPUTED_VALUE"""),16.0)</f>
        <v>16</v>
      </c>
      <c r="D1122" s="6">
        <f>IFERROR(__xludf.DUMMYFUNCTION("""COMPUTED_VALUE"""),830.34)</f>
        <v>830.34</v>
      </c>
      <c r="E1122" s="6">
        <f>IFERROR(__xludf.DUMMYFUNCTION("GOOGLEFINANCE(""Currency:BRLMXN"")*D1122"),2820.66498)</f>
        <v>2820.66498</v>
      </c>
      <c r="F1122" s="6">
        <f>IFERROR(__xludf.DUMMYFUNCTION("GOOGLEFINANCE(""Currency:BRLPEN"")*D1122"),544.370904)</f>
        <v>544.370904</v>
      </c>
      <c r="G1122" s="2" t="str">
        <f t="array" ref="G1122">_xlfn.XLOOKUP(B1122,Vendedores!$A$2:$A$41,Vendedores!$B$2:$B$41,"No hay datos")</f>
        <v>No hay datos</v>
      </c>
      <c r="H1122" s="2" t="str">
        <f t="array" ref="H1122">_xlfn.XLOOKUP(B1122,Vendedores!$A$2:$A$41,Vendedores!$C$2:$C$41,"No hay datos")</f>
        <v>No hay datos</v>
      </c>
      <c r="I1122" s="2" t="str">
        <f t="array" ref="I1122">_xlfn.XLOOKUP(B1122,Vendedores!$A$2:$A$41,Vendedores!$D$2:$D$41,"No hay datos")</f>
        <v>No hay datos</v>
      </c>
      <c r="J1122" s="2" t="str">
        <f t="array" ref="J1122">_xlfn.XLOOKUP(A1122,Productos!$A$2:$A$61,Productos!$B$2:$F$61)</f>
        <v>#N/A</v>
      </c>
    </row>
    <row r="1123">
      <c r="A1123" s="2" t="str">
        <f>IFERROR(__xludf.DUMMYFUNCTION("""COMPUTED_VALUE"""),"PR044")</f>
        <v>PR044</v>
      </c>
      <c r="B1123" s="2" t="str">
        <f>IFERROR(__xludf.DUMMYFUNCTION("""COMPUTED_VALUE"""),"VD012")</f>
        <v>VD012</v>
      </c>
      <c r="C1123" s="2">
        <f>IFERROR(__xludf.DUMMYFUNCTION("""COMPUTED_VALUE"""),8.0)</f>
        <v>8</v>
      </c>
      <c r="D1123" s="6">
        <f>IFERROR(__xludf.DUMMYFUNCTION("""COMPUTED_VALUE"""),614.8)</f>
        <v>614.8</v>
      </c>
      <c r="E1123" s="6">
        <f>IFERROR(__xludf.DUMMYFUNCTION("GOOGLEFINANCE(""Currency:BRLMXN"")*D1123"),2088.4755999999998)</f>
        <v>2088.4756</v>
      </c>
      <c r="F1123" s="6">
        <f>IFERROR(__xludf.DUMMYFUNCTION("GOOGLEFINANCE(""Currency:BRLPEN"")*D1123"),403.06287999999995)</f>
        <v>403.06288</v>
      </c>
      <c r="G1123" s="2" t="str">
        <f t="array" ref="G1123">_xlfn.XLOOKUP(B1123,Vendedores!$A$2:$A$41,Vendedores!$B$2:$B$41,"No hay datos")</f>
        <v>No hay datos</v>
      </c>
      <c r="H1123" s="2" t="str">
        <f t="array" ref="H1123">_xlfn.XLOOKUP(B1123,Vendedores!$A$2:$A$41,Vendedores!$C$2:$C$41,"No hay datos")</f>
        <v>No hay datos</v>
      </c>
      <c r="I1123" s="2" t="str">
        <f t="array" ref="I1123">_xlfn.XLOOKUP(B1123,Vendedores!$A$2:$A$41,Vendedores!$D$2:$D$41,"No hay datos")</f>
        <v>No hay datos</v>
      </c>
      <c r="J1123" s="2" t="str">
        <f t="array" ref="J1123">_xlfn.XLOOKUP(A1123,Productos!$A$2:$A$61,Productos!$B$2:$F$61)</f>
        <v>#N/A</v>
      </c>
    </row>
    <row r="1124">
      <c r="A1124" s="2" t="str">
        <f>IFERROR(__xludf.DUMMYFUNCTION("""COMPUTED_VALUE"""),"PR024")</f>
        <v>PR024</v>
      </c>
      <c r="B1124" s="2" t="str">
        <f>IFERROR(__xludf.DUMMYFUNCTION("""COMPUTED_VALUE"""),"VD036")</f>
        <v>VD036</v>
      </c>
      <c r="C1124" s="2">
        <f>IFERROR(__xludf.DUMMYFUNCTION("""COMPUTED_VALUE"""),16.0)</f>
        <v>16</v>
      </c>
      <c r="D1124" s="6">
        <f>IFERROR(__xludf.DUMMYFUNCTION("""COMPUTED_VALUE"""),4283.15)</f>
        <v>4283.15</v>
      </c>
      <c r="E1124" s="6">
        <f>IFERROR(__xludf.DUMMYFUNCTION("GOOGLEFINANCE(""Currency:BRLMXN"")*D1124"),14549.860549999998)</f>
        <v>14549.86055</v>
      </c>
      <c r="F1124" s="6">
        <f>IFERROR(__xludf.DUMMYFUNCTION("GOOGLEFINANCE(""Currency:BRLPEN"")*D1124"),2808.0331399999995)</f>
        <v>2808.03314</v>
      </c>
      <c r="G1124" s="2" t="str">
        <f t="array" ref="G1124">_xlfn.XLOOKUP(B1124,Vendedores!$A$2:$A$41,Vendedores!$B$2:$B$41,"No hay datos")</f>
        <v>No hay datos</v>
      </c>
      <c r="H1124" s="2" t="str">
        <f t="array" ref="H1124">_xlfn.XLOOKUP(B1124,Vendedores!$A$2:$A$41,Vendedores!$C$2:$C$41,"No hay datos")</f>
        <v>No hay datos</v>
      </c>
      <c r="I1124" s="2" t="str">
        <f t="array" ref="I1124">_xlfn.XLOOKUP(B1124,Vendedores!$A$2:$A$41,Vendedores!$D$2:$D$41,"No hay datos")</f>
        <v>No hay datos</v>
      </c>
      <c r="J1124" s="2" t="str">
        <f t="array" ref="J1124">_xlfn.XLOOKUP(A1124,Productos!$A$2:$A$61,Productos!$B$2:$F$61)</f>
        <v>#N/A</v>
      </c>
    </row>
    <row r="1125">
      <c r="A1125" s="2" t="str">
        <f>IFERROR(__xludf.DUMMYFUNCTION("""COMPUTED_VALUE"""),"PR029")</f>
        <v>PR029</v>
      </c>
      <c r="B1125" s="2" t="str">
        <f>IFERROR(__xludf.DUMMYFUNCTION("""COMPUTED_VALUE"""),"VD017")</f>
        <v>VD017</v>
      </c>
      <c r="C1125" s="2">
        <f>IFERROR(__xludf.DUMMYFUNCTION("""COMPUTED_VALUE"""),8.0)</f>
        <v>8</v>
      </c>
      <c r="D1125" s="6">
        <f>IFERROR(__xludf.DUMMYFUNCTION("""COMPUTED_VALUE"""),2182.8)</f>
        <v>2182.8</v>
      </c>
      <c r="E1125" s="6">
        <f>IFERROR(__xludf.DUMMYFUNCTION("GOOGLEFINANCE(""Currency:BRLMXN"")*D1125"),7414.9716)</f>
        <v>7414.9716</v>
      </c>
      <c r="F1125" s="6">
        <f>IFERROR(__xludf.DUMMYFUNCTION("GOOGLEFINANCE(""Currency:BRLPEN"")*D1125"),1431.04368)</f>
        <v>1431.04368</v>
      </c>
      <c r="G1125" s="2" t="str">
        <f t="array" ref="G1125">_xlfn.XLOOKUP(B1125,Vendedores!$A$2:$A$41,Vendedores!$B$2:$B$41,"No hay datos")</f>
        <v>No hay datos</v>
      </c>
      <c r="H1125" s="2" t="str">
        <f t="array" ref="H1125">_xlfn.XLOOKUP(B1125,Vendedores!$A$2:$A$41,Vendedores!$C$2:$C$41,"No hay datos")</f>
        <v>No hay datos</v>
      </c>
      <c r="I1125" s="2" t="str">
        <f t="array" ref="I1125">_xlfn.XLOOKUP(B1125,Vendedores!$A$2:$A$41,Vendedores!$D$2:$D$41,"No hay datos")</f>
        <v>No hay datos</v>
      </c>
      <c r="J1125" s="2" t="str">
        <f t="array" ref="J1125">_xlfn.XLOOKUP(A1125,Productos!$A$2:$A$61,Productos!$B$2:$F$61)</f>
        <v>#N/A</v>
      </c>
    </row>
    <row r="1126">
      <c r="A1126" s="2" t="str">
        <f>IFERROR(__xludf.DUMMYFUNCTION("""COMPUTED_VALUE"""),"PR039")</f>
        <v>PR039</v>
      </c>
      <c r="B1126" s="2" t="str">
        <f>IFERROR(__xludf.DUMMYFUNCTION("""COMPUTED_VALUE"""),"VD037")</f>
        <v>VD037</v>
      </c>
      <c r="C1126" s="2">
        <f>IFERROR(__xludf.DUMMYFUNCTION("""COMPUTED_VALUE"""),16.0)</f>
        <v>16</v>
      </c>
      <c r="D1126" s="6">
        <f>IFERROR(__xludf.DUMMYFUNCTION("""COMPUTED_VALUE"""),2429.44)</f>
        <v>2429.44</v>
      </c>
      <c r="E1126" s="6">
        <f>IFERROR(__xludf.DUMMYFUNCTION("GOOGLEFINANCE(""Currency:BRLMXN"")*D1126"),8252.80768)</f>
        <v>8252.80768</v>
      </c>
      <c r="F1126" s="6">
        <f>IFERROR(__xludf.DUMMYFUNCTION("GOOGLEFINANCE(""Currency:BRLPEN"")*D1126"),1592.7408639999999)</f>
        <v>1592.740864</v>
      </c>
      <c r="G1126" s="2" t="str">
        <f t="array" ref="G1126">_xlfn.XLOOKUP(B1126,Vendedores!$A$2:$A$41,Vendedores!$B$2:$B$41,"No hay datos")</f>
        <v>No hay datos</v>
      </c>
      <c r="H1126" s="2" t="str">
        <f t="array" ref="H1126">_xlfn.XLOOKUP(B1126,Vendedores!$A$2:$A$41,Vendedores!$C$2:$C$41,"No hay datos")</f>
        <v>No hay datos</v>
      </c>
      <c r="I1126" s="2" t="str">
        <f t="array" ref="I1126">_xlfn.XLOOKUP(B1126,Vendedores!$A$2:$A$41,Vendedores!$D$2:$D$41,"No hay datos")</f>
        <v>No hay datos</v>
      </c>
      <c r="J1126" s="2" t="str">
        <f t="array" ref="J1126">_xlfn.XLOOKUP(A1126,Productos!$A$2:$A$61,Productos!$B$2:$F$61)</f>
        <v>#N/A</v>
      </c>
    </row>
    <row r="1127">
      <c r="A1127" s="2" t="str">
        <f>IFERROR(__xludf.DUMMYFUNCTION("""COMPUTED_VALUE"""),"PR002")</f>
        <v>PR002</v>
      </c>
      <c r="B1127" s="2" t="str">
        <f>IFERROR(__xludf.DUMMYFUNCTION("""COMPUTED_VALUE"""),"VD015")</f>
        <v>VD015</v>
      </c>
      <c r="C1127" s="2">
        <f>IFERROR(__xludf.DUMMYFUNCTION("""COMPUTED_VALUE"""),1.0)</f>
        <v>1</v>
      </c>
      <c r="D1127" s="6">
        <f>IFERROR(__xludf.DUMMYFUNCTION("""COMPUTED_VALUE"""),72.0)</f>
        <v>72</v>
      </c>
      <c r="E1127" s="6">
        <f>IFERROR(__xludf.DUMMYFUNCTION("GOOGLEFINANCE(""Currency:BRLMXN"")*D1127"),244.58399999999997)</f>
        <v>244.584</v>
      </c>
      <c r="F1127" s="6">
        <f>IFERROR(__xludf.DUMMYFUNCTION("GOOGLEFINANCE(""Currency:BRLPEN"")*D1127"),47.203199999999995)</f>
        <v>47.2032</v>
      </c>
      <c r="G1127" s="2" t="str">
        <f t="array" ref="G1127">_xlfn.XLOOKUP(B1127,Vendedores!$A$2:$A$41,Vendedores!$B$2:$B$41,"No hay datos")</f>
        <v>No hay datos</v>
      </c>
      <c r="H1127" s="2" t="str">
        <f t="array" ref="H1127">_xlfn.XLOOKUP(B1127,Vendedores!$A$2:$A$41,Vendedores!$C$2:$C$41,"No hay datos")</f>
        <v>No hay datos</v>
      </c>
      <c r="I1127" s="2" t="str">
        <f t="array" ref="I1127">_xlfn.XLOOKUP(B1127,Vendedores!$A$2:$A$41,Vendedores!$D$2:$D$41,"No hay datos")</f>
        <v>No hay datos</v>
      </c>
      <c r="J1127" s="2" t="str">
        <f t="array" ref="J1127">_xlfn.XLOOKUP(A1127,Productos!$A$2:$A$61,Productos!$B$2:$F$61)</f>
        <v>#N/A</v>
      </c>
    </row>
    <row r="1128">
      <c r="A1128" s="2" t="str">
        <f>IFERROR(__xludf.DUMMYFUNCTION("""COMPUTED_VALUE"""),"PR007")</f>
        <v>PR007</v>
      </c>
      <c r="B1128" s="2" t="str">
        <f>IFERROR(__xludf.DUMMYFUNCTION("""COMPUTED_VALUE"""),"VD035")</f>
        <v>VD035</v>
      </c>
      <c r="C1128" s="2">
        <f>IFERROR(__xludf.DUMMYFUNCTION("""COMPUTED_VALUE"""),2.0)</f>
        <v>2</v>
      </c>
      <c r="D1128" s="6">
        <f>IFERROR(__xludf.DUMMYFUNCTION("""COMPUTED_VALUE"""),185.54)</f>
        <v>185.54</v>
      </c>
      <c r="E1128" s="6">
        <f>IFERROR(__xludf.DUMMYFUNCTION("GOOGLEFINANCE(""Currency:BRLMXN"")*D1128"),630.27938)</f>
        <v>630.27938</v>
      </c>
      <c r="F1128" s="6">
        <f>IFERROR(__xludf.DUMMYFUNCTION("GOOGLEFINANCE(""Currency:BRLPEN"")*D1128"),121.64002399999998)</f>
        <v>121.640024</v>
      </c>
      <c r="G1128" s="2" t="str">
        <f t="array" ref="G1128">_xlfn.XLOOKUP(B1128,Vendedores!$A$2:$A$41,Vendedores!$B$2:$B$41,"No hay datos")</f>
        <v>No hay datos</v>
      </c>
      <c r="H1128" s="2" t="str">
        <f t="array" ref="H1128">_xlfn.XLOOKUP(B1128,Vendedores!$A$2:$A$41,Vendedores!$C$2:$C$41,"No hay datos")</f>
        <v>No hay datos</v>
      </c>
      <c r="I1128" s="2" t="str">
        <f t="array" ref="I1128">_xlfn.XLOOKUP(B1128,Vendedores!$A$2:$A$41,Vendedores!$D$2:$D$41,"No hay datos")</f>
        <v>No hay datos</v>
      </c>
      <c r="J1128" s="2" t="str">
        <f t="array" ref="J1128">_xlfn.XLOOKUP(A1128,Productos!$A$2:$A$61,Productos!$B$2:$F$61)</f>
        <v>#N/A</v>
      </c>
    </row>
    <row r="1129">
      <c r="A1129" s="2" t="str">
        <f>IFERROR(__xludf.DUMMYFUNCTION("""COMPUTED_VALUE"""),"PR012")</f>
        <v>PR012</v>
      </c>
      <c r="B1129" s="2" t="str">
        <f>IFERROR(__xludf.DUMMYFUNCTION("""COMPUTED_VALUE"""),"VD027")</f>
        <v>VD027</v>
      </c>
      <c r="C1129" s="2">
        <f>IFERROR(__xludf.DUMMYFUNCTION("""COMPUTED_VALUE"""),6.0)</f>
        <v>6</v>
      </c>
      <c r="D1129" s="6">
        <f>IFERROR(__xludf.DUMMYFUNCTION("""COMPUTED_VALUE"""),296.33)</f>
        <v>296.33</v>
      </c>
      <c r="E1129" s="6">
        <f>IFERROR(__xludf.DUMMYFUNCTION("GOOGLEFINANCE(""Currency:BRLMXN"")*D1129"),1006.6330099999999)</f>
        <v>1006.63301</v>
      </c>
      <c r="F1129" s="6">
        <f>IFERROR(__xludf.DUMMYFUNCTION("GOOGLEFINANCE(""Currency:BRLPEN"")*D1129"),194.273948)</f>
        <v>194.273948</v>
      </c>
      <c r="G1129" s="2" t="str">
        <f t="array" ref="G1129">_xlfn.XLOOKUP(B1129,Vendedores!$A$2:$A$41,Vendedores!$B$2:$B$41,"No hay datos")</f>
        <v>No hay datos</v>
      </c>
      <c r="H1129" s="2" t="str">
        <f t="array" ref="H1129">_xlfn.XLOOKUP(B1129,Vendedores!$A$2:$A$41,Vendedores!$C$2:$C$41,"No hay datos")</f>
        <v>No hay datos</v>
      </c>
      <c r="I1129" s="2" t="str">
        <f t="array" ref="I1129">_xlfn.XLOOKUP(B1129,Vendedores!$A$2:$A$41,Vendedores!$D$2:$D$41,"No hay datos")</f>
        <v>No hay datos</v>
      </c>
      <c r="J1129" s="2" t="str">
        <f t="array" ref="J1129">_xlfn.XLOOKUP(A1129,Productos!$A$2:$A$61,Productos!$B$2:$F$61)</f>
        <v>#N/A</v>
      </c>
    </row>
    <row r="1130">
      <c r="A1130" s="2" t="str">
        <f>IFERROR(__xludf.DUMMYFUNCTION("""COMPUTED_VALUE"""),"PR034")</f>
        <v>PR034</v>
      </c>
      <c r="B1130" s="2" t="str">
        <f>IFERROR(__xludf.DUMMYFUNCTION("""COMPUTED_VALUE"""),"VD017")</f>
        <v>VD017</v>
      </c>
      <c r="C1130" s="2">
        <f>IFERROR(__xludf.DUMMYFUNCTION("""COMPUTED_VALUE"""),3.0)</f>
        <v>3</v>
      </c>
      <c r="D1130" s="6">
        <f>IFERROR(__xludf.DUMMYFUNCTION("""COMPUTED_VALUE"""),275.09)</f>
        <v>275.09</v>
      </c>
      <c r="E1130" s="6">
        <f>IFERROR(__xludf.DUMMYFUNCTION("GOOGLEFINANCE(""Currency:BRLMXN"")*D1130"),934.4807299999999)</f>
        <v>934.48073</v>
      </c>
      <c r="F1130" s="6">
        <f>IFERROR(__xludf.DUMMYFUNCTION("GOOGLEFINANCE(""Currency:BRLPEN"")*D1130"),180.34900399999998)</f>
        <v>180.349004</v>
      </c>
      <c r="G1130" s="2" t="str">
        <f t="array" ref="G1130">_xlfn.XLOOKUP(B1130,Vendedores!$A$2:$A$41,Vendedores!$B$2:$B$41,"No hay datos")</f>
        <v>No hay datos</v>
      </c>
      <c r="H1130" s="2" t="str">
        <f t="array" ref="H1130">_xlfn.XLOOKUP(B1130,Vendedores!$A$2:$A$41,Vendedores!$C$2:$C$41,"No hay datos")</f>
        <v>No hay datos</v>
      </c>
      <c r="I1130" s="2" t="str">
        <f t="array" ref="I1130">_xlfn.XLOOKUP(B1130,Vendedores!$A$2:$A$41,Vendedores!$D$2:$D$41,"No hay datos")</f>
        <v>No hay datos</v>
      </c>
      <c r="J1130" s="2" t="str">
        <f t="array" ref="J1130">_xlfn.XLOOKUP(A1130,Productos!$A$2:$A$61,Productos!$B$2:$F$61)</f>
        <v>#N/A</v>
      </c>
    </row>
    <row r="1131">
      <c r="A1131" s="2" t="str">
        <f>IFERROR(__xludf.DUMMYFUNCTION("""COMPUTED_VALUE"""),"PR039")</f>
        <v>PR039</v>
      </c>
      <c r="B1131" s="2" t="str">
        <f>IFERROR(__xludf.DUMMYFUNCTION("""COMPUTED_VALUE"""),"VD020")</f>
        <v>VD020</v>
      </c>
      <c r="C1131" s="2">
        <f>IFERROR(__xludf.DUMMYFUNCTION("""COMPUTED_VALUE"""),14.0)</f>
        <v>14</v>
      </c>
      <c r="D1131" s="6">
        <f>IFERROR(__xludf.DUMMYFUNCTION("""COMPUTED_VALUE"""),2125.76)</f>
        <v>2125.76</v>
      </c>
      <c r="E1131" s="6">
        <f>IFERROR(__xludf.DUMMYFUNCTION("GOOGLEFINANCE(""Currency:BRLMXN"")*D1131"),7221.20672)</f>
        <v>7221.20672</v>
      </c>
      <c r="F1131" s="6">
        <f>IFERROR(__xludf.DUMMYFUNCTION("GOOGLEFINANCE(""Currency:BRLPEN"")*D1131"),1393.648256)</f>
        <v>1393.648256</v>
      </c>
      <c r="G1131" s="2" t="str">
        <f t="array" ref="G1131">_xlfn.XLOOKUP(B1131,Vendedores!$A$2:$A$41,Vendedores!$B$2:$B$41,"No hay datos")</f>
        <v>No hay datos</v>
      </c>
      <c r="H1131" s="2" t="str">
        <f t="array" ref="H1131">_xlfn.XLOOKUP(B1131,Vendedores!$A$2:$A$41,Vendedores!$C$2:$C$41,"No hay datos")</f>
        <v>No hay datos</v>
      </c>
      <c r="I1131" s="2" t="str">
        <f t="array" ref="I1131">_xlfn.XLOOKUP(B1131,Vendedores!$A$2:$A$41,Vendedores!$D$2:$D$41,"No hay datos")</f>
        <v>No hay datos</v>
      </c>
      <c r="J1131" s="2" t="str">
        <f t="array" ref="J1131">_xlfn.XLOOKUP(A1131,Productos!$A$2:$A$61,Productos!$B$2:$F$61)</f>
        <v>#N/A</v>
      </c>
    </row>
    <row r="1132">
      <c r="A1132" s="2" t="str">
        <f>IFERROR(__xludf.DUMMYFUNCTION("""COMPUTED_VALUE"""),"PR015")</f>
        <v>PR015</v>
      </c>
      <c r="B1132" s="2" t="str">
        <f>IFERROR(__xludf.DUMMYFUNCTION("""COMPUTED_VALUE"""),"VD048")</f>
        <v>VD048</v>
      </c>
      <c r="C1132" s="2">
        <f>IFERROR(__xludf.DUMMYFUNCTION("""COMPUTED_VALUE"""),6.0)</f>
        <v>6</v>
      </c>
      <c r="D1132" s="6">
        <f>IFERROR(__xludf.DUMMYFUNCTION("""COMPUTED_VALUE"""),267.75)</f>
        <v>267.75</v>
      </c>
      <c r="E1132" s="6">
        <f>IFERROR(__xludf.DUMMYFUNCTION("GOOGLEFINANCE(""Currency:BRLMXN"")*D1132"),909.54675)</f>
        <v>909.54675</v>
      </c>
      <c r="F1132" s="6">
        <f>IFERROR(__xludf.DUMMYFUNCTION("GOOGLEFINANCE(""Currency:BRLPEN"")*D1132"),175.5369)</f>
        <v>175.5369</v>
      </c>
      <c r="G1132" s="2" t="str">
        <f t="array" ref="G1132">_xlfn.XLOOKUP(B1132,Vendedores!$A$2:$A$41,Vendedores!$B$2:$B$41,"No hay datos")</f>
        <v>No hay datos</v>
      </c>
      <c r="H1132" s="2" t="str">
        <f t="array" ref="H1132">_xlfn.XLOOKUP(B1132,Vendedores!$A$2:$A$41,Vendedores!$C$2:$C$41,"No hay datos")</f>
        <v>No hay datos</v>
      </c>
      <c r="I1132" s="2" t="str">
        <f t="array" ref="I1132">_xlfn.XLOOKUP(B1132,Vendedores!$A$2:$A$41,Vendedores!$D$2:$D$41,"No hay datos")</f>
        <v>No hay datos</v>
      </c>
      <c r="J1132" s="2" t="str">
        <f t="array" ref="J1132">_xlfn.XLOOKUP(A1132,Productos!$A$2:$A$61,Productos!$B$2:$F$61)</f>
        <v>#N/A</v>
      </c>
    </row>
    <row r="1133">
      <c r="A1133" s="2" t="str">
        <f>IFERROR(__xludf.DUMMYFUNCTION("""COMPUTED_VALUE"""),"PR029")</f>
        <v>PR029</v>
      </c>
      <c r="B1133" s="2" t="str">
        <f>IFERROR(__xludf.DUMMYFUNCTION("""COMPUTED_VALUE"""),"VD043")</f>
        <v>VD043</v>
      </c>
      <c r="C1133" s="2">
        <f>IFERROR(__xludf.DUMMYFUNCTION("""COMPUTED_VALUE"""),5.0)</f>
        <v>5</v>
      </c>
      <c r="D1133" s="6">
        <f>IFERROR(__xludf.DUMMYFUNCTION("""COMPUTED_VALUE"""),1300.5)</f>
        <v>1300.5</v>
      </c>
      <c r="E1133" s="6">
        <f>IFERROR(__xludf.DUMMYFUNCTION("GOOGLEFINANCE(""Currency:BRLMXN"")*D1133"),4417.7985)</f>
        <v>4417.7985</v>
      </c>
      <c r="F1133" s="6">
        <f>IFERROR(__xludf.DUMMYFUNCTION("GOOGLEFINANCE(""Currency:BRLPEN"")*D1133"),852.6078)</f>
        <v>852.6078</v>
      </c>
      <c r="G1133" s="2" t="str">
        <f t="array" ref="G1133">_xlfn.XLOOKUP(B1133,Vendedores!$A$2:$A$41,Vendedores!$B$2:$B$41,"No hay datos")</f>
        <v>No hay datos</v>
      </c>
      <c r="H1133" s="2" t="str">
        <f t="array" ref="H1133">_xlfn.XLOOKUP(B1133,Vendedores!$A$2:$A$41,Vendedores!$C$2:$C$41,"No hay datos")</f>
        <v>No hay datos</v>
      </c>
      <c r="I1133" s="2" t="str">
        <f t="array" ref="I1133">_xlfn.XLOOKUP(B1133,Vendedores!$A$2:$A$41,Vendedores!$D$2:$D$41,"No hay datos")</f>
        <v>No hay datos</v>
      </c>
      <c r="J1133" s="2" t="str">
        <f t="array" ref="J1133">_xlfn.XLOOKUP(A1133,Productos!$A$2:$A$61,Productos!$B$2:$F$61)</f>
        <v>#N/A</v>
      </c>
    </row>
    <row r="1134">
      <c r="A1134" s="2" t="str">
        <f>IFERROR(__xludf.DUMMYFUNCTION("""COMPUTED_VALUE"""),"PR016")</f>
        <v>PR016</v>
      </c>
      <c r="B1134" s="2" t="str">
        <f>IFERROR(__xludf.DUMMYFUNCTION("""COMPUTED_VALUE"""),"VD039")</f>
        <v>VD039</v>
      </c>
      <c r="C1134" s="2">
        <f>IFERROR(__xludf.DUMMYFUNCTION("""COMPUTED_VALUE"""),4.0)</f>
        <v>4</v>
      </c>
      <c r="D1134" s="6">
        <f>IFERROR(__xludf.DUMMYFUNCTION("""COMPUTED_VALUE"""),111.89)</f>
        <v>111.89</v>
      </c>
      <c r="E1134" s="6">
        <f>IFERROR(__xludf.DUMMYFUNCTION("GOOGLEFINANCE(""Currency:BRLMXN"")*D1134"),380.09033)</f>
        <v>380.09033</v>
      </c>
      <c r="F1134" s="6">
        <f>IFERROR(__xludf.DUMMYFUNCTION("GOOGLEFINANCE(""Currency:BRLPEN"")*D1134"),73.35508399999999)</f>
        <v>73.355084</v>
      </c>
      <c r="G1134" s="2" t="str">
        <f t="array" ref="G1134">_xlfn.XLOOKUP(B1134,Vendedores!$A$2:$A$41,Vendedores!$B$2:$B$41,"No hay datos")</f>
        <v>No hay datos</v>
      </c>
      <c r="H1134" s="2" t="str">
        <f t="array" ref="H1134">_xlfn.XLOOKUP(B1134,Vendedores!$A$2:$A$41,Vendedores!$C$2:$C$41,"No hay datos")</f>
        <v>No hay datos</v>
      </c>
      <c r="I1134" s="2" t="str">
        <f t="array" ref="I1134">_xlfn.XLOOKUP(B1134,Vendedores!$A$2:$A$41,Vendedores!$D$2:$D$41,"No hay datos")</f>
        <v>No hay datos</v>
      </c>
      <c r="J1134" s="2" t="str">
        <f t="array" ref="J1134">_xlfn.XLOOKUP(A1134,Productos!$A$2:$A$61,Productos!$B$2:$F$61)</f>
        <v>#N/A</v>
      </c>
    </row>
    <row r="1135">
      <c r="A1135" s="2" t="str">
        <f>IFERROR(__xludf.DUMMYFUNCTION("""COMPUTED_VALUE"""),"PR012")</f>
        <v>PR012</v>
      </c>
      <c r="B1135" s="2" t="str">
        <f>IFERROR(__xludf.DUMMYFUNCTION("""COMPUTED_VALUE"""),"VD037")</f>
        <v>VD037</v>
      </c>
      <c r="C1135" s="2">
        <f>IFERROR(__xludf.DUMMYFUNCTION("""COMPUTED_VALUE"""),2.0)</f>
        <v>2</v>
      </c>
      <c r="D1135" s="6">
        <f>IFERROR(__xludf.DUMMYFUNCTION("""COMPUTED_VALUE"""),99.76)</f>
        <v>99.76</v>
      </c>
      <c r="E1135" s="6">
        <f>IFERROR(__xludf.DUMMYFUNCTION("GOOGLEFINANCE(""Currency:BRLMXN"")*D1135"),338.88472)</f>
        <v>338.88472</v>
      </c>
      <c r="F1135" s="6">
        <f>IFERROR(__xludf.DUMMYFUNCTION("GOOGLEFINANCE(""Currency:BRLPEN"")*D1135"),65.402656)</f>
        <v>65.402656</v>
      </c>
      <c r="G1135" s="2" t="str">
        <f t="array" ref="G1135">_xlfn.XLOOKUP(B1135,Vendedores!$A$2:$A$41,Vendedores!$B$2:$B$41,"No hay datos")</f>
        <v>No hay datos</v>
      </c>
      <c r="H1135" s="2" t="str">
        <f t="array" ref="H1135">_xlfn.XLOOKUP(B1135,Vendedores!$A$2:$A$41,Vendedores!$C$2:$C$41,"No hay datos")</f>
        <v>No hay datos</v>
      </c>
      <c r="I1135" s="2" t="str">
        <f t="array" ref="I1135">_xlfn.XLOOKUP(B1135,Vendedores!$A$2:$A$41,Vendedores!$D$2:$D$41,"No hay datos")</f>
        <v>No hay datos</v>
      </c>
      <c r="J1135" s="2" t="str">
        <f t="array" ref="J1135">_xlfn.XLOOKUP(A1135,Productos!$A$2:$A$61,Productos!$B$2:$F$61)</f>
        <v>#N/A</v>
      </c>
    </row>
    <row r="1136">
      <c r="A1136" s="2" t="str">
        <f>IFERROR(__xludf.DUMMYFUNCTION("""COMPUTED_VALUE"""),"PR020")</f>
        <v>PR020</v>
      </c>
      <c r="B1136" s="2" t="str">
        <f>IFERROR(__xludf.DUMMYFUNCTION("""COMPUTED_VALUE"""),"VD014")</f>
        <v>VD014</v>
      </c>
      <c r="C1136" s="2">
        <f>IFERROR(__xludf.DUMMYFUNCTION("""COMPUTED_VALUE"""),2.0)</f>
        <v>2</v>
      </c>
      <c r="D1136" s="6">
        <f>IFERROR(__xludf.DUMMYFUNCTION("""COMPUTED_VALUE"""),659.78)</f>
        <v>659.78</v>
      </c>
      <c r="E1136" s="6">
        <f>IFERROR(__xludf.DUMMYFUNCTION("GOOGLEFINANCE(""Currency:BRLMXN"")*D1136"),2241.2726599999996)</f>
        <v>2241.27266</v>
      </c>
      <c r="F1136" s="6">
        <f>IFERROR(__xludf.DUMMYFUNCTION("GOOGLEFINANCE(""Currency:BRLPEN"")*D1136"),432.551768)</f>
        <v>432.551768</v>
      </c>
      <c r="G1136" s="2" t="str">
        <f t="array" ref="G1136">_xlfn.XLOOKUP(B1136,Vendedores!$A$2:$A$41,Vendedores!$B$2:$B$41,"No hay datos")</f>
        <v>No hay datos</v>
      </c>
      <c r="H1136" s="2" t="str">
        <f t="array" ref="H1136">_xlfn.XLOOKUP(B1136,Vendedores!$A$2:$A$41,Vendedores!$C$2:$C$41,"No hay datos")</f>
        <v>No hay datos</v>
      </c>
      <c r="I1136" s="2" t="str">
        <f t="array" ref="I1136">_xlfn.XLOOKUP(B1136,Vendedores!$A$2:$A$41,Vendedores!$D$2:$D$41,"No hay datos")</f>
        <v>No hay datos</v>
      </c>
      <c r="J1136" s="2" t="str">
        <f t="array" ref="J1136">_xlfn.XLOOKUP(A1136,Productos!$A$2:$A$61,Productos!$B$2:$F$61)</f>
        <v>#N/A</v>
      </c>
    </row>
    <row r="1137">
      <c r="A1137" s="2" t="str">
        <f>IFERROR(__xludf.DUMMYFUNCTION("""COMPUTED_VALUE"""),"PR043")</f>
        <v>PR043</v>
      </c>
      <c r="B1137" s="2" t="str">
        <f>IFERROR(__xludf.DUMMYFUNCTION("""COMPUTED_VALUE"""),"VD039")</f>
        <v>VD039</v>
      </c>
      <c r="C1137" s="2">
        <f>IFERROR(__xludf.DUMMYFUNCTION("""COMPUTED_VALUE"""),8.0)</f>
        <v>8</v>
      </c>
      <c r="D1137" s="6">
        <f>IFERROR(__xludf.DUMMYFUNCTION("""COMPUTED_VALUE"""),585.8)</f>
        <v>585.8</v>
      </c>
      <c r="E1137" s="6">
        <f>IFERROR(__xludf.DUMMYFUNCTION("GOOGLEFINANCE(""Currency:BRLMXN"")*D1137"),1989.9625999999998)</f>
        <v>1989.9626</v>
      </c>
      <c r="F1137" s="6">
        <f>IFERROR(__xludf.DUMMYFUNCTION("GOOGLEFINANCE(""Currency:BRLPEN"")*D1137"),384.05047999999994)</f>
        <v>384.05048</v>
      </c>
      <c r="G1137" s="2" t="str">
        <f t="array" ref="G1137">_xlfn.XLOOKUP(B1137,Vendedores!$A$2:$A$41,Vendedores!$B$2:$B$41,"No hay datos")</f>
        <v>No hay datos</v>
      </c>
      <c r="H1137" s="2" t="str">
        <f t="array" ref="H1137">_xlfn.XLOOKUP(B1137,Vendedores!$A$2:$A$41,Vendedores!$C$2:$C$41,"No hay datos")</f>
        <v>No hay datos</v>
      </c>
      <c r="I1137" s="2" t="str">
        <f t="array" ref="I1137">_xlfn.XLOOKUP(B1137,Vendedores!$A$2:$A$41,Vendedores!$D$2:$D$41,"No hay datos")</f>
        <v>No hay datos</v>
      </c>
      <c r="J1137" s="2" t="str">
        <f t="array" ref="J1137">_xlfn.XLOOKUP(A1137,Productos!$A$2:$A$61,Productos!$B$2:$F$61)</f>
        <v>#N/A</v>
      </c>
    </row>
    <row r="1138">
      <c r="A1138" s="2" t="str">
        <f>IFERROR(__xludf.DUMMYFUNCTION("""COMPUTED_VALUE"""),"PR059")</f>
        <v>PR059</v>
      </c>
      <c r="B1138" s="2" t="str">
        <f>IFERROR(__xludf.DUMMYFUNCTION("""COMPUTED_VALUE"""),"VD039")</f>
        <v>VD039</v>
      </c>
      <c r="C1138" s="2">
        <f>IFERROR(__xludf.DUMMYFUNCTION("""COMPUTED_VALUE"""),14.0)</f>
        <v>14</v>
      </c>
      <c r="D1138" s="6">
        <f>IFERROR(__xludf.DUMMYFUNCTION("""COMPUTED_VALUE"""),2620.8)</f>
        <v>2620.8</v>
      </c>
      <c r="E1138" s="6">
        <f>IFERROR(__xludf.DUMMYFUNCTION("GOOGLEFINANCE(""Currency:BRLMXN"")*D1138"),8902.8576)</f>
        <v>8902.8576</v>
      </c>
      <c r="F1138" s="6">
        <f>IFERROR(__xludf.DUMMYFUNCTION("GOOGLEFINANCE(""Currency:BRLPEN"")*D1138"),1718.19648)</f>
        <v>1718.19648</v>
      </c>
      <c r="G1138" s="2" t="str">
        <f t="array" ref="G1138">_xlfn.XLOOKUP(B1138,Vendedores!$A$2:$A$41,Vendedores!$B$2:$B$41,"No hay datos")</f>
        <v>No hay datos</v>
      </c>
      <c r="H1138" s="2" t="str">
        <f t="array" ref="H1138">_xlfn.XLOOKUP(B1138,Vendedores!$A$2:$A$41,Vendedores!$C$2:$C$41,"No hay datos")</f>
        <v>No hay datos</v>
      </c>
      <c r="I1138" s="2" t="str">
        <f t="array" ref="I1138">_xlfn.XLOOKUP(B1138,Vendedores!$A$2:$A$41,Vendedores!$D$2:$D$41,"No hay datos")</f>
        <v>No hay datos</v>
      </c>
      <c r="J1138" s="2" t="str">
        <f t="array" ref="J1138">_xlfn.XLOOKUP(A1138,Productos!$A$2:$A$61,Productos!$B$2:$F$61)</f>
        <v>#N/A</v>
      </c>
    </row>
    <row r="1139">
      <c r="A1139" s="2" t="str">
        <f>IFERROR(__xludf.DUMMYFUNCTION("""COMPUTED_VALUE"""),"PR053")</f>
        <v>PR053</v>
      </c>
      <c r="B1139" s="2" t="str">
        <f>IFERROR(__xludf.DUMMYFUNCTION("""COMPUTED_VALUE"""),"VD035")</f>
        <v>VD035</v>
      </c>
      <c r="C1139" s="2">
        <f>IFERROR(__xludf.DUMMYFUNCTION("""COMPUTED_VALUE"""),1.0)</f>
        <v>1</v>
      </c>
      <c r="D1139" s="6">
        <f>IFERROR(__xludf.DUMMYFUNCTION("""COMPUTED_VALUE"""),51.4)</f>
        <v>51.4</v>
      </c>
      <c r="E1139" s="6">
        <f>IFERROR(__xludf.DUMMYFUNCTION("GOOGLEFINANCE(""Currency:BRLMXN"")*D1139"),174.6058)</f>
        <v>174.6058</v>
      </c>
      <c r="F1139" s="6">
        <f>IFERROR(__xludf.DUMMYFUNCTION("GOOGLEFINANCE(""Currency:BRLPEN"")*D1139"),33.69784)</f>
        <v>33.69784</v>
      </c>
      <c r="G1139" s="2" t="str">
        <f t="array" ref="G1139">_xlfn.XLOOKUP(B1139,Vendedores!$A$2:$A$41,Vendedores!$B$2:$B$41,"No hay datos")</f>
        <v>No hay datos</v>
      </c>
      <c r="H1139" s="2" t="str">
        <f t="array" ref="H1139">_xlfn.XLOOKUP(B1139,Vendedores!$A$2:$A$41,Vendedores!$C$2:$C$41,"No hay datos")</f>
        <v>No hay datos</v>
      </c>
      <c r="I1139" s="2" t="str">
        <f t="array" ref="I1139">_xlfn.XLOOKUP(B1139,Vendedores!$A$2:$A$41,Vendedores!$D$2:$D$41,"No hay datos")</f>
        <v>No hay datos</v>
      </c>
      <c r="J1139" s="2" t="str">
        <f t="array" ref="J1139">_xlfn.XLOOKUP(A1139,Productos!$A$2:$A$61,Productos!$B$2:$F$61)</f>
        <v>#N/A</v>
      </c>
    </row>
    <row r="1140">
      <c r="A1140" s="2" t="str">
        <f>IFERROR(__xludf.DUMMYFUNCTION("""COMPUTED_VALUE"""),"PR016")</f>
        <v>PR016</v>
      </c>
      <c r="B1140" s="2" t="str">
        <f>IFERROR(__xludf.DUMMYFUNCTION("""COMPUTED_VALUE"""),"VD041")</f>
        <v>VD041</v>
      </c>
      <c r="C1140" s="2">
        <f>IFERROR(__xludf.DUMMYFUNCTION("""COMPUTED_VALUE"""),10.0)</f>
        <v>10</v>
      </c>
      <c r="D1140" s="6">
        <f>IFERROR(__xludf.DUMMYFUNCTION("""COMPUTED_VALUE"""),271.95)</f>
        <v>271.95</v>
      </c>
      <c r="E1140" s="6">
        <f>IFERROR(__xludf.DUMMYFUNCTION("GOOGLEFINANCE(""Currency:BRLMXN"")*D1140"),923.8141499999999)</f>
        <v>923.81415</v>
      </c>
      <c r="F1140" s="6">
        <f>IFERROR(__xludf.DUMMYFUNCTION("GOOGLEFINANCE(""Currency:BRLPEN"")*D1140"),178.29041999999998)</f>
        <v>178.29042</v>
      </c>
      <c r="G1140" s="2" t="str">
        <f t="array" ref="G1140">_xlfn.XLOOKUP(B1140,Vendedores!$A$2:$A$41,Vendedores!$B$2:$B$41,"No hay datos")</f>
        <v>No hay datos</v>
      </c>
      <c r="H1140" s="2" t="str">
        <f t="array" ref="H1140">_xlfn.XLOOKUP(B1140,Vendedores!$A$2:$A$41,Vendedores!$C$2:$C$41,"No hay datos")</f>
        <v>No hay datos</v>
      </c>
      <c r="I1140" s="2" t="str">
        <f t="array" ref="I1140">_xlfn.XLOOKUP(B1140,Vendedores!$A$2:$A$41,Vendedores!$D$2:$D$41,"No hay datos")</f>
        <v>No hay datos</v>
      </c>
      <c r="J1140" s="2" t="str">
        <f t="array" ref="J1140">_xlfn.XLOOKUP(A1140,Productos!$A$2:$A$61,Productos!$B$2:$F$61)</f>
        <v>#N/A</v>
      </c>
    </row>
    <row r="1141">
      <c r="A1141" s="2" t="str">
        <f>IFERROR(__xludf.DUMMYFUNCTION("""COMPUTED_VALUE"""),"PR038")</f>
        <v>PR038</v>
      </c>
      <c r="B1141" s="2" t="str">
        <f>IFERROR(__xludf.DUMMYFUNCTION("""COMPUTED_VALUE"""),"VD031")</f>
        <v>VD031</v>
      </c>
      <c r="C1141" s="2">
        <f>IFERROR(__xludf.DUMMYFUNCTION("""COMPUTED_VALUE"""),8.0)</f>
        <v>8</v>
      </c>
      <c r="D1141" s="6">
        <f>IFERROR(__xludf.DUMMYFUNCTION("""COMPUTED_VALUE"""),1177.5)</f>
        <v>1177.5</v>
      </c>
      <c r="E1141" s="6">
        <f>IFERROR(__xludf.DUMMYFUNCTION("GOOGLEFINANCE(""Currency:BRLMXN"")*D1141"),3999.9674999999997)</f>
        <v>3999.9675</v>
      </c>
      <c r="F1141" s="6">
        <f>IFERROR(__xludf.DUMMYFUNCTION("GOOGLEFINANCE(""Currency:BRLPEN"")*D1141"),771.9689999999999)</f>
        <v>771.969</v>
      </c>
      <c r="G1141" s="2" t="str">
        <f t="array" ref="G1141">_xlfn.XLOOKUP(B1141,Vendedores!$A$2:$A$41,Vendedores!$B$2:$B$41,"No hay datos")</f>
        <v>No hay datos</v>
      </c>
      <c r="H1141" s="2" t="str">
        <f t="array" ref="H1141">_xlfn.XLOOKUP(B1141,Vendedores!$A$2:$A$41,Vendedores!$C$2:$C$41,"No hay datos")</f>
        <v>No hay datos</v>
      </c>
      <c r="I1141" s="2" t="str">
        <f t="array" ref="I1141">_xlfn.XLOOKUP(B1141,Vendedores!$A$2:$A$41,Vendedores!$D$2:$D$41,"No hay datos")</f>
        <v>No hay datos</v>
      </c>
      <c r="J1141" s="2" t="str">
        <f t="array" ref="J1141">_xlfn.XLOOKUP(A1141,Productos!$A$2:$A$61,Productos!$B$2:$F$61)</f>
        <v>#N/A</v>
      </c>
    </row>
    <row r="1142">
      <c r="A1142" s="2" t="str">
        <f>IFERROR(__xludf.DUMMYFUNCTION("""COMPUTED_VALUE"""),"PR059")</f>
        <v>PR059</v>
      </c>
      <c r="B1142" s="2" t="str">
        <f>IFERROR(__xludf.DUMMYFUNCTION("""COMPUTED_VALUE"""),"VD045")</f>
        <v>VD045</v>
      </c>
      <c r="C1142" s="2">
        <f>IFERROR(__xludf.DUMMYFUNCTION("""COMPUTED_VALUE"""),2.0)</f>
        <v>2</v>
      </c>
      <c r="D1142" s="6">
        <f>IFERROR(__xludf.DUMMYFUNCTION("""COMPUTED_VALUE"""),378.0)</f>
        <v>378</v>
      </c>
      <c r="E1142" s="6">
        <f>IFERROR(__xludf.DUMMYFUNCTION("GOOGLEFINANCE(""Currency:BRLMXN"")*D1142"),1284.066)</f>
        <v>1284.066</v>
      </c>
      <c r="F1142" s="6">
        <f>IFERROR(__xludf.DUMMYFUNCTION("GOOGLEFINANCE(""Currency:BRLPEN"")*D1142"),247.81679999999997)</f>
        <v>247.8168</v>
      </c>
      <c r="G1142" s="2" t="str">
        <f t="array" ref="G1142">_xlfn.XLOOKUP(B1142,Vendedores!$A$2:$A$41,Vendedores!$B$2:$B$41,"No hay datos")</f>
        <v>No hay datos</v>
      </c>
      <c r="H1142" s="2" t="str">
        <f t="array" ref="H1142">_xlfn.XLOOKUP(B1142,Vendedores!$A$2:$A$41,Vendedores!$C$2:$C$41,"No hay datos")</f>
        <v>No hay datos</v>
      </c>
      <c r="I1142" s="2" t="str">
        <f t="array" ref="I1142">_xlfn.XLOOKUP(B1142,Vendedores!$A$2:$A$41,Vendedores!$D$2:$D$41,"No hay datos")</f>
        <v>No hay datos</v>
      </c>
      <c r="J1142" s="2" t="str">
        <f t="array" ref="J1142">_xlfn.XLOOKUP(A1142,Productos!$A$2:$A$61,Productos!$B$2:$F$61)</f>
        <v>#N/A</v>
      </c>
    </row>
    <row r="1143">
      <c r="A1143" s="2" t="str">
        <f>IFERROR(__xludf.DUMMYFUNCTION("""COMPUTED_VALUE"""),"PR047")</f>
        <v>PR047</v>
      </c>
      <c r="B1143" s="2" t="str">
        <f>IFERROR(__xludf.DUMMYFUNCTION("""COMPUTED_VALUE"""),"VD018")</f>
        <v>VD018</v>
      </c>
      <c r="C1143" s="2">
        <f>IFERROR(__xludf.DUMMYFUNCTION("""COMPUTED_VALUE"""),16.0)</f>
        <v>16</v>
      </c>
      <c r="D1143" s="6">
        <f>IFERROR(__xludf.DUMMYFUNCTION("""COMPUTED_VALUE"""),4731.17)</f>
        <v>4731.17</v>
      </c>
      <c r="E1143" s="6">
        <f>IFERROR(__xludf.DUMMYFUNCTION("GOOGLEFINANCE(""Currency:BRLMXN"")*D1143"),16071.78449)</f>
        <v>16071.78449</v>
      </c>
      <c r="F1143" s="6">
        <f>IFERROR(__xludf.DUMMYFUNCTION("GOOGLEFINANCE(""Currency:BRLPEN"")*D1143"),3101.755052)</f>
        <v>3101.755052</v>
      </c>
      <c r="G1143" s="2" t="str">
        <f t="array" ref="G1143">_xlfn.XLOOKUP(B1143,Vendedores!$A$2:$A$41,Vendedores!$B$2:$B$41,"No hay datos")</f>
        <v>No hay datos</v>
      </c>
      <c r="H1143" s="2" t="str">
        <f t="array" ref="H1143">_xlfn.XLOOKUP(B1143,Vendedores!$A$2:$A$41,Vendedores!$C$2:$C$41,"No hay datos")</f>
        <v>No hay datos</v>
      </c>
      <c r="I1143" s="2" t="str">
        <f t="array" ref="I1143">_xlfn.XLOOKUP(B1143,Vendedores!$A$2:$A$41,Vendedores!$D$2:$D$41,"No hay datos")</f>
        <v>No hay datos</v>
      </c>
      <c r="J1143" s="2" t="str">
        <f t="array" ref="J1143">_xlfn.XLOOKUP(A1143,Productos!$A$2:$A$61,Productos!$B$2:$F$61)</f>
        <v>#N/A</v>
      </c>
    </row>
    <row r="1144">
      <c r="A1144" s="2" t="str">
        <f>IFERROR(__xludf.DUMMYFUNCTION("""COMPUTED_VALUE"""),"PR011")</f>
        <v>PR011</v>
      </c>
      <c r="B1144" s="2" t="str">
        <f>IFERROR(__xludf.DUMMYFUNCTION("""COMPUTED_VALUE"""),"VD032")</f>
        <v>VD032</v>
      </c>
      <c r="C1144" s="2">
        <f>IFERROR(__xludf.DUMMYFUNCTION("""COMPUTED_VALUE"""),2.0)</f>
        <v>2</v>
      </c>
      <c r="D1144" s="6">
        <f>IFERROR(__xludf.DUMMYFUNCTION("""COMPUTED_VALUE"""),95.68)</f>
        <v>95.68</v>
      </c>
      <c r="E1144" s="6">
        <f>IFERROR(__xludf.DUMMYFUNCTION("GOOGLEFINANCE(""Currency:BRLMXN"")*D1144"),325.02496)</f>
        <v>325.02496</v>
      </c>
      <c r="F1144" s="6">
        <f>IFERROR(__xludf.DUMMYFUNCTION("GOOGLEFINANCE(""Currency:BRLPEN"")*D1144"),62.727808)</f>
        <v>62.727808</v>
      </c>
      <c r="G1144" s="2" t="str">
        <f t="array" ref="G1144">_xlfn.XLOOKUP(B1144,Vendedores!$A$2:$A$41,Vendedores!$B$2:$B$41,"No hay datos")</f>
        <v>No hay datos</v>
      </c>
      <c r="H1144" s="2" t="str">
        <f t="array" ref="H1144">_xlfn.XLOOKUP(B1144,Vendedores!$A$2:$A$41,Vendedores!$C$2:$C$41,"No hay datos")</f>
        <v>No hay datos</v>
      </c>
      <c r="I1144" s="2" t="str">
        <f t="array" ref="I1144">_xlfn.XLOOKUP(B1144,Vendedores!$A$2:$A$41,Vendedores!$D$2:$D$41,"No hay datos")</f>
        <v>No hay datos</v>
      </c>
      <c r="J1144" s="2" t="str">
        <f t="array" ref="J1144">_xlfn.XLOOKUP(A1144,Productos!$A$2:$A$61,Productos!$B$2:$F$61)</f>
        <v>#N/A</v>
      </c>
    </row>
    <row r="1145">
      <c r="A1145" s="2" t="str">
        <f>IFERROR(__xludf.DUMMYFUNCTION("""COMPUTED_VALUE"""),"PR054")</f>
        <v>PR054</v>
      </c>
      <c r="B1145" s="2" t="str">
        <f>IFERROR(__xludf.DUMMYFUNCTION("""COMPUTED_VALUE"""),"VD046")</f>
        <v>VD046</v>
      </c>
      <c r="C1145" s="2">
        <f>IFERROR(__xludf.DUMMYFUNCTION("""COMPUTED_VALUE"""),8.0)</f>
        <v>8</v>
      </c>
      <c r="D1145" s="6">
        <f>IFERROR(__xludf.DUMMYFUNCTION("""COMPUTED_VALUE"""),431.14)</f>
        <v>431.14</v>
      </c>
      <c r="E1145" s="6">
        <f>IFERROR(__xludf.DUMMYFUNCTION("GOOGLEFINANCE(""Currency:BRLMXN"")*D1145"),1464.5825799999998)</f>
        <v>1464.58258</v>
      </c>
      <c r="F1145" s="6">
        <f>IFERROR(__xludf.DUMMYFUNCTION("GOOGLEFINANCE(""Currency:BRLPEN"")*D1145"),282.65538399999997)</f>
        <v>282.655384</v>
      </c>
      <c r="G1145" s="2" t="str">
        <f t="array" ref="G1145">_xlfn.XLOOKUP(B1145,Vendedores!$A$2:$A$41,Vendedores!$B$2:$B$41,"No hay datos")</f>
        <v>No hay datos</v>
      </c>
      <c r="H1145" s="2" t="str">
        <f t="array" ref="H1145">_xlfn.XLOOKUP(B1145,Vendedores!$A$2:$A$41,Vendedores!$C$2:$C$41,"No hay datos")</f>
        <v>No hay datos</v>
      </c>
      <c r="I1145" s="2" t="str">
        <f t="array" ref="I1145">_xlfn.XLOOKUP(B1145,Vendedores!$A$2:$A$41,Vendedores!$D$2:$D$41,"No hay datos")</f>
        <v>No hay datos</v>
      </c>
      <c r="J1145" s="2" t="str">
        <f t="array" ref="J1145">_xlfn.XLOOKUP(A1145,Productos!$A$2:$A$61,Productos!$B$2:$F$61)</f>
        <v>#N/A</v>
      </c>
    </row>
    <row r="1146">
      <c r="A1146" s="2" t="str">
        <f>IFERROR(__xludf.DUMMYFUNCTION("""COMPUTED_VALUE"""),"PR058")</f>
        <v>PR058</v>
      </c>
      <c r="B1146" s="2" t="str">
        <f>IFERROR(__xludf.DUMMYFUNCTION("""COMPUTED_VALUE"""),"VD033")</f>
        <v>VD033</v>
      </c>
      <c r="C1146" s="2">
        <f>IFERROR(__xludf.DUMMYFUNCTION("""COMPUTED_VALUE"""),10.0)</f>
        <v>10</v>
      </c>
      <c r="D1146" s="6">
        <f>IFERROR(__xludf.DUMMYFUNCTION("""COMPUTED_VALUE"""),1980.0)</f>
        <v>1980</v>
      </c>
      <c r="E1146" s="6">
        <f>IFERROR(__xludf.DUMMYFUNCTION("GOOGLEFINANCE(""Currency:BRLMXN"")*D1146"),6726.0599999999995)</f>
        <v>6726.06</v>
      </c>
      <c r="F1146" s="6">
        <f>IFERROR(__xludf.DUMMYFUNCTION("GOOGLEFINANCE(""Currency:BRLPEN"")*D1146"),1298.088)</f>
        <v>1298.088</v>
      </c>
      <c r="G1146" s="2" t="str">
        <f t="array" ref="G1146">_xlfn.XLOOKUP(B1146,Vendedores!$A$2:$A$41,Vendedores!$B$2:$B$41,"No hay datos")</f>
        <v>No hay datos</v>
      </c>
      <c r="H1146" s="2" t="str">
        <f t="array" ref="H1146">_xlfn.XLOOKUP(B1146,Vendedores!$A$2:$A$41,Vendedores!$C$2:$C$41,"No hay datos")</f>
        <v>No hay datos</v>
      </c>
      <c r="I1146" s="2" t="str">
        <f t="array" ref="I1146">_xlfn.XLOOKUP(B1146,Vendedores!$A$2:$A$41,Vendedores!$D$2:$D$41,"No hay datos")</f>
        <v>No hay datos</v>
      </c>
      <c r="J1146" s="2" t="str">
        <f t="array" ref="J1146">_xlfn.XLOOKUP(A1146,Productos!$A$2:$A$61,Productos!$B$2:$F$61)</f>
        <v>#N/A</v>
      </c>
    </row>
    <row r="1147">
      <c r="A1147" s="2" t="str">
        <f>IFERROR(__xludf.DUMMYFUNCTION("""COMPUTED_VALUE"""),"PR002")</f>
        <v>PR002</v>
      </c>
      <c r="B1147" s="2" t="str">
        <f>IFERROR(__xludf.DUMMYFUNCTION("""COMPUTED_VALUE"""),"VD043")</f>
        <v>VD043</v>
      </c>
      <c r="C1147" s="2">
        <f>IFERROR(__xludf.DUMMYFUNCTION("""COMPUTED_VALUE"""),16.0)</f>
        <v>16</v>
      </c>
      <c r="D1147" s="6">
        <f>IFERROR(__xludf.DUMMYFUNCTION("""COMPUTED_VALUE"""),1118.4)</f>
        <v>1118.4</v>
      </c>
      <c r="E1147" s="6">
        <f>IFERROR(__xludf.DUMMYFUNCTION("GOOGLEFINANCE(""Currency:BRLMXN"")*D1147"),3799.2048)</f>
        <v>3799.2048</v>
      </c>
      <c r="F1147" s="6">
        <f>IFERROR(__xludf.DUMMYFUNCTION("GOOGLEFINANCE(""Currency:BRLPEN"")*D1147"),733.22304)</f>
        <v>733.22304</v>
      </c>
      <c r="G1147" s="2" t="str">
        <f t="array" ref="G1147">_xlfn.XLOOKUP(B1147,Vendedores!$A$2:$A$41,Vendedores!$B$2:$B$41,"No hay datos")</f>
        <v>No hay datos</v>
      </c>
      <c r="H1147" s="2" t="str">
        <f t="array" ref="H1147">_xlfn.XLOOKUP(B1147,Vendedores!$A$2:$A$41,Vendedores!$C$2:$C$41,"No hay datos")</f>
        <v>No hay datos</v>
      </c>
      <c r="I1147" s="2" t="str">
        <f t="array" ref="I1147">_xlfn.XLOOKUP(B1147,Vendedores!$A$2:$A$41,Vendedores!$D$2:$D$41,"No hay datos")</f>
        <v>No hay datos</v>
      </c>
      <c r="J1147" s="2" t="str">
        <f t="array" ref="J1147">_xlfn.XLOOKUP(A1147,Productos!$A$2:$A$61,Productos!$B$2:$F$61)</f>
        <v>#N/A</v>
      </c>
    </row>
    <row r="1148">
      <c r="A1148" s="2" t="str">
        <f>IFERROR(__xludf.DUMMYFUNCTION("""COMPUTED_VALUE"""),"PR052")</f>
        <v>PR052</v>
      </c>
      <c r="B1148" s="2" t="str">
        <f>IFERROR(__xludf.DUMMYFUNCTION("""COMPUTED_VALUE"""),"VD025")</f>
        <v>VD025</v>
      </c>
      <c r="C1148" s="2">
        <f>IFERROR(__xludf.DUMMYFUNCTION("""COMPUTED_VALUE"""),8.0)</f>
        <v>8</v>
      </c>
      <c r="D1148" s="6">
        <f>IFERROR(__xludf.DUMMYFUNCTION("""COMPUTED_VALUE"""),439.12)</f>
        <v>439.12</v>
      </c>
      <c r="E1148" s="6">
        <f>IFERROR(__xludf.DUMMYFUNCTION("GOOGLEFINANCE(""Currency:BRLMXN"")*D1148"),1491.69064)</f>
        <v>1491.69064</v>
      </c>
      <c r="F1148" s="6">
        <f>IFERROR(__xludf.DUMMYFUNCTION("GOOGLEFINANCE(""Currency:BRLPEN"")*D1148"),287.887072)</f>
        <v>287.887072</v>
      </c>
      <c r="G1148" s="2" t="str">
        <f t="array" ref="G1148">_xlfn.XLOOKUP(B1148,Vendedores!$A$2:$A$41,Vendedores!$B$2:$B$41,"No hay datos")</f>
        <v>No hay datos</v>
      </c>
      <c r="H1148" s="2" t="str">
        <f t="array" ref="H1148">_xlfn.XLOOKUP(B1148,Vendedores!$A$2:$A$41,Vendedores!$C$2:$C$41,"No hay datos")</f>
        <v>No hay datos</v>
      </c>
      <c r="I1148" s="2" t="str">
        <f t="array" ref="I1148">_xlfn.XLOOKUP(B1148,Vendedores!$A$2:$A$41,Vendedores!$D$2:$D$41,"No hay datos")</f>
        <v>No hay datos</v>
      </c>
      <c r="J1148" s="2" t="str">
        <f t="array" ref="J1148">_xlfn.XLOOKUP(A1148,Productos!$A$2:$A$61,Productos!$B$2:$F$61)</f>
        <v>#N/A</v>
      </c>
    </row>
    <row r="1149">
      <c r="A1149" s="2" t="str">
        <f>IFERROR(__xludf.DUMMYFUNCTION("""COMPUTED_VALUE"""),"PR002")</f>
        <v>PR002</v>
      </c>
      <c r="B1149" s="2" t="str">
        <f>IFERROR(__xludf.DUMMYFUNCTION("""COMPUTED_VALUE"""),"VD029")</f>
        <v>VD029</v>
      </c>
      <c r="C1149" s="2">
        <f>IFERROR(__xludf.DUMMYFUNCTION("""COMPUTED_VALUE"""),8.0)</f>
        <v>8</v>
      </c>
      <c r="D1149" s="6">
        <f>IFERROR(__xludf.DUMMYFUNCTION("""COMPUTED_VALUE"""),559.2)</f>
        <v>559.2</v>
      </c>
      <c r="E1149" s="6">
        <f>IFERROR(__xludf.DUMMYFUNCTION("GOOGLEFINANCE(""Currency:BRLMXN"")*D1149"),1899.6024)</f>
        <v>1899.6024</v>
      </c>
      <c r="F1149" s="6">
        <f>IFERROR(__xludf.DUMMYFUNCTION("GOOGLEFINANCE(""Currency:BRLPEN"")*D1149"),366.61152)</f>
        <v>366.61152</v>
      </c>
      <c r="G1149" s="2" t="str">
        <f t="array" ref="G1149">_xlfn.XLOOKUP(B1149,Vendedores!$A$2:$A$41,Vendedores!$B$2:$B$41,"No hay datos")</f>
        <v>No hay datos</v>
      </c>
      <c r="H1149" s="2" t="str">
        <f t="array" ref="H1149">_xlfn.XLOOKUP(B1149,Vendedores!$A$2:$A$41,Vendedores!$C$2:$C$41,"No hay datos")</f>
        <v>No hay datos</v>
      </c>
      <c r="I1149" s="2" t="str">
        <f t="array" ref="I1149">_xlfn.XLOOKUP(B1149,Vendedores!$A$2:$A$41,Vendedores!$D$2:$D$41,"No hay datos")</f>
        <v>No hay datos</v>
      </c>
      <c r="J1149" s="2" t="str">
        <f t="array" ref="J1149">_xlfn.XLOOKUP(A1149,Productos!$A$2:$A$61,Productos!$B$2:$F$61)</f>
        <v>#N/A</v>
      </c>
    </row>
    <row r="1150">
      <c r="A1150" s="2" t="str">
        <f>IFERROR(__xludf.DUMMYFUNCTION("""COMPUTED_VALUE"""),"PR050")</f>
        <v>PR050</v>
      </c>
      <c r="B1150" s="2" t="str">
        <f>IFERROR(__xludf.DUMMYFUNCTION("""COMPUTED_VALUE"""),"VD026")</f>
        <v>VD026</v>
      </c>
      <c r="C1150" s="2">
        <f>IFERROR(__xludf.DUMMYFUNCTION("""COMPUTED_VALUE"""),18.0)</f>
        <v>18</v>
      </c>
      <c r="D1150" s="6">
        <f>IFERROR(__xludf.DUMMYFUNCTION("""COMPUTED_VALUE"""),604.04)</f>
        <v>604.04</v>
      </c>
      <c r="E1150" s="6">
        <f>IFERROR(__xludf.DUMMYFUNCTION("GOOGLEFINANCE(""Currency:BRLMXN"")*D1150"),2051.92388)</f>
        <v>2051.92388</v>
      </c>
      <c r="F1150" s="6">
        <f>IFERROR(__xludf.DUMMYFUNCTION("GOOGLEFINANCE(""Currency:BRLPEN"")*D1150"),396.00862399999994)</f>
        <v>396.008624</v>
      </c>
      <c r="G1150" s="2" t="str">
        <f t="array" ref="G1150">_xlfn.XLOOKUP(B1150,Vendedores!$A$2:$A$41,Vendedores!$B$2:$B$41,"No hay datos")</f>
        <v>No hay datos</v>
      </c>
      <c r="H1150" s="2" t="str">
        <f t="array" ref="H1150">_xlfn.XLOOKUP(B1150,Vendedores!$A$2:$A$41,Vendedores!$C$2:$C$41,"No hay datos")</f>
        <v>No hay datos</v>
      </c>
      <c r="I1150" s="2" t="str">
        <f t="array" ref="I1150">_xlfn.XLOOKUP(B1150,Vendedores!$A$2:$A$41,Vendedores!$D$2:$D$41,"No hay datos")</f>
        <v>No hay datos</v>
      </c>
      <c r="J1150" s="2" t="str">
        <f t="array" ref="J1150">_xlfn.XLOOKUP(A1150,Productos!$A$2:$A$61,Productos!$B$2:$F$61)</f>
        <v>#N/A</v>
      </c>
    </row>
    <row r="1151">
      <c r="A1151" s="2" t="str">
        <f>IFERROR(__xludf.DUMMYFUNCTION("""COMPUTED_VALUE"""),"PR040")</f>
        <v>PR040</v>
      </c>
      <c r="B1151" s="2" t="str">
        <f>IFERROR(__xludf.DUMMYFUNCTION("""COMPUTED_VALUE"""),"VD031")</f>
        <v>VD031</v>
      </c>
      <c r="C1151" s="2">
        <f>IFERROR(__xludf.DUMMYFUNCTION("""COMPUTED_VALUE"""),4.0)</f>
        <v>4</v>
      </c>
      <c r="D1151" s="6">
        <f>IFERROR(__xludf.DUMMYFUNCTION("""COMPUTED_VALUE"""),282.8)</f>
        <v>282.8</v>
      </c>
      <c r="E1151" s="6">
        <f>IFERROR(__xludf.DUMMYFUNCTION("GOOGLEFINANCE(""Currency:BRLMXN"")*D1151"),960.6716)</f>
        <v>960.6716</v>
      </c>
      <c r="F1151" s="6">
        <f>IFERROR(__xludf.DUMMYFUNCTION("GOOGLEFINANCE(""Currency:BRLPEN"")*D1151"),185.40368)</f>
        <v>185.40368</v>
      </c>
      <c r="G1151" s="2" t="str">
        <f t="array" ref="G1151">_xlfn.XLOOKUP(B1151,Vendedores!$A$2:$A$41,Vendedores!$B$2:$B$41,"No hay datos")</f>
        <v>No hay datos</v>
      </c>
      <c r="H1151" s="2" t="str">
        <f t="array" ref="H1151">_xlfn.XLOOKUP(B1151,Vendedores!$A$2:$A$41,Vendedores!$C$2:$C$41,"No hay datos")</f>
        <v>No hay datos</v>
      </c>
      <c r="I1151" s="2" t="str">
        <f t="array" ref="I1151">_xlfn.XLOOKUP(B1151,Vendedores!$A$2:$A$41,Vendedores!$D$2:$D$41,"No hay datos")</f>
        <v>No hay datos</v>
      </c>
      <c r="J1151" s="2" t="str">
        <f t="array" ref="J1151">_xlfn.XLOOKUP(A1151,Productos!$A$2:$A$61,Productos!$B$2:$F$61)</f>
        <v>#N/A</v>
      </c>
    </row>
    <row r="1152">
      <c r="A1152" s="2" t="str">
        <f>IFERROR(__xludf.DUMMYFUNCTION("""COMPUTED_VALUE"""),"PR021")</f>
        <v>PR021</v>
      </c>
      <c r="B1152" s="2" t="str">
        <f>IFERROR(__xludf.DUMMYFUNCTION("""COMPUTED_VALUE"""),"VD049")</f>
        <v>VD049</v>
      </c>
      <c r="C1152" s="2">
        <f>IFERROR(__xludf.DUMMYFUNCTION("""COMPUTED_VALUE"""),2.0)</f>
        <v>2</v>
      </c>
      <c r="D1152" s="6">
        <f>IFERROR(__xludf.DUMMYFUNCTION("""COMPUTED_VALUE"""),623.97)</f>
        <v>623.97</v>
      </c>
      <c r="E1152" s="6">
        <f>IFERROR(__xludf.DUMMYFUNCTION("GOOGLEFINANCE(""Currency:BRLMXN"")*D1152"),2119.6260899999997)</f>
        <v>2119.62609</v>
      </c>
      <c r="F1152" s="6">
        <f>IFERROR(__xludf.DUMMYFUNCTION("GOOGLEFINANCE(""Currency:BRLPEN"")*D1152"),409.074732)</f>
        <v>409.074732</v>
      </c>
      <c r="G1152" s="2" t="str">
        <f t="array" ref="G1152">_xlfn.XLOOKUP(B1152,Vendedores!$A$2:$A$41,Vendedores!$B$2:$B$41,"No hay datos")</f>
        <v>No hay datos</v>
      </c>
      <c r="H1152" s="2" t="str">
        <f t="array" ref="H1152">_xlfn.XLOOKUP(B1152,Vendedores!$A$2:$A$41,Vendedores!$C$2:$C$41,"No hay datos")</f>
        <v>No hay datos</v>
      </c>
      <c r="I1152" s="2" t="str">
        <f t="array" ref="I1152">_xlfn.XLOOKUP(B1152,Vendedores!$A$2:$A$41,Vendedores!$D$2:$D$41,"No hay datos")</f>
        <v>No hay datos</v>
      </c>
      <c r="J1152" s="2" t="str">
        <f t="array" ref="J1152">_xlfn.XLOOKUP(A1152,Productos!$A$2:$A$61,Productos!$B$2:$F$61)</f>
        <v>#N/A</v>
      </c>
    </row>
    <row r="1153">
      <c r="A1153" s="2" t="str">
        <f>IFERROR(__xludf.DUMMYFUNCTION("""COMPUTED_VALUE"""),"PR028")</f>
        <v>PR028</v>
      </c>
      <c r="B1153" s="2" t="str">
        <f>IFERROR(__xludf.DUMMYFUNCTION("""COMPUTED_VALUE"""),"VD011")</f>
        <v>VD011</v>
      </c>
      <c r="C1153" s="2">
        <f>IFERROR(__xludf.DUMMYFUNCTION("""COMPUTED_VALUE"""),2.0)</f>
        <v>2</v>
      </c>
      <c r="D1153" s="6">
        <f>IFERROR(__xludf.DUMMYFUNCTION("""COMPUTED_VALUE"""),504.8)</f>
        <v>504.8</v>
      </c>
      <c r="E1153" s="6">
        <f>IFERROR(__xludf.DUMMYFUNCTION("GOOGLEFINANCE(""Currency:BRLMXN"")*D1153"),1714.8056)</f>
        <v>1714.8056</v>
      </c>
      <c r="F1153" s="6">
        <f>IFERROR(__xludf.DUMMYFUNCTION("GOOGLEFINANCE(""Currency:BRLPEN"")*D1153"),330.94687999999996)</f>
        <v>330.94688</v>
      </c>
      <c r="G1153" s="2" t="str">
        <f t="array" ref="G1153">_xlfn.XLOOKUP(B1153,Vendedores!$A$2:$A$41,Vendedores!$B$2:$B$41,"No hay datos")</f>
        <v>No hay datos</v>
      </c>
      <c r="H1153" s="2" t="str">
        <f t="array" ref="H1153">_xlfn.XLOOKUP(B1153,Vendedores!$A$2:$A$41,Vendedores!$C$2:$C$41,"No hay datos")</f>
        <v>No hay datos</v>
      </c>
      <c r="I1153" s="2" t="str">
        <f t="array" ref="I1153">_xlfn.XLOOKUP(B1153,Vendedores!$A$2:$A$41,Vendedores!$D$2:$D$41,"No hay datos")</f>
        <v>No hay datos</v>
      </c>
      <c r="J1153" s="2" t="str">
        <f t="array" ref="J1153">_xlfn.XLOOKUP(A1153,Productos!$A$2:$A$61,Productos!$B$2:$F$61)</f>
        <v>#N/A</v>
      </c>
    </row>
    <row r="1154">
      <c r="A1154" s="2" t="str">
        <f>IFERROR(__xludf.DUMMYFUNCTION("""COMPUTED_VALUE"""),"PR020")</f>
        <v>PR020</v>
      </c>
      <c r="B1154" s="2" t="str">
        <f>IFERROR(__xludf.DUMMYFUNCTION("""COMPUTED_VALUE"""),"VD019")</f>
        <v>VD019</v>
      </c>
      <c r="C1154" s="2">
        <f>IFERROR(__xludf.DUMMYFUNCTION("""COMPUTED_VALUE"""),6.0)</f>
        <v>6</v>
      </c>
      <c r="D1154" s="6">
        <f>IFERROR(__xludf.DUMMYFUNCTION("""COMPUTED_VALUE"""),1907.36)</f>
        <v>1907.36</v>
      </c>
      <c r="E1154" s="6">
        <f>IFERROR(__xludf.DUMMYFUNCTION("GOOGLEFINANCE(""Currency:BRLMXN"")*D1154"),6479.301919999999)</f>
        <v>6479.30192</v>
      </c>
      <c r="F1154" s="6">
        <f>IFERROR(__xludf.DUMMYFUNCTION("GOOGLEFINANCE(""Currency:BRLPEN"")*D1154"),1250.4652159999998)</f>
        <v>1250.465216</v>
      </c>
      <c r="G1154" s="2" t="str">
        <f t="array" ref="G1154">_xlfn.XLOOKUP(B1154,Vendedores!$A$2:$A$41,Vendedores!$B$2:$B$41,"No hay datos")</f>
        <v>No hay datos</v>
      </c>
      <c r="H1154" s="2" t="str">
        <f t="array" ref="H1154">_xlfn.XLOOKUP(B1154,Vendedores!$A$2:$A$41,Vendedores!$C$2:$C$41,"No hay datos")</f>
        <v>No hay datos</v>
      </c>
      <c r="I1154" s="2" t="str">
        <f t="array" ref="I1154">_xlfn.XLOOKUP(B1154,Vendedores!$A$2:$A$41,Vendedores!$D$2:$D$41,"No hay datos")</f>
        <v>No hay datos</v>
      </c>
      <c r="J1154" s="2" t="str">
        <f t="array" ref="J1154">_xlfn.XLOOKUP(A1154,Productos!$A$2:$A$61,Productos!$B$2:$F$61)</f>
        <v>#N/A</v>
      </c>
    </row>
    <row r="1155">
      <c r="A1155" s="2" t="str">
        <f>IFERROR(__xludf.DUMMYFUNCTION("""COMPUTED_VALUE"""),"PR052")</f>
        <v>PR052</v>
      </c>
      <c r="B1155" s="2" t="str">
        <f>IFERROR(__xludf.DUMMYFUNCTION("""COMPUTED_VALUE"""),"VD030")</f>
        <v>VD030</v>
      </c>
      <c r="C1155" s="2">
        <f>IFERROR(__xludf.DUMMYFUNCTION("""COMPUTED_VALUE"""),20.0)</f>
        <v>20</v>
      </c>
      <c r="D1155" s="6">
        <f>IFERROR(__xludf.DUMMYFUNCTION("""COMPUTED_VALUE"""),1097.8)</f>
        <v>1097.8</v>
      </c>
      <c r="E1155" s="6">
        <f>IFERROR(__xludf.DUMMYFUNCTION("GOOGLEFINANCE(""Currency:BRLMXN"")*D1155"),3729.2265999999995)</f>
        <v>3729.2266</v>
      </c>
      <c r="F1155" s="6">
        <f>IFERROR(__xludf.DUMMYFUNCTION("GOOGLEFINANCE(""Currency:BRLPEN"")*D1155"),719.71768)</f>
        <v>719.71768</v>
      </c>
      <c r="G1155" s="2" t="str">
        <f t="array" ref="G1155">_xlfn.XLOOKUP(B1155,Vendedores!$A$2:$A$41,Vendedores!$B$2:$B$41,"No hay datos")</f>
        <v>No hay datos</v>
      </c>
      <c r="H1155" s="2" t="str">
        <f t="array" ref="H1155">_xlfn.XLOOKUP(B1155,Vendedores!$A$2:$A$41,Vendedores!$C$2:$C$41,"No hay datos")</f>
        <v>No hay datos</v>
      </c>
      <c r="I1155" s="2" t="str">
        <f t="array" ref="I1155">_xlfn.XLOOKUP(B1155,Vendedores!$A$2:$A$41,Vendedores!$D$2:$D$41,"No hay datos")</f>
        <v>No hay datos</v>
      </c>
      <c r="J1155" s="2" t="str">
        <f t="array" ref="J1155">_xlfn.XLOOKUP(A1155,Productos!$A$2:$A$61,Productos!$B$2:$F$61)</f>
        <v>#N/A</v>
      </c>
    </row>
    <row r="1156">
      <c r="A1156" s="2" t="str">
        <f>IFERROR(__xludf.DUMMYFUNCTION("""COMPUTED_VALUE"""),"PR033")</f>
        <v>PR033</v>
      </c>
      <c r="B1156" s="2" t="str">
        <f>IFERROR(__xludf.DUMMYFUNCTION("""COMPUTED_VALUE"""),"VD017")</f>
        <v>VD017</v>
      </c>
      <c r="C1156" s="2">
        <f>IFERROR(__xludf.DUMMYFUNCTION("""COMPUTED_VALUE"""),9.0)</f>
        <v>9</v>
      </c>
      <c r="D1156" s="6">
        <f>IFERROR(__xludf.DUMMYFUNCTION("""COMPUTED_VALUE"""),2479.45)</f>
        <v>2479.45</v>
      </c>
      <c r="E1156" s="6">
        <f>IFERROR(__xludf.DUMMYFUNCTION("GOOGLEFINANCE(""Currency:BRLMXN"")*D1156"),8422.691649999999)</f>
        <v>8422.69165</v>
      </c>
      <c r="F1156" s="6">
        <f>IFERROR(__xludf.DUMMYFUNCTION("GOOGLEFINANCE(""Currency:BRLPEN"")*D1156"),1625.52742)</f>
        <v>1625.52742</v>
      </c>
      <c r="G1156" s="2" t="str">
        <f t="array" ref="G1156">_xlfn.XLOOKUP(B1156,Vendedores!$A$2:$A$41,Vendedores!$B$2:$B$41,"No hay datos")</f>
        <v>No hay datos</v>
      </c>
      <c r="H1156" s="2" t="str">
        <f t="array" ref="H1156">_xlfn.XLOOKUP(B1156,Vendedores!$A$2:$A$41,Vendedores!$C$2:$C$41,"No hay datos")</f>
        <v>No hay datos</v>
      </c>
      <c r="I1156" s="2" t="str">
        <f t="array" ref="I1156">_xlfn.XLOOKUP(B1156,Vendedores!$A$2:$A$41,Vendedores!$D$2:$D$41,"No hay datos")</f>
        <v>No hay datos</v>
      </c>
      <c r="J1156" s="2" t="str">
        <f t="array" ref="J1156">_xlfn.XLOOKUP(A1156,Productos!$A$2:$A$61,Productos!$B$2:$F$61)</f>
        <v>#N/A</v>
      </c>
    </row>
    <row r="1157">
      <c r="A1157" s="2" t="str">
        <f>IFERROR(__xludf.DUMMYFUNCTION("""COMPUTED_VALUE"""),"PR016")</f>
        <v>PR016</v>
      </c>
      <c r="B1157" s="2" t="str">
        <f>IFERROR(__xludf.DUMMYFUNCTION("""COMPUTED_VALUE"""),"VD039")</f>
        <v>VD039</v>
      </c>
      <c r="C1157" s="2">
        <f>IFERROR(__xludf.DUMMYFUNCTION("""COMPUTED_VALUE"""),4.0)</f>
        <v>4</v>
      </c>
      <c r="D1157" s="6">
        <f>IFERROR(__xludf.DUMMYFUNCTION("""COMPUTED_VALUE"""),103.6)</f>
        <v>103.6</v>
      </c>
      <c r="E1157" s="6">
        <f>IFERROR(__xludf.DUMMYFUNCTION("GOOGLEFINANCE(""Currency:BRLMXN"")*D1157"),351.9292)</f>
        <v>351.9292</v>
      </c>
      <c r="F1157" s="6">
        <f>IFERROR(__xludf.DUMMYFUNCTION("GOOGLEFINANCE(""Currency:BRLPEN"")*D1157"),67.92016)</f>
        <v>67.92016</v>
      </c>
      <c r="G1157" s="2" t="str">
        <f t="array" ref="G1157">_xlfn.XLOOKUP(B1157,Vendedores!$A$2:$A$41,Vendedores!$B$2:$B$41,"No hay datos")</f>
        <v>No hay datos</v>
      </c>
      <c r="H1157" s="2" t="str">
        <f t="array" ref="H1157">_xlfn.XLOOKUP(B1157,Vendedores!$A$2:$A$41,Vendedores!$C$2:$C$41,"No hay datos")</f>
        <v>No hay datos</v>
      </c>
      <c r="I1157" s="2" t="str">
        <f t="array" ref="I1157">_xlfn.XLOOKUP(B1157,Vendedores!$A$2:$A$41,Vendedores!$D$2:$D$41,"No hay datos")</f>
        <v>No hay datos</v>
      </c>
      <c r="J1157" s="2" t="str">
        <f t="array" ref="J1157">_xlfn.XLOOKUP(A1157,Productos!$A$2:$A$61,Productos!$B$2:$F$61)</f>
        <v>#N/A</v>
      </c>
    </row>
    <row r="1158">
      <c r="A1158" s="2" t="str">
        <f>IFERROR(__xludf.DUMMYFUNCTION("""COMPUTED_VALUE"""),"PR034")</f>
        <v>PR034</v>
      </c>
      <c r="B1158" s="2" t="str">
        <f>IFERROR(__xludf.DUMMYFUNCTION("""COMPUTED_VALUE"""),"VD028")</f>
        <v>VD028</v>
      </c>
      <c r="C1158" s="2">
        <f>IFERROR(__xludf.DUMMYFUNCTION("""COMPUTED_VALUE"""),20.0)</f>
        <v>20</v>
      </c>
      <c r="D1158" s="6">
        <f>IFERROR(__xludf.DUMMYFUNCTION("""COMPUTED_VALUE"""),1905.88)</f>
        <v>1905.88</v>
      </c>
      <c r="E1158" s="6">
        <f>IFERROR(__xludf.DUMMYFUNCTION("GOOGLEFINANCE(""Currency:BRLMXN"")*D1158"),6474.27436)</f>
        <v>6474.27436</v>
      </c>
      <c r="F1158" s="6">
        <f>IFERROR(__xludf.DUMMYFUNCTION("GOOGLEFINANCE(""Currency:BRLPEN"")*D1158"),1249.494928)</f>
        <v>1249.494928</v>
      </c>
      <c r="G1158" s="2" t="str">
        <f t="array" ref="G1158">_xlfn.XLOOKUP(B1158,Vendedores!$A$2:$A$41,Vendedores!$B$2:$B$41,"No hay datos")</f>
        <v>No hay datos</v>
      </c>
      <c r="H1158" s="2" t="str">
        <f t="array" ref="H1158">_xlfn.XLOOKUP(B1158,Vendedores!$A$2:$A$41,Vendedores!$C$2:$C$41,"No hay datos")</f>
        <v>No hay datos</v>
      </c>
      <c r="I1158" s="2" t="str">
        <f t="array" ref="I1158">_xlfn.XLOOKUP(B1158,Vendedores!$A$2:$A$41,Vendedores!$D$2:$D$41,"No hay datos")</f>
        <v>No hay datos</v>
      </c>
      <c r="J1158" s="2" t="str">
        <f t="array" ref="J1158">_xlfn.XLOOKUP(A1158,Productos!$A$2:$A$61,Productos!$B$2:$F$61)</f>
        <v>#N/A</v>
      </c>
    </row>
    <row r="1159">
      <c r="A1159" s="2" t="str">
        <f>IFERROR(__xludf.DUMMYFUNCTION("""COMPUTED_VALUE"""),"PR014")</f>
        <v>PR014</v>
      </c>
      <c r="B1159" s="2" t="str">
        <f>IFERROR(__xludf.DUMMYFUNCTION("""COMPUTED_VALUE"""),"VD047")</f>
        <v>VD047</v>
      </c>
      <c r="C1159" s="2">
        <f>IFERROR(__xludf.DUMMYFUNCTION("""COMPUTED_VALUE"""),4.0)</f>
        <v>4</v>
      </c>
      <c r="D1159" s="6">
        <f>IFERROR(__xludf.DUMMYFUNCTION("""COMPUTED_VALUE"""),165.98)</f>
        <v>165.98</v>
      </c>
      <c r="E1159" s="6">
        <f>IFERROR(__xludf.DUMMYFUNCTION("GOOGLEFINANCE(""Currency:BRLMXN"")*D1159"),563.8340599999999)</f>
        <v>563.83406</v>
      </c>
      <c r="F1159" s="6">
        <f>IFERROR(__xludf.DUMMYFUNCTION("GOOGLEFINANCE(""Currency:BRLPEN"")*D1159"),108.81648799999999)</f>
        <v>108.816488</v>
      </c>
      <c r="G1159" s="2" t="str">
        <f t="array" ref="G1159">_xlfn.XLOOKUP(B1159,Vendedores!$A$2:$A$41,Vendedores!$B$2:$B$41,"No hay datos")</f>
        <v>No hay datos</v>
      </c>
      <c r="H1159" s="2" t="str">
        <f t="array" ref="H1159">_xlfn.XLOOKUP(B1159,Vendedores!$A$2:$A$41,Vendedores!$C$2:$C$41,"No hay datos")</f>
        <v>No hay datos</v>
      </c>
      <c r="I1159" s="2" t="str">
        <f t="array" ref="I1159">_xlfn.XLOOKUP(B1159,Vendedores!$A$2:$A$41,Vendedores!$D$2:$D$41,"No hay datos")</f>
        <v>No hay datos</v>
      </c>
      <c r="J1159" s="2" t="str">
        <f t="array" ref="J1159">_xlfn.XLOOKUP(A1159,Productos!$A$2:$A$61,Productos!$B$2:$F$61)</f>
        <v>#N/A</v>
      </c>
    </row>
    <row r="1160">
      <c r="A1160" s="2" t="str">
        <f>IFERROR(__xludf.DUMMYFUNCTION("""COMPUTED_VALUE"""),"PR048")</f>
        <v>PR048</v>
      </c>
      <c r="B1160" s="2" t="str">
        <f>IFERROR(__xludf.DUMMYFUNCTION("""COMPUTED_VALUE"""),"VD034")</f>
        <v>VD034</v>
      </c>
      <c r="C1160" s="2">
        <f>IFERROR(__xludf.DUMMYFUNCTION("""COMPUTED_VALUE"""),4.0)</f>
        <v>4</v>
      </c>
      <c r="D1160" s="6">
        <f>IFERROR(__xludf.DUMMYFUNCTION("""COMPUTED_VALUE"""),1171.2)</f>
        <v>1171.2</v>
      </c>
      <c r="E1160" s="6">
        <f>IFERROR(__xludf.DUMMYFUNCTION("GOOGLEFINANCE(""Currency:BRLMXN"")*D1160"),3978.5663999999997)</f>
        <v>3978.5664</v>
      </c>
      <c r="F1160" s="6">
        <f>IFERROR(__xludf.DUMMYFUNCTION("GOOGLEFINANCE(""Currency:BRLPEN"")*D1160"),767.83872)</f>
        <v>767.83872</v>
      </c>
      <c r="G1160" s="2" t="str">
        <f t="array" ref="G1160">_xlfn.XLOOKUP(B1160,Vendedores!$A$2:$A$41,Vendedores!$B$2:$B$41,"No hay datos")</f>
        <v>No hay datos</v>
      </c>
      <c r="H1160" s="2" t="str">
        <f t="array" ref="H1160">_xlfn.XLOOKUP(B1160,Vendedores!$A$2:$A$41,Vendedores!$C$2:$C$41,"No hay datos")</f>
        <v>No hay datos</v>
      </c>
      <c r="I1160" s="2" t="str">
        <f t="array" ref="I1160">_xlfn.XLOOKUP(B1160,Vendedores!$A$2:$A$41,Vendedores!$D$2:$D$41,"No hay datos")</f>
        <v>No hay datos</v>
      </c>
      <c r="J1160" s="2" t="str">
        <f t="array" ref="J1160">_xlfn.XLOOKUP(A1160,Productos!$A$2:$A$61,Productos!$B$2:$F$61)</f>
        <v>#N/A</v>
      </c>
    </row>
    <row r="1161">
      <c r="A1161" s="2" t="str">
        <f>IFERROR(__xludf.DUMMYFUNCTION("""COMPUTED_VALUE"""),"PR040")</f>
        <v>PR040</v>
      </c>
      <c r="B1161" s="2" t="str">
        <f>IFERROR(__xludf.DUMMYFUNCTION("""COMPUTED_VALUE"""),"VD021")</f>
        <v>VD021</v>
      </c>
      <c r="C1161" s="2">
        <f>IFERROR(__xludf.DUMMYFUNCTION("""COMPUTED_VALUE"""),4.0)</f>
        <v>4</v>
      </c>
      <c r="D1161" s="6">
        <f>IFERROR(__xludf.DUMMYFUNCTION("""COMPUTED_VALUE"""),282.8)</f>
        <v>282.8</v>
      </c>
      <c r="E1161" s="6">
        <f>IFERROR(__xludf.DUMMYFUNCTION("GOOGLEFINANCE(""Currency:BRLMXN"")*D1161"),960.6716)</f>
        <v>960.6716</v>
      </c>
      <c r="F1161" s="6">
        <f>IFERROR(__xludf.DUMMYFUNCTION("GOOGLEFINANCE(""Currency:BRLPEN"")*D1161"),185.40368)</f>
        <v>185.40368</v>
      </c>
      <c r="G1161" s="2" t="str">
        <f t="array" ref="G1161">_xlfn.XLOOKUP(B1161,Vendedores!$A$2:$A$41,Vendedores!$B$2:$B$41,"No hay datos")</f>
        <v>No hay datos</v>
      </c>
      <c r="H1161" s="2" t="str">
        <f t="array" ref="H1161">_xlfn.XLOOKUP(B1161,Vendedores!$A$2:$A$41,Vendedores!$C$2:$C$41,"No hay datos")</f>
        <v>No hay datos</v>
      </c>
      <c r="I1161" s="2" t="str">
        <f t="array" ref="I1161">_xlfn.XLOOKUP(B1161,Vendedores!$A$2:$A$41,Vendedores!$D$2:$D$41,"No hay datos")</f>
        <v>No hay datos</v>
      </c>
      <c r="J1161" s="2" t="str">
        <f t="array" ref="J1161">_xlfn.XLOOKUP(A1161,Productos!$A$2:$A$61,Productos!$B$2:$F$61)</f>
        <v>#N/A</v>
      </c>
    </row>
    <row r="1162">
      <c r="A1162" s="2" t="str">
        <f>IFERROR(__xludf.DUMMYFUNCTION("""COMPUTED_VALUE"""),"PR055")</f>
        <v>PR055</v>
      </c>
      <c r="B1162" s="2" t="str">
        <f>IFERROR(__xludf.DUMMYFUNCTION("""COMPUTED_VALUE"""),"VD041")</f>
        <v>VD041</v>
      </c>
      <c r="C1162" s="2">
        <f>IFERROR(__xludf.DUMMYFUNCTION("""COMPUTED_VALUE"""),8.0)</f>
        <v>8</v>
      </c>
      <c r="D1162" s="6">
        <f>IFERROR(__xludf.DUMMYFUNCTION("""COMPUTED_VALUE"""),740.78)</f>
        <v>740.78</v>
      </c>
      <c r="E1162" s="6">
        <f>IFERROR(__xludf.DUMMYFUNCTION("GOOGLEFINANCE(""Currency:BRLMXN"")*D1162"),2516.42966)</f>
        <v>2516.42966</v>
      </c>
      <c r="F1162" s="6">
        <f>IFERROR(__xludf.DUMMYFUNCTION("GOOGLEFINANCE(""Currency:BRLPEN"")*D1162"),485.65536799999995)</f>
        <v>485.655368</v>
      </c>
      <c r="G1162" s="2" t="str">
        <f t="array" ref="G1162">_xlfn.XLOOKUP(B1162,Vendedores!$A$2:$A$41,Vendedores!$B$2:$B$41,"No hay datos")</f>
        <v>No hay datos</v>
      </c>
      <c r="H1162" s="2" t="str">
        <f t="array" ref="H1162">_xlfn.XLOOKUP(B1162,Vendedores!$A$2:$A$41,Vendedores!$C$2:$C$41,"No hay datos")</f>
        <v>No hay datos</v>
      </c>
      <c r="I1162" s="2" t="str">
        <f t="array" ref="I1162">_xlfn.XLOOKUP(B1162,Vendedores!$A$2:$A$41,Vendedores!$D$2:$D$41,"No hay datos")</f>
        <v>No hay datos</v>
      </c>
      <c r="J1162" s="2" t="str">
        <f t="array" ref="J1162">_xlfn.XLOOKUP(A1162,Productos!$A$2:$A$61,Productos!$B$2:$F$61)</f>
        <v>#N/A</v>
      </c>
    </row>
    <row r="1163">
      <c r="A1163" s="2" t="str">
        <f>IFERROR(__xludf.DUMMYFUNCTION("""COMPUTED_VALUE"""),"PR035")</f>
        <v>PR035</v>
      </c>
      <c r="B1163" s="2" t="str">
        <f>IFERROR(__xludf.DUMMYFUNCTION("""COMPUTED_VALUE"""),"VD039")</f>
        <v>VD039</v>
      </c>
      <c r="C1163" s="2">
        <f>IFERROR(__xludf.DUMMYFUNCTION("""COMPUTED_VALUE"""),6.0)</f>
        <v>6</v>
      </c>
      <c r="D1163" s="6">
        <f>IFERROR(__xludf.DUMMYFUNCTION("""COMPUTED_VALUE"""),581.3)</f>
        <v>581.3</v>
      </c>
      <c r="E1163" s="6">
        <f>IFERROR(__xludf.DUMMYFUNCTION("GOOGLEFINANCE(""Currency:BRLMXN"")*D1163"),1974.6760999999997)</f>
        <v>1974.6761</v>
      </c>
      <c r="F1163" s="6">
        <f>IFERROR(__xludf.DUMMYFUNCTION("GOOGLEFINANCE(""Currency:BRLPEN"")*D1163"),381.10027999999994)</f>
        <v>381.10028</v>
      </c>
      <c r="G1163" s="2" t="str">
        <f t="array" ref="G1163">_xlfn.XLOOKUP(B1163,Vendedores!$A$2:$A$41,Vendedores!$B$2:$B$41,"No hay datos")</f>
        <v>No hay datos</v>
      </c>
      <c r="H1163" s="2" t="str">
        <f t="array" ref="H1163">_xlfn.XLOOKUP(B1163,Vendedores!$A$2:$A$41,Vendedores!$C$2:$C$41,"No hay datos")</f>
        <v>No hay datos</v>
      </c>
      <c r="I1163" s="2" t="str">
        <f t="array" ref="I1163">_xlfn.XLOOKUP(B1163,Vendedores!$A$2:$A$41,Vendedores!$D$2:$D$41,"No hay datos")</f>
        <v>No hay datos</v>
      </c>
      <c r="J1163" s="2" t="str">
        <f t="array" ref="J1163">_xlfn.XLOOKUP(A1163,Productos!$A$2:$A$61,Productos!$B$2:$F$61)</f>
        <v>#N/A</v>
      </c>
    </row>
    <row r="1164">
      <c r="A1164" s="2" t="str">
        <f>IFERROR(__xludf.DUMMYFUNCTION("""COMPUTED_VALUE"""),"PR007")</f>
        <v>PR007</v>
      </c>
      <c r="B1164" s="2" t="str">
        <f>IFERROR(__xludf.DUMMYFUNCTION("""COMPUTED_VALUE"""),"VD021")</f>
        <v>VD021</v>
      </c>
      <c r="C1164" s="2">
        <f>IFERROR(__xludf.DUMMYFUNCTION("""COMPUTED_VALUE"""),8.0)</f>
        <v>8</v>
      </c>
      <c r="D1164" s="6">
        <f>IFERROR(__xludf.DUMMYFUNCTION("""COMPUTED_VALUE"""),755.92)</f>
        <v>755.92</v>
      </c>
      <c r="E1164" s="6">
        <f>IFERROR(__xludf.DUMMYFUNCTION("GOOGLEFINANCE(""Currency:BRLMXN"")*D1164"),2567.8602399999995)</f>
        <v>2567.86024</v>
      </c>
      <c r="F1164" s="6">
        <f>IFERROR(__xludf.DUMMYFUNCTION("GOOGLEFINANCE(""Currency:BRLPEN"")*D1164"),495.5811519999999)</f>
        <v>495.581152</v>
      </c>
      <c r="G1164" s="2" t="str">
        <f t="array" ref="G1164">_xlfn.XLOOKUP(B1164,Vendedores!$A$2:$A$41,Vendedores!$B$2:$B$41,"No hay datos")</f>
        <v>No hay datos</v>
      </c>
      <c r="H1164" s="2" t="str">
        <f t="array" ref="H1164">_xlfn.XLOOKUP(B1164,Vendedores!$A$2:$A$41,Vendedores!$C$2:$C$41,"No hay datos")</f>
        <v>No hay datos</v>
      </c>
      <c r="I1164" s="2" t="str">
        <f t="array" ref="I1164">_xlfn.XLOOKUP(B1164,Vendedores!$A$2:$A$41,Vendedores!$D$2:$D$41,"No hay datos")</f>
        <v>No hay datos</v>
      </c>
      <c r="J1164" s="2" t="str">
        <f t="array" ref="J1164">_xlfn.XLOOKUP(A1164,Productos!$A$2:$A$61,Productos!$B$2:$F$61)</f>
        <v>#N/A</v>
      </c>
    </row>
    <row r="1165">
      <c r="A1165" s="2" t="str">
        <f>IFERROR(__xludf.DUMMYFUNCTION("""COMPUTED_VALUE"""),"PR020")</f>
        <v>PR020</v>
      </c>
      <c r="B1165" s="2" t="str">
        <f>IFERROR(__xludf.DUMMYFUNCTION("""COMPUTED_VALUE"""),"VD024")</f>
        <v>VD024</v>
      </c>
      <c r="C1165" s="2">
        <f>IFERROR(__xludf.DUMMYFUNCTION("""COMPUTED_VALUE"""),2.0)</f>
        <v>2</v>
      </c>
      <c r="D1165" s="6">
        <f>IFERROR(__xludf.DUMMYFUNCTION("""COMPUTED_VALUE"""),599.8)</f>
        <v>599.8</v>
      </c>
      <c r="E1165" s="6">
        <f>IFERROR(__xludf.DUMMYFUNCTION("GOOGLEFINANCE(""Currency:BRLMXN"")*D1165"),2037.5205999999998)</f>
        <v>2037.5206</v>
      </c>
      <c r="F1165" s="6">
        <f>IFERROR(__xludf.DUMMYFUNCTION("GOOGLEFINANCE(""Currency:BRLPEN"")*D1165"),393.22887999999995)</f>
        <v>393.22888</v>
      </c>
      <c r="G1165" s="2" t="str">
        <f t="array" ref="G1165">_xlfn.XLOOKUP(B1165,Vendedores!$A$2:$A$41,Vendedores!$B$2:$B$41,"No hay datos")</f>
        <v>No hay datos</v>
      </c>
      <c r="H1165" s="2" t="str">
        <f t="array" ref="H1165">_xlfn.XLOOKUP(B1165,Vendedores!$A$2:$A$41,Vendedores!$C$2:$C$41,"No hay datos")</f>
        <v>No hay datos</v>
      </c>
      <c r="I1165" s="2" t="str">
        <f t="array" ref="I1165">_xlfn.XLOOKUP(B1165,Vendedores!$A$2:$A$41,Vendedores!$D$2:$D$41,"No hay datos")</f>
        <v>No hay datos</v>
      </c>
      <c r="J1165" s="2" t="str">
        <f t="array" ref="J1165">_xlfn.XLOOKUP(A1165,Productos!$A$2:$A$61,Productos!$B$2:$F$61)</f>
        <v>#N/A</v>
      </c>
    </row>
    <row r="1166">
      <c r="A1166" s="2" t="str">
        <f>IFERROR(__xludf.DUMMYFUNCTION("""COMPUTED_VALUE"""),"PR052")</f>
        <v>PR052</v>
      </c>
      <c r="B1166" s="2" t="str">
        <f>IFERROR(__xludf.DUMMYFUNCTION("""COMPUTED_VALUE"""),"VD040")</f>
        <v>VD040</v>
      </c>
      <c r="C1166" s="2">
        <f>IFERROR(__xludf.DUMMYFUNCTION("""COMPUTED_VALUE"""),10.0)</f>
        <v>10</v>
      </c>
      <c r="D1166" s="6">
        <f>IFERROR(__xludf.DUMMYFUNCTION("""COMPUTED_VALUE"""),508.98)</f>
        <v>508.98</v>
      </c>
      <c r="E1166" s="6">
        <f>IFERROR(__xludf.DUMMYFUNCTION("GOOGLEFINANCE(""Currency:BRLMXN"")*D1166"),1729.00506)</f>
        <v>1729.00506</v>
      </c>
      <c r="F1166" s="6">
        <f>IFERROR(__xludf.DUMMYFUNCTION("GOOGLEFINANCE(""Currency:BRLPEN"")*D1166"),333.68728799999997)</f>
        <v>333.687288</v>
      </c>
      <c r="G1166" s="2" t="str">
        <f t="array" ref="G1166">_xlfn.XLOOKUP(B1166,Vendedores!$A$2:$A$41,Vendedores!$B$2:$B$41,"No hay datos")</f>
        <v>No hay datos</v>
      </c>
      <c r="H1166" s="2" t="str">
        <f t="array" ref="H1166">_xlfn.XLOOKUP(B1166,Vendedores!$A$2:$A$41,Vendedores!$C$2:$C$41,"No hay datos")</f>
        <v>No hay datos</v>
      </c>
      <c r="I1166" s="2" t="str">
        <f t="array" ref="I1166">_xlfn.XLOOKUP(B1166,Vendedores!$A$2:$A$41,Vendedores!$D$2:$D$41,"No hay datos")</f>
        <v>No hay datos</v>
      </c>
      <c r="J1166" s="2" t="str">
        <f t="array" ref="J1166">_xlfn.XLOOKUP(A1166,Productos!$A$2:$A$61,Productos!$B$2:$F$61)</f>
        <v>#N/A</v>
      </c>
    </row>
    <row r="1167">
      <c r="A1167" s="2" t="str">
        <f>IFERROR(__xludf.DUMMYFUNCTION("""COMPUTED_VALUE"""),"PR003")</f>
        <v>PR003</v>
      </c>
      <c r="B1167" s="2" t="str">
        <f>IFERROR(__xludf.DUMMYFUNCTION("""COMPUTED_VALUE"""),"VD017")</f>
        <v>VD017</v>
      </c>
      <c r="C1167" s="2">
        <f>IFERROR(__xludf.DUMMYFUNCTION("""COMPUTED_VALUE"""),20.0)</f>
        <v>20</v>
      </c>
      <c r="D1167" s="6">
        <f>IFERROR(__xludf.DUMMYFUNCTION("""COMPUTED_VALUE"""),1559.8)</f>
        <v>1559.8</v>
      </c>
      <c r="E1167" s="6">
        <f>IFERROR(__xludf.DUMMYFUNCTION("GOOGLEFINANCE(""Currency:BRLMXN"")*D1167"),5298.6406)</f>
        <v>5298.6406</v>
      </c>
      <c r="F1167" s="6">
        <f>IFERROR(__xludf.DUMMYFUNCTION("GOOGLEFINANCE(""Currency:BRLPEN"")*D1167"),1022.6048799999999)</f>
        <v>1022.60488</v>
      </c>
      <c r="G1167" s="2" t="str">
        <f t="array" ref="G1167">_xlfn.XLOOKUP(B1167,Vendedores!$A$2:$A$41,Vendedores!$B$2:$B$41,"No hay datos")</f>
        <v>No hay datos</v>
      </c>
      <c r="H1167" s="2" t="str">
        <f t="array" ref="H1167">_xlfn.XLOOKUP(B1167,Vendedores!$A$2:$A$41,Vendedores!$C$2:$C$41,"No hay datos")</f>
        <v>No hay datos</v>
      </c>
      <c r="I1167" s="2" t="str">
        <f t="array" ref="I1167">_xlfn.XLOOKUP(B1167,Vendedores!$A$2:$A$41,Vendedores!$D$2:$D$41,"No hay datos")</f>
        <v>No hay datos</v>
      </c>
      <c r="J1167" s="2" t="str">
        <f t="array" ref="J1167">_xlfn.XLOOKUP(A1167,Productos!$A$2:$A$61,Productos!$B$2:$F$61)</f>
        <v>#N/A</v>
      </c>
    </row>
    <row r="1168">
      <c r="A1168" s="2" t="str">
        <f>IFERROR(__xludf.DUMMYFUNCTION("""COMPUTED_VALUE"""),"PR018")</f>
        <v>PR018</v>
      </c>
      <c r="B1168" s="2" t="str">
        <f>IFERROR(__xludf.DUMMYFUNCTION("""COMPUTED_VALUE"""),"VD011")</f>
        <v>VD011</v>
      </c>
      <c r="C1168" s="2">
        <f>IFERROR(__xludf.DUMMYFUNCTION("""COMPUTED_VALUE"""),16.0)</f>
        <v>16</v>
      </c>
      <c r="D1168" s="6">
        <f>IFERROR(__xludf.DUMMYFUNCTION("""COMPUTED_VALUE"""),568.51)</f>
        <v>568.51</v>
      </c>
      <c r="E1168" s="6">
        <f>IFERROR(__xludf.DUMMYFUNCTION("GOOGLEFINANCE(""Currency:BRLMXN"")*D1168"),1931.2284699999998)</f>
        <v>1931.22847</v>
      </c>
      <c r="F1168" s="6">
        <f>IFERROR(__xludf.DUMMYFUNCTION("GOOGLEFINANCE(""Currency:BRLPEN"")*D1168"),372.715156)</f>
        <v>372.715156</v>
      </c>
      <c r="G1168" s="2" t="str">
        <f t="array" ref="G1168">_xlfn.XLOOKUP(B1168,Vendedores!$A$2:$A$41,Vendedores!$B$2:$B$41,"No hay datos")</f>
        <v>No hay datos</v>
      </c>
      <c r="H1168" s="2" t="str">
        <f t="array" ref="H1168">_xlfn.XLOOKUP(B1168,Vendedores!$A$2:$A$41,Vendedores!$C$2:$C$41,"No hay datos")</f>
        <v>No hay datos</v>
      </c>
      <c r="I1168" s="2" t="str">
        <f t="array" ref="I1168">_xlfn.XLOOKUP(B1168,Vendedores!$A$2:$A$41,Vendedores!$D$2:$D$41,"No hay datos")</f>
        <v>No hay datos</v>
      </c>
      <c r="J1168" s="2" t="str">
        <f t="array" ref="J1168">_xlfn.XLOOKUP(A1168,Productos!$A$2:$A$61,Productos!$B$2:$F$61)</f>
        <v>#N/A</v>
      </c>
    </row>
    <row r="1169">
      <c r="A1169" s="2" t="str">
        <f>IFERROR(__xludf.DUMMYFUNCTION("""COMPUTED_VALUE"""),"PR012")</f>
        <v>PR012</v>
      </c>
      <c r="B1169" s="2" t="str">
        <f>IFERROR(__xludf.DUMMYFUNCTION("""COMPUTED_VALUE"""),"VD035")</f>
        <v>VD035</v>
      </c>
      <c r="C1169" s="2">
        <f>IFERROR(__xludf.DUMMYFUNCTION("""COMPUTED_VALUE"""),14.0)</f>
        <v>14</v>
      </c>
      <c r="D1169" s="6">
        <f>IFERROR(__xludf.DUMMYFUNCTION("""COMPUTED_VALUE"""),684.6)</f>
        <v>684.6</v>
      </c>
      <c r="E1169" s="6">
        <f>IFERROR(__xludf.DUMMYFUNCTION("GOOGLEFINANCE(""Currency:BRLMXN"")*D1169"),2325.5861999999997)</f>
        <v>2325.5862</v>
      </c>
      <c r="F1169" s="6">
        <f>IFERROR(__xludf.DUMMYFUNCTION("GOOGLEFINANCE(""Currency:BRLPEN"")*D1169"),448.82376)</f>
        <v>448.82376</v>
      </c>
      <c r="G1169" s="2" t="str">
        <f t="array" ref="G1169">_xlfn.XLOOKUP(B1169,Vendedores!$A$2:$A$41,Vendedores!$B$2:$B$41,"No hay datos")</f>
        <v>No hay datos</v>
      </c>
      <c r="H1169" s="2" t="str">
        <f t="array" ref="H1169">_xlfn.XLOOKUP(B1169,Vendedores!$A$2:$A$41,Vendedores!$C$2:$C$41,"No hay datos")</f>
        <v>No hay datos</v>
      </c>
      <c r="I1169" s="2" t="str">
        <f t="array" ref="I1169">_xlfn.XLOOKUP(B1169,Vendedores!$A$2:$A$41,Vendedores!$D$2:$D$41,"No hay datos")</f>
        <v>No hay datos</v>
      </c>
      <c r="J1169" s="2" t="str">
        <f t="array" ref="J1169">_xlfn.XLOOKUP(A1169,Productos!$A$2:$A$61,Productos!$B$2:$F$61)</f>
        <v>#N/A</v>
      </c>
    </row>
    <row r="1170">
      <c r="A1170" s="2" t="str">
        <f>IFERROR(__xludf.DUMMYFUNCTION("""COMPUTED_VALUE"""),"PR019")</f>
        <v>PR019</v>
      </c>
      <c r="B1170" s="2" t="str">
        <f>IFERROR(__xludf.DUMMYFUNCTION("""COMPUTED_VALUE"""),"VD032")</f>
        <v>VD032</v>
      </c>
      <c r="C1170" s="2">
        <f>IFERROR(__xludf.DUMMYFUNCTION("""COMPUTED_VALUE"""),14.0)</f>
        <v>14</v>
      </c>
      <c r="D1170" s="6">
        <f>IFERROR(__xludf.DUMMYFUNCTION("""COMPUTED_VALUE"""),761.47)</f>
        <v>761.47</v>
      </c>
      <c r="E1170" s="6">
        <f>IFERROR(__xludf.DUMMYFUNCTION("GOOGLEFINANCE(""Currency:BRLMXN"")*D1170"),2586.71359)</f>
        <v>2586.71359</v>
      </c>
      <c r="F1170" s="6">
        <f>IFERROR(__xludf.DUMMYFUNCTION("GOOGLEFINANCE(""Currency:BRLPEN"")*D1170"),499.21973199999996)</f>
        <v>499.219732</v>
      </c>
      <c r="G1170" s="2" t="str">
        <f t="array" ref="G1170">_xlfn.XLOOKUP(B1170,Vendedores!$A$2:$A$41,Vendedores!$B$2:$B$41,"No hay datos")</f>
        <v>No hay datos</v>
      </c>
      <c r="H1170" s="2" t="str">
        <f t="array" ref="H1170">_xlfn.XLOOKUP(B1170,Vendedores!$A$2:$A$41,Vendedores!$C$2:$C$41,"No hay datos")</f>
        <v>No hay datos</v>
      </c>
      <c r="I1170" s="2" t="str">
        <f t="array" ref="I1170">_xlfn.XLOOKUP(B1170,Vendedores!$A$2:$A$41,Vendedores!$D$2:$D$41,"No hay datos")</f>
        <v>No hay datos</v>
      </c>
      <c r="J1170" s="2" t="str">
        <f t="array" ref="J1170">_xlfn.XLOOKUP(A1170,Productos!$A$2:$A$61,Productos!$B$2:$F$61)</f>
        <v>#N/A</v>
      </c>
    </row>
    <row r="1171">
      <c r="A1171" s="2" t="str">
        <f>IFERROR(__xludf.DUMMYFUNCTION("""COMPUTED_VALUE"""),"PR026")</f>
        <v>PR026</v>
      </c>
      <c r="B1171" s="2" t="str">
        <f>IFERROR(__xludf.DUMMYFUNCTION("""COMPUTED_VALUE"""),"VD021")</f>
        <v>VD021</v>
      </c>
      <c r="C1171" s="2">
        <f>IFERROR(__xludf.DUMMYFUNCTION("""COMPUTED_VALUE"""),14.0)</f>
        <v>14</v>
      </c>
      <c r="D1171" s="6">
        <f>IFERROR(__xludf.DUMMYFUNCTION("""COMPUTED_VALUE"""),5339.47)</f>
        <v>5339.47</v>
      </c>
      <c r="E1171" s="6">
        <f>IFERROR(__xludf.DUMMYFUNCTION("GOOGLEFINANCE(""Currency:BRLMXN"")*D1171"),18138.17959)</f>
        <v>18138.17959</v>
      </c>
      <c r="F1171" s="6">
        <f>IFERROR(__xludf.DUMMYFUNCTION("GOOGLEFINANCE(""Currency:BRLPEN"")*D1171"),3500.556532)</f>
        <v>3500.556532</v>
      </c>
      <c r="G1171" s="2" t="str">
        <f t="array" ref="G1171">_xlfn.XLOOKUP(B1171,Vendedores!$A$2:$A$41,Vendedores!$B$2:$B$41,"No hay datos")</f>
        <v>No hay datos</v>
      </c>
      <c r="H1171" s="2" t="str">
        <f t="array" ref="H1171">_xlfn.XLOOKUP(B1171,Vendedores!$A$2:$A$41,Vendedores!$C$2:$C$41,"No hay datos")</f>
        <v>No hay datos</v>
      </c>
      <c r="I1171" s="2" t="str">
        <f t="array" ref="I1171">_xlfn.XLOOKUP(B1171,Vendedores!$A$2:$A$41,Vendedores!$D$2:$D$41,"No hay datos")</f>
        <v>No hay datos</v>
      </c>
      <c r="J1171" s="2" t="str">
        <f t="array" ref="J1171">_xlfn.XLOOKUP(A1171,Productos!$A$2:$A$61,Productos!$B$2:$F$61)</f>
        <v>#N/A</v>
      </c>
    </row>
    <row r="1172">
      <c r="A1172" s="2" t="str">
        <f>IFERROR(__xludf.DUMMYFUNCTION("""COMPUTED_VALUE"""),"PR049")</f>
        <v>PR049</v>
      </c>
      <c r="B1172" s="2" t="str">
        <f>IFERROR(__xludf.DUMMYFUNCTION("""COMPUTED_VALUE"""),"VD031")</f>
        <v>VD031</v>
      </c>
      <c r="C1172" s="2">
        <f>IFERROR(__xludf.DUMMYFUNCTION("""COMPUTED_VALUE"""),18.0)</f>
        <v>18</v>
      </c>
      <c r="D1172" s="6">
        <f>IFERROR(__xludf.DUMMYFUNCTION("""COMPUTED_VALUE"""),633.65)</f>
        <v>633.65</v>
      </c>
      <c r="E1172" s="6">
        <f>IFERROR(__xludf.DUMMYFUNCTION("GOOGLEFINANCE(""Currency:BRLMXN"")*D1172"),2152.5090499999997)</f>
        <v>2152.50905</v>
      </c>
      <c r="F1172" s="6">
        <f>IFERROR(__xludf.DUMMYFUNCTION("GOOGLEFINANCE(""Currency:BRLPEN"")*D1172"),415.42094)</f>
        <v>415.42094</v>
      </c>
      <c r="G1172" s="2" t="str">
        <f t="array" ref="G1172">_xlfn.XLOOKUP(B1172,Vendedores!$A$2:$A$41,Vendedores!$B$2:$B$41,"No hay datos")</f>
        <v>No hay datos</v>
      </c>
      <c r="H1172" s="2" t="str">
        <f t="array" ref="H1172">_xlfn.XLOOKUP(B1172,Vendedores!$A$2:$A$41,Vendedores!$C$2:$C$41,"No hay datos")</f>
        <v>No hay datos</v>
      </c>
      <c r="I1172" s="2" t="str">
        <f t="array" ref="I1172">_xlfn.XLOOKUP(B1172,Vendedores!$A$2:$A$41,Vendedores!$D$2:$D$41,"No hay datos")</f>
        <v>No hay datos</v>
      </c>
      <c r="J1172" s="2" t="str">
        <f t="array" ref="J1172">_xlfn.XLOOKUP(A1172,Productos!$A$2:$A$61,Productos!$B$2:$F$61)</f>
        <v>#N/A</v>
      </c>
    </row>
    <row r="1173">
      <c r="A1173" s="2" t="str">
        <f>IFERROR(__xludf.DUMMYFUNCTION("""COMPUTED_VALUE"""),"PR012")</f>
        <v>PR012</v>
      </c>
      <c r="B1173" s="2" t="str">
        <f>IFERROR(__xludf.DUMMYFUNCTION("""COMPUTED_VALUE"""),"VD026")</f>
        <v>VD026</v>
      </c>
      <c r="C1173" s="2">
        <f>IFERROR(__xludf.DUMMYFUNCTION("""COMPUTED_VALUE"""),5.0)</f>
        <v>5</v>
      </c>
      <c r="D1173" s="6">
        <f>IFERROR(__xludf.DUMMYFUNCTION("""COMPUTED_VALUE"""),244.5)</f>
        <v>244.5</v>
      </c>
      <c r="E1173" s="6">
        <f>IFERROR(__xludf.DUMMYFUNCTION("GOOGLEFINANCE(""Currency:BRLMXN"")*D1173"),830.5664999999999)</f>
        <v>830.5665</v>
      </c>
      <c r="F1173" s="6">
        <f>IFERROR(__xludf.DUMMYFUNCTION("GOOGLEFINANCE(""Currency:BRLPEN"")*D1173"),160.2942)</f>
        <v>160.2942</v>
      </c>
      <c r="G1173" s="2" t="str">
        <f t="array" ref="G1173">_xlfn.XLOOKUP(B1173,Vendedores!$A$2:$A$41,Vendedores!$B$2:$B$41,"No hay datos")</f>
        <v>No hay datos</v>
      </c>
      <c r="H1173" s="2" t="str">
        <f t="array" ref="H1173">_xlfn.XLOOKUP(B1173,Vendedores!$A$2:$A$41,Vendedores!$C$2:$C$41,"No hay datos")</f>
        <v>No hay datos</v>
      </c>
      <c r="I1173" s="2" t="str">
        <f t="array" ref="I1173">_xlfn.XLOOKUP(B1173,Vendedores!$A$2:$A$41,Vendedores!$D$2:$D$41,"No hay datos")</f>
        <v>No hay datos</v>
      </c>
      <c r="J1173" s="2" t="str">
        <f t="array" ref="J1173">_xlfn.XLOOKUP(A1173,Productos!$A$2:$A$61,Productos!$B$2:$F$61)</f>
        <v>#N/A</v>
      </c>
    </row>
    <row r="1174">
      <c r="A1174" s="2" t="str">
        <f>IFERROR(__xludf.DUMMYFUNCTION("""COMPUTED_VALUE"""),"PR015")</f>
        <v>PR015</v>
      </c>
      <c r="B1174" s="2" t="str">
        <f>IFERROR(__xludf.DUMMYFUNCTION("""COMPUTED_VALUE"""),"VD033")</f>
        <v>VD033</v>
      </c>
      <c r="C1174" s="2">
        <f>IFERROR(__xludf.DUMMYFUNCTION("""COMPUTED_VALUE"""),20.0)</f>
        <v>20</v>
      </c>
      <c r="D1174" s="6">
        <f>IFERROR(__xludf.DUMMYFUNCTION("""COMPUTED_VALUE"""),918.0)</f>
        <v>918</v>
      </c>
      <c r="E1174" s="6">
        <f>IFERROR(__xludf.DUMMYFUNCTION("GOOGLEFINANCE(""Currency:BRLMXN"")*D1174"),3118.446)</f>
        <v>3118.446</v>
      </c>
      <c r="F1174" s="6">
        <f>IFERROR(__xludf.DUMMYFUNCTION("GOOGLEFINANCE(""Currency:BRLPEN"")*D1174"),601.8408)</f>
        <v>601.8408</v>
      </c>
      <c r="G1174" s="2" t="str">
        <f t="array" ref="G1174">_xlfn.XLOOKUP(B1174,Vendedores!$A$2:$A$41,Vendedores!$B$2:$B$41,"No hay datos")</f>
        <v>No hay datos</v>
      </c>
      <c r="H1174" s="2" t="str">
        <f t="array" ref="H1174">_xlfn.XLOOKUP(B1174,Vendedores!$A$2:$A$41,Vendedores!$C$2:$C$41,"No hay datos")</f>
        <v>No hay datos</v>
      </c>
      <c r="I1174" s="2" t="str">
        <f t="array" ref="I1174">_xlfn.XLOOKUP(B1174,Vendedores!$A$2:$A$41,Vendedores!$D$2:$D$41,"No hay datos")</f>
        <v>No hay datos</v>
      </c>
      <c r="J1174" s="2" t="str">
        <f t="array" ref="J1174">_xlfn.XLOOKUP(A1174,Productos!$A$2:$A$61,Productos!$B$2:$F$61)</f>
        <v>#N/A</v>
      </c>
    </row>
    <row r="1175">
      <c r="A1175" s="2" t="str">
        <f>IFERROR(__xludf.DUMMYFUNCTION("""COMPUTED_VALUE"""),"PR036")</f>
        <v>PR036</v>
      </c>
      <c r="B1175" s="2" t="str">
        <f>IFERROR(__xludf.DUMMYFUNCTION("""COMPUTED_VALUE"""),"VD017")</f>
        <v>VD017</v>
      </c>
      <c r="C1175" s="2">
        <f>IFERROR(__xludf.DUMMYFUNCTION("""COMPUTED_VALUE"""),5.0)</f>
        <v>5</v>
      </c>
      <c r="D1175" s="6">
        <f>IFERROR(__xludf.DUMMYFUNCTION("""COMPUTED_VALUE"""),467.5)</f>
        <v>467.5</v>
      </c>
      <c r="E1175" s="6">
        <f>IFERROR(__xludf.DUMMYFUNCTION("GOOGLEFINANCE(""Currency:BRLMXN"")*D1175"),1588.0974999999999)</f>
        <v>1588.0975</v>
      </c>
      <c r="F1175" s="6">
        <f>IFERROR(__xludf.DUMMYFUNCTION("GOOGLEFINANCE(""Currency:BRLPEN"")*D1175"),306.493)</f>
        <v>306.493</v>
      </c>
      <c r="G1175" s="2" t="str">
        <f t="array" ref="G1175">_xlfn.XLOOKUP(B1175,Vendedores!$A$2:$A$41,Vendedores!$B$2:$B$41,"No hay datos")</f>
        <v>No hay datos</v>
      </c>
      <c r="H1175" s="2" t="str">
        <f t="array" ref="H1175">_xlfn.XLOOKUP(B1175,Vendedores!$A$2:$A$41,Vendedores!$C$2:$C$41,"No hay datos")</f>
        <v>No hay datos</v>
      </c>
      <c r="I1175" s="2" t="str">
        <f t="array" ref="I1175">_xlfn.XLOOKUP(B1175,Vendedores!$A$2:$A$41,Vendedores!$D$2:$D$41,"No hay datos")</f>
        <v>No hay datos</v>
      </c>
      <c r="J1175" s="2" t="str">
        <f t="array" ref="J1175">_xlfn.XLOOKUP(A1175,Productos!$A$2:$A$61,Productos!$B$2:$F$61)</f>
        <v>#N/A</v>
      </c>
    </row>
    <row r="1176">
      <c r="A1176" s="2" t="str">
        <f>IFERROR(__xludf.DUMMYFUNCTION("""COMPUTED_VALUE"""),"PR013")</f>
        <v>PR013</v>
      </c>
      <c r="B1176" s="2" t="str">
        <f>IFERROR(__xludf.DUMMYFUNCTION("""COMPUTED_VALUE"""),"VD041")</f>
        <v>VD041</v>
      </c>
      <c r="C1176" s="2">
        <f>IFERROR(__xludf.DUMMYFUNCTION("""COMPUTED_VALUE"""),8.0)</f>
        <v>8</v>
      </c>
      <c r="D1176" s="6">
        <f>IFERROR(__xludf.DUMMYFUNCTION("""COMPUTED_VALUE"""),322.39)</f>
        <v>322.39</v>
      </c>
      <c r="E1176" s="6">
        <f>IFERROR(__xludf.DUMMYFUNCTION("GOOGLEFINANCE(""Currency:BRLMXN"")*D1176"),1095.1588299999999)</f>
        <v>1095.15883</v>
      </c>
      <c r="F1176" s="6">
        <f>IFERROR(__xludf.DUMMYFUNCTION("GOOGLEFINANCE(""Currency:BRLPEN"")*D1176"),211.358884)</f>
        <v>211.358884</v>
      </c>
      <c r="G1176" s="2" t="str">
        <f t="array" ref="G1176">_xlfn.XLOOKUP(B1176,Vendedores!$A$2:$A$41,Vendedores!$B$2:$B$41,"No hay datos")</f>
        <v>No hay datos</v>
      </c>
      <c r="H1176" s="2" t="str">
        <f t="array" ref="H1176">_xlfn.XLOOKUP(B1176,Vendedores!$A$2:$A$41,Vendedores!$C$2:$C$41,"No hay datos")</f>
        <v>No hay datos</v>
      </c>
      <c r="I1176" s="2" t="str">
        <f t="array" ref="I1176">_xlfn.XLOOKUP(B1176,Vendedores!$A$2:$A$41,Vendedores!$D$2:$D$41,"No hay datos")</f>
        <v>No hay datos</v>
      </c>
      <c r="J1176" s="2" t="str">
        <f t="array" ref="J1176">_xlfn.XLOOKUP(A1176,Productos!$A$2:$A$61,Productos!$B$2:$F$61)</f>
        <v>#N/A</v>
      </c>
    </row>
    <row r="1177">
      <c r="A1177" s="2" t="str">
        <f>IFERROR(__xludf.DUMMYFUNCTION("""COMPUTED_VALUE"""),"PR015")</f>
        <v>PR015</v>
      </c>
      <c r="B1177" s="2" t="str">
        <f>IFERROR(__xludf.DUMMYFUNCTION("""COMPUTED_VALUE"""),"VD027")</f>
        <v>VD027</v>
      </c>
      <c r="C1177" s="2">
        <f>IFERROR(__xludf.DUMMYFUNCTION("""COMPUTED_VALUE"""),2.0)</f>
        <v>2</v>
      </c>
      <c r="D1177" s="6">
        <f>IFERROR(__xludf.DUMMYFUNCTION("""COMPUTED_VALUE"""),89.25)</f>
        <v>89.25</v>
      </c>
      <c r="E1177" s="6">
        <f>IFERROR(__xludf.DUMMYFUNCTION("GOOGLEFINANCE(""Currency:BRLMXN"")*D1177"),303.18224999999995)</f>
        <v>303.18225</v>
      </c>
      <c r="F1177" s="6">
        <f>IFERROR(__xludf.DUMMYFUNCTION("GOOGLEFINANCE(""Currency:BRLPEN"")*D1177"),58.512299999999996)</f>
        <v>58.5123</v>
      </c>
      <c r="G1177" s="2" t="str">
        <f t="array" ref="G1177">_xlfn.XLOOKUP(B1177,Vendedores!$A$2:$A$41,Vendedores!$B$2:$B$41,"No hay datos")</f>
        <v>No hay datos</v>
      </c>
      <c r="H1177" s="2" t="str">
        <f t="array" ref="H1177">_xlfn.XLOOKUP(B1177,Vendedores!$A$2:$A$41,Vendedores!$C$2:$C$41,"No hay datos")</f>
        <v>No hay datos</v>
      </c>
      <c r="I1177" s="2" t="str">
        <f t="array" ref="I1177">_xlfn.XLOOKUP(B1177,Vendedores!$A$2:$A$41,Vendedores!$D$2:$D$41,"No hay datos")</f>
        <v>No hay datos</v>
      </c>
      <c r="J1177" s="2" t="str">
        <f t="array" ref="J1177">_xlfn.XLOOKUP(A1177,Productos!$A$2:$A$61,Productos!$B$2:$F$61)</f>
        <v>#N/A</v>
      </c>
    </row>
    <row r="1178">
      <c r="A1178" s="2" t="str">
        <f>IFERROR(__xludf.DUMMYFUNCTION("""COMPUTED_VALUE"""),"PR024")</f>
        <v>PR024</v>
      </c>
      <c r="B1178" s="2" t="str">
        <f>IFERROR(__xludf.DUMMYFUNCTION("""COMPUTED_VALUE"""),"VD049")</f>
        <v>VD049</v>
      </c>
      <c r="C1178" s="2">
        <f>IFERROR(__xludf.DUMMYFUNCTION("""COMPUTED_VALUE"""),2.0)</f>
        <v>2</v>
      </c>
      <c r="D1178" s="6">
        <f>IFERROR(__xludf.DUMMYFUNCTION("""COMPUTED_VALUE"""),556.19)</f>
        <v>556.19</v>
      </c>
      <c r="E1178" s="6">
        <f>IFERROR(__xludf.DUMMYFUNCTION("GOOGLEFINANCE(""Currency:BRLMXN"")*D1178"),1889.37743)</f>
        <v>1889.37743</v>
      </c>
      <c r="F1178" s="6">
        <f>IFERROR(__xludf.DUMMYFUNCTION("GOOGLEFINANCE(""Currency:BRLPEN"")*D1178"),364.638164)</f>
        <v>364.638164</v>
      </c>
      <c r="G1178" s="2" t="str">
        <f t="array" ref="G1178">_xlfn.XLOOKUP(B1178,Vendedores!$A$2:$A$41,Vendedores!$B$2:$B$41,"No hay datos")</f>
        <v>No hay datos</v>
      </c>
      <c r="H1178" s="2" t="str">
        <f t="array" ref="H1178">_xlfn.XLOOKUP(B1178,Vendedores!$A$2:$A$41,Vendedores!$C$2:$C$41,"No hay datos")</f>
        <v>No hay datos</v>
      </c>
      <c r="I1178" s="2" t="str">
        <f t="array" ref="I1178">_xlfn.XLOOKUP(B1178,Vendedores!$A$2:$A$41,Vendedores!$D$2:$D$41,"No hay datos")</f>
        <v>No hay datos</v>
      </c>
      <c r="J1178" s="2" t="str">
        <f t="array" ref="J1178">_xlfn.XLOOKUP(A1178,Productos!$A$2:$A$61,Productos!$B$2:$F$61)</f>
        <v>#N/A</v>
      </c>
    </row>
    <row r="1179">
      <c r="A1179" s="2" t="str">
        <f>IFERROR(__xludf.DUMMYFUNCTION("""COMPUTED_VALUE"""),"PR042")</f>
        <v>PR042</v>
      </c>
      <c r="B1179" s="2" t="str">
        <f>IFERROR(__xludf.DUMMYFUNCTION("""COMPUTED_VALUE"""),"VD025")</f>
        <v>VD025</v>
      </c>
      <c r="C1179" s="2">
        <f>IFERROR(__xludf.DUMMYFUNCTION("""COMPUTED_VALUE"""),2.0)</f>
        <v>2</v>
      </c>
      <c r="D1179" s="6">
        <f>IFERROR(__xludf.DUMMYFUNCTION("""COMPUTED_VALUE"""),116.39)</f>
        <v>116.39</v>
      </c>
      <c r="E1179" s="6">
        <f>IFERROR(__xludf.DUMMYFUNCTION("GOOGLEFINANCE(""Currency:BRLMXN"")*D1179"),395.37683)</f>
        <v>395.37683</v>
      </c>
      <c r="F1179" s="6">
        <f>IFERROR(__xludf.DUMMYFUNCTION("GOOGLEFINANCE(""Currency:BRLPEN"")*D1179"),76.305284)</f>
        <v>76.305284</v>
      </c>
      <c r="G1179" s="2" t="str">
        <f t="array" ref="G1179">_xlfn.XLOOKUP(B1179,Vendedores!$A$2:$A$41,Vendedores!$B$2:$B$41,"No hay datos")</f>
        <v>No hay datos</v>
      </c>
      <c r="H1179" s="2" t="str">
        <f t="array" ref="H1179">_xlfn.XLOOKUP(B1179,Vendedores!$A$2:$A$41,Vendedores!$C$2:$C$41,"No hay datos")</f>
        <v>No hay datos</v>
      </c>
      <c r="I1179" s="2" t="str">
        <f t="array" ref="I1179">_xlfn.XLOOKUP(B1179,Vendedores!$A$2:$A$41,Vendedores!$D$2:$D$41,"No hay datos")</f>
        <v>No hay datos</v>
      </c>
      <c r="J1179" s="2" t="str">
        <f t="array" ref="J1179">_xlfn.XLOOKUP(A1179,Productos!$A$2:$A$61,Productos!$B$2:$F$61)</f>
        <v>#N/A</v>
      </c>
    </row>
    <row r="1180">
      <c r="A1180" s="2" t="str">
        <f>IFERROR(__xludf.DUMMYFUNCTION("""COMPUTED_VALUE"""),"PR047")</f>
        <v>PR047</v>
      </c>
      <c r="B1180" s="2" t="str">
        <f>IFERROR(__xludf.DUMMYFUNCTION("""COMPUTED_VALUE"""),"VD039")</f>
        <v>VD039</v>
      </c>
      <c r="C1180" s="2">
        <f>IFERROR(__xludf.DUMMYFUNCTION("""COMPUTED_VALUE"""),20.0)</f>
        <v>20</v>
      </c>
      <c r="D1180" s="6">
        <f>IFERROR(__xludf.DUMMYFUNCTION("""COMPUTED_VALUE"""),5913.96)</f>
        <v>5913.96</v>
      </c>
      <c r="E1180" s="6">
        <f>IFERROR(__xludf.DUMMYFUNCTION("GOOGLEFINANCE(""Currency:BRLMXN"")*D1180"),20089.72212)</f>
        <v>20089.72212</v>
      </c>
      <c r="F1180" s="6">
        <f>IFERROR(__xludf.DUMMYFUNCTION("GOOGLEFINANCE(""Currency:BRLPEN"")*D1180"),3877.192176)</f>
        <v>3877.192176</v>
      </c>
      <c r="G1180" s="2" t="str">
        <f t="array" ref="G1180">_xlfn.XLOOKUP(B1180,Vendedores!$A$2:$A$41,Vendedores!$B$2:$B$41,"No hay datos")</f>
        <v>No hay datos</v>
      </c>
      <c r="H1180" s="2" t="str">
        <f t="array" ref="H1180">_xlfn.XLOOKUP(B1180,Vendedores!$A$2:$A$41,Vendedores!$C$2:$C$41,"No hay datos")</f>
        <v>No hay datos</v>
      </c>
      <c r="I1180" s="2" t="str">
        <f t="array" ref="I1180">_xlfn.XLOOKUP(B1180,Vendedores!$A$2:$A$41,Vendedores!$D$2:$D$41,"No hay datos")</f>
        <v>No hay datos</v>
      </c>
      <c r="J1180" s="2" t="str">
        <f t="array" ref="J1180">_xlfn.XLOOKUP(A1180,Productos!$A$2:$A$61,Productos!$B$2:$F$61)</f>
        <v>#N/A</v>
      </c>
    </row>
    <row r="1181">
      <c r="A1181" s="2" t="str">
        <f>IFERROR(__xludf.DUMMYFUNCTION("""COMPUTED_VALUE"""),"PR010")</f>
        <v>PR010</v>
      </c>
      <c r="B1181" s="2" t="str">
        <f>IFERROR(__xludf.DUMMYFUNCTION("""COMPUTED_VALUE"""),"VD045")</f>
        <v>VD045</v>
      </c>
      <c r="C1181" s="2">
        <f>IFERROR(__xludf.DUMMYFUNCTION("""COMPUTED_VALUE"""),8.0)</f>
        <v>8</v>
      </c>
      <c r="D1181" s="6">
        <f>IFERROR(__xludf.DUMMYFUNCTION("""COMPUTED_VALUE"""),373.57)</f>
        <v>373.57</v>
      </c>
      <c r="E1181" s="6">
        <f>IFERROR(__xludf.DUMMYFUNCTION("GOOGLEFINANCE(""Currency:BRLMXN"")*D1181"),1269.01729)</f>
        <v>1269.01729</v>
      </c>
      <c r="F1181" s="6">
        <f>IFERROR(__xludf.DUMMYFUNCTION("GOOGLEFINANCE(""Currency:BRLPEN"")*D1181"),244.912492)</f>
        <v>244.912492</v>
      </c>
      <c r="G1181" s="2" t="str">
        <f t="array" ref="G1181">_xlfn.XLOOKUP(B1181,Vendedores!$A$2:$A$41,Vendedores!$B$2:$B$41,"No hay datos")</f>
        <v>No hay datos</v>
      </c>
      <c r="H1181" s="2" t="str">
        <f t="array" ref="H1181">_xlfn.XLOOKUP(B1181,Vendedores!$A$2:$A$41,Vendedores!$C$2:$C$41,"No hay datos")</f>
        <v>No hay datos</v>
      </c>
      <c r="I1181" s="2" t="str">
        <f t="array" ref="I1181">_xlfn.XLOOKUP(B1181,Vendedores!$A$2:$A$41,Vendedores!$D$2:$D$41,"No hay datos")</f>
        <v>No hay datos</v>
      </c>
      <c r="J1181" s="2" t="str">
        <f t="array" ref="J1181">_xlfn.XLOOKUP(A1181,Productos!$A$2:$A$61,Productos!$B$2:$F$61)</f>
        <v>#N/A</v>
      </c>
    </row>
    <row r="1182">
      <c r="A1182" s="2" t="str">
        <f>IFERROR(__xludf.DUMMYFUNCTION("""COMPUTED_VALUE"""),"PR004")</f>
        <v>PR004</v>
      </c>
      <c r="B1182" s="2" t="str">
        <f>IFERROR(__xludf.DUMMYFUNCTION("""COMPUTED_VALUE"""),"VD047")</f>
        <v>VD047</v>
      </c>
      <c r="C1182" s="2">
        <f>IFERROR(__xludf.DUMMYFUNCTION("""COMPUTED_VALUE"""),2.0)</f>
        <v>2</v>
      </c>
      <c r="D1182" s="6">
        <f>IFERROR(__xludf.DUMMYFUNCTION("""COMPUTED_VALUE"""),290.0)</f>
        <v>290</v>
      </c>
      <c r="E1182" s="6">
        <f>IFERROR(__xludf.DUMMYFUNCTION("GOOGLEFINANCE(""Currency:BRLMXN"")*D1182"),985.13)</f>
        <v>985.13</v>
      </c>
      <c r="F1182" s="6">
        <f>IFERROR(__xludf.DUMMYFUNCTION("GOOGLEFINANCE(""Currency:BRLPEN"")*D1182"),190.124)</f>
        <v>190.124</v>
      </c>
      <c r="G1182" s="2" t="str">
        <f t="array" ref="G1182">_xlfn.XLOOKUP(B1182,Vendedores!$A$2:$A$41,Vendedores!$B$2:$B$41,"No hay datos")</f>
        <v>No hay datos</v>
      </c>
      <c r="H1182" s="2" t="str">
        <f t="array" ref="H1182">_xlfn.XLOOKUP(B1182,Vendedores!$A$2:$A$41,Vendedores!$C$2:$C$41,"No hay datos")</f>
        <v>No hay datos</v>
      </c>
      <c r="I1182" s="2" t="str">
        <f t="array" ref="I1182">_xlfn.XLOOKUP(B1182,Vendedores!$A$2:$A$41,Vendedores!$D$2:$D$41,"No hay datos")</f>
        <v>No hay datos</v>
      </c>
      <c r="J1182" s="2" t="str">
        <f t="array" ref="J1182">_xlfn.XLOOKUP(A1182,Productos!$A$2:$A$61,Productos!$B$2:$F$61)</f>
        <v>#N/A</v>
      </c>
    </row>
    <row r="1183">
      <c r="A1183" s="2" t="str">
        <f>IFERROR(__xludf.DUMMYFUNCTION("""COMPUTED_VALUE"""),"PR028")</f>
        <v>PR028</v>
      </c>
      <c r="B1183" s="2" t="str">
        <f>IFERROR(__xludf.DUMMYFUNCTION("""COMPUTED_VALUE"""),"VD027")</f>
        <v>VD027</v>
      </c>
      <c r="C1183" s="2">
        <f>IFERROR(__xludf.DUMMYFUNCTION("""COMPUTED_VALUE"""),8.0)</f>
        <v>8</v>
      </c>
      <c r="D1183" s="6">
        <f>IFERROR(__xludf.DUMMYFUNCTION("""COMPUTED_VALUE"""),2159.14)</f>
        <v>2159.14</v>
      </c>
      <c r="E1183" s="6">
        <f>IFERROR(__xludf.DUMMYFUNCTION("GOOGLEFINANCE(""Currency:BRLMXN"")*D1183"),7334.598579999999)</f>
        <v>7334.59858</v>
      </c>
      <c r="F1183" s="6">
        <f>IFERROR(__xludf.DUMMYFUNCTION("GOOGLEFINANCE(""Currency:BRLPEN"")*D1183"),1415.532184)</f>
        <v>1415.532184</v>
      </c>
      <c r="G1183" s="2" t="str">
        <f t="array" ref="G1183">_xlfn.XLOOKUP(B1183,Vendedores!$A$2:$A$41,Vendedores!$B$2:$B$41,"No hay datos")</f>
        <v>No hay datos</v>
      </c>
      <c r="H1183" s="2" t="str">
        <f t="array" ref="H1183">_xlfn.XLOOKUP(B1183,Vendedores!$A$2:$A$41,Vendedores!$C$2:$C$41,"No hay datos")</f>
        <v>No hay datos</v>
      </c>
      <c r="I1183" s="2" t="str">
        <f t="array" ref="I1183">_xlfn.XLOOKUP(B1183,Vendedores!$A$2:$A$41,Vendedores!$D$2:$D$41,"No hay datos")</f>
        <v>No hay datos</v>
      </c>
      <c r="J1183" s="2" t="str">
        <f t="array" ref="J1183">_xlfn.XLOOKUP(A1183,Productos!$A$2:$A$61,Productos!$B$2:$F$61)</f>
        <v>#N/A</v>
      </c>
    </row>
    <row r="1184">
      <c r="A1184" s="2" t="str">
        <f>IFERROR(__xludf.DUMMYFUNCTION("""COMPUTED_VALUE"""),"PR029")</f>
        <v>PR029</v>
      </c>
      <c r="B1184" s="2" t="str">
        <f>IFERROR(__xludf.DUMMYFUNCTION("""COMPUTED_VALUE"""),"VD025")</f>
        <v>VD025</v>
      </c>
      <c r="C1184" s="2">
        <f>IFERROR(__xludf.DUMMYFUNCTION("""COMPUTED_VALUE"""),4.0)</f>
        <v>4</v>
      </c>
      <c r="D1184" s="6">
        <f>IFERROR(__xludf.DUMMYFUNCTION("""COMPUTED_VALUE"""),1050.6)</f>
        <v>1050.6</v>
      </c>
      <c r="E1184" s="6">
        <f>IFERROR(__xludf.DUMMYFUNCTION("GOOGLEFINANCE(""Currency:BRLMXN"")*D1184"),3568.8881999999994)</f>
        <v>3568.8882</v>
      </c>
      <c r="F1184" s="6">
        <f>IFERROR(__xludf.DUMMYFUNCTION("GOOGLEFINANCE(""Currency:BRLPEN"")*D1184"),688.7733599999999)</f>
        <v>688.77336</v>
      </c>
      <c r="G1184" s="2" t="str">
        <f t="array" ref="G1184">_xlfn.XLOOKUP(B1184,Vendedores!$A$2:$A$41,Vendedores!$B$2:$B$41,"No hay datos")</f>
        <v>No hay datos</v>
      </c>
      <c r="H1184" s="2" t="str">
        <f t="array" ref="H1184">_xlfn.XLOOKUP(B1184,Vendedores!$A$2:$A$41,Vendedores!$C$2:$C$41,"No hay datos")</f>
        <v>No hay datos</v>
      </c>
      <c r="I1184" s="2" t="str">
        <f t="array" ref="I1184">_xlfn.XLOOKUP(B1184,Vendedores!$A$2:$A$41,Vendedores!$D$2:$D$41,"No hay datos")</f>
        <v>No hay datos</v>
      </c>
      <c r="J1184" s="2" t="str">
        <f t="array" ref="J1184">_xlfn.XLOOKUP(A1184,Productos!$A$2:$A$61,Productos!$B$2:$F$61)</f>
        <v>#N/A</v>
      </c>
    </row>
    <row r="1185">
      <c r="A1185" s="2" t="str">
        <f>IFERROR(__xludf.DUMMYFUNCTION("""COMPUTED_VALUE"""),"PR046")</f>
        <v>PR046</v>
      </c>
      <c r="B1185" s="2" t="str">
        <f>IFERROR(__xludf.DUMMYFUNCTION("""COMPUTED_VALUE"""),"VD042")</f>
        <v>VD042</v>
      </c>
      <c r="C1185" s="2">
        <f>IFERROR(__xludf.DUMMYFUNCTION("""COMPUTED_VALUE"""),10.0)</f>
        <v>10</v>
      </c>
      <c r="D1185" s="6">
        <f>IFERROR(__xludf.DUMMYFUNCTION("""COMPUTED_VALUE"""),3014.96)</f>
        <v>3014.96</v>
      </c>
      <c r="E1185" s="6">
        <f>IFERROR(__xludf.DUMMYFUNCTION("GOOGLEFINANCE(""Currency:BRLMXN"")*D1185"),10241.81912)</f>
        <v>10241.81912</v>
      </c>
      <c r="F1185" s="6">
        <f>IFERROR(__xludf.DUMMYFUNCTION("GOOGLEFINANCE(""Currency:BRLPEN"")*D1185"),1976.6077759999998)</f>
        <v>1976.607776</v>
      </c>
      <c r="G1185" s="2" t="str">
        <f t="array" ref="G1185">_xlfn.XLOOKUP(B1185,Vendedores!$A$2:$A$41,Vendedores!$B$2:$B$41,"No hay datos")</f>
        <v>No hay datos</v>
      </c>
      <c r="H1185" s="2" t="str">
        <f t="array" ref="H1185">_xlfn.XLOOKUP(B1185,Vendedores!$A$2:$A$41,Vendedores!$C$2:$C$41,"No hay datos")</f>
        <v>No hay datos</v>
      </c>
      <c r="I1185" s="2" t="str">
        <f t="array" ref="I1185">_xlfn.XLOOKUP(B1185,Vendedores!$A$2:$A$41,Vendedores!$D$2:$D$41,"No hay datos")</f>
        <v>No hay datos</v>
      </c>
      <c r="J1185" s="2" t="str">
        <f t="array" ref="J1185">_xlfn.XLOOKUP(A1185,Productos!$A$2:$A$61,Productos!$B$2:$F$61)</f>
        <v>#N/A</v>
      </c>
    </row>
    <row r="1186">
      <c r="A1186" s="2" t="str">
        <f>IFERROR(__xludf.DUMMYFUNCTION("""COMPUTED_VALUE"""),"PR043")</f>
        <v>PR043</v>
      </c>
      <c r="B1186" s="2" t="str">
        <f>IFERROR(__xludf.DUMMYFUNCTION("""COMPUTED_VALUE"""),"VD041")</f>
        <v>VD041</v>
      </c>
      <c r="C1186" s="2">
        <f>IFERROR(__xludf.DUMMYFUNCTION("""COMPUTED_VALUE"""),10.0)</f>
        <v>10</v>
      </c>
      <c r="D1186" s="6">
        <f>IFERROR(__xludf.DUMMYFUNCTION("""COMPUTED_VALUE"""),754.0)</f>
        <v>754</v>
      </c>
      <c r="E1186" s="6">
        <f>IFERROR(__xludf.DUMMYFUNCTION("GOOGLEFINANCE(""Currency:BRLMXN"")*D1186"),2561.3379999999997)</f>
        <v>2561.338</v>
      </c>
      <c r="F1186" s="6">
        <f>IFERROR(__xludf.DUMMYFUNCTION("GOOGLEFINANCE(""Currency:BRLPEN"")*D1186"),494.32239999999996)</f>
        <v>494.3224</v>
      </c>
      <c r="G1186" s="2" t="str">
        <f t="array" ref="G1186">_xlfn.XLOOKUP(B1186,Vendedores!$A$2:$A$41,Vendedores!$B$2:$B$41,"No hay datos")</f>
        <v>No hay datos</v>
      </c>
      <c r="H1186" s="2" t="str">
        <f t="array" ref="H1186">_xlfn.XLOOKUP(B1186,Vendedores!$A$2:$A$41,Vendedores!$C$2:$C$41,"No hay datos")</f>
        <v>No hay datos</v>
      </c>
      <c r="I1186" s="2" t="str">
        <f t="array" ref="I1186">_xlfn.XLOOKUP(B1186,Vendedores!$A$2:$A$41,Vendedores!$D$2:$D$41,"No hay datos")</f>
        <v>No hay datos</v>
      </c>
      <c r="J1186" s="2" t="str">
        <f t="array" ref="J1186">_xlfn.XLOOKUP(A1186,Productos!$A$2:$A$61,Productos!$B$2:$F$61)</f>
        <v>#N/A</v>
      </c>
    </row>
    <row r="1187">
      <c r="A1187" s="2" t="str">
        <f>IFERROR(__xludf.DUMMYFUNCTION("""COMPUTED_VALUE"""),"PR034")</f>
        <v>PR034</v>
      </c>
      <c r="B1187" s="2" t="str">
        <f>IFERROR(__xludf.DUMMYFUNCTION("""COMPUTED_VALUE"""),"VD032")</f>
        <v>VD032</v>
      </c>
      <c r="C1187" s="2">
        <f>IFERROR(__xludf.DUMMYFUNCTION("""COMPUTED_VALUE"""),8.0)</f>
        <v>8</v>
      </c>
      <c r="D1187" s="6">
        <f>IFERROR(__xludf.DUMMYFUNCTION("""COMPUTED_VALUE"""),726.39)</f>
        <v>726.39</v>
      </c>
      <c r="E1187" s="6">
        <f>IFERROR(__xludf.DUMMYFUNCTION("GOOGLEFINANCE(""Currency:BRLMXN"")*D1187"),2467.5468299999998)</f>
        <v>2467.54683</v>
      </c>
      <c r="F1187" s="6">
        <f>IFERROR(__xludf.DUMMYFUNCTION("GOOGLEFINANCE(""Currency:BRLPEN"")*D1187"),476.22128399999997)</f>
        <v>476.221284</v>
      </c>
      <c r="G1187" s="2" t="str">
        <f t="array" ref="G1187">_xlfn.XLOOKUP(B1187,Vendedores!$A$2:$A$41,Vendedores!$B$2:$B$41,"No hay datos")</f>
        <v>No hay datos</v>
      </c>
      <c r="H1187" s="2" t="str">
        <f t="array" ref="H1187">_xlfn.XLOOKUP(B1187,Vendedores!$A$2:$A$41,Vendedores!$C$2:$C$41,"No hay datos")</f>
        <v>No hay datos</v>
      </c>
      <c r="I1187" s="2" t="str">
        <f t="array" ref="I1187">_xlfn.XLOOKUP(B1187,Vendedores!$A$2:$A$41,Vendedores!$D$2:$D$41,"No hay datos")</f>
        <v>No hay datos</v>
      </c>
      <c r="J1187" s="2" t="str">
        <f t="array" ref="J1187">_xlfn.XLOOKUP(A1187,Productos!$A$2:$A$61,Productos!$B$2:$F$61)</f>
        <v>#N/A</v>
      </c>
    </row>
    <row r="1188">
      <c r="A1188" s="2" t="str">
        <f>IFERROR(__xludf.DUMMYFUNCTION("""COMPUTED_VALUE"""),"PR041")</f>
        <v>PR041</v>
      </c>
      <c r="B1188" s="2" t="str">
        <f>IFERROR(__xludf.DUMMYFUNCTION("""COMPUTED_VALUE"""),"VD044")</f>
        <v>VD044</v>
      </c>
      <c r="C1188" s="2">
        <f>IFERROR(__xludf.DUMMYFUNCTION("""COMPUTED_VALUE"""),6.0)</f>
        <v>6</v>
      </c>
      <c r="D1188" s="6">
        <f>IFERROR(__xludf.DUMMYFUNCTION("""COMPUTED_VALUE"""),335.99)</f>
        <v>335.99</v>
      </c>
      <c r="E1188" s="6">
        <f>IFERROR(__xludf.DUMMYFUNCTION("GOOGLEFINANCE(""Currency:BRLMXN"")*D1188"),1141.3580299999999)</f>
        <v>1141.35803</v>
      </c>
      <c r="F1188" s="6">
        <f>IFERROR(__xludf.DUMMYFUNCTION("GOOGLEFINANCE(""Currency:BRLPEN"")*D1188"),220.27504399999998)</f>
        <v>220.275044</v>
      </c>
      <c r="G1188" s="2" t="str">
        <f t="array" ref="G1188">_xlfn.XLOOKUP(B1188,Vendedores!$A$2:$A$41,Vendedores!$B$2:$B$41,"No hay datos")</f>
        <v>No hay datos</v>
      </c>
      <c r="H1188" s="2" t="str">
        <f t="array" ref="H1188">_xlfn.XLOOKUP(B1188,Vendedores!$A$2:$A$41,Vendedores!$C$2:$C$41,"No hay datos")</f>
        <v>No hay datos</v>
      </c>
      <c r="I1188" s="2" t="str">
        <f t="array" ref="I1188">_xlfn.XLOOKUP(B1188,Vendedores!$A$2:$A$41,Vendedores!$D$2:$D$41,"No hay datos")</f>
        <v>No hay datos</v>
      </c>
      <c r="J1188" s="2" t="str">
        <f t="array" ref="J1188">_xlfn.XLOOKUP(A1188,Productos!$A$2:$A$61,Productos!$B$2:$F$61)</f>
        <v>#N/A</v>
      </c>
    </row>
    <row r="1189">
      <c r="A1189" s="2" t="str">
        <f>IFERROR(__xludf.DUMMYFUNCTION("""COMPUTED_VALUE"""),"PR004")</f>
        <v>PR004</v>
      </c>
      <c r="B1189" s="2" t="str">
        <f>IFERROR(__xludf.DUMMYFUNCTION("""COMPUTED_VALUE"""),"VD041")</f>
        <v>VD041</v>
      </c>
      <c r="C1189" s="2">
        <f>IFERROR(__xludf.DUMMYFUNCTION("""COMPUTED_VALUE"""),12.0)</f>
        <v>12</v>
      </c>
      <c r="D1189" s="6">
        <f>IFERROR(__xludf.DUMMYFUNCTION("""COMPUTED_VALUE"""),1879.2)</f>
        <v>1879.2</v>
      </c>
      <c r="E1189" s="6">
        <f>IFERROR(__xludf.DUMMYFUNCTION("GOOGLEFINANCE(""Currency:BRLMXN"")*D1189"),6383.6424)</f>
        <v>6383.6424</v>
      </c>
      <c r="F1189" s="6">
        <f>IFERROR(__xludf.DUMMYFUNCTION("GOOGLEFINANCE(""Currency:BRLPEN"")*D1189"),1232.00352)</f>
        <v>1232.00352</v>
      </c>
      <c r="G1189" s="2" t="str">
        <f t="array" ref="G1189">_xlfn.XLOOKUP(B1189,Vendedores!$A$2:$A$41,Vendedores!$B$2:$B$41,"No hay datos")</f>
        <v>No hay datos</v>
      </c>
      <c r="H1189" s="2" t="str">
        <f t="array" ref="H1189">_xlfn.XLOOKUP(B1189,Vendedores!$A$2:$A$41,Vendedores!$C$2:$C$41,"No hay datos")</f>
        <v>No hay datos</v>
      </c>
      <c r="I1189" s="2" t="str">
        <f t="array" ref="I1189">_xlfn.XLOOKUP(B1189,Vendedores!$A$2:$A$41,Vendedores!$D$2:$D$41,"No hay datos")</f>
        <v>No hay datos</v>
      </c>
      <c r="J1189" s="2" t="str">
        <f t="array" ref="J1189">_xlfn.XLOOKUP(A1189,Productos!$A$2:$A$61,Productos!$B$2:$F$61)</f>
        <v>#N/A</v>
      </c>
    </row>
    <row r="1190">
      <c r="A1190" s="2" t="str">
        <f>IFERROR(__xludf.DUMMYFUNCTION("""COMPUTED_VALUE"""),"PR041")</f>
        <v>PR041</v>
      </c>
      <c r="B1190" s="2" t="str">
        <f>IFERROR(__xludf.DUMMYFUNCTION("""COMPUTED_VALUE"""),"VD033")</f>
        <v>VD033</v>
      </c>
      <c r="C1190" s="2">
        <f>IFERROR(__xludf.DUMMYFUNCTION("""COMPUTED_VALUE"""),6.0)</f>
        <v>6</v>
      </c>
      <c r="D1190" s="6">
        <f>IFERROR(__xludf.DUMMYFUNCTION("""COMPUTED_VALUE"""),335.99)</f>
        <v>335.99</v>
      </c>
      <c r="E1190" s="6">
        <f>IFERROR(__xludf.DUMMYFUNCTION("GOOGLEFINANCE(""Currency:BRLMXN"")*D1190"),1141.3580299999999)</f>
        <v>1141.35803</v>
      </c>
      <c r="F1190" s="6">
        <f>IFERROR(__xludf.DUMMYFUNCTION("GOOGLEFINANCE(""Currency:BRLPEN"")*D1190"),220.27504399999998)</f>
        <v>220.275044</v>
      </c>
      <c r="G1190" s="2" t="str">
        <f t="array" ref="G1190">_xlfn.XLOOKUP(B1190,Vendedores!$A$2:$A$41,Vendedores!$B$2:$B$41,"No hay datos")</f>
        <v>No hay datos</v>
      </c>
      <c r="H1190" s="2" t="str">
        <f t="array" ref="H1190">_xlfn.XLOOKUP(B1190,Vendedores!$A$2:$A$41,Vendedores!$C$2:$C$41,"No hay datos")</f>
        <v>No hay datos</v>
      </c>
      <c r="I1190" s="2" t="str">
        <f t="array" ref="I1190">_xlfn.XLOOKUP(B1190,Vendedores!$A$2:$A$41,Vendedores!$D$2:$D$41,"No hay datos")</f>
        <v>No hay datos</v>
      </c>
      <c r="J1190" s="2" t="str">
        <f t="array" ref="J1190">_xlfn.XLOOKUP(A1190,Productos!$A$2:$A$61,Productos!$B$2:$F$61)</f>
        <v>#N/A</v>
      </c>
    </row>
    <row r="1191">
      <c r="A1191" s="2" t="str">
        <f>IFERROR(__xludf.DUMMYFUNCTION("""COMPUTED_VALUE"""),"PR048")</f>
        <v>PR048</v>
      </c>
      <c r="B1191" s="2" t="str">
        <f>IFERROR(__xludf.DUMMYFUNCTION("""COMPUTED_VALUE"""),"VD028")</f>
        <v>VD028</v>
      </c>
      <c r="C1191" s="2">
        <f>IFERROR(__xludf.DUMMYFUNCTION("""COMPUTED_VALUE"""),10.0)</f>
        <v>10</v>
      </c>
      <c r="D1191" s="6">
        <f>IFERROR(__xludf.DUMMYFUNCTION("""COMPUTED_VALUE"""),3101.93)</f>
        <v>3101.93</v>
      </c>
      <c r="E1191" s="6">
        <f>IFERROR(__xludf.DUMMYFUNCTION("GOOGLEFINANCE(""Currency:BRLMXN"")*D1191"),10537.25621)</f>
        <v>10537.25621</v>
      </c>
      <c r="F1191" s="6">
        <f>IFERROR(__xludf.DUMMYFUNCTION("GOOGLEFINANCE(""Currency:BRLPEN"")*D1191"),2033.6253079999997)</f>
        <v>2033.625308</v>
      </c>
      <c r="G1191" s="2" t="str">
        <f t="array" ref="G1191">_xlfn.XLOOKUP(B1191,Vendedores!$A$2:$A$41,Vendedores!$B$2:$B$41,"No hay datos")</f>
        <v>No hay datos</v>
      </c>
      <c r="H1191" s="2" t="str">
        <f t="array" ref="H1191">_xlfn.XLOOKUP(B1191,Vendedores!$A$2:$A$41,Vendedores!$C$2:$C$41,"No hay datos")</f>
        <v>No hay datos</v>
      </c>
      <c r="I1191" s="2" t="str">
        <f t="array" ref="I1191">_xlfn.XLOOKUP(B1191,Vendedores!$A$2:$A$41,Vendedores!$D$2:$D$41,"No hay datos")</f>
        <v>No hay datos</v>
      </c>
      <c r="J1191" s="2" t="str">
        <f t="array" ref="J1191">_xlfn.XLOOKUP(A1191,Productos!$A$2:$A$61,Productos!$B$2:$F$61)</f>
        <v>#N/A</v>
      </c>
    </row>
    <row r="1192">
      <c r="A1192" s="2" t="str">
        <f>IFERROR(__xludf.DUMMYFUNCTION("""COMPUTED_VALUE"""),"PR051")</f>
        <v>PR051</v>
      </c>
      <c r="B1192" s="2" t="str">
        <f>IFERROR(__xludf.DUMMYFUNCTION("""COMPUTED_VALUE"""),"VD025")</f>
        <v>VD025</v>
      </c>
      <c r="C1192" s="2">
        <f>IFERROR(__xludf.DUMMYFUNCTION("""COMPUTED_VALUE"""),14.0)</f>
        <v>14</v>
      </c>
      <c r="D1192" s="6">
        <f>IFERROR(__xludf.DUMMYFUNCTION("""COMPUTED_VALUE"""),502.05)</f>
        <v>502.05</v>
      </c>
      <c r="E1192" s="6">
        <f>IFERROR(__xludf.DUMMYFUNCTION("GOOGLEFINANCE(""Currency:BRLMXN"")*D1192"),1705.4638499999999)</f>
        <v>1705.46385</v>
      </c>
      <c r="F1192" s="6">
        <f>IFERROR(__xludf.DUMMYFUNCTION("GOOGLEFINANCE(""Currency:BRLPEN"")*D1192"),329.14398)</f>
        <v>329.14398</v>
      </c>
      <c r="G1192" s="2" t="str">
        <f t="array" ref="G1192">_xlfn.XLOOKUP(B1192,Vendedores!$A$2:$A$41,Vendedores!$B$2:$B$41,"No hay datos")</f>
        <v>No hay datos</v>
      </c>
      <c r="H1192" s="2" t="str">
        <f t="array" ref="H1192">_xlfn.XLOOKUP(B1192,Vendedores!$A$2:$A$41,Vendedores!$C$2:$C$41,"No hay datos")</f>
        <v>No hay datos</v>
      </c>
      <c r="I1192" s="2" t="str">
        <f t="array" ref="I1192">_xlfn.XLOOKUP(B1192,Vendedores!$A$2:$A$41,Vendedores!$D$2:$D$41,"No hay datos")</f>
        <v>No hay datos</v>
      </c>
      <c r="J1192" s="2" t="str">
        <f t="array" ref="J1192">_xlfn.XLOOKUP(A1192,Productos!$A$2:$A$61,Productos!$B$2:$F$61)</f>
        <v>#N/A</v>
      </c>
    </row>
    <row r="1193">
      <c r="A1193" s="2" t="str">
        <f>IFERROR(__xludf.DUMMYFUNCTION("""COMPUTED_VALUE"""),"PR025")</f>
        <v>PR025</v>
      </c>
      <c r="B1193" s="2" t="str">
        <f>IFERROR(__xludf.DUMMYFUNCTION("""COMPUTED_VALUE"""),"VD016")</f>
        <v>VD016</v>
      </c>
      <c r="C1193" s="2">
        <f>IFERROR(__xludf.DUMMYFUNCTION("""COMPUTED_VALUE"""),10.0)</f>
        <v>10</v>
      </c>
      <c r="D1193" s="6">
        <f>IFERROR(__xludf.DUMMYFUNCTION("""COMPUTED_VALUE"""),3058.98)</f>
        <v>3058.98</v>
      </c>
      <c r="E1193" s="6">
        <f>IFERROR(__xludf.DUMMYFUNCTION("GOOGLEFINANCE(""Currency:BRLMXN"")*D1193"),10391.35506)</f>
        <v>10391.35506</v>
      </c>
      <c r="F1193" s="6">
        <f>IFERROR(__xludf.DUMMYFUNCTION("GOOGLEFINANCE(""Currency:BRLPEN"")*D1193"),2005.4672879999998)</f>
        <v>2005.467288</v>
      </c>
      <c r="G1193" s="2" t="str">
        <f t="array" ref="G1193">_xlfn.XLOOKUP(B1193,Vendedores!$A$2:$A$41,Vendedores!$B$2:$B$41,"No hay datos")</f>
        <v>No hay datos</v>
      </c>
      <c r="H1193" s="2" t="str">
        <f t="array" ref="H1193">_xlfn.XLOOKUP(B1193,Vendedores!$A$2:$A$41,Vendedores!$C$2:$C$41,"No hay datos")</f>
        <v>No hay datos</v>
      </c>
      <c r="I1193" s="2" t="str">
        <f t="array" ref="I1193">_xlfn.XLOOKUP(B1193,Vendedores!$A$2:$A$41,Vendedores!$D$2:$D$41,"No hay datos")</f>
        <v>No hay datos</v>
      </c>
      <c r="J1193" s="2" t="str">
        <f t="array" ref="J1193">_xlfn.XLOOKUP(A1193,Productos!$A$2:$A$61,Productos!$B$2:$F$61)</f>
        <v>#N/A</v>
      </c>
    </row>
    <row r="1194">
      <c r="A1194" s="2" t="str">
        <f>IFERROR(__xludf.DUMMYFUNCTION("""COMPUTED_VALUE"""),"PR055")</f>
        <v>PR055</v>
      </c>
      <c r="B1194" s="2" t="str">
        <f>IFERROR(__xludf.DUMMYFUNCTION("""COMPUTED_VALUE"""),"VD029")</f>
        <v>VD029</v>
      </c>
      <c r="C1194" s="2">
        <f>IFERROR(__xludf.DUMMYFUNCTION("""COMPUTED_VALUE"""),2.0)</f>
        <v>2</v>
      </c>
      <c r="D1194" s="6">
        <f>IFERROR(__xludf.DUMMYFUNCTION("""COMPUTED_VALUE"""),195.98)</f>
        <v>195.98</v>
      </c>
      <c r="E1194" s="6">
        <f>IFERROR(__xludf.DUMMYFUNCTION("GOOGLEFINANCE(""Currency:BRLMXN"")*D1194"),665.7440599999999)</f>
        <v>665.74406</v>
      </c>
      <c r="F1194" s="6">
        <f>IFERROR(__xludf.DUMMYFUNCTION("GOOGLEFINANCE(""Currency:BRLPEN"")*D1194"),128.484488)</f>
        <v>128.484488</v>
      </c>
      <c r="G1194" s="2" t="str">
        <f t="array" ref="G1194">_xlfn.XLOOKUP(B1194,Vendedores!$A$2:$A$41,Vendedores!$B$2:$B$41,"No hay datos")</f>
        <v>No hay datos</v>
      </c>
      <c r="H1194" s="2" t="str">
        <f t="array" ref="H1194">_xlfn.XLOOKUP(B1194,Vendedores!$A$2:$A$41,Vendedores!$C$2:$C$41,"No hay datos")</f>
        <v>No hay datos</v>
      </c>
      <c r="I1194" s="2" t="str">
        <f t="array" ref="I1194">_xlfn.XLOOKUP(B1194,Vendedores!$A$2:$A$41,Vendedores!$D$2:$D$41,"No hay datos")</f>
        <v>No hay datos</v>
      </c>
      <c r="J1194" s="2" t="str">
        <f t="array" ref="J1194">_xlfn.XLOOKUP(A1194,Productos!$A$2:$A$61,Productos!$B$2:$F$61)</f>
        <v>#N/A</v>
      </c>
    </row>
    <row r="1195">
      <c r="A1195" s="2" t="str">
        <f>IFERROR(__xludf.DUMMYFUNCTION("""COMPUTED_VALUE"""),"PR043")</f>
        <v>PR043</v>
      </c>
      <c r="B1195" s="2" t="str">
        <f>IFERROR(__xludf.DUMMYFUNCTION("""COMPUTED_VALUE"""),"VD042")</f>
        <v>VD042</v>
      </c>
      <c r="C1195" s="2">
        <f>IFERROR(__xludf.DUMMYFUNCTION("""COMPUTED_VALUE"""),18.0)</f>
        <v>18</v>
      </c>
      <c r="D1195" s="6">
        <f>IFERROR(__xludf.DUMMYFUNCTION("""COMPUTED_VALUE"""),1318.05)</f>
        <v>1318.05</v>
      </c>
      <c r="E1195" s="6">
        <f>IFERROR(__xludf.DUMMYFUNCTION("GOOGLEFINANCE(""Currency:BRLMXN"")*D1195"),4477.415849999999)</f>
        <v>4477.41585</v>
      </c>
      <c r="F1195" s="6">
        <f>IFERROR(__xludf.DUMMYFUNCTION("GOOGLEFINANCE(""Currency:BRLPEN"")*D1195"),864.11358)</f>
        <v>864.11358</v>
      </c>
      <c r="G1195" s="2" t="str">
        <f t="array" ref="G1195">_xlfn.XLOOKUP(B1195,Vendedores!$A$2:$A$41,Vendedores!$B$2:$B$41,"No hay datos")</f>
        <v>No hay datos</v>
      </c>
      <c r="H1195" s="2" t="str">
        <f t="array" ref="H1195">_xlfn.XLOOKUP(B1195,Vendedores!$A$2:$A$41,Vendedores!$C$2:$C$41,"No hay datos")</f>
        <v>No hay datos</v>
      </c>
      <c r="I1195" s="2" t="str">
        <f t="array" ref="I1195">_xlfn.XLOOKUP(B1195,Vendedores!$A$2:$A$41,Vendedores!$D$2:$D$41,"No hay datos")</f>
        <v>No hay datos</v>
      </c>
      <c r="J1195" s="2" t="str">
        <f t="array" ref="J1195">_xlfn.XLOOKUP(A1195,Productos!$A$2:$A$61,Productos!$B$2:$F$61)</f>
        <v>#N/A</v>
      </c>
    </row>
    <row r="1196">
      <c r="A1196" s="2" t="str">
        <f>IFERROR(__xludf.DUMMYFUNCTION("""COMPUTED_VALUE"""),"PR010")</f>
        <v>PR010</v>
      </c>
      <c r="B1196" s="2" t="str">
        <f>IFERROR(__xludf.DUMMYFUNCTION("""COMPUTED_VALUE"""),"VD015")</f>
        <v>VD015</v>
      </c>
      <c r="C1196" s="2">
        <f>IFERROR(__xludf.DUMMYFUNCTION("""COMPUTED_VALUE"""),12.0)</f>
        <v>12</v>
      </c>
      <c r="D1196" s="6">
        <f>IFERROR(__xludf.DUMMYFUNCTION("""COMPUTED_VALUE"""),538.8)</f>
        <v>538.8</v>
      </c>
      <c r="E1196" s="6">
        <f>IFERROR(__xludf.DUMMYFUNCTION("GOOGLEFINANCE(""Currency:BRLMXN"")*D1196"),1830.3035999999997)</f>
        <v>1830.3036</v>
      </c>
      <c r="F1196" s="6">
        <f>IFERROR(__xludf.DUMMYFUNCTION("GOOGLEFINANCE(""Currency:BRLPEN"")*D1196"),353.23727999999994)</f>
        <v>353.23728</v>
      </c>
      <c r="G1196" s="2" t="str">
        <f t="array" ref="G1196">_xlfn.XLOOKUP(B1196,Vendedores!$A$2:$A$41,Vendedores!$B$2:$B$41,"No hay datos")</f>
        <v>No hay datos</v>
      </c>
      <c r="H1196" s="2" t="str">
        <f t="array" ref="H1196">_xlfn.XLOOKUP(B1196,Vendedores!$A$2:$A$41,Vendedores!$C$2:$C$41,"No hay datos")</f>
        <v>No hay datos</v>
      </c>
      <c r="I1196" s="2" t="str">
        <f t="array" ref="I1196">_xlfn.XLOOKUP(B1196,Vendedores!$A$2:$A$41,Vendedores!$D$2:$D$41,"No hay datos")</f>
        <v>No hay datos</v>
      </c>
      <c r="J1196" s="2" t="str">
        <f t="array" ref="J1196">_xlfn.XLOOKUP(A1196,Productos!$A$2:$A$61,Productos!$B$2:$F$61)</f>
        <v>#N/A</v>
      </c>
    </row>
    <row r="1197">
      <c r="A1197" s="2" t="str">
        <f>IFERROR(__xludf.DUMMYFUNCTION("""COMPUTED_VALUE"""),"PR043")</f>
        <v>PR043</v>
      </c>
      <c r="B1197" s="2" t="str">
        <f>IFERROR(__xludf.DUMMYFUNCTION("""COMPUTED_VALUE"""),"VD025")</f>
        <v>VD025</v>
      </c>
      <c r="C1197" s="2">
        <f>IFERROR(__xludf.DUMMYFUNCTION("""COMPUTED_VALUE"""),8.0)</f>
        <v>8</v>
      </c>
      <c r="D1197" s="6">
        <f>IFERROR(__xludf.DUMMYFUNCTION("""COMPUTED_VALUE"""),591.6)</f>
        <v>591.6</v>
      </c>
      <c r="E1197" s="6">
        <f>IFERROR(__xludf.DUMMYFUNCTION("GOOGLEFINANCE(""Currency:BRLMXN"")*D1197"),2009.6652)</f>
        <v>2009.6652</v>
      </c>
      <c r="F1197" s="6">
        <f>IFERROR(__xludf.DUMMYFUNCTION("GOOGLEFINANCE(""Currency:BRLPEN"")*D1197"),387.85296)</f>
        <v>387.85296</v>
      </c>
      <c r="G1197" s="2" t="str">
        <f t="array" ref="G1197">_xlfn.XLOOKUP(B1197,Vendedores!$A$2:$A$41,Vendedores!$B$2:$B$41,"No hay datos")</f>
        <v>No hay datos</v>
      </c>
      <c r="H1197" s="2" t="str">
        <f t="array" ref="H1197">_xlfn.XLOOKUP(B1197,Vendedores!$A$2:$A$41,Vendedores!$C$2:$C$41,"No hay datos")</f>
        <v>No hay datos</v>
      </c>
      <c r="I1197" s="2" t="str">
        <f t="array" ref="I1197">_xlfn.XLOOKUP(B1197,Vendedores!$A$2:$A$41,Vendedores!$D$2:$D$41,"No hay datos")</f>
        <v>No hay datos</v>
      </c>
      <c r="J1197" s="2" t="str">
        <f t="array" ref="J1197">_xlfn.XLOOKUP(A1197,Productos!$A$2:$A$61,Productos!$B$2:$F$61)</f>
        <v>#N/A</v>
      </c>
    </row>
    <row r="1198">
      <c r="A1198" s="2" t="str">
        <f>IFERROR(__xludf.DUMMYFUNCTION("""COMPUTED_VALUE"""),"PR041")</f>
        <v>PR041</v>
      </c>
      <c r="B1198" s="2" t="str">
        <f>IFERROR(__xludf.DUMMYFUNCTION("""COMPUTED_VALUE"""),"VD028")</f>
        <v>VD028</v>
      </c>
      <c r="C1198" s="2">
        <f>IFERROR(__xludf.DUMMYFUNCTION("""COMPUTED_VALUE"""),6.0)</f>
        <v>6</v>
      </c>
      <c r="D1198" s="6">
        <f>IFERROR(__xludf.DUMMYFUNCTION("""COMPUTED_VALUE"""),335.99)</f>
        <v>335.99</v>
      </c>
      <c r="E1198" s="6">
        <f>IFERROR(__xludf.DUMMYFUNCTION("GOOGLEFINANCE(""Currency:BRLMXN"")*D1198"),1141.3580299999999)</f>
        <v>1141.35803</v>
      </c>
      <c r="F1198" s="6">
        <f>IFERROR(__xludf.DUMMYFUNCTION("GOOGLEFINANCE(""Currency:BRLPEN"")*D1198"),220.27504399999998)</f>
        <v>220.275044</v>
      </c>
      <c r="G1198" s="2" t="str">
        <f t="array" ref="G1198">_xlfn.XLOOKUP(B1198,Vendedores!$A$2:$A$41,Vendedores!$B$2:$B$41,"No hay datos")</f>
        <v>No hay datos</v>
      </c>
      <c r="H1198" s="2" t="str">
        <f t="array" ref="H1198">_xlfn.XLOOKUP(B1198,Vendedores!$A$2:$A$41,Vendedores!$C$2:$C$41,"No hay datos")</f>
        <v>No hay datos</v>
      </c>
      <c r="I1198" s="2" t="str">
        <f t="array" ref="I1198">_xlfn.XLOOKUP(B1198,Vendedores!$A$2:$A$41,Vendedores!$D$2:$D$41,"No hay datos")</f>
        <v>No hay datos</v>
      </c>
      <c r="J1198" s="2" t="str">
        <f t="array" ref="J1198">_xlfn.XLOOKUP(A1198,Productos!$A$2:$A$61,Productos!$B$2:$F$61)</f>
        <v>#N/A</v>
      </c>
    </row>
    <row r="1199">
      <c r="A1199" s="2" t="str">
        <f>IFERROR(__xludf.DUMMYFUNCTION("""COMPUTED_VALUE"""),"PR001")</f>
        <v>PR001</v>
      </c>
      <c r="B1199" s="2" t="str">
        <f>IFERROR(__xludf.DUMMYFUNCTION("""COMPUTED_VALUE"""),"VD031")</f>
        <v>VD031</v>
      </c>
      <c r="C1199" s="2">
        <f>IFERROR(__xludf.DUMMYFUNCTION("""COMPUTED_VALUE"""),8.0)</f>
        <v>8</v>
      </c>
      <c r="D1199" s="6">
        <f>IFERROR(__xludf.DUMMYFUNCTION("""COMPUTED_VALUE"""),574.65)</f>
        <v>574.65</v>
      </c>
      <c r="E1199" s="6">
        <f>IFERROR(__xludf.DUMMYFUNCTION("GOOGLEFINANCE(""Currency:BRLMXN"")*D1199"),1952.08605)</f>
        <v>1952.08605</v>
      </c>
      <c r="F1199" s="6">
        <f>IFERROR(__xludf.DUMMYFUNCTION("GOOGLEFINANCE(""Currency:BRLPEN"")*D1199"),376.74053999999995)</f>
        <v>376.74054</v>
      </c>
      <c r="G1199" s="2" t="str">
        <f t="array" ref="G1199">_xlfn.XLOOKUP(B1199,Vendedores!$A$2:$A$41,Vendedores!$B$2:$B$41,"No hay datos")</f>
        <v>No hay datos</v>
      </c>
      <c r="H1199" s="2" t="str">
        <f t="array" ref="H1199">_xlfn.XLOOKUP(B1199,Vendedores!$A$2:$A$41,Vendedores!$C$2:$C$41,"No hay datos")</f>
        <v>No hay datos</v>
      </c>
      <c r="I1199" s="2" t="str">
        <f t="array" ref="I1199">_xlfn.XLOOKUP(B1199,Vendedores!$A$2:$A$41,Vendedores!$D$2:$D$41,"No hay datos")</f>
        <v>No hay datos</v>
      </c>
      <c r="J1199" s="2" t="str">
        <f t="array" ref="J1199">_xlfn.XLOOKUP(A1199,Productos!$A$2:$A$61,Productos!$B$2:$F$61)</f>
        <v>#N/A</v>
      </c>
    </row>
    <row r="1200">
      <c r="A1200" s="2" t="str">
        <f>IFERROR(__xludf.DUMMYFUNCTION("""COMPUTED_VALUE"""),"PR007")</f>
        <v>PR007</v>
      </c>
      <c r="B1200" s="2" t="str">
        <f>IFERROR(__xludf.DUMMYFUNCTION("""COMPUTED_VALUE"""),"VD044")</f>
        <v>VD044</v>
      </c>
      <c r="C1200" s="2">
        <f>IFERROR(__xludf.DUMMYFUNCTION("""COMPUTED_VALUE"""),3.0)</f>
        <v>3</v>
      </c>
      <c r="D1200" s="6">
        <f>IFERROR(__xludf.DUMMYFUNCTION("""COMPUTED_VALUE"""),257.7)</f>
        <v>257.7</v>
      </c>
      <c r="E1200" s="6">
        <f>IFERROR(__xludf.DUMMYFUNCTION("GOOGLEFINANCE(""Currency:BRLMXN"")*D1200"),875.4069)</f>
        <v>875.4069</v>
      </c>
      <c r="F1200" s="6">
        <f>IFERROR(__xludf.DUMMYFUNCTION("GOOGLEFINANCE(""Currency:BRLPEN"")*D1200"),168.94812)</f>
        <v>168.94812</v>
      </c>
      <c r="G1200" s="2" t="str">
        <f t="array" ref="G1200">_xlfn.XLOOKUP(B1200,Vendedores!$A$2:$A$41,Vendedores!$B$2:$B$41,"No hay datos")</f>
        <v>No hay datos</v>
      </c>
      <c r="H1200" s="2" t="str">
        <f t="array" ref="H1200">_xlfn.XLOOKUP(B1200,Vendedores!$A$2:$A$41,Vendedores!$C$2:$C$41,"No hay datos")</f>
        <v>No hay datos</v>
      </c>
      <c r="I1200" s="2" t="str">
        <f t="array" ref="I1200">_xlfn.XLOOKUP(B1200,Vendedores!$A$2:$A$41,Vendedores!$D$2:$D$41,"No hay datos")</f>
        <v>No hay datos</v>
      </c>
      <c r="J1200" s="2" t="str">
        <f t="array" ref="J1200">_xlfn.XLOOKUP(A1200,Productos!$A$2:$A$61,Productos!$B$2:$F$61)</f>
        <v>#N/A</v>
      </c>
    </row>
    <row r="1201">
      <c r="A1201" s="2" t="str">
        <f>IFERROR(__xludf.DUMMYFUNCTION("""COMPUTED_VALUE"""),"PR032")</f>
        <v>PR032</v>
      </c>
      <c r="B1201" s="2" t="str">
        <f>IFERROR(__xludf.DUMMYFUNCTION("""COMPUTED_VALUE"""),"VD019")</f>
        <v>VD019</v>
      </c>
      <c r="C1201" s="2">
        <f>IFERROR(__xludf.DUMMYFUNCTION("""COMPUTED_VALUE"""),6.0)</f>
        <v>6</v>
      </c>
      <c r="D1201" s="6">
        <f>IFERROR(__xludf.DUMMYFUNCTION("""COMPUTED_VALUE"""),1515.0)</f>
        <v>1515</v>
      </c>
      <c r="E1201" s="6">
        <f>IFERROR(__xludf.DUMMYFUNCTION("GOOGLEFINANCE(""Currency:BRLMXN"")*D1201"),5146.455)</f>
        <v>5146.455</v>
      </c>
      <c r="F1201" s="6">
        <f>IFERROR(__xludf.DUMMYFUNCTION("GOOGLEFINANCE(""Currency:BRLPEN"")*D1201"),993.2339999999999)</f>
        <v>993.234</v>
      </c>
      <c r="G1201" s="2" t="str">
        <f t="array" ref="G1201">_xlfn.XLOOKUP(B1201,Vendedores!$A$2:$A$41,Vendedores!$B$2:$B$41,"No hay datos")</f>
        <v>No hay datos</v>
      </c>
      <c r="H1201" s="2" t="str">
        <f t="array" ref="H1201">_xlfn.XLOOKUP(B1201,Vendedores!$A$2:$A$41,Vendedores!$C$2:$C$41,"No hay datos")</f>
        <v>No hay datos</v>
      </c>
      <c r="I1201" s="2" t="str">
        <f t="array" ref="I1201">_xlfn.XLOOKUP(B1201,Vendedores!$A$2:$A$41,Vendedores!$D$2:$D$41,"No hay datos")</f>
        <v>No hay datos</v>
      </c>
      <c r="J1201" s="2" t="str">
        <f t="array" ref="J1201">_xlfn.XLOOKUP(A1201,Productos!$A$2:$A$61,Productos!$B$2:$F$61)</f>
        <v>#N/A</v>
      </c>
    </row>
    <row r="1202">
      <c r="A1202" s="2" t="str">
        <f>IFERROR(__xludf.DUMMYFUNCTION("""COMPUTED_VALUE"""),"PR040")</f>
        <v>PR040</v>
      </c>
      <c r="B1202" s="2" t="str">
        <f>IFERROR(__xludf.DUMMYFUNCTION("""COMPUTED_VALUE"""),"VD035")</f>
        <v>VD035</v>
      </c>
      <c r="C1202" s="2">
        <f>IFERROR(__xludf.DUMMYFUNCTION("""COMPUTED_VALUE"""),2.0)</f>
        <v>2</v>
      </c>
      <c r="D1202" s="6">
        <f>IFERROR(__xludf.DUMMYFUNCTION("""COMPUTED_VALUE"""),142.8)</f>
        <v>142.8</v>
      </c>
      <c r="E1202" s="6">
        <f>IFERROR(__xludf.DUMMYFUNCTION("GOOGLEFINANCE(""Currency:BRLMXN"")*D1202"),485.0916)</f>
        <v>485.0916</v>
      </c>
      <c r="F1202" s="6">
        <f>IFERROR(__xludf.DUMMYFUNCTION("GOOGLEFINANCE(""Currency:BRLPEN"")*D1202"),93.61968)</f>
        <v>93.61968</v>
      </c>
      <c r="G1202" s="2" t="str">
        <f t="array" ref="G1202">_xlfn.XLOOKUP(B1202,Vendedores!$A$2:$A$41,Vendedores!$B$2:$B$41,"No hay datos")</f>
        <v>No hay datos</v>
      </c>
      <c r="H1202" s="2" t="str">
        <f t="array" ref="H1202">_xlfn.XLOOKUP(B1202,Vendedores!$A$2:$A$41,Vendedores!$C$2:$C$41,"No hay datos")</f>
        <v>No hay datos</v>
      </c>
      <c r="I1202" s="2" t="str">
        <f t="array" ref="I1202">_xlfn.XLOOKUP(B1202,Vendedores!$A$2:$A$41,Vendedores!$D$2:$D$41,"No hay datos")</f>
        <v>No hay datos</v>
      </c>
      <c r="J1202" s="2" t="str">
        <f t="array" ref="J1202">_xlfn.XLOOKUP(A1202,Productos!$A$2:$A$61,Productos!$B$2:$F$61)</f>
        <v>#N/A</v>
      </c>
    </row>
    <row r="1203">
      <c r="A1203" s="2" t="str">
        <f>IFERROR(__xludf.DUMMYFUNCTION("""COMPUTED_VALUE"""),"PR027")</f>
        <v>PR027</v>
      </c>
      <c r="B1203" s="2" t="str">
        <f>IFERROR(__xludf.DUMMYFUNCTION("""COMPUTED_VALUE"""),"VD020")</f>
        <v>VD020</v>
      </c>
      <c r="C1203" s="2">
        <f>IFERROR(__xludf.DUMMYFUNCTION("""COMPUTED_VALUE"""),12.0)</f>
        <v>12</v>
      </c>
      <c r="D1203" s="6">
        <f>IFERROR(__xludf.DUMMYFUNCTION("""COMPUTED_VALUE"""),1555.2)</f>
        <v>1555.2</v>
      </c>
      <c r="E1203" s="6">
        <f>IFERROR(__xludf.DUMMYFUNCTION("GOOGLEFINANCE(""Currency:BRLMXN"")*D1203"),5283.0144)</f>
        <v>5283.0144</v>
      </c>
      <c r="F1203" s="6">
        <f>IFERROR(__xludf.DUMMYFUNCTION("GOOGLEFINANCE(""Currency:BRLPEN"")*D1203"),1019.58912)</f>
        <v>1019.58912</v>
      </c>
      <c r="G1203" s="2" t="str">
        <f t="array" ref="G1203">_xlfn.XLOOKUP(B1203,Vendedores!$A$2:$A$41,Vendedores!$B$2:$B$41,"No hay datos")</f>
        <v>No hay datos</v>
      </c>
      <c r="H1203" s="2" t="str">
        <f t="array" ref="H1203">_xlfn.XLOOKUP(B1203,Vendedores!$A$2:$A$41,Vendedores!$C$2:$C$41,"No hay datos")</f>
        <v>No hay datos</v>
      </c>
      <c r="I1203" s="2" t="str">
        <f t="array" ref="I1203">_xlfn.XLOOKUP(B1203,Vendedores!$A$2:$A$41,Vendedores!$D$2:$D$41,"No hay datos")</f>
        <v>No hay datos</v>
      </c>
      <c r="J1203" s="2" t="str">
        <f t="array" ref="J1203">_xlfn.XLOOKUP(A1203,Productos!$A$2:$A$61,Productos!$B$2:$F$61)</f>
        <v>#N/A</v>
      </c>
    </row>
    <row r="1204">
      <c r="A1204" s="2" t="str">
        <f>IFERROR(__xludf.DUMMYFUNCTION("""COMPUTED_VALUE"""),"PR021")</f>
        <v>PR021</v>
      </c>
      <c r="B1204" s="2" t="str">
        <f>IFERROR(__xludf.DUMMYFUNCTION("""COMPUTED_VALUE"""),"VD025")</f>
        <v>VD025</v>
      </c>
      <c r="C1204" s="2">
        <f>IFERROR(__xludf.DUMMYFUNCTION("""COMPUTED_VALUE"""),8.0)</f>
        <v>8</v>
      </c>
      <c r="D1204" s="6">
        <f>IFERROR(__xludf.DUMMYFUNCTION("""COMPUTED_VALUE"""),2447.43)</f>
        <v>2447.43</v>
      </c>
      <c r="E1204" s="6">
        <f>IFERROR(__xludf.DUMMYFUNCTION("GOOGLEFINANCE(""Currency:BRLMXN"")*D1204"),8313.919709999998)</f>
        <v>8313.91971</v>
      </c>
      <c r="F1204" s="6">
        <f>IFERROR(__xludf.DUMMYFUNCTION("GOOGLEFINANCE(""Currency:BRLPEN"")*D1204"),1604.5351079999998)</f>
        <v>1604.535108</v>
      </c>
      <c r="G1204" s="2" t="str">
        <f t="array" ref="G1204">_xlfn.XLOOKUP(B1204,Vendedores!$A$2:$A$41,Vendedores!$B$2:$B$41,"No hay datos")</f>
        <v>No hay datos</v>
      </c>
      <c r="H1204" s="2" t="str">
        <f t="array" ref="H1204">_xlfn.XLOOKUP(B1204,Vendedores!$A$2:$A$41,Vendedores!$C$2:$C$41,"No hay datos")</f>
        <v>No hay datos</v>
      </c>
      <c r="I1204" s="2" t="str">
        <f t="array" ref="I1204">_xlfn.XLOOKUP(B1204,Vendedores!$A$2:$A$41,Vendedores!$D$2:$D$41,"No hay datos")</f>
        <v>No hay datos</v>
      </c>
      <c r="J1204" s="2" t="str">
        <f t="array" ref="J1204">_xlfn.XLOOKUP(A1204,Productos!$A$2:$A$61,Productos!$B$2:$F$61)</f>
        <v>#N/A</v>
      </c>
    </row>
    <row r="1205">
      <c r="A1205" s="2" t="str">
        <f>IFERROR(__xludf.DUMMYFUNCTION("""COMPUTED_VALUE"""),"PR007")</f>
        <v>PR007</v>
      </c>
      <c r="B1205" s="2" t="str">
        <f>IFERROR(__xludf.DUMMYFUNCTION("""COMPUTED_VALUE"""),"VD010")</f>
        <v>VD010</v>
      </c>
      <c r="C1205" s="2">
        <f>IFERROR(__xludf.DUMMYFUNCTION("""COMPUTED_VALUE"""),14.0)</f>
        <v>14</v>
      </c>
      <c r="D1205" s="6">
        <f>IFERROR(__xludf.DUMMYFUNCTION("""COMPUTED_VALUE"""),1310.83)</f>
        <v>1310.83</v>
      </c>
      <c r="E1205" s="6">
        <f>IFERROR(__xludf.DUMMYFUNCTION("GOOGLEFINANCE(""Currency:BRLMXN"")*D1205"),4452.889509999999)</f>
        <v>4452.88951</v>
      </c>
      <c r="F1205" s="6">
        <f>IFERROR(__xludf.DUMMYFUNCTION("GOOGLEFINANCE(""Currency:BRLPEN"")*D1205"),859.3801479999998)</f>
        <v>859.380148</v>
      </c>
      <c r="G1205" s="2" t="str">
        <f t="array" ref="G1205">_xlfn.XLOOKUP(B1205,Vendedores!$A$2:$A$41,Vendedores!$B$2:$B$41,"No hay datos")</f>
        <v>No hay datos</v>
      </c>
      <c r="H1205" s="2" t="str">
        <f t="array" ref="H1205">_xlfn.XLOOKUP(B1205,Vendedores!$A$2:$A$41,Vendedores!$C$2:$C$41,"No hay datos")</f>
        <v>No hay datos</v>
      </c>
      <c r="I1205" s="2" t="str">
        <f t="array" ref="I1205">_xlfn.XLOOKUP(B1205,Vendedores!$A$2:$A$41,Vendedores!$D$2:$D$41,"No hay datos")</f>
        <v>No hay datos</v>
      </c>
      <c r="J1205" s="2" t="str">
        <f t="array" ref="J1205">_xlfn.XLOOKUP(A1205,Productos!$A$2:$A$61,Productos!$B$2:$F$61)</f>
        <v>#N/A</v>
      </c>
    </row>
    <row r="1206">
      <c r="A1206" s="2" t="str">
        <f>IFERROR(__xludf.DUMMYFUNCTION("""COMPUTED_VALUE"""),"PR049")</f>
        <v>PR049</v>
      </c>
      <c r="B1206" s="2" t="str">
        <f>IFERROR(__xludf.DUMMYFUNCTION("""COMPUTED_VALUE"""),"VD023")</f>
        <v>VD023</v>
      </c>
      <c r="C1206" s="2">
        <f>IFERROR(__xludf.DUMMYFUNCTION("""COMPUTED_VALUE"""),4.0)</f>
        <v>4</v>
      </c>
      <c r="D1206" s="6">
        <f>IFERROR(__xludf.DUMMYFUNCTION("""COMPUTED_VALUE"""),138.18)</f>
        <v>138.18</v>
      </c>
      <c r="E1206" s="6">
        <f>IFERROR(__xludf.DUMMYFUNCTION("GOOGLEFINANCE(""Currency:BRLMXN"")*D1206"),469.39745999999997)</f>
        <v>469.39746</v>
      </c>
      <c r="F1206" s="6">
        <f>IFERROR(__xludf.DUMMYFUNCTION("GOOGLEFINANCE(""Currency:BRLPEN"")*D1206"),90.590808)</f>
        <v>90.590808</v>
      </c>
      <c r="G1206" s="2" t="str">
        <f t="array" ref="G1206">_xlfn.XLOOKUP(B1206,Vendedores!$A$2:$A$41,Vendedores!$B$2:$B$41,"No hay datos")</f>
        <v>No hay datos</v>
      </c>
      <c r="H1206" s="2" t="str">
        <f t="array" ref="H1206">_xlfn.XLOOKUP(B1206,Vendedores!$A$2:$A$41,Vendedores!$C$2:$C$41,"No hay datos")</f>
        <v>No hay datos</v>
      </c>
      <c r="I1206" s="2" t="str">
        <f t="array" ref="I1206">_xlfn.XLOOKUP(B1206,Vendedores!$A$2:$A$41,Vendedores!$D$2:$D$41,"No hay datos")</f>
        <v>No hay datos</v>
      </c>
      <c r="J1206" s="2" t="str">
        <f t="array" ref="J1206">_xlfn.XLOOKUP(A1206,Productos!$A$2:$A$61,Productos!$B$2:$F$61)</f>
        <v>#N/A</v>
      </c>
    </row>
    <row r="1207">
      <c r="A1207" s="2" t="str">
        <f>IFERROR(__xludf.DUMMYFUNCTION("""COMPUTED_VALUE"""),"PR011")</f>
        <v>PR011</v>
      </c>
      <c r="B1207" s="2" t="str">
        <f>IFERROR(__xludf.DUMMYFUNCTION("""COMPUTED_VALUE"""),"VD045")</f>
        <v>VD045</v>
      </c>
      <c r="C1207" s="2">
        <f>IFERROR(__xludf.DUMMYFUNCTION("""COMPUTED_VALUE"""),7.0)</f>
        <v>7</v>
      </c>
      <c r="D1207" s="6">
        <f>IFERROR(__xludf.DUMMYFUNCTION("""COMPUTED_VALUE"""),341.43)</f>
        <v>341.43</v>
      </c>
      <c r="E1207" s="6">
        <f>IFERROR(__xludf.DUMMYFUNCTION("GOOGLEFINANCE(""Currency:BRLMXN"")*D1207"),1159.83771)</f>
        <v>1159.83771</v>
      </c>
      <c r="F1207" s="6">
        <f>IFERROR(__xludf.DUMMYFUNCTION("GOOGLEFINANCE(""Currency:BRLPEN"")*D1207"),223.841508)</f>
        <v>223.841508</v>
      </c>
      <c r="G1207" s="2" t="str">
        <f t="array" ref="G1207">_xlfn.XLOOKUP(B1207,Vendedores!$A$2:$A$41,Vendedores!$B$2:$B$41,"No hay datos")</f>
        <v>No hay datos</v>
      </c>
      <c r="H1207" s="2" t="str">
        <f t="array" ref="H1207">_xlfn.XLOOKUP(B1207,Vendedores!$A$2:$A$41,Vendedores!$C$2:$C$41,"No hay datos")</f>
        <v>No hay datos</v>
      </c>
      <c r="I1207" s="2" t="str">
        <f t="array" ref="I1207">_xlfn.XLOOKUP(B1207,Vendedores!$A$2:$A$41,Vendedores!$D$2:$D$41,"No hay datos")</f>
        <v>No hay datos</v>
      </c>
      <c r="J1207" s="2" t="str">
        <f t="array" ref="J1207">_xlfn.XLOOKUP(A1207,Productos!$A$2:$A$61,Productos!$B$2:$F$61)</f>
        <v>#N/A</v>
      </c>
    </row>
    <row r="1208">
      <c r="A1208" s="2" t="str">
        <f>IFERROR(__xludf.DUMMYFUNCTION("""COMPUTED_VALUE"""),"PR014")</f>
        <v>PR014</v>
      </c>
      <c r="B1208" s="2" t="str">
        <f>IFERROR(__xludf.DUMMYFUNCTION("""COMPUTED_VALUE"""),"VD015")</f>
        <v>VD015</v>
      </c>
      <c r="C1208" s="2">
        <f>IFERROR(__xludf.DUMMYFUNCTION("""COMPUTED_VALUE"""),16.0)</f>
        <v>16</v>
      </c>
      <c r="D1208" s="6">
        <f>IFERROR(__xludf.DUMMYFUNCTION("""COMPUTED_VALUE"""),644.78)</f>
        <v>644.78</v>
      </c>
      <c r="E1208" s="6">
        <f>IFERROR(__xludf.DUMMYFUNCTION("GOOGLEFINANCE(""Currency:BRLMXN"")*D1208"),2190.3176599999997)</f>
        <v>2190.31766</v>
      </c>
      <c r="F1208" s="6">
        <f>IFERROR(__xludf.DUMMYFUNCTION("GOOGLEFINANCE(""Currency:BRLPEN"")*D1208"),422.717768)</f>
        <v>422.717768</v>
      </c>
      <c r="G1208" s="2" t="str">
        <f t="array" ref="G1208">_xlfn.XLOOKUP(B1208,Vendedores!$A$2:$A$41,Vendedores!$B$2:$B$41,"No hay datos")</f>
        <v>No hay datos</v>
      </c>
      <c r="H1208" s="2" t="str">
        <f t="array" ref="H1208">_xlfn.XLOOKUP(B1208,Vendedores!$A$2:$A$41,Vendedores!$C$2:$C$41,"No hay datos")</f>
        <v>No hay datos</v>
      </c>
      <c r="I1208" s="2" t="str">
        <f t="array" ref="I1208">_xlfn.XLOOKUP(B1208,Vendedores!$A$2:$A$41,Vendedores!$D$2:$D$41,"No hay datos")</f>
        <v>No hay datos</v>
      </c>
      <c r="J1208" s="2" t="str">
        <f t="array" ref="J1208">_xlfn.XLOOKUP(A1208,Productos!$A$2:$A$61,Productos!$B$2:$F$61)</f>
        <v>#N/A</v>
      </c>
    </row>
    <row r="1209">
      <c r="A1209" s="2" t="str">
        <f>IFERROR(__xludf.DUMMYFUNCTION("""COMPUTED_VALUE"""),"PR021")</f>
        <v>PR021</v>
      </c>
      <c r="B1209" s="2" t="str">
        <f>IFERROR(__xludf.DUMMYFUNCTION("""COMPUTED_VALUE"""),"VD040")</f>
        <v>VD040</v>
      </c>
      <c r="C1209" s="2">
        <f>IFERROR(__xludf.DUMMYFUNCTION("""COMPUTED_VALUE"""),18.0)</f>
        <v>18</v>
      </c>
      <c r="D1209" s="6">
        <f>IFERROR(__xludf.DUMMYFUNCTION("""COMPUTED_VALUE"""),5942.9)</f>
        <v>5942.9</v>
      </c>
      <c r="E1209" s="6">
        <f>IFERROR(__xludf.DUMMYFUNCTION("GOOGLEFINANCE(""Currency:BRLMXN"")*D1209"),20188.0313)</f>
        <v>20188.0313</v>
      </c>
      <c r="F1209" s="6">
        <f>IFERROR(__xludf.DUMMYFUNCTION("GOOGLEFINANCE(""Currency:BRLPEN"")*D1209"),3896.1652399999994)</f>
        <v>3896.16524</v>
      </c>
      <c r="G1209" s="2" t="str">
        <f t="array" ref="G1209">_xlfn.XLOOKUP(B1209,Vendedores!$A$2:$A$41,Vendedores!$B$2:$B$41,"No hay datos")</f>
        <v>No hay datos</v>
      </c>
      <c r="H1209" s="2" t="str">
        <f t="array" ref="H1209">_xlfn.XLOOKUP(B1209,Vendedores!$A$2:$A$41,Vendedores!$C$2:$C$41,"No hay datos")</f>
        <v>No hay datos</v>
      </c>
      <c r="I1209" s="2" t="str">
        <f t="array" ref="I1209">_xlfn.XLOOKUP(B1209,Vendedores!$A$2:$A$41,Vendedores!$D$2:$D$41,"No hay datos")</f>
        <v>No hay datos</v>
      </c>
      <c r="J1209" s="2" t="str">
        <f t="array" ref="J1209">_xlfn.XLOOKUP(A1209,Productos!$A$2:$A$61,Productos!$B$2:$F$61)</f>
        <v>#N/A</v>
      </c>
    </row>
    <row r="1210">
      <c r="A1210" s="2" t="str">
        <f>IFERROR(__xludf.DUMMYFUNCTION("""COMPUTED_VALUE"""),"PR011")</f>
        <v>PR011</v>
      </c>
      <c r="B1210" s="2" t="str">
        <f>IFERROR(__xludf.DUMMYFUNCTION("""COMPUTED_VALUE"""),"VD027")</f>
        <v>VD027</v>
      </c>
      <c r="C1210" s="2">
        <f>IFERROR(__xludf.DUMMYFUNCTION("""COMPUTED_VALUE"""),8.0)</f>
        <v>8</v>
      </c>
      <c r="D1210" s="6">
        <f>IFERROR(__xludf.DUMMYFUNCTION("""COMPUTED_VALUE"""),408.97)</f>
        <v>408.97</v>
      </c>
      <c r="E1210" s="6">
        <f>IFERROR(__xludf.DUMMYFUNCTION("GOOGLEFINANCE(""Currency:BRLMXN"")*D1210"),1389.27109)</f>
        <v>1389.27109</v>
      </c>
      <c r="F1210" s="6">
        <f>IFERROR(__xludf.DUMMYFUNCTION("GOOGLEFINANCE(""Currency:BRLPEN"")*D1210"),268.120732)</f>
        <v>268.120732</v>
      </c>
      <c r="G1210" s="2" t="str">
        <f t="array" ref="G1210">_xlfn.XLOOKUP(B1210,Vendedores!$A$2:$A$41,Vendedores!$B$2:$B$41,"No hay datos")</f>
        <v>No hay datos</v>
      </c>
      <c r="H1210" s="2" t="str">
        <f t="array" ref="H1210">_xlfn.XLOOKUP(B1210,Vendedores!$A$2:$A$41,Vendedores!$C$2:$C$41,"No hay datos")</f>
        <v>No hay datos</v>
      </c>
      <c r="I1210" s="2" t="str">
        <f t="array" ref="I1210">_xlfn.XLOOKUP(B1210,Vendedores!$A$2:$A$41,Vendedores!$D$2:$D$41,"No hay datos")</f>
        <v>No hay datos</v>
      </c>
      <c r="J1210" s="2" t="str">
        <f t="array" ref="J1210">_xlfn.XLOOKUP(A1210,Productos!$A$2:$A$61,Productos!$B$2:$F$61)</f>
        <v>#N/A</v>
      </c>
    </row>
    <row r="1211">
      <c r="A1211" s="2" t="str">
        <f>IFERROR(__xludf.DUMMYFUNCTION("""COMPUTED_VALUE"""),"PR003")</f>
        <v>PR003</v>
      </c>
      <c r="B1211" s="2" t="str">
        <f>IFERROR(__xludf.DUMMYFUNCTION("""COMPUTED_VALUE"""),"VD019")</f>
        <v>VD019</v>
      </c>
      <c r="C1211" s="2">
        <f>IFERROR(__xludf.DUMMYFUNCTION("""COMPUTED_VALUE"""),3.0)</f>
        <v>3</v>
      </c>
      <c r="D1211" s="6">
        <f>IFERROR(__xludf.DUMMYFUNCTION("""COMPUTED_VALUE"""),212.7)</f>
        <v>212.7</v>
      </c>
      <c r="E1211" s="6">
        <f>IFERROR(__xludf.DUMMYFUNCTION("GOOGLEFINANCE(""Currency:BRLMXN"")*D1211"),722.5418999999999)</f>
        <v>722.5419</v>
      </c>
      <c r="F1211" s="6">
        <f>IFERROR(__xludf.DUMMYFUNCTION("GOOGLEFINANCE(""Currency:BRLPEN"")*D1211"),139.44611999999998)</f>
        <v>139.44612</v>
      </c>
      <c r="G1211" s="2" t="str">
        <f t="array" ref="G1211">_xlfn.XLOOKUP(B1211,Vendedores!$A$2:$A$41,Vendedores!$B$2:$B$41,"No hay datos")</f>
        <v>No hay datos</v>
      </c>
      <c r="H1211" s="2" t="str">
        <f t="array" ref="H1211">_xlfn.XLOOKUP(B1211,Vendedores!$A$2:$A$41,Vendedores!$C$2:$C$41,"No hay datos")</f>
        <v>No hay datos</v>
      </c>
      <c r="I1211" s="2" t="str">
        <f t="array" ref="I1211">_xlfn.XLOOKUP(B1211,Vendedores!$A$2:$A$41,Vendedores!$D$2:$D$41,"No hay datos")</f>
        <v>No hay datos</v>
      </c>
      <c r="J1211" s="2" t="str">
        <f t="array" ref="J1211">_xlfn.XLOOKUP(A1211,Productos!$A$2:$A$61,Productos!$B$2:$F$61)</f>
        <v>#N/A</v>
      </c>
    </row>
    <row r="1212">
      <c r="A1212" s="2" t="str">
        <f>IFERROR(__xludf.DUMMYFUNCTION("""COMPUTED_VALUE"""),"PR045")</f>
        <v>PR045</v>
      </c>
      <c r="B1212" s="2" t="str">
        <f>IFERROR(__xludf.DUMMYFUNCTION("""COMPUTED_VALUE"""),"VD016")</f>
        <v>VD016</v>
      </c>
      <c r="C1212" s="2">
        <f>IFERROR(__xludf.DUMMYFUNCTION("""COMPUTED_VALUE"""),5.0)</f>
        <v>5</v>
      </c>
      <c r="D1212" s="6">
        <f>IFERROR(__xludf.DUMMYFUNCTION("""COMPUTED_VALUE"""),380.63)</f>
        <v>380.63</v>
      </c>
      <c r="E1212" s="6">
        <f>IFERROR(__xludf.DUMMYFUNCTION("GOOGLEFINANCE(""Currency:BRLMXN"")*D1212"),1293.00011)</f>
        <v>1293.00011</v>
      </c>
      <c r="F1212" s="6">
        <f>IFERROR(__xludf.DUMMYFUNCTION("GOOGLEFINANCE(""Currency:BRLPEN"")*D1212"),249.54102799999998)</f>
        <v>249.541028</v>
      </c>
      <c r="G1212" s="2" t="str">
        <f t="array" ref="G1212">_xlfn.XLOOKUP(B1212,Vendedores!$A$2:$A$41,Vendedores!$B$2:$B$41,"No hay datos")</f>
        <v>No hay datos</v>
      </c>
      <c r="H1212" s="2" t="str">
        <f t="array" ref="H1212">_xlfn.XLOOKUP(B1212,Vendedores!$A$2:$A$41,Vendedores!$C$2:$C$41,"No hay datos")</f>
        <v>No hay datos</v>
      </c>
      <c r="I1212" s="2" t="str">
        <f t="array" ref="I1212">_xlfn.XLOOKUP(B1212,Vendedores!$A$2:$A$41,Vendedores!$D$2:$D$41,"No hay datos")</f>
        <v>No hay datos</v>
      </c>
      <c r="J1212" s="2" t="str">
        <f t="array" ref="J1212">_xlfn.XLOOKUP(A1212,Productos!$A$2:$A$61,Productos!$B$2:$F$61)</f>
        <v>#N/A</v>
      </c>
    </row>
    <row r="1213">
      <c r="A1213" s="2" t="str">
        <f>IFERROR(__xludf.DUMMYFUNCTION("""COMPUTED_VALUE"""),"PR056")</f>
        <v>PR056</v>
      </c>
      <c r="B1213" s="2" t="str">
        <f>IFERROR(__xludf.DUMMYFUNCTION("""COMPUTED_VALUE"""),"VD013")</f>
        <v>VD013</v>
      </c>
      <c r="C1213" s="2">
        <f>IFERROR(__xludf.DUMMYFUNCTION("""COMPUTED_VALUE"""),3.0)</f>
        <v>3</v>
      </c>
      <c r="D1213" s="6">
        <f>IFERROR(__xludf.DUMMYFUNCTION("""COMPUTED_VALUE"""),293.97)</f>
        <v>293.97</v>
      </c>
      <c r="E1213" s="6">
        <f>IFERROR(__xludf.DUMMYFUNCTION("GOOGLEFINANCE(""Currency:BRLMXN"")*D1213"),998.61609)</f>
        <v>998.61609</v>
      </c>
      <c r="F1213" s="6">
        <f>IFERROR(__xludf.DUMMYFUNCTION("GOOGLEFINANCE(""Currency:BRLPEN"")*D1213"),192.726732)</f>
        <v>192.726732</v>
      </c>
      <c r="G1213" s="2" t="str">
        <f t="array" ref="G1213">_xlfn.XLOOKUP(B1213,Vendedores!$A$2:$A$41,Vendedores!$B$2:$B$41,"No hay datos")</f>
        <v>No hay datos</v>
      </c>
      <c r="H1213" s="2" t="str">
        <f t="array" ref="H1213">_xlfn.XLOOKUP(B1213,Vendedores!$A$2:$A$41,Vendedores!$C$2:$C$41,"No hay datos")</f>
        <v>No hay datos</v>
      </c>
      <c r="I1213" s="2" t="str">
        <f t="array" ref="I1213">_xlfn.XLOOKUP(B1213,Vendedores!$A$2:$A$41,Vendedores!$D$2:$D$41,"No hay datos")</f>
        <v>No hay datos</v>
      </c>
      <c r="J1213" s="2" t="str">
        <f t="array" ref="J1213">_xlfn.XLOOKUP(A1213,Productos!$A$2:$A$61,Productos!$B$2:$F$61)</f>
        <v>#N/A</v>
      </c>
    </row>
    <row r="1214">
      <c r="A1214" s="2" t="str">
        <f>IFERROR(__xludf.DUMMYFUNCTION("""COMPUTED_VALUE"""),"PR039")</f>
        <v>PR039</v>
      </c>
      <c r="B1214" s="2" t="str">
        <f>IFERROR(__xludf.DUMMYFUNCTION("""COMPUTED_VALUE"""),"VD025")</f>
        <v>VD025</v>
      </c>
      <c r="C1214" s="2">
        <f>IFERROR(__xludf.DUMMYFUNCTION("""COMPUTED_VALUE"""),18.0)</f>
        <v>18</v>
      </c>
      <c r="D1214" s="6">
        <f>IFERROR(__xludf.DUMMYFUNCTION("""COMPUTED_VALUE"""),2733.12)</f>
        <v>2733.12</v>
      </c>
      <c r="E1214" s="6">
        <f>IFERROR(__xludf.DUMMYFUNCTION("GOOGLEFINANCE(""Currency:BRLMXN"")*D1214"),9284.40864)</f>
        <v>9284.40864</v>
      </c>
      <c r="F1214" s="6">
        <f>IFERROR(__xludf.DUMMYFUNCTION("GOOGLEFINANCE(""Currency:BRLPEN"")*D1214"),1791.8334719999998)</f>
        <v>1791.833472</v>
      </c>
      <c r="G1214" s="2" t="str">
        <f t="array" ref="G1214">_xlfn.XLOOKUP(B1214,Vendedores!$A$2:$A$41,Vendedores!$B$2:$B$41,"No hay datos")</f>
        <v>No hay datos</v>
      </c>
      <c r="H1214" s="2" t="str">
        <f t="array" ref="H1214">_xlfn.XLOOKUP(B1214,Vendedores!$A$2:$A$41,Vendedores!$C$2:$C$41,"No hay datos")</f>
        <v>No hay datos</v>
      </c>
      <c r="I1214" s="2" t="str">
        <f t="array" ref="I1214">_xlfn.XLOOKUP(B1214,Vendedores!$A$2:$A$41,Vendedores!$D$2:$D$41,"No hay datos")</f>
        <v>No hay datos</v>
      </c>
      <c r="J1214" s="2" t="str">
        <f t="array" ref="J1214">_xlfn.XLOOKUP(A1214,Productos!$A$2:$A$61,Productos!$B$2:$F$61)</f>
        <v>#N/A</v>
      </c>
    </row>
    <row r="1215">
      <c r="A1215" s="2" t="str">
        <f>IFERROR(__xludf.DUMMYFUNCTION("""COMPUTED_VALUE"""),"PR001")</f>
        <v>PR001</v>
      </c>
      <c r="B1215" s="2" t="str">
        <f>IFERROR(__xludf.DUMMYFUNCTION("""COMPUTED_VALUE"""),"VD025")</f>
        <v>VD025</v>
      </c>
      <c r="C1215" s="2">
        <f>IFERROR(__xludf.DUMMYFUNCTION("""COMPUTED_VALUE"""),9.0)</f>
        <v>9</v>
      </c>
      <c r="D1215" s="6">
        <f>IFERROR(__xludf.DUMMYFUNCTION("""COMPUTED_VALUE"""),610.89)</f>
        <v>610.89</v>
      </c>
      <c r="E1215" s="6">
        <f>IFERROR(__xludf.DUMMYFUNCTION("GOOGLEFINANCE(""Currency:BRLMXN"")*D1215"),2075.1933299999996)</f>
        <v>2075.19333</v>
      </c>
      <c r="F1215" s="6">
        <f>IFERROR(__xludf.DUMMYFUNCTION("GOOGLEFINANCE(""Currency:BRLPEN"")*D1215"),400.499484)</f>
        <v>400.499484</v>
      </c>
      <c r="G1215" s="2" t="str">
        <f t="array" ref="G1215">_xlfn.XLOOKUP(B1215,Vendedores!$A$2:$A$41,Vendedores!$B$2:$B$41,"No hay datos")</f>
        <v>No hay datos</v>
      </c>
      <c r="H1215" s="2" t="str">
        <f t="array" ref="H1215">_xlfn.XLOOKUP(B1215,Vendedores!$A$2:$A$41,Vendedores!$C$2:$C$41,"No hay datos")</f>
        <v>No hay datos</v>
      </c>
      <c r="I1215" s="2" t="str">
        <f t="array" ref="I1215">_xlfn.XLOOKUP(B1215,Vendedores!$A$2:$A$41,Vendedores!$D$2:$D$41,"No hay datos")</f>
        <v>No hay datos</v>
      </c>
      <c r="J1215" s="2" t="str">
        <f t="array" ref="J1215">_xlfn.XLOOKUP(A1215,Productos!$A$2:$A$61,Productos!$B$2:$F$61)</f>
        <v>#N/A</v>
      </c>
    </row>
    <row r="1216">
      <c r="A1216" s="2" t="str">
        <f>IFERROR(__xludf.DUMMYFUNCTION("""COMPUTED_VALUE"""),"PR004")</f>
        <v>PR004</v>
      </c>
      <c r="B1216" s="2" t="str">
        <f>IFERROR(__xludf.DUMMYFUNCTION("""COMPUTED_VALUE"""),"VD021")</f>
        <v>VD021</v>
      </c>
      <c r="C1216" s="2">
        <f>IFERROR(__xludf.DUMMYFUNCTION("""COMPUTED_VALUE"""),10.0)</f>
        <v>10</v>
      </c>
      <c r="D1216" s="6">
        <f>IFERROR(__xludf.DUMMYFUNCTION("""COMPUTED_VALUE"""),1537.0)</f>
        <v>1537</v>
      </c>
      <c r="E1216" s="6">
        <f>IFERROR(__xludf.DUMMYFUNCTION("GOOGLEFINANCE(""Currency:BRLMXN"")*D1216"),5221.188999999999)</f>
        <v>5221.189</v>
      </c>
      <c r="F1216" s="6">
        <f>IFERROR(__xludf.DUMMYFUNCTION("GOOGLEFINANCE(""Currency:BRLPEN"")*D1216"),1007.6572)</f>
        <v>1007.6572</v>
      </c>
      <c r="G1216" s="2" t="str">
        <f t="array" ref="G1216">_xlfn.XLOOKUP(B1216,Vendedores!$A$2:$A$41,Vendedores!$B$2:$B$41,"No hay datos")</f>
        <v>No hay datos</v>
      </c>
      <c r="H1216" s="2" t="str">
        <f t="array" ref="H1216">_xlfn.XLOOKUP(B1216,Vendedores!$A$2:$A$41,Vendedores!$C$2:$C$41,"No hay datos")</f>
        <v>No hay datos</v>
      </c>
      <c r="I1216" s="2" t="str">
        <f t="array" ref="I1216">_xlfn.XLOOKUP(B1216,Vendedores!$A$2:$A$41,Vendedores!$D$2:$D$41,"No hay datos")</f>
        <v>No hay datos</v>
      </c>
      <c r="J1216" s="2" t="str">
        <f t="array" ref="J1216">_xlfn.XLOOKUP(A1216,Productos!$A$2:$A$61,Productos!$B$2:$F$61)</f>
        <v>#N/A</v>
      </c>
    </row>
    <row r="1217">
      <c r="A1217" s="2" t="str">
        <f>IFERROR(__xludf.DUMMYFUNCTION("""COMPUTED_VALUE"""),"PR026")</f>
        <v>PR026</v>
      </c>
      <c r="B1217" s="2" t="str">
        <f>IFERROR(__xludf.DUMMYFUNCTION("""COMPUTED_VALUE"""),"VD011")</f>
        <v>VD011</v>
      </c>
      <c r="C1217" s="2">
        <f>IFERROR(__xludf.DUMMYFUNCTION("""COMPUTED_VALUE"""),3.0)</f>
        <v>3</v>
      </c>
      <c r="D1217" s="6">
        <f>IFERROR(__xludf.DUMMYFUNCTION("""COMPUTED_VALUE"""),1060.2)</f>
        <v>1060.2</v>
      </c>
      <c r="E1217" s="6">
        <f>IFERROR(__xludf.DUMMYFUNCTION("GOOGLEFINANCE(""Currency:BRLMXN"")*D1217"),3601.4994)</f>
        <v>3601.4994</v>
      </c>
      <c r="F1217" s="6">
        <f>IFERROR(__xludf.DUMMYFUNCTION("GOOGLEFINANCE(""Currency:BRLPEN"")*D1217"),695.0671199999999)</f>
        <v>695.06712</v>
      </c>
      <c r="G1217" s="2" t="str">
        <f t="array" ref="G1217">_xlfn.XLOOKUP(B1217,Vendedores!$A$2:$A$41,Vendedores!$B$2:$B$41,"No hay datos")</f>
        <v>No hay datos</v>
      </c>
      <c r="H1217" s="2" t="str">
        <f t="array" ref="H1217">_xlfn.XLOOKUP(B1217,Vendedores!$A$2:$A$41,Vendedores!$C$2:$C$41,"No hay datos")</f>
        <v>No hay datos</v>
      </c>
      <c r="I1217" s="2" t="str">
        <f t="array" ref="I1217">_xlfn.XLOOKUP(B1217,Vendedores!$A$2:$A$41,Vendedores!$D$2:$D$41,"No hay datos")</f>
        <v>No hay datos</v>
      </c>
      <c r="J1217" s="2" t="str">
        <f t="array" ref="J1217">_xlfn.XLOOKUP(A1217,Productos!$A$2:$A$61,Productos!$B$2:$F$61)</f>
        <v>#N/A</v>
      </c>
    </row>
    <row r="1218">
      <c r="A1218" s="2" t="str">
        <f>IFERROR(__xludf.DUMMYFUNCTION("""COMPUTED_VALUE"""),"PR013")</f>
        <v>PR013</v>
      </c>
      <c r="B1218" s="2" t="str">
        <f>IFERROR(__xludf.DUMMYFUNCTION("""COMPUTED_VALUE"""),"VD025")</f>
        <v>VD025</v>
      </c>
      <c r="C1218" s="2">
        <f>IFERROR(__xludf.DUMMYFUNCTION("""COMPUTED_VALUE"""),18.0)</f>
        <v>18</v>
      </c>
      <c r="D1218" s="6">
        <f>IFERROR(__xludf.DUMMYFUNCTION("""COMPUTED_VALUE"""),732.56)</f>
        <v>732.56</v>
      </c>
      <c r="E1218" s="6">
        <f>IFERROR(__xludf.DUMMYFUNCTION("GOOGLEFINANCE(""Currency:BRLMXN"")*D1218"),2488.5063199999995)</f>
        <v>2488.50632</v>
      </c>
      <c r="F1218" s="6">
        <f>IFERROR(__xludf.DUMMYFUNCTION("GOOGLEFINANCE(""Currency:BRLPEN"")*D1218"),480.2663359999999)</f>
        <v>480.266336</v>
      </c>
      <c r="G1218" s="2" t="str">
        <f t="array" ref="G1218">_xlfn.XLOOKUP(B1218,Vendedores!$A$2:$A$41,Vendedores!$B$2:$B$41,"No hay datos")</f>
        <v>No hay datos</v>
      </c>
      <c r="H1218" s="2" t="str">
        <f t="array" ref="H1218">_xlfn.XLOOKUP(B1218,Vendedores!$A$2:$A$41,Vendedores!$C$2:$C$41,"No hay datos")</f>
        <v>No hay datos</v>
      </c>
      <c r="I1218" s="2" t="str">
        <f t="array" ref="I1218">_xlfn.XLOOKUP(B1218,Vendedores!$A$2:$A$41,Vendedores!$D$2:$D$41,"No hay datos")</f>
        <v>No hay datos</v>
      </c>
      <c r="J1218" s="2" t="str">
        <f t="array" ref="J1218">_xlfn.XLOOKUP(A1218,Productos!$A$2:$A$61,Productos!$B$2:$F$61)</f>
        <v>#N/A</v>
      </c>
    </row>
    <row r="1219">
      <c r="A1219" s="2" t="str">
        <f>IFERROR(__xludf.DUMMYFUNCTION("""COMPUTED_VALUE"""),"PR033")</f>
        <v>PR033</v>
      </c>
      <c r="B1219" s="2" t="str">
        <f>IFERROR(__xludf.DUMMYFUNCTION("""COMPUTED_VALUE"""),"VD023")</f>
        <v>VD023</v>
      </c>
      <c r="C1219" s="2">
        <f>IFERROR(__xludf.DUMMYFUNCTION("""COMPUTED_VALUE"""),7.0)</f>
        <v>7</v>
      </c>
      <c r="D1219" s="6">
        <f>IFERROR(__xludf.DUMMYFUNCTION("""COMPUTED_VALUE"""),2001.23)</f>
        <v>2001.23</v>
      </c>
      <c r="E1219" s="6">
        <f>IFERROR(__xludf.DUMMYFUNCTION("GOOGLEFINANCE(""Currency:BRLMXN"")*D1219"),6798.178309999999)</f>
        <v>6798.17831</v>
      </c>
      <c r="F1219" s="6">
        <f>IFERROR(__xludf.DUMMYFUNCTION("GOOGLEFINANCE(""Currency:BRLPEN"")*D1219"),1312.006388)</f>
        <v>1312.006388</v>
      </c>
      <c r="G1219" s="2" t="str">
        <f t="array" ref="G1219">_xlfn.XLOOKUP(B1219,Vendedores!$A$2:$A$41,Vendedores!$B$2:$B$41,"No hay datos")</f>
        <v>No hay datos</v>
      </c>
      <c r="H1219" s="2" t="str">
        <f t="array" ref="H1219">_xlfn.XLOOKUP(B1219,Vendedores!$A$2:$A$41,Vendedores!$C$2:$C$41,"No hay datos")</f>
        <v>No hay datos</v>
      </c>
      <c r="I1219" s="2" t="str">
        <f t="array" ref="I1219">_xlfn.XLOOKUP(B1219,Vendedores!$A$2:$A$41,Vendedores!$D$2:$D$41,"No hay datos")</f>
        <v>No hay datos</v>
      </c>
      <c r="J1219" s="2" t="str">
        <f t="array" ref="J1219">_xlfn.XLOOKUP(A1219,Productos!$A$2:$A$61,Productos!$B$2:$F$61)</f>
        <v>#N/A</v>
      </c>
    </row>
    <row r="1220">
      <c r="A1220" s="2" t="str">
        <f>IFERROR(__xludf.DUMMYFUNCTION("""COMPUTED_VALUE"""),"PR052")</f>
        <v>PR052</v>
      </c>
      <c r="B1220" s="2" t="str">
        <f>IFERROR(__xludf.DUMMYFUNCTION("""COMPUTED_VALUE"""),"VD022")</f>
        <v>VD022</v>
      </c>
      <c r="C1220" s="2">
        <f>IFERROR(__xludf.DUMMYFUNCTION("""COMPUTED_VALUE"""),5.0)</f>
        <v>5</v>
      </c>
      <c r="D1220" s="6">
        <f>IFERROR(__xludf.DUMMYFUNCTION("""COMPUTED_VALUE"""),254.49)</f>
        <v>254.49</v>
      </c>
      <c r="E1220" s="6">
        <f>IFERROR(__xludf.DUMMYFUNCTION("GOOGLEFINANCE(""Currency:BRLMXN"")*D1220"),864.50253)</f>
        <v>864.50253</v>
      </c>
      <c r="F1220" s="6">
        <f>IFERROR(__xludf.DUMMYFUNCTION("GOOGLEFINANCE(""Currency:BRLPEN"")*D1220"),166.84364399999998)</f>
        <v>166.843644</v>
      </c>
      <c r="G1220" s="2" t="str">
        <f t="array" ref="G1220">_xlfn.XLOOKUP(B1220,Vendedores!$A$2:$A$41,Vendedores!$B$2:$B$41,"No hay datos")</f>
        <v>No hay datos</v>
      </c>
      <c r="H1220" s="2" t="str">
        <f t="array" ref="H1220">_xlfn.XLOOKUP(B1220,Vendedores!$A$2:$A$41,Vendedores!$C$2:$C$41,"No hay datos")</f>
        <v>No hay datos</v>
      </c>
      <c r="I1220" s="2" t="str">
        <f t="array" ref="I1220">_xlfn.XLOOKUP(B1220,Vendedores!$A$2:$A$41,Vendedores!$D$2:$D$41,"No hay datos")</f>
        <v>No hay datos</v>
      </c>
      <c r="J1220" s="2" t="str">
        <f t="array" ref="J1220">_xlfn.XLOOKUP(A1220,Productos!$A$2:$A$61,Productos!$B$2:$F$61)</f>
        <v>#N/A</v>
      </c>
    </row>
    <row r="1221">
      <c r="A1221" s="2" t="str">
        <f>IFERROR(__xludf.DUMMYFUNCTION("""COMPUTED_VALUE"""),"PR028")</f>
        <v>PR028</v>
      </c>
      <c r="B1221" s="2" t="str">
        <f>IFERROR(__xludf.DUMMYFUNCTION("""COMPUTED_VALUE"""),"VD024")</f>
        <v>VD024</v>
      </c>
      <c r="C1221" s="2">
        <f>IFERROR(__xludf.DUMMYFUNCTION("""COMPUTED_VALUE"""),18.0)</f>
        <v>18</v>
      </c>
      <c r="D1221" s="6">
        <f>IFERROR(__xludf.DUMMYFUNCTION("""COMPUTED_VALUE"""),4498.2)</f>
        <v>4498.2</v>
      </c>
      <c r="E1221" s="6">
        <f>IFERROR(__xludf.DUMMYFUNCTION("GOOGLEFINANCE(""Currency:BRLMXN"")*D1221"),15280.3854)</f>
        <v>15280.3854</v>
      </c>
      <c r="F1221" s="6">
        <f>IFERROR(__xludf.DUMMYFUNCTION("GOOGLEFINANCE(""Currency:BRLPEN"")*D1221"),2949.0199199999997)</f>
        <v>2949.01992</v>
      </c>
      <c r="G1221" s="2" t="str">
        <f t="array" ref="G1221">_xlfn.XLOOKUP(B1221,Vendedores!$A$2:$A$41,Vendedores!$B$2:$B$41,"No hay datos")</f>
        <v>No hay datos</v>
      </c>
      <c r="H1221" s="2" t="str">
        <f t="array" ref="H1221">_xlfn.XLOOKUP(B1221,Vendedores!$A$2:$A$41,Vendedores!$C$2:$C$41,"No hay datos")</f>
        <v>No hay datos</v>
      </c>
      <c r="I1221" s="2" t="str">
        <f t="array" ref="I1221">_xlfn.XLOOKUP(B1221,Vendedores!$A$2:$A$41,Vendedores!$D$2:$D$41,"No hay datos")</f>
        <v>No hay datos</v>
      </c>
      <c r="J1221" s="2" t="str">
        <f t="array" ref="J1221">_xlfn.XLOOKUP(A1221,Productos!$A$2:$A$61,Productos!$B$2:$F$61)</f>
        <v>#N/A</v>
      </c>
    </row>
    <row r="1222">
      <c r="A1222" s="2" t="str">
        <f>IFERROR(__xludf.DUMMYFUNCTION("""COMPUTED_VALUE"""),"PR032")</f>
        <v>PR032</v>
      </c>
      <c r="B1222" s="2" t="str">
        <f>IFERROR(__xludf.DUMMYFUNCTION("""COMPUTED_VALUE"""),"VD026")</f>
        <v>VD026</v>
      </c>
      <c r="C1222" s="2">
        <f>IFERROR(__xludf.DUMMYFUNCTION("""COMPUTED_VALUE"""),7.0)</f>
        <v>7</v>
      </c>
      <c r="D1222" s="6">
        <f>IFERROR(__xludf.DUMMYFUNCTION("""COMPUTED_VALUE"""),1785.0)</f>
        <v>1785</v>
      </c>
      <c r="E1222" s="6">
        <f>IFERROR(__xludf.DUMMYFUNCTION("GOOGLEFINANCE(""Currency:BRLMXN"")*D1222"),6063.6449999999995)</f>
        <v>6063.645</v>
      </c>
      <c r="F1222" s="6">
        <f>IFERROR(__xludf.DUMMYFUNCTION("GOOGLEFINANCE(""Currency:BRLPEN"")*D1222"),1170.2459999999999)</f>
        <v>1170.246</v>
      </c>
      <c r="G1222" s="2" t="str">
        <f t="array" ref="G1222">_xlfn.XLOOKUP(B1222,Vendedores!$A$2:$A$41,Vendedores!$B$2:$B$41,"No hay datos")</f>
        <v>No hay datos</v>
      </c>
      <c r="H1222" s="2" t="str">
        <f t="array" ref="H1222">_xlfn.XLOOKUP(B1222,Vendedores!$A$2:$A$41,Vendedores!$C$2:$C$41,"No hay datos")</f>
        <v>No hay datos</v>
      </c>
      <c r="I1222" s="2" t="str">
        <f t="array" ref="I1222">_xlfn.XLOOKUP(B1222,Vendedores!$A$2:$A$41,Vendedores!$D$2:$D$41,"No hay datos")</f>
        <v>No hay datos</v>
      </c>
      <c r="J1222" s="2" t="str">
        <f t="array" ref="J1222">_xlfn.XLOOKUP(A1222,Productos!$A$2:$A$61,Productos!$B$2:$F$61)</f>
        <v>#N/A</v>
      </c>
    </row>
    <row r="1223">
      <c r="A1223" s="2" t="str">
        <f>IFERROR(__xludf.DUMMYFUNCTION("""COMPUTED_VALUE"""),"PR014")</f>
        <v>PR014</v>
      </c>
      <c r="B1223" s="2" t="str">
        <f>IFERROR(__xludf.DUMMYFUNCTION("""COMPUTED_VALUE"""),"VD019")</f>
        <v>VD019</v>
      </c>
      <c r="C1223" s="2">
        <f>IFERROR(__xludf.DUMMYFUNCTION("""COMPUTED_VALUE"""),2.0)</f>
        <v>2</v>
      </c>
      <c r="D1223" s="6">
        <f>IFERROR(__xludf.DUMMYFUNCTION("""COMPUTED_VALUE"""),85.39)</f>
        <v>85.39</v>
      </c>
      <c r="E1223" s="6">
        <f>IFERROR(__xludf.DUMMYFUNCTION("GOOGLEFINANCE(""Currency:BRLMXN"")*D1223"),290.06982999999997)</f>
        <v>290.06983</v>
      </c>
      <c r="F1223" s="6">
        <f>IFERROR(__xludf.DUMMYFUNCTION("GOOGLEFINANCE(""Currency:BRLPEN"")*D1223"),55.981683999999994)</f>
        <v>55.981684</v>
      </c>
      <c r="G1223" s="2" t="str">
        <f t="array" ref="G1223">_xlfn.XLOOKUP(B1223,Vendedores!$A$2:$A$41,Vendedores!$B$2:$B$41,"No hay datos")</f>
        <v>No hay datos</v>
      </c>
      <c r="H1223" s="2" t="str">
        <f t="array" ref="H1223">_xlfn.XLOOKUP(B1223,Vendedores!$A$2:$A$41,Vendedores!$C$2:$C$41,"No hay datos")</f>
        <v>No hay datos</v>
      </c>
      <c r="I1223" s="2" t="str">
        <f t="array" ref="I1223">_xlfn.XLOOKUP(B1223,Vendedores!$A$2:$A$41,Vendedores!$D$2:$D$41,"No hay datos")</f>
        <v>No hay datos</v>
      </c>
      <c r="J1223" s="2" t="str">
        <f t="array" ref="J1223">_xlfn.XLOOKUP(A1223,Productos!$A$2:$A$61,Productos!$B$2:$F$61)</f>
        <v>#N/A</v>
      </c>
    </row>
    <row r="1224">
      <c r="A1224" s="2" t="str">
        <f>IFERROR(__xludf.DUMMYFUNCTION("""COMPUTED_VALUE"""),"PR027")</f>
        <v>PR027</v>
      </c>
      <c r="B1224" s="2" t="str">
        <f>IFERROR(__xludf.DUMMYFUNCTION("""COMPUTED_VALUE"""),"VD011")</f>
        <v>VD011</v>
      </c>
      <c r="C1224" s="2">
        <f>IFERROR(__xludf.DUMMYFUNCTION("""COMPUTED_VALUE"""),4.0)</f>
        <v>4</v>
      </c>
      <c r="D1224" s="6">
        <f>IFERROR(__xludf.DUMMYFUNCTION("""COMPUTED_VALUE"""),513.6)</f>
        <v>513.6</v>
      </c>
      <c r="E1224" s="6">
        <f>IFERROR(__xludf.DUMMYFUNCTION("GOOGLEFINANCE(""Currency:BRLMXN"")*D1224"),1744.6992)</f>
        <v>1744.6992</v>
      </c>
      <c r="F1224" s="6">
        <f>IFERROR(__xludf.DUMMYFUNCTION("GOOGLEFINANCE(""Currency:BRLPEN"")*D1224"),336.71616)</f>
        <v>336.71616</v>
      </c>
      <c r="G1224" s="2" t="str">
        <f t="array" ref="G1224">_xlfn.XLOOKUP(B1224,Vendedores!$A$2:$A$41,Vendedores!$B$2:$B$41,"No hay datos")</f>
        <v>No hay datos</v>
      </c>
      <c r="H1224" s="2" t="str">
        <f t="array" ref="H1224">_xlfn.XLOOKUP(B1224,Vendedores!$A$2:$A$41,Vendedores!$C$2:$C$41,"No hay datos")</f>
        <v>No hay datos</v>
      </c>
      <c r="I1224" s="2" t="str">
        <f t="array" ref="I1224">_xlfn.XLOOKUP(B1224,Vendedores!$A$2:$A$41,Vendedores!$D$2:$D$41,"No hay datos")</f>
        <v>No hay datos</v>
      </c>
      <c r="J1224" s="2" t="str">
        <f t="array" ref="J1224">_xlfn.XLOOKUP(A1224,Productos!$A$2:$A$61,Productos!$B$2:$F$61)</f>
        <v>#N/A</v>
      </c>
    </row>
    <row r="1225">
      <c r="A1225" s="2" t="str">
        <f>IFERROR(__xludf.DUMMYFUNCTION("""COMPUTED_VALUE"""),"PR054")</f>
        <v>PR054</v>
      </c>
      <c r="B1225" s="2" t="str">
        <f>IFERROR(__xludf.DUMMYFUNCTION("""COMPUTED_VALUE"""),"VD039")</f>
        <v>VD039</v>
      </c>
      <c r="C1225" s="2">
        <f>IFERROR(__xludf.DUMMYFUNCTION("""COMPUTED_VALUE"""),10.0)</f>
        <v>10</v>
      </c>
      <c r="D1225" s="6">
        <f>IFERROR(__xludf.DUMMYFUNCTION("""COMPUTED_VALUE"""),528.94)</f>
        <v>528.94</v>
      </c>
      <c r="E1225" s="6">
        <f>IFERROR(__xludf.DUMMYFUNCTION("GOOGLEFINANCE(""Currency:BRLMXN"")*D1225"),1796.80918)</f>
        <v>1796.80918</v>
      </c>
      <c r="F1225" s="6">
        <f>IFERROR(__xludf.DUMMYFUNCTION("GOOGLEFINANCE(""Currency:BRLPEN"")*D1225"),346.77306400000003)</f>
        <v>346.773064</v>
      </c>
      <c r="G1225" s="2" t="str">
        <f t="array" ref="G1225">_xlfn.XLOOKUP(B1225,Vendedores!$A$2:$A$41,Vendedores!$B$2:$B$41,"No hay datos")</f>
        <v>No hay datos</v>
      </c>
      <c r="H1225" s="2" t="str">
        <f t="array" ref="H1225">_xlfn.XLOOKUP(B1225,Vendedores!$A$2:$A$41,Vendedores!$C$2:$C$41,"No hay datos")</f>
        <v>No hay datos</v>
      </c>
      <c r="I1225" s="2" t="str">
        <f t="array" ref="I1225">_xlfn.XLOOKUP(B1225,Vendedores!$A$2:$A$41,Vendedores!$D$2:$D$41,"No hay datos")</f>
        <v>No hay datos</v>
      </c>
      <c r="J1225" s="2" t="str">
        <f t="array" ref="J1225">_xlfn.XLOOKUP(A1225,Productos!$A$2:$A$61,Productos!$B$2:$F$61)</f>
        <v>#N/A</v>
      </c>
    </row>
    <row r="1226">
      <c r="A1226" s="2" t="str">
        <f>IFERROR(__xludf.DUMMYFUNCTION("""COMPUTED_VALUE"""),"PR050")</f>
        <v>PR050</v>
      </c>
      <c r="B1226" s="2" t="str">
        <f>IFERROR(__xludf.DUMMYFUNCTION("""COMPUTED_VALUE"""),"VD016")</f>
        <v>VD016</v>
      </c>
      <c r="C1226" s="2">
        <f>IFERROR(__xludf.DUMMYFUNCTION("""COMPUTED_VALUE"""),4.0)</f>
        <v>4</v>
      </c>
      <c r="D1226" s="6">
        <f>IFERROR(__xludf.DUMMYFUNCTION("""COMPUTED_VALUE"""),139.5)</f>
        <v>139.5</v>
      </c>
      <c r="E1226" s="6">
        <f>IFERROR(__xludf.DUMMYFUNCTION("GOOGLEFINANCE(""Currency:BRLMXN"")*D1226"),473.88149999999996)</f>
        <v>473.8815</v>
      </c>
      <c r="F1226" s="6">
        <f>IFERROR(__xludf.DUMMYFUNCTION("GOOGLEFINANCE(""Currency:BRLPEN"")*D1226"),91.4562)</f>
        <v>91.4562</v>
      </c>
      <c r="G1226" s="2" t="str">
        <f t="array" ref="G1226">_xlfn.XLOOKUP(B1226,Vendedores!$A$2:$A$41,Vendedores!$B$2:$B$41,"No hay datos")</f>
        <v>No hay datos</v>
      </c>
      <c r="H1226" s="2" t="str">
        <f t="array" ref="H1226">_xlfn.XLOOKUP(B1226,Vendedores!$A$2:$A$41,Vendedores!$C$2:$C$41,"No hay datos")</f>
        <v>No hay datos</v>
      </c>
      <c r="I1226" s="2" t="str">
        <f t="array" ref="I1226">_xlfn.XLOOKUP(B1226,Vendedores!$A$2:$A$41,Vendedores!$D$2:$D$41,"No hay datos")</f>
        <v>No hay datos</v>
      </c>
      <c r="J1226" s="2" t="str">
        <f t="array" ref="J1226">_xlfn.XLOOKUP(A1226,Productos!$A$2:$A$61,Productos!$B$2:$F$61)</f>
        <v>#N/A</v>
      </c>
    </row>
    <row r="1227">
      <c r="A1227" s="2" t="str">
        <f>IFERROR(__xludf.DUMMYFUNCTION("""COMPUTED_VALUE"""),"PR041")</f>
        <v>PR041</v>
      </c>
      <c r="B1227" s="2" t="str">
        <f>IFERROR(__xludf.DUMMYFUNCTION("""COMPUTED_VALUE"""),"VD027")</f>
        <v>VD027</v>
      </c>
      <c r="C1227" s="2">
        <f>IFERROR(__xludf.DUMMYFUNCTION("""COMPUTED_VALUE"""),10.0)</f>
        <v>10</v>
      </c>
      <c r="D1227" s="6">
        <f>IFERROR(__xludf.DUMMYFUNCTION("""COMPUTED_VALUE"""),592.92)</f>
        <v>592.92</v>
      </c>
      <c r="E1227" s="6">
        <f>IFERROR(__xludf.DUMMYFUNCTION("GOOGLEFINANCE(""Currency:BRLMXN"")*D1227"),2014.1492399999997)</f>
        <v>2014.14924</v>
      </c>
      <c r="F1227" s="6">
        <f>IFERROR(__xludf.DUMMYFUNCTION("GOOGLEFINANCE(""Currency:BRLPEN"")*D1227"),388.7183519999999)</f>
        <v>388.718352</v>
      </c>
      <c r="G1227" s="2" t="str">
        <f t="array" ref="G1227">_xlfn.XLOOKUP(B1227,Vendedores!$A$2:$A$41,Vendedores!$B$2:$B$41,"No hay datos")</f>
        <v>No hay datos</v>
      </c>
      <c r="H1227" s="2" t="str">
        <f t="array" ref="H1227">_xlfn.XLOOKUP(B1227,Vendedores!$A$2:$A$41,Vendedores!$C$2:$C$41,"No hay datos")</f>
        <v>No hay datos</v>
      </c>
      <c r="I1227" s="2" t="str">
        <f t="array" ref="I1227">_xlfn.XLOOKUP(B1227,Vendedores!$A$2:$A$41,Vendedores!$D$2:$D$41,"No hay datos")</f>
        <v>No hay datos</v>
      </c>
      <c r="J1227" s="2" t="str">
        <f t="array" ref="J1227">_xlfn.XLOOKUP(A1227,Productos!$A$2:$A$61,Productos!$B$2:$F$61)</f>
        <v>#N/A</v>
      </c>
    </row>
    <row r="1228">
      <c r="A1228" s="2" t="str">
        <f>IFERROR(__xludf.DUMMYFUNCTION("""COMPUTED_VALUE"""),"PR046")</f>
        <v>PR046</v>
      </c>
      <c r="B1228" s="2" t="str">
        <f>IFERROR(__xludf.DUMMYFUNCTION("""COMPUTED_VALUE"""),"VD020")</f>
        <v>VD020</v>
      </c>
      <c r="C1228" s="2">
        <f>IFERROR(__xludf.DUMMYFUNCTION("""COMPUTED_VALUE"""),12.0)</f>
        <v>12</v>
      </c>
      <c r="D1228" s="6">
        <f>IFERROR(__xludf.DUMMYFUNCTION("""COMPUTED_VALUE"""),3513.59)</f>
        <v>3513.59</v>
      </c>
      <c r="E1228" s="6">
        <f>IFERROR(__xludf.DUMMYFUNCTION("GOOGLEFINANCE(""Currency:BRLMXN"")*D1228"),11935.66523)</f>
        <v>11935.66523</v>
      </c>
      <c r="F1228" s="6">
        <f>IFERROR(__xludf.DUMMYFUNCTION("GOOGLEFINANCE(""Currency:BRLPEN"")*D1228"),2303.509604)</f>
        <v>2303.509604</v>
      </c>
      <c r="G1228" s="2" t="str">
        <f t="array" ref="G1228">_xlfn.XLOOKUP(B1228,Vendedores!$A$2:$A$41,Vendedores!$B$2:$B$41,"No hay datos")</f>
        <v>No hay datos</v>
      </c>
      <c r="H1228" s="2" t="str">
        <f t="array" ref="H1228">_xlfn.XLOOKUP(B1228,Vendedores!$A$2:$A$41,Vendedores!$C$2:$C$41,"No hay datos")</f>
        <v>No hay datos</v>
      </c>
      <c r="I1228" s="2" t="str">
        <f t="array" ref="I1228">_xlfn.XLOOKUP(B1228,Vendedores!$A$2:$A$41,Vendedores!$D$2:$D$41,"No hay datos")</f>
        <v>No hay datos</v>
      </c>
      <c r="J1228" s="2" t="str">
        <f t="array" ref="J1228">_xlfn.XLOOKUP(A1228,Productos!$A$2:$A$61,Productos!$B$2:$F$61)</f>
        <v>#N/A</v>
      </c>
    </row>
    <row r="1229">
      <c r="A1229" s="2" t="str">
        <f>IFERROR(__xludf.DUMMYFUNCTION("""COMPUTED_VALUE"""),"PR039")</f>
        <v>PR039</v>
      </c>
      <c r="B1229" s="2" t="str">
        <f>IFERROR(__xludf.DUMMYFUNCTION("""COMPUTED_VALUE"""),"VD048")</f>
        <v>VD048</v>
      </c>
      <c r="C1229" s="2">
        <f>IFERROR(__xludf.DUMMYFUNCTION("""COMPUTED_VALUE"""),12.0)</f>
        <v>12</v>
      </c>
      <c r="D1229" s="6">
        <f>IFERROR(__xludf.DUMMYFUNCTION("""COMPUTED_VALUE"""),1752.0)</f>
        <v>1752</v>
      </c>
      <c r="E1229" s="6">
        <f>IFERROR(__xludf.DUMMYFUNCTION("GOOGLEFINANCE(""Currency:BRLMXN"")*D1229"),5951.544)</f>
        <v>5951.544</v>
      </c>
      <c r="F1229" s="6">
        <f>IFERROR(__xludf.DUMMYFUNCTION("GOOGLEFINANCE(""Currency:BRLPEN"")*D1229"),1148.6111999999998)</f>
        <v>1148.6112</v>
      </c>
      <c r="G1229" s="2" t="str">
        <f t="array" ref="G1229">_xlfn.XLOOKUP(B1229,Vendedores!$A$2:$A$41,Vendedores!$B$2:$B$41,"No hay datos")</f>
        <v>No hay datos</v>
      </c>
      <c r="H1229" s="2" t="str">
        <f t="array" ref="H1229">_xlfn.XLOOKUP(B1229,Vendedores!$A$2:$A$41,Vendedores!$C$2:$C$41,"No hay datos")</f>
        <v>No hay datos</v>
      </c>
      <c r="I1229" s="2" t="str">
        <f t="array" ref="I1229">_xlfn.XLOOKUP(B1229,Vendedores!$A$2:$A$41,Vendedores!$D$2:$D$41,"No hay datos")</f>
        <v>No hay datos</v>
      </c>
      <c r="J1229" s="2" t="str">
        <f t="array" ref="J1229">_xlfn.XLOOKUP(A1229,Productos!$A$2:$A$61,Productos!$B$2:$F$61)</f>
        <v>#N/A</v>
      </c>
    </row>
    <row r="1230">
      <c r="A1230" s="2" t="str">
        <f>IFERROR(__xludf.DUMMYFUNCTION("""COMPUTED_VALUE"""),"PR008")</f>
        <v>PR008</v>
      </c>
      <c r="B1230" s="2" t="str">
        <f>IFERROR(__xludf.DUMMYFUNCTION("""COMPUTED_VALUE"""),"VD033")</f>
        <v>VD033</v>
      </c>
      <c r="C1230" s="2">
        <f>IFERROR(__xludf.DUMMYFUNCTION("""COMPUTED_VALUE"""),8.0)</f>
        <v>8</v>
      </c>
      <c r="D1230" s="6">
        <f>IFERROR(__xludf.DUMMYFUNCTION("""COMPUTED_VALUE"""),776.74)</f>
        <v>776.74</v>
      </c>
      <c r="E1230" s="6">
        <f>IFERROR(__xludf.DUMMYFUNCTION("GOOGLEFINANCE(""Currency:BRLMXN"")*D1230"),2638.58578)</f>
        <v>2638.58578</v>
      </c>
      <c r="F1230" s="6">
        <f>IFERROR(__xludf.DUMMYFUNCTION("GOOGLEFINANCE(""Currency:BRLPEN"")*D1230"),509.23074399999996)</f>
        <v>509.230744</v>
      </c>
      <c r="G1230" s="2" t="str">
        <f t="array" ref="G1230">_xlfn.XLOOKUP(B1230,Vendedores!$A$2:$A$41,Vendedores!$B$2:$B$41,"No hay datos")</f>
        <v>No hay datos</v>
      </c>
      <c r="H1230" s="2" t="str">
        <f t="array" ref="H1230">_xlfn.XLOOKUP(B1230,Vendedores!$A$2:$A$41,Vendedores!$C$2:$C$41,"No hay datos")</f>
        <v>No hay datos</v>
      </c>
      <c r="I1230" s="2" t="str">
        <f t="array" ref="I1230">_xlfn.XLOOKUP(B1230,Vendedores!$A$2:$A$41,Vendedores!$D$2:$D$41,"No hay datos")</f>
        <v>No hay datos</v>
      </c>
      <c r="J1230" s="2" t="str">
        <f t="array" ref="J1230">_xlfn.XLOOKUP(A1230,Productos!$A$2:$A$61,Productos!$B$2:$F$61)</f>
        <v>#N/A</v>
      </c>
    </row>
    <row r="1231">
      <c r="A1231" s="2" t="str">
        <f>IFERROR(__xludf.DUMMYFUNCTION("""COMPUTED_VALUE"""),"PR035")</f>
        <v>PR035</v>
      </c>
      <c r="B1231" s="2" t="str">
        <f>IFERROR(__xludf.DUMMYFUNCTION("""COMPUTED_VALUE"""),"VD011")</f>
        <v>VD011</v>
      </c>
      <c r="C1231" s="2">
        <f>IFERROR(__xludf.DUMMYFUNCTION("""COMPUTED_VALUE"""),2.0)</f>
        <v>2</v>
      </c>
      <c r="D1231" s="6">
        <f>IFERROR(__xludf.DUMMYFUNCTION("""COMPUTED_VALUE"""),186.46)</f>
        <v>186.46</v>
      </c>
      <c r="E1231" s="6">
        <f>IFERROR(__xludf.DUMMYFUNCTION("GOOGLEFINANCE(""Currency:BRLMXN"")*D1231"),633.40462)</f>
        <v>633.40462</v>
      </c>
      <c r="F1231" s="6">
        <f>IFERROR(__xludf.DUMMYFUNCTION("GOOGLEFINANCE(""Currency:BRLPEN"")*D1231"),122.24317599999999)</f>
        <v>122.243176</v>
      </c>
      <c r="G1231" s="2" t="str">
        <f t="array" ref="G1231">_xlfn.XLOOKUP(B1231,Vendedores!$A$2:$A$41,Vendedores!$B$2:$B$41,"No hay datos")</f>
        <v>No hay datos</v>
      </c>
      <c r="H1231" s="2" t="str">
        <f t="array" ref="H1231">_xlfn.XLOOKUP(B1231,Vendedores!$A$2:$A$41,Vendedores!$C$2:$C$41,"No hay datos")</f>
        <v>No hay datos</v>
      </c>
      <c r="I1231" s="2" t="str">
        <f t="array" ref="I1231">_xlfn.XLOOKUP(B1231,Vendedores!$A$2:$A$41,Vendedores!$D$2:$D$41,"No hay datos")</f>
        <v>No hay datos</v>
      </c>
      <c r="J1231" s="2" t="str">
        <f t="array" ref="J1231">_xlfn.XLOOKUP(A1231,Productos!$A$2:$A$61,Productos!$B$2:$F$61)</f>
        <v>#N/A</v>
      </c>
    </row>
    <row r="1232">
      <c r="A1232" s="2" t="str">
        <f>IFERROR(__xludf.DUMMYFUNCTION("""COMPUTED_VALUE"""),"PR026")</f>
        <v>PR026</v>
      </c>
      <c r="B1232" s="2" t="str">
        <f>IFERROR(__xludf.DUMMYFUNCTION("""COMPUTED_VALUE"""),"VD025")</f>
        <v>VD025</v>
      </c>
      <c r="C1232" s="2">
        <f>IFERROR(__xludf.DUMMYFUNCTION("""COMPUTED_VALUE"""),16.0)</f>
        <v>16</v>
      </c>
      <c r="D1232" s="6">
        <f>IFERROR(__xludf.DUMMYFUNCTION("""COMPUTED_VALUE"""),5710.37)</f>
        <v>5710.37</v>
      </c>
      <c r="E1232" s="6">
        <f>IFERROR(__xludf.DUMMYFUNCTION("GOOGLEFINANCE(""Currency:BRLMXN"")*D1232"),19398.12689)</f>
        <v>19398.12689</v>
      </c>
      <c r="F1232" s="6">
        <f>IFERROR(__xludf.DUMMYFUNCTION("GOOGLEFINANCE(""Currency:BRLPEN"")*D1232"),3743.7185719999998)</f>
        <v>3743.718572</v>
      </c>
      <c r="G1232" s="2" t="str">
        <f t="array" ref="G1232">_xlfn.XLOOKUP(B1232,Vendedores!$A$2:$A$41,Vendedores!$B$2:$B$41,"No hay datos")</f>
        <v>No hay datos</v>
      </c>
      <c r="H1232" s="2" t="str">
        <f t="array" ref="H1232">_xlfn.XLOOKUP(B1232,Vendedores!$A$2:$A$41,Vendedores!$C$2:$C$41,"No hay datos")</f>
        <v>No hay datos</v>
      </c>
      <c r="I1232" s="2" t="str">
        <f t="array" ref="I1232">_xlfn.XLOOKUP(B1232,Vendedores!$A$2:$A$41,Vendedores!$D$2:$D$41,"No hay datos")</f>
        <v>No hay datos</v>
      </c>
      <c r="J1232" s="2" t="str">
        <f t="array" ref="J1232">_xlfn.XLOOKUP(A1232,Productos!$A$2:$A$61,Productos!$B$2:$F$61)</f>
        <v>#N/A</v>
      </c>
    </row>
    <row r="1233">
      <c r="A1233" s="2" t="str">
        <f>IFERROR(__xludf.DUMMYFUNCTION("""COMPUTED_VALUE"""),"PR059")</f>
        <v>PR059</v>
      </c>
      <c r="B1233" s="2" t="str">
        <f>IFERROR(__xludf.DUMMYFUNCTION("""COMPUTED_VALUE"""),"VD033")</f>
        <v>VD033</v>
      </c>
      <c r="C1233" s="2">
        <f>IFERROR(__xludf.DUMMYFUNCTION("""COMPUTED_VALUE"""),20.0)</f>
        <v>20</v>
      </c>
      <c r="D1233" s="6">
        <f>IFERROR(__xludf.DUMMYFUNCTION("""COMPUTED_VALUE"""),3924.0)</f>
        <v>3924</v>
      </c>
      <c r="E1233" s="6">
        <f>IFERROR(__xludf.DUMMYFUNCTION("GOOGLEFINANCE(""Currency:BRLMXN"")*D1233"),13329.828)</f>
        <v>13329.828</v>
      </c>
      <c r="F1233" s="6">
        <f>IFERROR(__xludf.DUMMYFUNCTION("GOOGLEFINANCE(""Currency:BRLPEN"")*D1233"),2572.5744)</f>
        <v>2572.5744</v>
      </c>
      <c r="G1233" s="2" t="str">
        <f t="array" ref="G1233">_xlfn.XLOOKUP(B1233,Vendedores!$A$2:$A$41,Vendedores!$B$2:$B$41,"No hay datos")</f>
        <v>No hay datos</v>
      </c>
      <c r="H1233" s="2" t="str">
        <f t="array" ref="H1233">_xlfn.XLOOKUP(B1233,Vendedores!$A$2:$A$41,Vendedores!$C$2:$C$41,"No hay datos")</f>
        <v>No hay datos</v>
      </c>
      <c r="I1233" s="2" t="str">
        <f t="array" ref="I1233">_xlfn.XLOOKUP(B1233,Vendedores!$A$2:$A$41,Vendedores!$D$2:$D$41,"No hay datos")</f>
        <v>No hay datos</v>
      </c>
      <c r="J1233" s="2" t="str">
        <f t="array" ref="J1233">_xlfn.XLOOKUP(A1233,Productos!$A$2:$A$61,Productos!$B$2:$F$61)</f>
        <v>#N/A</v>
      </c>
    </row>
    <row r="1234">
      <c r="A1234" s="2" t="str">
        <f>IFERROR(__xludf.DUMMYFUNCTION("""COMPUTED_VALUE"""),"PR033")</f>
        <v>PR033</v>
      </c>
      <c r="B1234" s="2" t="str">
        <f>IFERROR(__xludf.DUMMYFUNCTION("""COMPUTED_VALUE"""),"VD035")</f>
        <v>VD035</v>
      </c>
      <c r="C1234" s="2">
        <f>IFERROR(__xludf.DUMMYFUNCTION("""COMPUTED_VALUE"""),6.0)</f>
        <v>6</v>
      </c>
      <c r="D1234" s="6">
        <f>IFERROR(__xludf.DUMMYFUNCTION("""COMPUTED_VALUE"""),1652.96)</f>
        <v>1652.96</v>
      </c>
      <c r="E1234" s="6">
        <f>IFERROR(__xludf.DUMMYFUNCTION("GOOGLEFINANCE(""Currency:BRLMXN"")*D1234"),5615.10512)</f>
        <v>5615.10512</v>
      </c>
      <c r="F1234" s="6">
        <f>IFERROR(__xludf.DUMMYFUNCTION("GOOGLEFINANCE(""Currency:BRLPEN"")*D1234"),1083.680576)</f>
        <v>1083.680576</v>
      </c>
      <c r="G1234" s="2" t="str">
        <f t="array" ref="G1234">_xlfn.XLOOKUP(B1234,Vendedores!$A$2:$A$41,Vendedores!$B$2:$B$41,"No hay datos")</f>
        <v>No hay datos</v>
      </c>
      <c r="H1234" s="2" t="str">
        <f t="array" ref="H1234">_xlfn.XLOOKUP(B1234,Vendedores!$A$2:$A$41,Vendedores!$C$2:$C$41,"No hay datos")</f>
        <v>No hay datos</v>
      </c>
      <c r="I1234" s="2" t="str">
        <f t="array" ref="I1234">_xlfn.XLOOKUP(B1234,Vendedores!$A$2:$A$41,Vendedores!$D$2:$D$41,"No hay datos")</f>
        <v>No hay datos</v>
      </c>
      <c r="J1234" s="2" t="str">
        <f t="array" ref="J1234">_xlfn.XLOOKUP(A1234,Productos!$A$2:$A$61,Productos!$B$2:$F$61)</f>
        <v>#N/A</v>
      </c>
    </row>
    <row r="1235">
      <c r="A1235" s="2" t="str">
        <f>IFERROR(__xludf.DUMMYFUNCTION("""COMPUTED_VALUE"""),"PR044")</f>
        <v>PR044</v>
      </c>
      <c r="B1235" s="2" t="str">
        <f>IFERROR(__xludf.DUMMYFUNCTION("""COMPUTED_VALUE"""),"VD034")</f>
        <v>VD034</v>
      </c>
      <c r="C1235" s="2">
        <f>IFERROR(__xludf.DUMMYFUNCTION("""COMPUTED_VALUE"""),6.0)</f>
        <v>6</v>
      </c>
      <c r="D1235" s="6">
        <f>IFERROR(__xludf.DUMMYFUNCTION("""COMPUTED_VALUE"""),439.35)</f>
        <v>439.35</v>
      </c>
      <c r="E1235" s="6">
        <f>IFERROR(__xludf.DUMMYFUNCTION("GOOGLEFINANCE(""Currency:BRLMXN"")*D1235"),1492.4719499999999)</f>
        <v>1492.47195</v>
      </c>
      <c r="F1235" s="6">
        <f>IFERROR(__xludf.DUMMYFUNCTION("GOOGLEFINANCE(""Currency:BRLPEN"")*D1235"),288.03786)</f>
        <v>288.03786</v>
      </c>
      <c r="G1235" s="2" t="str">
        <f t="array" ref="G1235">_xlfn.XLOOKUP(B1235,Vendedores!$A$2:$A$41,Vendedores!$B$2:$B$41,"No hay datos")</f>
        <v>No hay datos</v>
      </c>
      <c r="H1235" s="2" t="str">
        <f t="array" ref="H1235">_xlfn.XLOOKUP(B1235,Vendedores!$A$2:$A$41,Vendedores!$C$2:$C$41,"No hay datos")</f>
        <v>No hay datos</v>
      </c>
      <c r="I1235" s="2" t="str">
        <f t="array" ref="I1235">_xlfn.XLOOKUP(B1235,Vendedores!$A$2:$A$41,Vendedores!$D$2:$D$41,"No hay datos")</f>
        <v>No hay datos</v>
      </c>
      <c r="J1235" s="2" t="str">
        <f t="array" ref="J1235">_xlfn.XLOOKUP(A1235,Productos!$A$2:$A$61,Productos!$B$2:$F$61)</f>
        <v>#N/A</v>
      </c>
    </row>
    <row r="1236">
      <c r="A1236" s="2" t="str">
        <f>IFERROR(__xludf.DUMMYFUNCTION("""COMPUTED_VALUE"""),"PR050")</f>
        <v>PR050</v>
      </c>
      <c r="B1236" s="2" t="str">
        <f>IFERROR(__xludf.DUMMYFUNCTION("""COMPUTED_VALUE"""),"VD026")</f>
        <v>VD026</v>
      </c>
      <c r="C1236" s="2">
        <f>IFERROR(__xludf.DUMMYFUNCTION("""COMPUTED_VALUE"""),1.0)</f>
        <v>1</v>
      </c>
      <c r="D1236" s="6">
        <f>IFERROR(__xludf.DUMMYFUNCTION("""COMPUTED_VALUE"""),33.56)</f>
        <v>33.56</v>
      </c>
      <c r="E1236" s="6">
        <f>IFERROR(__xludf.DUMMYFUNCTION("GOOGLEFINANCE(""Currency:BRLMXN"")*D1236"),114.00332)</f>
        <v>114.00332</v>
      </c>
      <c r="F1236" s="6">
        <f>IFERROR(__xludf.DUMMYFUNCTION("GOOGLEFINANCE(""Currency:BRLPEN"")*D1236"),22.001936)</f>
        <v>22.001936</v>
      </c>
      <c r="G1236" s="2" t="str">
        <f t="array" ref="G1236">_xlfn.XLOOKUP(B1236,Vendedores!$A$2:$A$41,Vendedores!$B$2:$B$41,"No hay datos")</f>
        <v>No hay datos</v>
      </c>
      <c r="H1236" s="2" t="str">
        <f t="array" ref="H1236">_xlfn.XLOOKUP(B1236,Vendedores!$A$2:$A$41,Vendedores!$C$2:$C$41,"No hay datos")</f>
        <v>No hay datos</v>
      </c>
      <c r="I1236" s="2" t="str">
        <f t="array" ref="I1236">_xlfn.XLOOKUP(B1236,Vendedores!$A$2:$A$41,Vendedores!$D$2:$D$41,"No hay datos")</f>
        <v>No hay datos</v>
      </c>
      <c r="J1236" s="2" t="str">
        <f t="array" ref="J1236">_xlfn.XLOOKUP(A1236,Productos!$A$2:$A$61,Productos!$B$2:$F$61)</f>
        <v>#N/A</v>
      </c>
    </row>
    <row r="1237">
      <c r="A1237" s="2" t="str">
        <f>IFERROR(__xludf.DUMMYFUNCTION("""COMPUTED_VALUE"""),"PR019")</f>
        <v>PR019</v>
      </c>
      <c r="B1237" s="2" t="str">
        <f>IFERROR(__xludf.DUMMYFUNCTION("""COMPUTED_VALUE"""),"VD010")</f>
        <v>VD010</v>
      </c>
      <c r="C1237" s="2">
        <f>IFERROR(__xludf.DUMMYFUNCTION("""COMPUTED_VALUE"""),6.0)</f>
        <v>6</v>
      </c>
      <c r="D1237" s="6">
        <f>IFERROR(__xludf.DUMMYFUNCTION("""COMPUTED_VALUE"""),323.35)</f>
        <v>323.35</v>
      </c>
      <c r="E1237" s="6">
        <f>IFERROR(__xludf.DUMMYFUNCTION("GOOGLEFINANCE(""Currency:BRLMXN"")*D1237"),1098.41995)</f>
        <v>1098.41995</v>
      </c>
      <c r="F1237" s="6">
        <f>IFERROR(__xludf.DUMMYFUNCTION("GOOGLEFINANCE(""Currency:BRLPEN"")*D1237"),211.98826)</f>
        <v>211.98826</v>
      </c>
      <c r="G1237" s="2" t="str">
        <f t="array" ref="G1237">_xlfn.XLOOKUP(B1237,Vendedores!$A$2:$A$41,Vendedores!$B$2:$B$41,"No hay datos")</f>
        <v>No hay datos</v>
      </c>
      <c r="H1237" s="2" t="str">
        <f t="array" ref="H1237">_xlfn.XLOOKUP(B1237,Vendedores!$A$2:$A$41,Vendedores!$C$2:$C$41,"No hay datos")</f>
        <v>No hay datos</v>
      </c>
      <c r="I1237" s="2" t="str">
        <f t="array" ref="I1237">_xlfn.XLOOKUP(B1237,Vendedores!$A$2:$A$41,Vendedores!$D$2:$D$41,"No hay datos")</f>
        <v>No hay datos</v>
      </c>
      <c r="J1237" s="2" t="str">
        <f t="array" ref="J1237">_xlfn.XLOOKUP(A1237,Productos!$A$2:$A$61,Productos!$B$2:$F$61)</f>
        <v>#N/A</v>
      </c>
    </row>
    <row r="1238">
      <c r="A1238" s="2" t="str">
        <f>IFERROR(__xludf.DUMMYFUNCTION("""COMPUTED_VALUE"""),"PR058")</f>
        <v>PR058</v>
      </c>
      <c r="B1238" s="2" t="str">
        <f>IFERROR(__xludf.DUMMYFUNCTION("""COMPUTED_VALUE"""),"VD019")</f>
        <v>VD019</v>
      </c>
      <c r="C1238" s="2">
        <f>IFERROR(__xludf.DUMMYFUNCTION("""COMPUTED_VALUE"""),16.0)</f>
        <v>16</v>
      </c>
      <c r="D1238" s="6">
        <f>IFERROR(__xludf.DUMMYFUNCTION("""COMPUTED_VALUE"""),2908.8)</f>
        <v>2908.8</v>
      </c>
      <c r="E1238" s="6">
        <f>IFERROR(__xludf.DUMMYFUNCTION("GOOGLEFINANCE(""Currency:BRLMXN"")*D1238"),9881.1936)</f>
        <v>9881.1936</v>
      </c>
      <c r="F1238" s="6">
        <f>IFERROR(__xludf.DUMMYFUNCTION("GOOGLEFINANCE(""Currency:BRLPEN"")*D1238"),1907.00928)</f>
        <v>1907.00928</v>
      </c>
      <c r="G1238" s="2" t="str">
        <f t="array" ref="G1238">_xlfn.XLOOKUP(B1238,Vendedores!$A$2:$A$41,Vendedores!$B$2:$B$41,"No hay datos")</f>
        <v>No hay datos</v>
      </c>
      <c r="H1238" s="2" t="str">
        <f t="array" ref="H1238">_xlfn.XLOOKUP(B1238,Vendedores!$A$2:$A$41,Vendedores!$C$2:$C$41,"No hay datos")</f>
        <v>No hay datos</v>
      </c>
      <c r="I1238" s="2" t="str">
        <f t="array" ref="I1238">_xlfn.XLOOKUP(B1238,Vendedores!$A$2:$A$41,Vendedores!$D$2:$D$41,"No hay datos")</f>
        <v>No hay datos</v>
      </c>
      <c r="J1238" s="2" t="str">
        <f t="array" ref="J1238">_xlfn.XLOOKUP(A1238,Productos!$A$2:$A$61,Productos!$B$2:$F$61)</f>
        <v>#N/A</v>
      </c>
    </row>
    <row r="1239">
      <c r="A1239" s="2" t="str">
        <f>IFERROR(__xludf.DUMMYFUNCTION("""COMPUTED_VALUE"""),"PR024")</f>
        <v>PR024</v>
      </c>
      <c r="B1239" s="2" t="str">
        <f>IFERROR(__xludf.DUMMYFUNCTION("""COMPUTED_VALUE"""),"VD015")</f>
        <v>VD015</v>
      </c>
      <c r="C1239" s="2">
        <f>IFERROR(__xludf.DUMMYFUNCTION("""COMPUTED_VALUE"""),5.0)</f>
        <v>5</v>
      </c>
      <c r="D1239" s="6">
        <f>IFERROR(__xludf.DUMMYFUNCTION("""COMPUTED_VALUE"""),1390.47)</f>
        <v>1390.47</v>
      </c>
      <c r="E1239" s="6">
        <f>IFERROR(__xludf.DUMMYFUNCTION("GOOGLEFINANCE(""Currency:BRLMXN"")*D1239"),4723.42659)</f>
        <v>4723.42659</v>
      </c>
      <c r="F1239" s="6">
        <f>IFERROR(__xludf.DUMMYFUNCTION("GOOGLEFINANCE(""Currency:BRLPEN"")*D1239"),911.592132)</f>
        <v>911.592132</v>
      </c>
      <c r="G1239" s="2" t="str">
        <f t="array" ref="G1239">_xlfn.XLOOKUP(B1239,Vendedores!$A$2:$A$41,Vendedores!$B$2:$B$41,"No hay datos")</f>
        <v>No hay datos</v>
      </c>
      <c r="H1239" s="2" t="str">
        <f t="array" ref="H1239">_xlfn.XLOOKUP(B1239,Vendedores!$A$2:$A$41,Vendedores!$C$2:$C$41,"No hay datos")</f>
        <v>No hay datos</v>
      </c>
      <c r="I1239" s="2" t="str">
        <f t="array" ref="I1239">_xlfn.XLOOKUP(B1239,Vendedores!$A$2:$A$41,Vendedores!$D$2:$D$41,"No hay datos")</f>
        <v>No hay datos</v>
      </c>
      <c r="J1239" s="2" t="str">
        <f t="array" ref="J1239">_xlfn.XLOOKUP(A1239,Productos!$A$2:$A$61,Productos!$B$2:$F$61)</f>
        <v>#N/A</v>
      </c>
    </row>
    <row r="1240">
      <c r="A1240" s="2" t="str">
        <f>IFERROR(__xludf.DUMMYFUNCTION("""COMPUTED_VALUE"""),"PR022")</f>
        <v>PR022</v>
      </c>
      <c r="B1240" s="2" t="str">
        <f>IFERROR(__xludf.DUMMYFUNCTION("""COMPUTED_VALUE"""),"VD049")</f>
        <v>VD049</v>
      </c>
      <c r="C1240" s="2">
        <f>IFERROR(__xludf.DUMMYFUNCTION("""COMPUTED_VALUE"""),20.0)</f>
        <v>20</v>
      </c>
      <c r="D1240" s="6">
        <f>IFERROR(__xludf.DUMMYFUNCTION("""COMPUTED_VALUE"""),6540.0)</f>
        <v>6540</v>
      </c>
      <c r="E1240" s="6">
        <f>IFERROR(__xludf.DUMMYFUNCTION("GOOGLEFINANCE(""Currency:BRLMXN"")*D1240"),22216.379999999997)</f>
        <v>22216.38</v>
      </c>
      <c r="F1240" s="6">
        <f>IFERROR(__xludf.DUMMYFUNCTION("GOOGLEFINANCE(""Currency:BRLPEN"")*D1240"),4287.624)</f>
        <v>4287.624</v>
      </c>
      <c r="G1240" s="2" t="str">
        <f t="array" ref="G1240">_xlfn.XLOOKUP(B1240,Vendedores!$A$2:$A$41,Vendedores!$B$2:$B$41,"No hay datos")</f>
        <v>No hay datos</v>
      </c>
      <c r="H1240" s="2" t="str">
        <f t="array" ref="H1240">_xlfn.XLOOKUP(B1240,Vendedores!$A$2:$A$41,Vendedores!$C$2:$C$41,"No hay datos")</f>
        <v>No hay datos</v>
      </c>
      <c r="I1240" s="2" t="str">
        <f t="array" ref="I1240">_xlfn.XLOOKUP(B1240,Vendedores!$A$2:$A$41,Vendedores!$D$2:$D$41,"No hay datos")</f>
        <v>No hay datos</v>
      </c>
      <c r="J1240" s="2" t="str">
        <f t="array" ref="J1240">_xlfn.XLOOKUP(A1240,Productos!$A$2:$A$61,Productos!$B$2:$F$61)</f>
        <v>#N/A</v>
      </c>
    </row>
    <row r="1241">
      <c r="A1241" s="2" t="str">
        <f>IFERROR(__xludf.DUMMYFUNCTION("""COMPUTED_VALUE"""),"PR015")</f>
        <v>PR015</v>
      </c>
      <c r="B1241" s="2" t="str">
        <f>IFERROR(__xludf.DUMMYFUNCTION("""COMPUTED_VALUE"""),"VD010")</f>
        <v>VD010</v>
      </c>
      <c r="C1241" s="2">
        <f>IFERROR(__xludf.DUMMYFUNCTION("""COMPUTED_VALUE"""),4.0)</f>
        <v>4</v>
      </c>
      <c r="D1241" s="6">
        <f>IFERROR(__xludf.DUMMYFUNCTION("""COMPUTED_VALUE"""),185.3)</f>
        <v>185.3</v>
      </c>
      <c r="E1241" s="6">
        <f>IFERROR(__xludf.DUMMYFUNCTION("GOOGLEFINANCE(""Currency:BRLMXN"")*D1241"),629.4641)</f>
        <v>629.4641</v>
      </c>
      <c r="F1241" s="6">
        <f>IFERROR(__xludf.DUMMYFUNCTION("GOOGLEFINANCE(""Currency:BRLPEN"")*D1241"),121.48268)</f>
        <v>121.48268</v>
      </c>
      <c r="G1241" s="2" t="str">
        <f t="array" ref="G1241">_xlfn.XLOOKUP(B1241,Vendedores!$A$2:$A$41,Vendedores!$B$2:$B$41,"No hay datos")</f>
        <v>No hay datos</v>
      </c>
      <c r="H1241" s="2" t="str">
        <f t="array" ref="H1241">_xlfn.XLOOKUP(B1241,Vendedores!$A$2:$A$41,Vendedores!$C$2:$C$41,"No hay datos")</f>
        <v>No hay datos</v>
      </c>
      <c r="I1241" s="2" t="str">
        <f t="array" ref="I1241">_xlfn.XLOOKUP(B1241,Vendedores!$A$2:$A$41,Vendedores!$D$2:$D$41,"No hay datos")</f>
        <v>No hay datos</v>
      </c>
      <c r="J1241" s="2" t="str">
        <f t="array" ref="J1241">_xlfn.XLOOKUP(A1241,Productos!$A$2:$A$61,Productos!$B$2:$F$61)</f>
        <v>#N/A</v>
      </c>
    </row>
    <row r="1242">
      <c r="A1242" s="2" t="str">
        <f>IFERROR(__xludf.DUMMYFUNCTION("""COMPUTED_VALUE"""),"PR005")</f>
        <v>PR005</v>
      </c>
      <c r="B1242" s="2" t="str">
        <f>IFERROR(__xludf.DUMMYFUNCTION("""COMPUTED_VALUE"""),"VD043")</f>
        <v>VD043</v>
      </c>
      <c r="C1242" s="2">
        <f>IFERROR(__xludf.DUMMYFUNCTION("""COMPUTED_VALUE"""),7.0)</f>
        <v>7</v>
      </c>
      <c r="D1242" s="6">
        <f>IFERROR(__xludf.DUMMYFUNCTION("""COMPUTED_VALUE"""),1910.27)</f>
        <v>1910.27</v>
      </c>
      <c r="E1242" s="6">
        <f>IFERROR(__xludf.DUMMYFUNCTION("GOOGLEFINANCE(""Currency:BRLMXN"")*D1242"),6489.18719)</f>
        <v>6489.18719</v>
      </c>
      <c r="F1242" s="6">
        <f>IFERROR(__xludf.DUMMYFUNCTION("GOOGLEFINANCE(""Currency:BRLPEN"")*D1242"),1252.373012)</f>
        <v>1252.373012</v>
      </c>
      <c r="G1242" s="2" t="str">
        <f t="array" ref="G1242">_xlfn.XLOOKUP(B1242,Vendedores!$A$2:$A$41,Vendedores!$B$2:$B$41,"No hay datos")</f>
        <v>No hay datos</v>
      </c>
      <c r="H1242" s="2" t="str">
        <f t="array" ref="H1242">_xlfn.XLOOKUP(B1242,Vendedores!$A$2:$A$41,Vendedores!$C$2:$C$41,"No hay datos")</f>
        <v>No hay datos</v>
      </c>
      <c r="I1242" s="2" t="str">
        <f t="array" ref="I1242">_xlfn.XLOOKUP(B1242,Vendedores!$A$2:$A$41,Vendedores!$D$2:$D$41,"No hay datos")</f>
        <v>No hay datos</v>
      </c>
      <c r="J1242" s="2" t="str">
        <f t="array" ref="J1242">_xlfn.XLOOKUP(A1242,Productos!$A$2:$A$61,Productos!$B$2:$F$61)</f>
        <v>#N/A</v>
      </c>
    </row>
    <row r="1243">
      <c r="A1243" s="2" t="str">
        <f>IFERROR(__xludf.DUMMYFUNCTION("""COMPUTED_VALUE"""),"PR048")</f>
        <v>PR048</v>
      </c>
      <c r="B1243" s="2" t="str">
        <f>IFERROR(__xludf.DUMMYFUNCTION("""COMPUTED_VALUE"""),"VD012")</f>
        <v>VD012</v>
      </c>
      <c r="C1243" s="2">
        <f>IFERROR(__xludf.DUMMYFUNCTION("""COMPUTED_VALUE"""),2.0)</f>
        <v>2</v>
      </c>
      <c r="D1243" s="6">
        <f>IFERROR(__xludf.DUMMYFUNCTION("""COMPUTED_VALUE"""),626.18)</f>
        <v>626.18</v>
      </c>
      <c r="E1243" s="6">
        <f>IFERROR(__xludf.DUMMYFUNCTION("GOOGLEFINANCE(""Currency:BRLMXN"")*D1243"),2127.1334599999996)</f>
        <v>2127.13346</v>
      </c>
      <c r="F1243" s="6">
        <f>IFERROR(__xludf.DUMMYFUNCTION("GOOGLEFINANCE(""Currency:BRLPEN"")*D1243"),410.52360799999997)</f>
        <v>410.523608</v>
      </c>
      <c r="G1243" s="2" t="str">
        <f t="array" ref="G1243">_xlfn.XLOOKUP(B1243,Vendedores!$A$2:$A$41,Vendedores!$B$2:$B$41,"No hay datos")</f>
        <v>No hay datos</v>
      </c>
      <c r="H1243" s="2" t="str">
        <f t="array" ref="H1243">_xlfn.XLOOKUP(B1243,Vendedores!$A$2:$A$41,Vendedores!$C$2:$C$41,"No hay datos")</f>
        <v>No hay datos</v>
      </c>
      <c r="I1243" s="2" t="str">
        <f t="array" ref="I1243">_xlfn.XLOOKUP(B1243,Vendedores!$A$2:$A$41,Vendedores!$D$2:$D$41,"No hay datos")</f>
        <v>No hay datos</v>
      </c>
      <c r="J1243" s="2" t="str">
        <f t="array" ref="J1243">_xlfn.XLOOKUP(A1243,Productos!$A$2:$A$61,Productos!$B$2:$F$61)</f>
        <v>#N/A</v>
      </c>
    </row>
    <row r="1244">
      <c r="A1244" s="2" t="str">
        <f>IFERROR(__xludf.DUMMYFUNCTION("""COMPUTED_VALUE"""),"PR024")</f>
        <v>PR024</v>
      </c>
      <c r="B1244" s="2" t="str">
        <f>IFERROR(__xludf.DUMMYFUNCTION("""COMPUTED_VALUE"""),"VD025")</f>
        <v>VD025</v>
      </c>
      <c r="C1244" s="2">
        <f>IFERROR(__xludf.DUMMYFUNCTION("""COMPUTED_VALUE"""),10.0)</f>
        <v>10</v>
      </c>
      <c r="D1244" s="6">
        <f>IFERROR(__xludf.DUMMYFUNCTION("""COMPUTED_VALUE"""),2858.9)</f>
        <v>2858.9</v>
      </c>
      <c r="E1244" s="6">
        <f>IFERROR(__xludf.DUMMYFUNCTION("GOOGLEFINANCE(""Currency:BRLMXN"")*D1244"),9711.6833)</f>
        <v>9711.6833</v>
      </c>
      <c r="F1244" s="6">
        <f>IFERROR(__xludf.DUMMYFUNCTION("GOOGLEFINANCE(""Currency:BRLPEN"")*D1244"),1874.29484)</f>
        <v>1874.29484</v>
      </c>
      <c r="G1244" s="2" t="str">
        <f t="array" ref="G1244">_xlfn.XLOOKUP(B1244,Vendedores!$A$2:$A$41,Vendedores!$B$2:$B$41,"No hay datos")</f>
        <v>No hay datos</v>
      </c>
      <c r="H1244" s="2" t="str">
        <f t="array" ref="H1244">_xlfn.XLOOKUP(B1244,Vendedores!$A$2:$A$41,Vendedores!$C$2:$C$41,"No hay datos")</f>
        <v>No hay datos</v>
      </c>
      <c r="I1244" s="2" t="str">
        <f t="array" ref="I1244">_xlfn.XLOOKUP(B1244,Vendedores!$A$2:$A$41,Vendedores!$D$2:$D$41,"No hay datos")</f>
        <v>No hay datos</v>
      </c>
      <c r="J1244" s="2" t="str">
        <f t="array" ref="J1244">_xlfn.XLOOKUP(A1244,Productos!$A$2:$A$61,Productos!$B$2:$F$61)</f>
        <v>#N/A</v>
      </c>
    </row>
    <row r="1245">
      <c r="A1245" s="2" t="str">
        <f>IFERROR(__xludf.DUMMYFUNCTION("""COMPUTED_VALUE"""),"PR019")</f>
        <v>PR019</v>
      </c>
      <c r="B1245" s="2" t="str">
        <f>IFERROR(__xludf.DUMMYFUNCTION("""COMPUTED_VALUE"""),"VD035")</f>
        <v>VD035</v>
      </c>
      <c r="C1245" s="2">
        <f>IFERROR(__xludf.DUMMYFUNCTION("""COMPUTED_VALUE"""),8.0)</f>
        <v>8</v>
      </c>
      <c r="D1245" s="6">
        <f>IFERROR(__xludf.DUMMYFUNCTION("""COMPUTED_VALUE"""),419.16)</f>
        <v>419.16</v>
      </c>
      <c r="E1245" s="6">
        <f>IFERROR(__xludf.DUMMYFUNCTION("GOOGLEFINANCE(""Currency:BRLMXN"")*D1245"),1423.88652)</f>
        <v>1423.88652</v>
      </c>
      <c r="F1245" s="6">
        <f>IFERROR(__xludf.DUMMYFUNCTION("GOOGLEFINANCE(""Currency:BRLPEN"")*D1245"),274.801296)</f>
        <v>274.801296</v>
      </c>
      <c r="G1245" s="2" t="str">
        <f t="array" ref="G1245">_xlfn.XLOOKUP(B1245,Vendedores!$A$2:$A$41,Vendedores!$B$2:$B$41,"No hay datos")</f>
        <v>No hay datos</v>
      </c>
      <c r="H1245" s="2" t="str">
        <f t="array" ref="H1245">_xlfn.XLOOKUP(B1245,Vendedores!$A$2:$A$41,Vendedores!$C$2:$C$41,"No hay datos")</f>
        <v>No hay datos</v>
      </c>
      <c r="I1245" s="2" t="str">
        <f t="array" ref="I1245">_xlfn.XLOOKUP(B1245,Vendedores!$A$2:$A$41,Vendedores!$D$2:$D$41,"No hay datos")</f>
        <v>No hay datos</v>
      </c>
      <c r="J1245" s="2" t="str">
        <f t="array" ref="J1245">_xlfn.XLOOKUP(A1245,Productos!$A$2:$A$61,Productos!$B$2:$F$61)</f>
        <v>#N/A</v>
      </c>
    </row>
    <row r="1246">
      <c r="A1246" s="2" t="str">
        <f>IFERROR(__xludf.DUMMYFUNCTION("""COMPUTED_VALUE"""),"PR029")</f>
        <v>PR029</v>
      </c>
      <c r="B1246" s="2" t="str">
        <f>IFERROR(__xludf.DUMMYFUNCTION("""COMPUTED_VALUE"""),"VD038")</f>
        <v>VD038</v>
      </c>
      <c r="C1246" s="2">
        <f>IFERROR(__xludf.DUMMYFUNCTION("""COMPUTED_VALUE"""),9.0)</f>
        <v>9</v>
      </c>
      <c r="D1246" s="6">
        <f>IFERROR(__xludf.DUMMYFUNCTION("""COMPUTED_VALUE"""),2478.6)</f>
        <v>2478.6</v>
      </c>
      <c r="E1246" s="6">
        <f>IFERROR(__xludf.DUMMYFUNCTION("GOOGLEFINANCE(""Currency:BRLMXN"")*D1246"),8419.804199999999)</f>
        <v>8419.8042</v>
      </c>
      <c r="F1246" s="6">
        <f>IFERROR(__xludf.DUMMYFUNCTION("GOOGLEFINANCE(""Currency:BRLPEN"")*D1246"),1624.9701599999999)</f>
        <v>1624.97016</v>
      </c>
      <c r="G1246" s="2" t="str">
        <f t="array" ref="G1246">_xlfn.XLOOKUP(B1246,Vendedores!$A$2:$A$41,Vendedores!$B$2:$B$41,"No hay datos")</f>
        <v>No hay datos</v>
      </c>
      <c r="H1246" s="2" t="str">
        <f t="array" ref="H1246">_xlfn.XLOOKUP(B1246,Vendedores!$A$2:$A$41,Vendedores!$C$2:$C$41,"No hay datos")</f>
        <v>No hay datos</v>
      </c>
      <c r="I1246" s="2" t="str">
        <f t="array" ref="I1246">_xlfn.XLOOKUP(B1246,Vendedores!$A$2:$A$41,Vendedores!$D$2:$D$41,"No hay datos")</f>
        <v>No hay datos</v>
      </c>
      <c r="J1246" s="2" t="str">
        <f t="array" ref="J1246">_xlfn.XLOOKUP(A1246,Productos!$A$2:$A$61,Productos!$B$2:$F$61)</f>
        <v>#N/A</v>
      </c>
    </row>
    <row r="1247">
      <c r="A1247" s="2" t="str">
        <f>IFERROR(__xludf.DUMMYFUNCTION("""COMPUTED_VALUE"""),"PR043")</f>
        <v>PR043</v>
      </c>
      <c r="B1247" s="2" t="str">
        <f>IFERROR(__xludf.DUMMYFUNCTION("""COMPUTED_VALUE"""),"VD045")</f>
        <v>VD045</v>
      </c>
      <c r="C1247" s="2">
        <f>IFERROR(__xludf.DUMMYFUNCTION("""COMPUTED_VALUE"""),18.0)</f>
        <v>18</v>
      </c>
      <c r="D1247" s="6">
        <f>IFERROR(__xludf.DUMMYFUNCTION("""COMPUTED_VALUE"""),1396.35)</f>
        <v>1396.35</v>
      </c>
      <c r="E1247" s="6">
        <f>IFERROR(__xludf.DUMMYFUNCTION("GOOGLEFINANCE(""Currency:BRLMXN"")*D1247"),4743.400949999999)</f>
        <v>4743.40095</v>
      </c>
      <c r="F1247" s="6">
        <f>IFERROR(__xludf.DUMMYFUNCTION("GOOGLEFINANCE(""Currency:BRLPEN"")*D1247"),915.4470599999999)</f>
        <v>915.44706</v>
      </c>
      <c r="G1247" s="2" t="str">
        <f t="array" ref="G1247">_xlfn.XLOOKUP(B1247,Vendedores!$A$2:$A$41,Vendedores!$B$2:$B$41,"No hay datos")</f>
        <v>No hay datos</v>
      </c>
      <c r="H1247" s="2" t="str">
        <f t="array" ref="H1247">_xlfn.XLOOKUP(B1247,Vendedores!$A$2:$A$41,Vendedores!$C$2:$C$41,"No hay datos")</f>
        <v>No hay datos</v>
      </c>
      <c r="I1247" s="2" t="str">
        <f t="array" ref="I1247">_xlfn.XLOOKUP(B1247,Vendedores!$A$2:$A$41,Vendedores!$D$2:$D$41,"No hay datos")</f>
        <v>No hay datos</v>
      </c>
      <c r="J1247" s="2" t="str">
        <f t="array" ref="J1247">_xlfn.XLOOKUP(A1247,Productos!$A$2:$A$61,Productos!$B$2:$F$61)</f>
        <v>#N/A</v>
      </c>
    </row>
    <row r="1248">
      <c r="A1248" s="2" t="str">
        <f>IFERROR(__xludf.DUMMYFUNCTION("""COMPUTED_VALUE"""),"PR039")</f>
        <v>PR039</v>
      </c>
      <c r="B1248" s="2" t="str">
        <f>IFERROR(__xludf.DUMMYFUNCTION("""COMPUTED_VALUE"""),"VD042")</f>
        <v>VD042</v>
      </c>
      <c r="C1248" s="2">
        <f>IFERROR(__xludf.DUMMYFUNCTION("""COMPUTED_VALUE"""),2.0)</f>
        <v>2</v>
      </c>
      <c r="D1248" s="6">
        <f>IFERROR(__xludf.DUMMYFUNCTION("""COMPUTED_VALUE"""),315.36)</f>
        <v>315.36</v>
      </c>
      <c r="E1248" s="6">
        <f>IFERROR(__xludf.DUMMYFUNCTION("GOOGLEFINANCE(""Currency:BRLMXN"")*D1248"),1071.27792)</f>
        <v>1071.27792</v>
      </c>
      <c r="F1248" s="6">
        <f>IFERROR(__xludf.DUMMYFUNCTION("GOOGLEFINANCE(""Currency:BRLPEN"")*D1248"),206.750016)</f>
        <v>206.750016</v>
      </c>
      <c r="G1248" s="2" t="str">
        <f t="array" ref="G1248">_xlfn.XLOOKUP(B1248,Vendedores!$A$2:$A$41,Vendedores!$B$2:$B$41,"No hay datos")</f>
        <v>No hay datos</v>
      </c>
      <c r="H1248" s="2" t="str">
        <f t="array" ref="H1248">_xlfn.XLOOKUP(B1248,Vendedores!$A$2:$A$41,Vendedores!$C$2:$C$41,"No hay datos")</f>
        <v>No hay datos</v>
      </c>
      <c r="I1248" s="2" t="str">
        <f t="array" ref="I1248">_xlfn.XLOOKUP(B1248,Vendedores!$A$2:$A$41,Vendedores!$D$2:$D$41,"No hay datos")</f>
        <v>No hay datos</v>
      </c>
      <c r="J1248" s="2" t="str">
        <f t="array" ref="J1248">_xlfn.XLOOKUP(A1248,Productos!$A$2:$A$61,Productos!$B$2:$F$61)</f>
        <v>#N/A</v>
      </c>
    </row>
    <row r="1249">
      <c r="A1249" s="2" t="str">
        <f>IFERROR(__xludf.DUMMYFUNCTION("""COMPUTED_VALUE"""),"PR003")</f>
        <v>PR003</v>
      </c>
      <c r="B1249" s="2" t="str">
        <f>IFERROR(__xludf.DUMMYFUNCTION("""COMPUTED_VALUE"""),"VD010")</f>
        <v>VD010</v>
      </c>
      <c r="C1249" s="2">
        <f>IFERROR(__xludf.DUMMYFUNCTION("""COMPUTED_VALUE"""),9.0)</f>
        <v>9</v>
      </c>
      <c r="D1249" s="6">
        <f>IFERROR(__xludf.DUMMYFUNCTION("""COMPUTED_VALUE"""),689.15)</f>
        <v>689.15</v>
      </c>
      <c r="E1249" s="6">
        <f>IFERROR(__xludf.DUMMYFUNCTION("GOOGLEFINANCE(""Currency:BRLMXN"")*D1249"),2341.0425499999997)</f>
        <v>2341.04255</v>
      </c>
      <c r="F1249" s="6">
        <f>IFERROR(__xludf.DUMMYFUNCTION("GOOGLEFINANCE(""Currency:BRLPEN"")*D1249"),451.80673999999993)</f>
        <v>451.80674</v>
      </c>
      <c r="G1249" s="2" t="str">
        <f t="array" ref="G1249">_xlfn.XLOOKUP(B1249,Vendedores!$A$2:$A$41,Vendedores!$B$2:$B$41,"No hay datos")</f>
        <v>No hay datos</v>
      </c>
      <c r="H1249" s="2" t="str">
        <f t="array" ref="H1249">_xlfn.XLOOKUP(B1249,Vendedores!$A$2:$A$41,Vendedores!$C$2:$C$41,"No hay datos")</f>
        <v>No hay datos</v>
      </c>
      <c r="I1249" s="2" t="str">
        <f t="array" ref="I1249">_xlfn.XLOOKUP(B1249,Vendedores!$A$2:$A$41,Vendedores!$D$2:$D$41,"No hay datos")</f>
        <v>No hay datos</v>
      </c>
      <c r="J1249" s="2" t="str">
        <f t="array" ref="J1249">_xlfn.XLOOKUP(A1249,Productos!$A$2:$A$61,Productos!$B$2:$F$61)</f>
        <v>#N/A</v>
      </c>
    </row>
    <row r="1250">
      <c r="A1250" s="2" t="str">
        <f>IFERROR(__xludf.DUMMYFUNCTION("""COMPUTED_VALUE"""),"PR002")</f>
        <v>PR002</v>
      </c>
      <c r="B1250" s="2" t="str">
        <f>IFERROR(__xludf.DUMMYFUNCTION("""COMPUTED_VALUE"""),"VD042")</f>
        <v>VD042</v>
      </c>
      <c r="C1250" s="2">
        <f>IFERROR(__xludf.DUMMYFUNCTION("""COMPUTED_VALUE"""),10.0)</f>
        <v>10</v>
      </c>
      <c r="D1250" s="6">
        <f>IFERROR(__xludf.DUMMYFUNCTION("""COMPUTED_VALUE"""),726.96)</f>
        <v>726.96</v>
      </c>
      <c r="E1250" s="6">
        <f>IFERROR(__xludf.DUMMYFUNCTION("GOOGLEFINANCE(""Currency:BRLMXN"")*D1250"),2469.48312)</f>
        <v>2469.48312</v>
      </c>
      <c r="F1250" s="6">
        <f>IFERROR(__xludf.DUMMYFUNCTION("GOOGLEFINANCE(""Currency:BRLPEN"")*D1250"),476.594976)</f>
        <v>476.594976</v>
      </c>
      <c r="G1250" s="2" t="str">
        <f t="array" ref="G1250">_xlfn.XLOOKUP(B1250,Vendedores!$A$2:$A$41,Vendedores!$B$2:$B$41,"No hay datos")</f>
        <v>No hay datos</v>
      </c>
      <c r="H1250" s="2" t="str">
        <f t="array" ref="H1250">_xlfn.XLOOKUP(B1250,Vendedores!$A$2:$A$41,Vendedores!$C$2:$C$41,"No hay datos")</f>
        <v>No hay datos</v>
      </c>
      <c r="I1250" s="2" t="str">
        <f t="array" ref="I1250">_xlfn.XLOOKUP(B1250,Vendedores!$A$2:$A$41,Vendedores!$D$2:$D$41,"No hay datos")</f>
        <v>No hay datos</v>
      </c>
      <c r="J1250" s="2" t="str">
        <f t="array" ref="J1250">_xlfn.XLOOKUP(A1250,Productos!$A$2:$A$61,Productos!$B$2:$F$61)</f>
        <v>#N/A</v>
      </c>
    </row>
    <row r="1251">
      <c r="A1251" s="2" t="str">
        <f>IFERROR(__xludf.DUMMYFUNCTION("""COMPUTED_VALUE"""),"PR015")</f>
        <v>PR015</v>
      </c>
      <c r="B1251" s="2" t="str">
        <f>IFERROR(__xludf.DUMMYFUNCTION("""COMPUTED_VALUE"""),"VD037")</f>
        <v>VD037</v>
      </c>
      <c r="C1251" s="2">
        <f>IFERROR(__xludf.DUMMYFUNCTION("""COMPUTED_VALUE"""),9.0)</f>
        <v>9</v>
      </c>
      <c r="D1251" s="6">
        <f>IFERROR(__xludf.DUMMYFUNCTION("""COMPUTED_VALUE"""),416.93)</f>
        <v>416.93</v>
      </c>
      <c r="E1251" s="6">
        <f>IFERROR(__xludf.DUMMYFUNCTION("GOOGLEFINANCE(""Currency:BRLMXN"")*D1251"),1416.3112099999998)</f>
        <v>1416.31121</v>
      </c>
      <c r="F1251" s="6">
        <f>IFERROR(__xludf.DUMMYFUNCTION("GOOGLEFINANCE(""Currency:BRLPEN"")*D1251"),273.33930799999996)</f>
        <v>273.339308</v>
      </c>
      <c r="G1251" s="2" t="str">
        <f t="array" ref="G1251">_xlfn.XLOOKUP(B1251,Vendedores!$A$2:$A$41,Vendedores!$B$2:$B$41,"No hay datos")</f>
        <v>No hay datos</v>
      </c>
      <c r="H1251" s="2" t="str">
        <f t="array" ref="H1251">_xlfn.XLOOKUP(B1251,Vendedores!$A$2:$A$41,Vendedores!$C$2:$C$41,"No hay datos")</f>
        <v>No hay datos</v>
      </c>
      <c r="I1251" s="2" t="str">
        <f t="array" ref="I1251">_xlfn.XLOOKUP(B1251,Vendedores!$A$2:$A$41,Vendedores!$D$2:$D$41,"No hay datos")</f>
        <v>No hay datos</v>
      </c>
      <c r="J1251" s="2" t="str">
        <f t="array" ref="J1251">_xlfn.XLOOKUP(A1251,Productos!$A$2:$A$61,Productos!$B$2:$F$61)</f>
        <v>#N/A</v>
      </c>
    </row>
    <row r="1252">
      <c r="A1252" s="2" t="str">
        <f>IFERROR(__xludf.DUMMYFUNCTION("""COMPUTED_VALUE"""),"PR017")</f>
        <v>PR017</v>
      </c>
      <c r="B1252" s="2" t="str">
        <f>IFERROR(__xludf.DUMMYFUNCTION("""COMPUTED_VALUE"""),"VD049")</f>
        <v>VD049</v>
      </c>
      <c r="C1252" s="2">
        <f>IFERROR(__xludf.DUMMYFUNCTION("""COMPUTED_VALUE"""),6.0)</f>
        <v>6</v>
      </c>
      <c r="D1252" s="6">
        <f>IFERROR(__xludf.DUMMYFUNCTION("""COMPUTED_VALUE"""),182.99)</f>
        <v>182.99</v>
      </c>
      <c r="E1252" s="6">
        <f>IFERROR(__xludf.DUMMYFUNCTION("GOOGLEFINANCE(""Currency:BRLMXN"")*D1252"),621.61703)</f>
        <v>621.61703</v>
      </c>
      <c r="F1252" s="6">
        <f>IFERROR(__xludf.DUMMYFUNCTION("GOOGLEFINANCE(""Currency:BRLPEN"")*D1252"),119.968244)</f>
        <v>119.968244</v>
      </c>
      <c r="G1252" s="2" t="str">
        <f t="array" ref="G1252">_xlfn.XLOOKUP(B1252,Vendedores!$A$2:$A$41,Vendedores!$B$2:$B$41,"No hay datos")</f>
        <v>No hay datos</v>
      </c>
      <c r="H1252" s="2" t="str">
        <f t="array" ref="H1252">_xlfn.XLOOKUP(B1252,Vendedores!$A$2:$A$41,Vendedores!$C$2:$C$41,"No hay datos")</f>
        <v>No hay datos</v>
      </c>
      <c r="I1252" s="2" t="str">
        <f t="array" ref="I1252">_xlfn.XLOOKUP(B1252,Vendedores!$A$2:$A$41,Vendedores!$D$2:$D$41,"No hay datos")</f>
        <v>No hay datos</v>
      </c>
      <c r="J1252" s="2" t="str">
        <f t="array" ref="J1252">_xlfn.XLOOKUP(A1252,Productos!$A$2:$A$61,Productos!$B$2:$F$61)</f>
        <v>#N/A</v>
      </c>
    </row>
    <row r="1253">
      <c r="A1253" s="2" t="str">
        <f>IFERROR(__xludf.DUMMYFUNCTION("""COMPUTED_VALUE"""),"PR031")</f>
        <v>PR031</v>
      </c>
      <c r="B1253" s="2" t="str">
        <f>IFERROR(__xludf.DUMMYFUNCTION("""COMPUTED_VALUE"""),"VD021")</f>
        <v>VD021</v>
      </c>
      <c r="C1253" s="2">
        <f>IFERROR(__xludf.DUMMYFUNCTION("""COMPUTED_VALUE"""),8.0)</f>
        <v>8</v>
      </c>
      <c r="D1253" s="6">
        <f>IFERROR(__xludf.DUMMYFUNCTION("""COMPUTED_VALUE"""),1999.2)</f>
        <v>1999.2</v>
      </c>
      <c r="E1253" s="6">
        <f>IFERROR(__xludf.DUMMYFUNCTION("GOOGLEFINANCE(""Currency:BRLMXN"")*D1253"),6791.2824)</f>
        <v>6791.2824</v>
      </c>
      <c r="F1253" s="6">
        <f>IFERROR(__xludf.DUMMYFUNCTION("GOOGLEFINANCE(""Currency:BRLPEN"")*D1253"),1310.67552)</f>
        <v>1310.67552</v>
      </c>
      <c r="G1253" s="2" t="str">
        <f t="array" ref="G1253">_xlfn.XLOOKUP(B1253,Vendedores!$A$2:$A$41,Vendedores!$B$2:$B$41,"No hay datos")</f>
        <v>No hay datos</v>
      </c>
      <c r="H1253" s="2" t="str">
        <f t="array" ref="H1253">_xlfn.XLOOKUP(B1253,Vendedores!$A$2:$A$41,Vendedores!$C$2:$C$41,"No hay datos")</f>
        <v>No hay datos</v>
      </c>
      <c r="I1253" s="2" t="str">
        <f t="array" ref="I1253">_xlfn.XLOOKUP(B1253,Vendedores!$A$2:$A$41,Vendedores!$D$2:$D$41,"No hay datos")</f>
        <v>No hay datos</v>
      </c>
      <c r="J1253" s="2" t="str">
        <f t="array" ref="J1253">_xlfn.XLOOKUP(A1253,Productos!$A$2:$A$61,Productos!$B$2:$F$61)</f>
        <v>#N/A</v>
      </c>
    </row>
    <row r="1254">
      <c r="A1254" s="2" t="str">
        <f>IFERROR(__xludf.DUMMYFUNCTION("""COMPUTED_VALUE"""),"PR053")</f>
        <v>PR053</v>
      </c>
      <c r="B1254" s="2" t="str">
        <f>IFERROR(__xludf.DUMMYFUNCTION("""COMPUTED_VALUE"""),"VD041")</f>
        <v>VD041</v>
      </c>
      <c r="C1254" s="2">
        <f>IFERROR(__xludf.DUMMYFUNCTION("""COMPUTED_VALUE"""),1.0)</f>
        <v>1</v>
      </c>
      <c r="D1254" s="6">
        <f>IFERROR(__xludf.DUMMYFUNCTION("""COMPUTED_VALUE"""),54.39)</f>
        <v>54.39</v>
      </c>
      <c r="E1254" s="6">
        <f>IFERROR(__xludf.DUMMYFUNCTION("GOOGLEFINANCE(""Currency:BRLMXN"")*D1254"),184.76282999999998)</f>
        <v>184.76283</v>
      </c>
      <c r="F1254" s="6">
        <f>IFERROR(__xludf.DUMMYFUNCTION("GOOGLEFINANCE(""Currency:BRLPEN"")*D1254"),35.658083999999995)</f>
        <v>35.658084</v>
      </c>
      <c r="G1254" s="2" t="str">
        <f t="array" ref="G1254">_xlfn.XLOOKUP(B1254,Vendedores!$A$2:$A$41,Vendedores!$B$2:$B$41,"No hay datos")</f>
        <v>No hay datos</v>
      </c>
      <c r="H1254" s="2" t="str">
        <f t="array" ref="H1254">_xlfn.XLOOKUP(B1254,Vendedores!$A$2:$A$41,Vendedores!$C$2:$C$41,"No hay datos")</f>
        <v>No hay datos</v>
      </c>
      <c r="I1254" s="2" t="str">
        <f t="array" ref="I1254">_xlfn.XLOOKUP(B1254,Vendedores!$A$2:$A$41,Vendedores!$D$2:$D$41,"No hay datos")</f>
        <v>No hay datos</v>
      </c>
      <c r="J1254" s="2" t="str">
        <f t="array" ref="J1254">_xlfn.XLOOKUP(A1254,Productos!$A$2:$A$61,Productos!$B$2:$F$61)</f>
        <v>#N/A</v>
      </c>
    </row>
    <row r="1255">
      <c r="A1255" s="2" t="str">
        <f>IFERROR(__xludf.DUMMYFUNCTION("""COMPUTED_VALUE"""),"PR016")</f>
        <v>PR016</v>
      </c>
      <c r="B1255" s="2" t="str">
        <f>IFERROR(__xludf.DUMMYFUNCTION("""COMPUTED_VALUE"""),"VD042")</f>
        <v>VD042</v>
      </c>
      <c r="C1255" s="2">
        <f>IFERROR(__xludf.DUMMYFUNCTION("""COMPUTED_VALUE"""),6.0)</f>
        <v>6</v>
      </c>
      <c r="D1255" s="6">
        <f>IFERROR(__xludf.DUMMYFUNCTION("""COMPUTED_VALUE"""),166.28)</f>
        <v>166.28</v>
      </c>
      <c r="E1255" s="6">
        <f>IFERROR(__xludf.DUMMYFUNCTION("GOOGLEFINANCE(""Currency:BRLMXN"")*D1255"),564.85316)</f>
        <v>564.85316</v>
      </c>
      <c r="F1255" s="6">
        <f>IFERROR(__xludf.DUMMYFUNCTION("GOOGLEFINANCE(""Currency:BRLPEN"")*D1255"),109.013168)</f>
        <v>109.013168</v>
      </c>
      <c r="G1255" s="2" t="str">
        <f t="array" ref="G1255">_xlfn.XLOOKUP(B1255,Vendedores!$A$2:$A$41,Vendedores!$B$2:$B$41,"No hay datos")</f>
        <v>No hay datos</v>
      </c>
      <c r="H1255" s="2" t="str">
        <f t="array" ref="H1255">_xlfn.XLOOKUP(B1255,Vendedores!$A$2:$A$41,Vendedores!$C$2:$C$41,"No hay datos")</f>
        <v>No hay datos</v>
      </c>
      <c r="I1255" s="2" t="str">
        <f t="array" ref="I1255">_xlfn.XLOOKUP(B1255,Vendedores!$A$2:$A$41,Vendedores!$D$2:$D$41,"No hay datos")</f>
        <v>No hay datos</v>
      </c>
      <c r="J1255" s="2" t="str">
        <f t="array" ref="J1255">_xlfn.XLOOKUP(A1255,Productos!$A$2:$A$61,Productos!$B$2:$F$61)</f>
        <v>#N/A</v>
      </c>
    </row>
    <row r="1256">
      <c r="A1256" s="2" t="str">
        <f>IFERROR(__xludf.DUMMYFUNCTION("""COMPUTED_VALUE"""),"PR016")</f>
        <v>PR016</v>
      </c>
      <c r="B1256" s="2" t="str">
        <f>IFERROR(__xludf.DUMMYFUNCTION("""COMPUTED_VALUE"""),"VD048")</f>
        <v>VD048</v>
      </c>
      <c r="C1256" s="2">
        <f>IFERROR(__xludf.DUMMYFUNCTION("""COMPUTED_VALUE"""),5.0)</f>
        <v>5</v>
      </c>
      <c r="D1256" s="6">
        <f>IFERROR(__xludf.DUMMYFUNCTION("""COMPUTED_VALUE"""),132.09)</f>
        <v>132.09</v>
      </c>
      <c r="E1256" s="6">
        <f>IFERROR(__xludf.DUMMYFUNCTION("GOOGLEFINANCE(""Currency:BRLMXN"")*D1256"),448.70973)</f>
        <v>448.70973</v>
      </c>
      <c r="F1256" s="6">
        <f>IFERROR(__xludf.DUMMYFUNCTION("GOOGLEFINANCE(""Currency:BRLPEN"")*D1256"),86.598204)</f>
        <v>86.598204</v>
      </c>
      <c r="G1256" s="2" t="str">
        <f t="array" ref="G1256">_xlfn.XLOOKUP(B1256,Vendedores!$A$2:$A$41,Vendedores!$B$2:$B$41,"No hay datos")</f>
        <v>No hay datos</v>
      </c>
      <c r="H1256" s="2" t="str">
        <f t="array" ref="H1256">_xlfn.XLOOKUP(B1256,Vendedores!$A$2:$A$41,Vendedores!$C$2:$C$41,"No hay datos")</f>
        <v>No hay datos</v>
      </c>
      <c r="I1256" s="2" t="str">
        <f t="array" ref="I1256">_xlfn.XLOOKUP(B1256,Vendedores!$A$2:$A$41,Vendedores!$D$2:$D$41,"No hay datos")</f>
        <v>No hay datos</v>
      </c>
      <c r="J1256" s="2" t="str">
        <f t="array" ref="J1256">_xlfn.XLOOKUP(A1256,Productos!$A$2:$A$61,Productos!$B$2:$F$61)</f>
        <v>#N/A</v>
      </c>
    </row>
    <row r="1257">
      <c r="A1257" s="2" t="str">
        <f>IFERROR(__xludf.DUMMYFUNCTION("""COMPUTED_VALUE"""),"PR002")</f>
        <v>PR002</v>
      </c>
      <c r="B1257" s="2" t="str">
        <f>IFERROR(__xludf.DUMMYFUNCTION("""COMPUTED_VALUE"""),"VD025")</f>
        <v>VD025</v>
      </c>
      <c r="C1257" s="2">
        <f>IFERROR(__xludf.DUMMYFUNCTION("""COMPUTED_VALUE"""),18.0)</f>
        <v>18</v>
      </c>
      <c r="D1257" s="6">
        <f>IFERROR(__xludf.DUMMYFUNCTION("""COMPUTED_VALUE"""),1295.95)</f>
        <v>1295.95</v>
      </c>
      <c r="E1257" s="6">
        <f>IFERROR(__xludf.DUMMYFUNCTION("GOOGLEFINANCE(""Currency:BRLMXN"")*D1257"),4402.3421499999995)</f>
        <v>4402.34215</v>
      </c>
      <c r="F1257" s="6">
        <f>IFERROR(__xludf.DUMMYFUNCTION("GOOGLEFINANCE(""Currency:BRLPEN"")*D1257"),849.62482)</f>
        <v>849.62482</v>
      </c>
      <c r="G1257" s="2" t="str">
        <f t="array" ref="G1257">_xlfn.XLOOKUP(B1257,Vendedores!$A$2:$A$41,Vendedores!$B$2:$B$41,"No hay datos")</f>
        <v>No hay datos</v>
      </c>
      <c r="H1257" s="2" t="str">
        <f t="array" ref="H1257">_xlfn.XLOOKUP(B1257,Vendedores!$A$2:$A$41,Vendedores!$C$2:$C$41,"No hay datos")</f>
        <v>No hay datos</v>
      </c>
      <c r="I1257" s="2" t="str">
        <f t="array" ref="I1257">_xlfn.XLOOKUP(B1257,Vendedores!$A$2:$A$41,Vendedores!$D$2:$D$41,"No hay datos")</f>
        <v>No hay datos</v>
      </c>
      <c r="J1257" s="2" t="str">
        <f t="array" ref="J1257">_xlfn.XLOOKUP(A1257,Productos!$A$2:$A$61,Productos!$B$2:$F$61)</f>
        <v>#N/A</v>
      </c>
    </row>
    <row r="1258">
      <c r="A1258" s="2" t="str">
        <f>IFERROR(__xludf.DUMMYFUNCTION("""COMPUTED_VALUE"""),"PR039")</f>
        <v>PR039</v>
      </c>
      <c r="B1258" s="2" t="str">
        <f>IFERROR(__xludf.DUMMYFUNCTION("""COMPUTED_VALUE"""),"VD046")</f>
        <v>VD046</v>
      </c>
      <c r="C1258" s="2">
        <f>IFERROR(__xludf.DUMMYFUNCTION("""COMPUTED_VALUE"""),8.0)</f>
        <v>8</v>
      </c>
      <c r="D1258" s="6">
        <f>IFERROR(__xludf.DUMMYFUNCTION("""COMPUTED_VALUE"""),1214.72)</f>
        <v>1214.72</v>
      </c>
      <c r="E1258" s="6">
        <f>IFERROR(__xludf.DUMMYFUNCTION("GOOGLEFINANCE(""Currency:BRLMXN"")*D1258"),4126.40384)</f>
        <v>4126.40384</v>
      </c>
      <c r="F1258" s="6">
        <f>IFERROR(__xludf.DUMMYFUNCTION("GOOGLEFINANCE(""Currency:BRLPEN"")*D1258"),796.3704319999999)</f>
        <v>796.370432</v>
      </c>
      <c r="G1258" s="2" t="str">
        <f t="array" ref="G1258">_xlfn.XLOOKUP(B1258,Vendedores!$A$2:$A$41,Vendedores!$B$2:$B$41,"No hay datos")</f>
        <v>No hay datos</v>
      </c>
      <c r="H1258" s="2" t="str">
        <f t="array" ref="H1258">_xlfn.XLOOKUP(B1258,Vendedores!$A$2:$A$41,Vendedores!$C$2:$C$41,"No hay datos")</f>
        <v>No hay datos</v>
      </c>
      <c r="I1258" s="2" t="str">
        <f t="array" ref="I1258">_xlfn.XLOOKUP(B1258,Vendedores!$A$2:$A$41,Vendedores!$D$2:$D$41,"No hay datos")</f>
        <v>No hay datos</v>
      </c>
      <c r="J1258" s="2" t="str">
        <f t="array" ref="J1258">_xlfn.XLOOKUP(A1258,Productos!$A$2:$A$61,Productos!$B$2:$F$61)</f>
        <v>#N/A</v>
      </c>
    </row>
    <row r="1259">
      <c r="A1259" s="2" t="str">
        <f>IFERROR(__xludf.DUMMYFUNCTION("""COMPUTED_VALUE"""),"PR020")</f>
        <v>PR020</v>
      </c>
      <c r="B1259" s="2" t="str">
        <f>IFERROR(__xludf.DUMMYFUNCTION("""COMPUTED_VALUE"""),"VD017")</f>
        <v>VD017</v>
      </c>
      <c r="C1259" s="2">
        <f>IFERROR(__xludf.DUMMYFUNCTION("""COMPUTED_VALUE"""),8.0)</f>
        <v>8</v>
      </c>
      <c r="D1259" s="6">
        <f>IFERROR(__xludf.DUMMYFUNCTION("""COMPUTED_VALUE"""),2423.19)</f>
        <v>2423.19</v>
      </c>
      <c r="E1259" s="6">
        <f>IFERROR(__xludf.DUMMYFUNCTION("GOOGLEFINANCE(""Currency:BRLMXN"")*D1259"),8231.57643)</f>
        <v>8231.57643</v>
      </c>
      <c r="F1259" s="6">
        <f>IFERROR(__xludf.DUMMYFUNCTION("GOOGLEFINANCE(""Currency:BRLPEN"")*D1259"),1588.643364)</f>
        <v>1588.643364</v>
      </c>
      <c r="G1259" s="2" t="str">
        <f t="array" ref="G1259">_xlfn.XLOOKUP(B1259,Vendedores!$A$2:$A$41,Vendedores!$B$2:$B$41,"No hay datos")</f>
        <v>No hay datos</v>
      </c>
      <c r="H1259" s="2" t="str">
        <f t="array" ref="H1259">_xlfn.XLOOKUP(B1259,Vendedores!$A$2:$A$41,Vendedores!$C$2:$C$41,"No hay datos")</f>
        <v>No hay datos</v>
      </c>
      <c r="I1259" s="2" t="str">
        <f t="array" ref="I1259">_xlfn.XLOOKUP(B1259,Vendedores!$A$2:$A$41,Vendedores!$D$2:$D$41,"No hay datos")</f>
        <v>No hay datos</v>
      </c>
      <c r="J1259" s="2" t="str">
        <f t="array" ref="J1259">_xlfn.XLOOKUP(A1259,Productos!$A$2:$A$61,Productos!$B$2:$F$61)</f>
        <v>#N/A</v>
      </c>
    </row>
    <row r="1260">
      <c r="A1260" s="2" t="str">
        <f>IFERROR(__xludf.DUMMYFUNCTION("""COMPUTED_VALUE"""),"PR050")</f>
        <v>PR050</v>
      </c>
      <c r="B1260" s="2" t="str">
        <f>IFERROR(__xludf.DUMMYFUNCTION("""COMPUTED_VALUE"""),"VD028")</f>
        <v>VD028</v>
      </c>
      <c r="C1260" s="2">
        <f>IFERROR(__xludf.DUMMYFUNCTION("""COMPUTED_VALUE"""),10.0)</f>
        <v>10</v>
      </c>
      <c r="D1260" s="6">
        <f>IFERROR(__xludf.DUMMYFUNCTION("""COMPUTED_VALUE"""),345.45)</f>
        <v>345.45</v>
      </c>
      <c r="E1260" s="6">
        <f>IFERROR(__xludf.DUMMYFUNCTION("GOOGLEFINANCE(""Currency:BRLMXN"")*D1260"),1173.49365)</f>
        <v>1173.49365</v>
      </c>
      <c r="F1260" s="6">
        <f>IFERROR(__xludf.DUMMYFUNCTION("GOOGLEFINANCE(""Currency:BRLPEN"")*D1260"),226.47701999999998)</f>
        <v>226.47702</v>
      </c>
      <c r="G1260" s="2" t="str">
        <f t="array" ref="G1260">_xlfn.XLOOKUP(B1260,Vendedores!$A$2:$A$41,Vendedores!$B$2:$B$41,"No hay datos")</f>
        <v>No hay datos</v>
      </c>
      <c r="H1260" s="2" t="str">
        <f t="array" ref="H1260">_xlfn.XLOOKUP(B1260,Vendedores!$A$2:$A$41,Vendedores!$C$2:$C$41,"No hay datos")</f>
        <v>No hay datos</v>
      </c>
      <c r="I1260" s="2" t="str">
        <f t="array" ref="I1260">_xlfn.XLOOKUP(B1260,Vendedores!$A$2:$A$41,Vendedores!$D$2:$D$41,"No hay datos")</f>
        <v>No hay datos</v>
      </c>
      <c r="J1260" s="2" t="str">
        <f t="array" ref="J1260">_xlfn.XLOOKUP(A1260,Productos!$A$2:$A$61,Productos!$B$2:$F$61)</f>
        <v>#N/A</v>
      </c>
    </row>
    <row r="1261">
      <c r="A1261" s="2" t="str">
        <f>IFERROR(__xludf.DUMMYFUNCTION("""COMPUTED_VALUE"""),"PR018")</f>
        <v>PR018</v>
      </c>
      <c r="B1261" s="2" t="str">
        <f>IFERROR(__xludf.DUMMYFUNCTION("""COMPUTED_VALUE"""),"VD044")</f>
        <v>VD044</v>
      </c>
      <c r="C1261" s="2">
        <f>IFERROR(__xludf.DUMMYFUNCTION("""COMPUTED_VALUE"""),2.0)</f>
        <v>2</v>
      </c>
      <c r="D1261" s="6">
        <f>IFERROR(__xludf.DUMMYFUNCTION("""COMPUTED_VALUE"""),67.12)</f>
        <v>67.12</v>
      </c>
      <c r="E1261" s="6">
        <f>IFERROR(__xludf.DUMMYFUNCTION("GOOGLEFINANCE(""Currency:BRLMXN"")*D1261"),228.00664)</f>
        <v>228.00664</v>
      </c>
      <c r="F1261" s="6">
        <f>IFERROR(__xludf.DUMMYFUNCTION("GOOGLEFINANCE(""Currency:BRLPEN"")*D1261"),44.003872)</f>
        <v>44.003872</v>
      </c>
      <c r="G1261" s="2" t="str">
        <f t="array" ref="G1261">_xlfn.XLOOKUP(B1261,Vendedores!$A$2:$A$41,Vendedores!$B$2:$B$41,"No hay datos")</f>
        <v>No hay datos</v>
      </c>
      <c r="H1261" s="2" t="str">
        <f t="array" ref="H1261">_xlfn.XLOOKUP(B1261,Vendedores!$A$2:$A$41,Vendedores!$C$2:$C$41,"No hay datos")</f>
        <v>No hay datos</v>
      </c>
      <c r="I1261" s="2" t="str">
        <f t="array" ref="I1261">_xlfn.XLOOKUP(B1261,Vendedores!$A$2:$A$41,Vendedores!$D$2:$D$41,"No hay datos")</f>
        <v>No hay datos</v>
      </c>
      <c r="J1261" s="2" t="str">
        <f t="array" ref="J1261">_xlfn.XLOOKUP(A1261,Productos!$A$2:$A$61,Productos!$B$2:$F$61)</f>
        <v>#N/A</v>
      </c>
    </row>
    <row r="1262">
      <c r="A1262" s="2" t="str">
        <f>IFERROR(__xludf.DUMMYFUNCTION("""COMPUTED_VALUE"""),"PR013")</f>
        <v>PR013</v>
      </c>
      <c r="B1262" s="2" t="str">
        <f>IFERROR(__xludf.DUMMYFUNCTION("""COMPUTED_VALUE"""),"VD035")</f>
        <v>VD035</v>
      </c>
      <c r="C1262" s="2">
        <f>IFERROR(__xludf.DUMMYFUNCTION("""COMPUTED_VALUE"""),9.0)</f>
        <v>9</v>
      </c>
      <c r="D1262" s="6">
        <f>IFERROR(__xludf.DUMMYFUNCTION("""COMPUTED_VALUE"""),395.01)</f>
        <v>395.01</v>
      </c>
      <c r="E1262" s="6">
        <f>IFERROR(__xludf.DUMMYFUNCTION("GOOGLEFINANCE(""Currency:BRLMXN"")*D1262"),1341.8489699999998)</f>
        <v>1341.84897</v>
      </c>
      <c r="F1262" s="6">
        <f>IFERROR(__xludf.DUMMYFUNCTION("GOOGLEFINANCE(""Currency:BRLPEN"")*D1262"),258.968556)</f>
        <v>258.968556</v>
      </c>
      <c r="G1262" s="2" t="str">
        <f t="array" ref="G1262">_xlfn.XLOOKUP(B1262,Vendedores!$A$2:$A$41,Vendedores!$B$2:$B$41,"No hay datos")</f>
        <v>No hay datos</v>
      </c>
      <c r="H1262" s="2" t="str">
        <f t="array" ref="H1262">_xlfn.XLOOKUP(B1262,Vendedores!$A$2:$A$41,Vendedores!$C$2:$C$41,"No hay datos")</f>
        <v>No hay datos</v>
      </c>
      <c r="I1262" s="2" t="str">
        <f t="array" ref="I1262">_xlfn.XLOOKUP(B1262,Vendedores!$A$2:$A$41,Vendedores!$D$2:$D$41,"No hay datos")</f>
        <v>No hay datos</v>
      </c>
      <c r="J1262" s="2" t="str">
        <f t="array" ref="J1262">_xlfn.XLOOKUP(A1262,Productos!$A$2:$A$61,Productos!$B$2:$F$61)</f>
        <v>#N/A</v>
      </c>
    </row>
    <row r="1263">
      <c r="A1263" s="2" t="str">
        <f>IFERROR(__xludf.DUMMYFUNCTION("""COMPUTED_VALUE"""),"PR059")</f>
        <v>PR059</v>
      </c>
      <c r="B1263" s="2" t="str">
        <f>IFERROR(__xludf.DUMMYFUNCTION("""COMPUTED_VALUE"""),"VD047")</f>
        <v>VD047</v>
      </c>
      <c r="C1263" s="2">
        <f>IFERROR(__xludf.DUMMYFUNCTION("""COMPUTED_VALUE"""),12.0)</f>
        <v>12</v>
      </c>
      <c r="D1263" s="6">
        <f>IFERROR(__xludf.DUMMYFUNCTION("""COMPUTED_VALUE"""),2311.2)</f>
        <v>2311.2</v>
      </c>
      <c r="E1263" s="6">
        <f>IFERROR(__xludf.DUMMYFUNCTION("GOOGLEFINANCE(""Currency:BRLMXN"")*D1263"),7851.146399999999)</f>
        <v>7851.1464</v>
      </c>
      <c r="F1263" s="6">
        <f>IFERROR(__xludf.DUMMYFUNCTION("GOOGLEFINANCE(""Currency:BRLPEN"")*D1263"),1515.2227199999998)</f>
        <v>1515.22272</v>
      </c>
      <c r="G1263" s="2" t="str">
        <f t="array" ref="G1263">_xlfn.XLOOKUP(B1263,Vendedores!$A$2:$A$41,Vendedores!$B$2:$B$41,"No hay datos")</f>
        <v>No hay datos</v>
      </c>
      <c r="H1263" s="2" t="str">
        <f t="array" ref="H1263">_xlfn.XLOOKUP(B1263,Vendedores!$A$2:$A$41,Vendedores!$C$2:$C$41,"No hay datos")</f>
        <v>No hay datos</v>
      </c>
      <c r="I1263" s="2" t="str">
        <f t="array" ref="I1263">_xlfn.XLOOKUP(B1263,Vendedores!$A$2:$A$41,Vendedores!$D$2:$D$41,"No hay datos")</f>
        <v>No hay datos</v>
      </c>
      <c r="J1263" s="2" t="str">
        <f t="array" ref="J1263">_xlfn.XLOOKUP(A1263,Productos!$A$2:$A$61,Productos!$B$2:$F$61)</f>
        <v>#N/A</v>
      </c>
    </row>
    <row r="1264">
      <c r="A1264" s="2" t="str">
        <f>IFERROR(__xludf.DUMMYFUNCTION("""COMPUTED_VALUE"""),"PR027")</f>
        <v>PR027</v>
      </c>
      <c r="B1264" s="2" t="str">
        <f>IFERROR(__xludf.DUMMYFUNCTION("""COMPUTED_VALUE"""),"VD026")</f>
        <v>VD026</v>
      </c>
      <c r="C1264" s="2">
        <f>IFERROR(__xludf.DUMMYFUNCTION("""COMPUTED_VALUE"""),1.0)</f>
        <v>1</v>
      </c>
      <c r="D1264" s="6">
        <f>IFERROR(__xludf.DUMMYFUNCTION("""COMPUTED_VALUE"""),127.2)</f>
        <v>127.2</v>
      </c>
      <c r="E1264" s="6">
        <f>IFERROR(__xludf.DUMMYFUNCTION("GOOGLEFINANCE(""Currency:BRLMXN"")*D1264"),432.09839999999997)</f>
        <v>432.0984</v>
      </c>
      <c r="F1264" s="6">
        <f>IFERROR(__xludf.DUMMYFUNCTION("GOOGLEFINANCE(""Currency:BRLPEN"")*D1264"),83.39232)</f>
        <v>83.39232</v>
      </c>
      <c r="G1264" s="2" t="str">
        <f t="array" ref="G1264">_xlfn.XLOOKUP(B1264,Vendedores!$A$2:$A$41,Vendedores!$B$2:$B$41,"No hay datos")</f>
        <v>No hay datos</v>
      </c>
      <c r="H1264" s="2" t="str">
        <f t="array" ref="H1264">_xlfn.XLOOKUP(B1264,Vendedores!$A$2:$A$41,Vendedores!$C$2:$C$41,"No hay datos")</f>
        <v>No hay datos</v>
      </c>
      <c r="I1264" s="2" t="str">
        <f t="array" ref="I1264">_xlfn.XLOOKUP(B1264,Vendedores!$A$2:$A$41,Vendedores!$D$2:$D$41,"No hay datos")</f>
        <v>No hay datos</v>
      </c>
      <c r="J1264" s="2" t="str">
        <f t="array" ref="J1264">_xlfn.XLOOKUP(A1264,Productos!$A$2:$A$61,Productos!$B$2:$F$61)</f>
        <v>#N/A</v>
      </c>
    </row>
    <row r="1265">
      <c r="A1265" s="2" t="str">
        <f>IFERROR(__xludf.DUMMYFUNCTION("""COMPUTED_VALUE"""),"PR011")</f>
        <v>PR011</v>
      </c>
      <c r="B1265" s="2" t="str">
        <f>IFERROR(__xludf.DUMMYFUNCTION("""COMPUTED_VALUE"""),"VD026")</f>
        <v>VD026</v>
      </c>
      <c r="C1265" s="2">
        <f>IFERROR(__xludf.DUMMYFUNCTION("""COMPUTED_VALUE"""),6.0)</f>
        <v>6</v>
      </c>
      <c r="D1265" s="6">
        <f>IFERROR(__xludf.DUMMYFUNCTION("""COMPUTED_VALUE"""),284.21)</f>
        <v>284.21</v>
      </c>
      <c r="E1265" s="6">
        <f>IFERROR(__xludf.DUMMYFUNCTION("GOOGLEFINANCE(""Currency:BRLMXN"")*D1265"),965.4613699999999)</f>
        <v>965.46137</v>
      </c>
      <c r="F1265" s="6">
        <f>IFERROR(__xludf.DUMMYFUNCTION("GOOGLEFINANCE(""Currency:BRLPEN"")*D1265"),186.32807599999998)</f>
        <v>186.328076</v>
      </c>
      <c r="G1265" s="2" t="str">
        <f t="array" ref="G1265">_xlfn.XLOOKUP(B1265,Vendedores!$A$2:$A$41,Vendedores!$B$2:$B$41,"No hay datos")</f>
        <v>No hay datos</v>
      </c>
      <c r="H1265" s="2" t="str">
        <f t="array" ref="H1265">_xlfn.XLOOKUP(B1265,Vendedores!$A$2:$A$41,Vendedores!$C$2:$C$41,"No hay datos")</f>
        <v>No hay datos</v>
      </c>
      <c r="I1265" s="2" t="str">
        <f t="array" ref="I1265">_xlfn.XLOOKUP(B1265,Vendedores!$A$2:$A$41,Vendedores!$D$2:$D$41,"No hay datos")</f>
        <v>No hay datos</v>
      </c>
      <c r="J1265" s="2" t="str">
        <f t="array" ref="J1265">_xlfn.XLOOKUP(A1265,Productos!$A$2:$A$61,Productos!$B$2:$F$61)</f>
        <v>#N/A</v>
      </c>
    </row>
    <row r="1266">
      <c r="A1266" s="2" t="str">
        <f>IFERROR(__xludf.DUMMYFUNCTION("""COMPUTED_VALUE"""),"PR017")</f>
        <v>PR017</v>
      </c>
      <c r="B1266" s="2" t="str">
        <f>IFERROR(__xludf.DUMMYFUNCTION("""COMPUTED_VALUE"""),"VD033")</f>
        <v>VD033</v>
      </c>
      <c r="C1266" s="2">
        <f>IFERROR(__xludf.DUMMYFUNCTION("""COMPUTED_VALUE"""),6.0)</f>
        <v>6</v>
      </c>
      <c r="D1266" s="6">
        <f>IFERROR(__xludf.DUMMYFUNCTION("""COMPUTED_VALUE"""),188.37)</f>
        <v>188.37</v>
      </c>
      <c r="E1266" s="6">
        <f>IFERROR(__xludf.DUMMYFUNCTION("GOOGLEFINANCE(""Currency:BRLMXN"")*D1266"),639.89289)</f>
        <v>639.89289</v>
      </c>
      <c r="F1266" s="6">
        <f>IFERROR(__xludf.DUMMYFUNCTION("GOOGLEFINANCE(""Currency:BRLPEN"")*D1266"),123.49537199999999)</f>
        <v>123.495372</v>
      </c>
      <c r="G1266" s="2" t="str">
        <f t="array" ref="G1266">_xlfn.XLOOKUP(B1266,Vendedores!$A$2:$A$41,Vendedores!$B$2:$B$41,"No hay datos")</f>
        <v>No hay datos</v>
      </c>
      <c r="H1266" s="2" t="str">
        <f t="array" ref="H1266">_xlfn.XLOOKUP(B1266,Vendedores!$A$2:$A$41,Vendedores!$C$2:$C$41,"No hay datos")</f>
        <v>No hay datos</v>
      </c>
      <c r="I1266" s="2" t="str">
        <f t="array" ref="I1266">_xlfn.XLOOKUP(B1266,Vendedores!$A$2:$A$41,Vendedores!$D$2:$D$41,"No hay datos")</f>
        <v>No hay datos</v>
      </c>
      <c r="J1266" s="2" t="str">
        <f t="array" ref="J1266">_xlfn.XLOOKUP(A1266,Productos!$A$2:$A$61,Productos!$B$2:$F$61)</f>
        <v>#N/A</v>
      </c>
    </row>
    <row r="1267">
      <c r="A1267" s="2" t="str">
        <f>IFERROR(__xludf.DUMMYFUNCTION("""COMPUTED_VALUE"""),"PR003")</f>
        <v>PR003</v>
      </c>
      <c r="B1267" s="2" t="str">
        <f>IFERROR(__xludf.DUMMYFUNCTION("""COMPUTED_VALUE"""),"VD015")</f>
        <v>VD015</v>
      </c>
      <c r="C1267" s="2">
        <f>IFERROR(__xludf.DUMMYFUNCTION("""COMPUTED_VALUE"""),3.0)</f>
        <v>3</v>
      </c>
      <c r="D1267" s="6">
        <f>IFERROR(__xludf.DUMMYFUNCTION("""COMPUTED_VALUE"""),212.7)</f>
        <v>212.7</v>
      </c>
      <c r="E1267" s="6">
        <f>IFERROR(__xludf.DUMMYFUNCTION("GOOGLEFINANCE(""Currency:BRLMXN"")*D1267"),722.5418999999999)</f>
        <v>722.5419</v>
      </c>
      <c r="F1267" s="6">
        <f>IFERROR(__xludf.DUMMYFUNCTION("GOOGLEFINANCE(""Currency:BRLPEN"")*D1267"),139.44611999999998)</f>
        <v>139.44612</v>
      </c>
      <c r="G1267" s="2" t="str">
        <f t="array" ref="G1267">_xlfn.XLOOKUP(B1267,Vendedores!$A$2:$A$41,Vendedores!$B$2:$B$41,"No hay datos")</f>
        <v>No hay datos</v>
      </c>
      <c r="H1267" s="2" t="str">
        <f t="array" ref="H1267">_xlfn.XLOOKUP(B1267,Vendedores!$A$2:$A$41,Vendedores!$C$2:$C$41,"No hay datos")</f>
        <v>No hay datos</v>
      </c>
      <c r="I1267" s="2" t="str">
        <f t="array" ref="I1267">_xlfn.XLOOKUP(B1267,Vendedores!$A$2:$A$41,Vendedores!$D$2:$D$41,"No hay datos")</f>
        <v>No hay datos</v>
      </c>
      <c r="J1267" s="2" t="str">
        <f t="array" ref="J1267">_xlfn.XLOOKUP(A1267,Productos!$A$2:$A$61,Productos!$B$2:$F$61)</f>
        <v>#N/A</v>
      </c>
    </row>
    <row r="1268">
      <c r="A1268" s="2" t="str">
        <f>IFERROR(__xludf.DUMMYFUNCTION("""COMPUTED_VALUE"""),"PR017")</f>
        <v>PR017</v>
      </c>
      <c r="B1268" s="2" t="str">
        <f>IFERROR(__xludf.DUMMYFUNCTION("""COMPUTED_VALUE"""),"VD017")</f>
        <v>VD017</v>
      </c>
      <c r="C1268" s="2">
        <f>IFERROR(__xludf.DUMMYFUNCTION("""COMPUTED_VALUE"""),10.0)</f>
        <v>10</v>
      </c>
      <c r="D1268" s="6">
        <f>IFERROR(__xludf.DUMMYFUNCTION("""COMPUTED_VALUE"""),307.97)</f>
        <v>307.97</v>
      </c>
      <c r="E1268" s="6">
        <f>IFERROR(__xludf.DUMMYFUNCTION("GOOGLEFINANCE(""Currency:BRLMXN"")*D1268"),1046.17409)</f>
        <v>1046.17409</v>
      </c>
      <c r="F1268" s="6">
        <f>IFERROR(__xludf.DUMMYFUNCTION("GOOGLEFINANCE(""Currency:BRLPEN"")*D1268"),201.905132)</f>
        <v>201.905132</v>
      </c>
      <c r="G1268" s="2" t="str">
        <f t="array" ref="G1268">_xlfn.XLOOKUP(B1268,Vendedores!$A$2:$A$41,Vendedores!$B$2:$B$41,"No hay datos")</f>
        <v>No hay datos</v>
      </c>
      <c r="H1268" s="2" t="str">
        <f t="array" ref="H1268">_xlfn.XLOOKUP(B1268,Vendedores!$A$2:$A$41,Vendedores!$C$2:$C$41,"No hay datos")</f>
        <v>No hay datos</v>
      </c>
      <c r="I1268" s="2" t="str">
        <f t="array" ref="I1268">_xlfn.XLOOKUP(B1268,Vendedores!$A$2:$A$41,Vendedores!$D$2:$D$41,"No hay datos")</f>
        <v>No hay datos</v>
      </c>
      <c r="J1268" s="2" t="str">
        <f t="array" ref="J1268">_xlfn.XLOOKUP(A1268,Productos!$A$2:$A$61,Productos!$B$2:$F$61)</f>
        <v>#N/A</v>
      </c>
    </row>
    <row r="1269">
      <c r="A1269" s="2" t="str">
        <f>IFERROR(__xludf.DUMMYFUNCTION("""COMPUTED_VALUE"""),"PR011")</f>
        <v>PR011</v>
      </c>
      <c r="B1269" s="2" t="str">
        <f>IFERROR(__xludf.DUMMYFUNCTION("""COMPUTED_VALUE"""),"VD037")</f>
        <v>VD037</v>
      </c>
      <c r="C1269" s="2">
        <f>IFERROR(__xludf.DUMMYFUNCTION("""COMPUTED_VALUE"""),10.0)</f>
        <v>10</v>
      </c>
      <c r="D1269" s="6">
        <f>IFERROR(__xludf.DUMMYFUNCTION("""COMPUTED_VALUE"""),492.45)</f>
        <v>492.45</v>
      </c>
      <c r="E1269" s="6">
        <f>IFERROR(__xludf.DUMMYFUNCTION("GOOGLEFINANCE(""Currency:BRLMXN"")*D1269"),1672.8526499999998)</f>
        <v>1672.85265</v>
      </c>
      <c r="F1269" s="6">
        <f>IFERROR(__xludf.DUMMYFUNCTION("GOOGLEFINANCE(""Currency:BRLPEN"")*D1269"),322.85022)</f>
        <v>322.85022</v>
      </c>
      <c r="G1269" s="2" t="str">
        <f t="array" ref="G1269">_xlfn.XLOOKUP(B1269,Vendedores!$A$2:$A$41,Vendedores!$B$2:$B$41,"No hay datos")</f>
        <v>No hay datos</v>
      </c>
      <c r="H1269" s="2" t="str">
        <f t="array" ref="H1269">_xlfn.XLOOKUP(B1269,Vendedores!$A$2:$A$41,Vendedores!$C$2:$C$41,"No hay datos")</f>
        <v>No hay datos</v>
      </c>
      <c r="I1269" s="2" t="str">
        <f t="array" ref="I1269">_xlfn.XLOOKUP(B1269,Vendedores!$A$2:$A$41,Vendedores!$D$2:$D$41,"No hay datos")</f>
        <v>No hay datos</v>
      </c>
      <c r="J1269" s="2" t="str">
        <f t="array" ref="J1269">_xlfn.XLOOKUP(A1269,Productos!$A$2:$A$61,Productos!$B$2:$F$61)</f>
        <v>#N/A</v>
      </c>
    </row>
    <row r="1270">
      <c r="A1270" s="2" t="str">
        <f>IFERROR(__xludf.DUMMYFUNCTION("""COMPUTED_VALUE"""),"PR031")</f>
        <v>PR031</v>
      </c>
      <c r="B1270" s="2" t="str">
        <f>IFERROR(__xludf.DUMMYFUNCTION("""COMPUTED_VALUE"""),"VD024")</f>
        <v>VD024</v>
      </c>
      <c r="C1270" s="2">
        <f>IFERROR(__xludf.DUMMYFUNCTION("""COMPUTED_VALUE"""),4.0)</f>
        <v>4</v>
      </c>
      <c r="D1270" s="6">
        <f>IFERROR(__xludf.DUMMYFUNCTION("""COMPUTED_VALUE"""),1019.2)</f>
        <v>1019.2</v>
      </c>
      <c r="E1270" s="6">
        <f>IFERROR(__xludf.DUMMYFUNCTION("GOOGLEFINANCE(""Currency:BRLMXN"")*D1270"),3462.2224)</f>
        <v>3462.2224</v>
      </c>
      <c r="F1270" s="6">
        <f>IFERROR(__xludf.DUMMYFUNCTION("GOOGLEFINANCE(""Currency:BRLPEN"")*D1270"),668.18752)</f>
        <v>668.18752</v>
      </c>
      <c r="G1270" s="2" t="str">
        <f t="array" ref="G1270">_xlfn.XLOOKUP(B1270,Vendedores!$A$2:$A$41,Vendedores!$B$2:$B$41,"No hay datos")</f>
        <v>No hay datos</v>
      </c>
      <c r="H1270" s="2" t="str">
        <f t="array" ref="H1270">_xlfn.XLOOKUP(B1270,Vendedores!$A$2:$A$41,Vendedores!$C$2:$C$41,"No hay datos")</f>
        <v>No hay datos</v>
      </c>
      <c r="I1270" s="2" t="str">
        <f t="array" ref="I1270">_xlfn.XLOOKUP(B1270,Vendedores!$A$2:$A$41,Vendedores!$D$2:$D$41,"No hay datos")</f>
        <v>No hay datos</v>
      </c>
      <c r="J1270" s="2" t="str">
        <f t="array" ref="J1270">_xlfn.XLOOKUP(A1270,Productos!$A$2:$A$61,Productos!$B$2:$F$61)</f>
        <v>#N/A</v>
      </c>
    </row>
    <row r="1271">
      <c r="A1271" s="2" t="str">
        <f>IFERROR(__xludf.DUMMYFUNCTION("""COMPUTED_VALUE"""),"PR011")</f>
        <v>PR011</v>
      </c>
      <c r="B1271" s="2" t="str">
        <f>IFERROR(__xludf.DUMMYFUNCTION("""COMPUTED_VALUE"""),"VD030")</f>
        <v>VD030</v>
      </c>
      <c r="C1271" s="2">
        <f>IFERROR(__xludf.DUMMYFUNCTION("""COMPUTED_VALUE"""),16.0)</f>
        <v>16</v>
      </c>
      <c r="D1271" s="6">
        <f>IFERROR(__xludf.DUMMYFUNCTION("""COMPUTED_VALUE"""),825.44)</f>
        <v>825.44</v>
      </c>
      <c r="E1271" s="6">
        <f>IFERROR(__xludf.DUMMYFUNCTION("GOOGLEFINANCE(""Currency:BRLMXN"")*D1271"),2804.01968)</f>
        <v>2804.01968</v>
      </c>
      <c r="F1271" s="6">
        <f>IFERROR(__xludf.DUMMYFUNCTION("GOOGLEFINANCE(""Currency:BRLPEN"")*D1271"),541.158464)</f>
        <v>541.158464</v>
      </c>
      <c r="G1271" s="2" t="str">
        <f t="array" ref="G1271">_xlfn.XLOOKUP(B1271,Vendedores!$A$2:$A$41,Vendedores!$B$2:$B$41,"No hay datos")</f>
        <v>No hay datos</v>
      </c>
      <c r="H1271" s="2" t="str">
        <f t="array" ref="H1271">_xlfn.XLOOKUP(B1271,Vendedores!$A$2:$A$41,Vendedores!$C$2:$C$41,"No hay datos")</f>
        <v>No hay datos</v>
      </c>
      <c r="I1271" s="2" t="str">
        <f t="array" ref="I1271">_xlfn.XLOOKUP(B1271,Vendedores!$A$2:$A$41,Vendedores!$D$2:$D$41,"No hay datos")</f>
        <v>No hay datos</v>
      </c>
      <c r="J1271" s="2" t="str">
        <f t="array" ref="J1271">_xlfn.XLOOKUP(A1271,Productos!$A$2:$A$61,Productos!$B$2:$F$61)</f>
        <v>#N/A</v>
      </c>
    </row>
    <row r="1272">
      <c r="A1272" s="2" t="str">
        <f>IFERROR(__xludf.DUMMYFUNCTION("""COMPUTED_VALUE"""),"PR035")</f>
        <v>PR035</v>
      </c>
      <c r="B1272" s="2" t="str">
        <f>IFERROR(__xludf.DUMMYFUNCTION("""COMPUTED_VALUE"""),"VD025")</f>
        <v>VD025</v>
      </c>
      <c r="C1272" s="2">
        <f>IFERROR(__xludf.DUMMYFUNCTION("""COMPUTED_VALUE"""),9.0)</f>
        <v>9</v>
      </c>
      <c r="D1272" s="6">
        <f>IFERROR(__xludf.DUMMYFUNCTION("""COMPUTED_VALUE"""),888.41)</f>
        <v>888.41</v>
      </c>
      <c r="E1272" s="6">
        <f>IFERROR(__xludf.DUMMYFUNCTION("GOOGLEFINANCE(""Currency:BRLMXN"")*D1272"),3017.9287699999995)</f>
        <v>3017.92877</v>
      </c>
      <c r="F1272" s="6">
        <f>IFERROR(__xludf.DUMMYFUNCTION("GOOGLEFINANCE(""Currency:BRLPEN"")*D1272"),582.4415959999999)</f>
        <v>582.441596</v>
      </c>
      <c r="G1272" s="2" t="str">
        <f t="array" ref="G1272">_xlfn.XLOOKUP(B1272,Vendedores!$A$2:$A$41,Vendedores!$B$2:$B$41,"No hay datos")</f>
        <v>No hay datos</v>
      </c>
      <c r="H1272" s="2" t="str">
        <f t="array" ref="H1272">_xlfn.XLOOKUP(B1272,Vendedores!$A$2:$A$41,Vendedores!$C$2:$C$41,"No hay datos")</f>
        <v>No hay datos</v>
      </c>
      <c r="I1272" s="2" t="str">
        <f t="array" ref="I1272">_xlfn.XLOOKUP(B1272,Vendedores!$A$2:$A$41,Vendedores!$D$2:$D$41,"No hay datos")</f>
        <v>No hay datos</v>
      </c>
      <c r="J1272" s="2" t="str">
        <f t="array" ref="J1272">_xlfn.XLOOKUP(A1272,Productos!$A$2:$A$61,Productos!$B$2:$F$61)</f>
        <v>#N/A</v>
      </c>
    </row>
    <row r="1273">
      <c r="A1273" s="2" t="str">
        <f>IFERROR(__xludf.DUMMYFUNCTION("""COMPUTED_VALUE"""),"PR043")</f>
        <v>PR043</v>
      </c>
      <c r="B1273" s="2" t="str">
        <f>IFERROR(__xludf.DUMMYFUNCTION("""COMPUTED_VALUE"""),"VD030")</f>
        <v>VD030</v>
      </c>
      <c r="C1273" s="2">
        <f>IFERROR(__xludf.DUMMYFUNCTION("""COMPUTED_VALUE"""),20.0)</f>
        <v>20</v>
      </c>
      <c r="D1273" s="6">
        <f>IFERROR(__xludf.DUMMYFUNCTION("""COMPUTED_VALUE"""),1464.5)</f>
        <v>1464.5</v>
      </c>
      <c r="E1273" s="6">
        <f>IFERROR(__xludf.DUMMYFUNCTION("GOOGLEFINANCE(""Currency:BRLMXN"")*D1273"),4974.9065)</f>
        <v>4974.9065</v>
      </c>
      <c r="F1273" s="6">
        <f>IFERROR(__xludf.DUMMYFUNCTION("GOOGLEFINANCE(""Currency:BRLPEN"")*D1273"),960.1261999999999)</f>
        <v>960.1262</v>
      </c>
      <c r="G1273" s="2" t="str">
        <f t="array" ref="G1273">_xlfn.XLOOKUP(B1273,Vendedores!$A$2:$A$41,Vendedores!$B$2:$B$41,"No hay datos")</f>
        <v>No hay datos</v>
      </c>
      <c r="H1273" s="2" t="str">
        <f t="array" ref="H1273">_xlfn.XLOOKUP(B1273,Vendedores!$A$2:$A$41,Vendedores!$C$2:$C$41,"No hay datos")</f>
        <v>No hay datos</v>
      </c>
      <c r="I1273" s="2" t="str">
        <f t="array" ref="I1273">_xlfn.XLOOKUP(B1273,Vendedores!$A$2:$A$41,Vendedores!$D$2:$D$41,"No hay datos")</f>
        <v>No hay datos</v>
      </c>
      <c r="J1273" s="2" t="str">
        <f t="array" ref="J1273">_xlfn.XLOOKUP(A1273,Productos!$A$2:$A$61,Productos!$B$2:$F$61)</f>
        <v>#N/A</v>
      </c>
    </row>
    <row r="1274">
      <c r="A1274" s="2" t="str">
        <f>IFERROR(__xludf.DUMMYFUNCTION("""COMPUTED_VALUE"""),"PR060")</f>
        <v>PR060</v>
      </c>
      <c r="B1274" s="2" t="str">
        <f>IFERROR(__xludf.DUMMYFUNCTION("""COMPUTED_VALUE"""),"VD017")</f>
        <v>VD017</v>
      </c>
      <c r="C1274" s="2">
        <f>IFERROR(__xludf.DUMMYFUNCTION("""COMPUTED_VALUE"""),7.0)</f>
        <v>7</v>
      </c>
      <c r="D1274" s="6">
        <f>IFERROR(__xludf.DUMMYFUNCTION("""COMPUTED_VALUE"""),1373.4)</f>
        <v>1373.4</v>
      </c>
      <c r="E1274" s="6">
        <f>IFERROR(__xludf.DUMMYFUNCTION("GOOGLEFINANCE(""Currency:BRLMXN"")*D1274"),4665.4398)</f>
        <v>4665.4398</v>
      </c>
      <c r="F1274" s="6">
        <f>IFERROR(__xludf.DUMMYFUNCTION("GOOGLEFINANCE(""Currency:BRLPEN"")*D1274"),900.40104)</f>
        <v>900.40104</v>
      </c>
      <c r="G1274" s="2" t="str">
        <f t="array" ref="G1274">_xlfn.XLOOKUP(B1274,Vendedores!$A$2:$A$41,Vendedores!$B$2:$B$41,"No hay datos")</f>
        <v>No hay datos</v>
      </c>
      <c r="H1274" s="2" t="str">
        <f t="array" ref="H1274">_xlfn.XLOOKUP(B1274,Vendedores!$A$2:$A$41,Vendedores!$C$2:$C$41,"No hay datos")</f>
        <v>No hay datos</v>
      </c>
      <c r="I1274" s="2" t="str">
        <f t="array" ref="I1274">_xlfn.XLOOKUP(B1274,Vendedores!$A$2:$A$41,Vendedores!$D$2:$D$41,"No hay datos")</f>
        <v>No hay datos</v>
      </c>
      <c r="J1274" s="2" t="str">
        <f t="array" ref="J1274">_xlfn.XLOOKUP(A1274,Productos!$A$2:$A$61,Productos!$B$2:$F$61)</f>
        <v>#N/A</v>
      </c>
    </row>
    <row r="1275">
      <c r="A1275" s="2" t="str">
        <f>IFERROR(__xludf.DUMMYFUNCTION("""COMPUTED_VALUE"""),"PR026")</f>
        <v>PR026</v>
      </c>
      <c r="B1275" s="2" t="str">
        <f>IFERROR(__xludf.DUMMYFUNCTION("""COMPUTED_VALUE"""),"VD049")</f>
        <v>VD049</v>
      </c>
      <c r="C1275" s="2">
        <f>IFERROR(__xludf.DUMMYFUNCTION("""COMPUTED_VALUE"""),14.0)</f>
        <v>14</v>
      </c>
      <c r="D1275" s="6">
        <f>IFERROR(__xludf.DUMMYFUNCTION("""COMPUTED_VALUE"""),5094.54)</f>
        <v>5094.54</v>
      </c>
      <c r="E1275" s="6">
        <f>IFERROR(__xludf.DUMMYFUNCTION("GOOGLEFINANCE(""Currency:BRLMXN"")*D1275"),17306.15238)</f>
        <v>17306.15238</v>
      </c>
      <c r="F1275" s="6">
        <f>IFERROR(__xludf.DUMMYFUNCTION("GOOGLEFINANCE(""Currency:BRLPEN"")*D1275"),3339.980424)</f>
        <v>3339.980424</v>
      </c>
      <c r="G1275" s="2" t="str">
        <f t="array" ref="G1275">_xlfn.XLOOKUP(B1275,Vendedores!$A$2:$A$41,Vendedores!$B$2:$B$41,"No hay datos")</f>
        <v>No hay datos</v>
      </c>
      <c r="H1275" s="2" t="str">
        <f t="array" ref="H1275">_xlfn.XLOOKUP(B1275,Vendedores!$A$2:$A$41,Vendedores!$C$2:$C$41,"No hay datos")</f>
        <v>No hay datos</v>
      </c>
      <c r="I1275" s="2" t="str">
        <f t="array" ref="I1275">_xlfn.XLOOKUP(B1275,Vendedores!$A$2:$A$41,Vendedores!$D$2:$D$41,"No hay datos")</f>
        <v>No hay datos</v>
      </c>
      <c r="J1275" s="2" t="str">
        <f t="array" ref="J1275">_xlfn.XLOOKUP(A1275,Productos!$A$2:$A$61,Productos!$B$2:$F$61)</f>
        <v>#N/A</v>
      </c>
    </row>
    <row r="1276">
      <c r="A1276" s="2" t="str">
        <f>IFERROR(__xludf.DUMMYFUNCTION("""COMPUTED_VALUE"""),"PR040")</f>
        <v>PR040</v>
      </c>
      <c r="B1276" s="2" t="str">
        <f>IFERROR(__xludf.DUMMYFUNCTION("""COMPUTED_VALUE"""),"VD026")</f>
        <v>VD026</v>
      </c>
      <c r="C1276" s="2">
        <f>IFERROR(__xludf.DUMMYFUNCTION("""COMPUTED_VALUE"""),1.0)</f>
        <v>1</v>
      </c>
      <c r="D1276" s="6">
        <f>IFERROR(__xludf.DUMMYFUNCTION("""COMPUTED_VALUE"""),74.2)</f>
        <v>74.2</v>
      </c>
      <c r="E1276" s="6">
        <f>IFERROR(__xludf.DUMMYFUNCTION("GOOGLEFINANCE(""Currency:BRLMXN"")*D1276"),252.0574)</f>
        <v>252.0574</v>
      </c>
      <c r="F1276" s="6">
        <f>IFERROR(__xludf.DUMMYFUNCTION("GOOGLEFINANCE(""Currency:BRLPEN"")*D1276"),48.64552)</f>
        <v>48.64552</v>
      </c>
      <c r="G1276" s="2" t="str">
        <f t="array" ref="G1276">_xlfn.XLOOKUP(B1276,Vendedores!$A$2:$A$41,Vendedores!$B$2:$B$41,"No hay datos")</f>
        <v>No hay datos</v>
      </c>
      <c r="H1276" s="2" t="str">
        <f t="array" ref="H1276">_xlfn.XLOOKUP(B1276,Vendedores!$A$2:$A$41,Vendedores!$C$2:$C$41,"No hay datos")</f>
        <v>No hay datos</v>
      </c>
      <c r="I1276" s="2" t="str">
        <f t="array" ref="I1276">_xlfn.XLOOKUP(B1276,Vendedores!$A$2:$A$41,Vendedores!$D$2:$D$41,"No hay datos")</f>
        <v>No hay datos</v>
      </c>
      <c r="J1276" s="2" t="str">
        <f t="array" ref="J1276">_xlfn.XLOOKUP(A1276,Productos!$A$2:$A$61,Productos!$B$2:$F$61)</f>
        <v>#N/A</v>
      </c>
    </row>
    <row r="1277">
      <c r="A1277" s="2" t="str">
        <f>IFERROR(__xludf.DUMMYFUNCTION("""COMPUTED_VALUE"""),"PR029")</f>
        <v>PR029</v>
      </c>
      <c r="B1277" s="2" t="str">
        <f>IFERROR(__xludf.DUMMYFUNCTION("""COMPUTED_VALUE"""),"VD024")</f>
        <v>VD024</v>
      </c>
      <c r="C1277" s="2">
        <f>IFERROR(__xludf.DUMMYFUNCTION("""COMPUTED_VALUE"""),9.0)</f>
        <v>9</v>
      </c>
      <c r="D1277" s="6">
        <f>IFERROR(__xludf.DUMMYFUNCTION("""COMPUTED_VALUE"""),2363.85)</f>
        <v>2363.85</v>
      </c>
      <c r="E1277" s="6">
        <f>IFERROR(__xludf.DUMMYFUNCTION("GOOGLEFINANCE(""Currency:BRLMXN"")*D1277"),8029.998449999999)</f>
        <v>8029.99845</v>
      </c>
      <c r="F1277" s="6">
        <f>IFERROR(__xludf.DUMMYFUNCTION("GOOGLEFINANCE(""Currency:BRLPEN"")*D1277"),1549.7400599999999)</f>
        <v>1549.74006</v>
      </c>
      <c r="G1277" s="2" t="str">
        <f t="array" ref="G1277">_xlfn.XLOOKUP(B1277,Vendedores!$A$2:$A$41,Vendedores!$B$2:$B$41,"No hay datos")</f>
        <v>No hay datos</v>
      </c>
      <c r="H1277" s="2" t="str">
        <f t="array" ref="H1277">_xlfn.XLOOKUP(B1277,Vendedores!$A$2:$A$41,Vendedores!$C$2:$C$41,"No hay datos")</f>
        <v>No hay datos</v>
      </c>
      <c r="I1277" s="2" t="str">
        <f t="array" ref="I1277">_xlfn.XLOOKUP(B1277,Vendedores!$A$2:$A$41,Vendedores!$D$2:$D$41,"No hay datos")</f>
        <v>No hay datos</v>
      </c>
      <c r="J1277" s="2" t="str">
        <f t="array" ref="J1277">_xlfn.XLOOKUP(A1277,Productos!$A$2:$A$61,Productos!$B$2:$F$61)</f>
        <v>#N/A</v>
      </c>
    </row>
    <row r="1278">
      <c r="A1278" s="2" t="str">
        <f>IFERROR(__xludf.DUMMYFUNCTION("""COMPUTED_VALUE"""),"PR002")</f>
        <v>PR002</v>
      </c>
      <c r="B1278" s="2" t="str">
        <f>IFERROR(__xludf.DUMMYFUNCTION("""COMPUTED_VALUE"""),"VD040")</f>
        <v>VD040</v>
      </c>
      <c r="C1278" s="2">
        <f>IFERROR(__xludf.DUMMYFUNCTION("""COMPUTED_VALUE"""),8.0)</f>
        <v>8</v>
      </c>
      <c r="D1278" s="6">
        <f>IFERROR(__xludf.DUMMYFUNCTION("""COMPUTED_VALUE"""),570.38)</f>
        <v>570.38</v>
      </c>
      <c r="E1278" s="6">
        <f>IFERROR(__xludf.DUMMYFUNCTION("GOOGLEFINANCE(""Currency:BRLMXN"")*D1278"),1937.5808599999998)</f>
        <v>1937.58086</v>
      </c>
      <c r="F1278" s="6">
        <f>IFERROR(__xludf.DUMMYFUNCTION("GOOGLEFINANCE(""Currency:BRLPEN"")*D1278"),373.941128)</f>
        <v>373.941128</v>
      </c>
      <c r="G1278" s="2" t="str">
        <f t="array" ref="G1278">_xlfn.XLOOKUP(B1278,Vendedores!$A$2:$A$41,Vendedores!$B$2:$B$41,"No hay datos")</f>
        <v>No hay datos</v>
      </c>
      <c r="H1278" s="2" t="str">
        <f t="array" ref="H1278">_xlfn.XLOOKUP(B1278,Vendedores!$A$2:$A$41,Vendedores!$C$2:$C$41,"No hay datos")</f>
        <v>No hay datos</v>
      </c>
      <c r="I1278" s="2" t="str">
        <f t="array" ref="I1278">_xlfn.XLOOKUP(B1278,Vendedores!$A$2:$A$41,Vendedores!$D$2:$D$41,"No hay datos")</f>
        <v>No hay datos</v>
      </c>
      <c r="J1278" s="2" t="str">
        <f t="array" ref="J1278">_xlfn.XLOOKUP(A1278,Productos!$A$2:$A$61,Productos!$B$2:$F$61)</f>
        <v>#N/A</v>
      </c>
    </row>
    <row r="1279">
      <c r="A1279" s="2" t="str">
        <f>IFERROR(__xludf.DUMMYFUNCTION("""COMPUTED_VALUE"""),"PR016")</f>
        <v>PR016</v>
      </c>
      <c r="B1279" s="2" t="str">
        <f>IFERROR(__xludf.DUMMYFUNCTION("""COMPUTED_VALUE"""),"VD026")</f>
        <v>VD026</v>
      </c>
      <c r="C1279" s="2">
        <f>IFERROR(__xludf.DUMMYFUNCTION("""COMPUTED_VALUE"""),10.0)</f>
        <v>10</v>
      </c>
      <c r="D1279" s="6">
        <f>IFERROR(__xludf.DUMMYFUNCTION("""COMPUTED_VALUE"""),259.0)</f>
        <v>259</v>
      </c>
      <c r="E1279" s="6">
        <f>IFERROR(__xludf.DUMMYFUNCTION("GOOGLEFINANCE(""Currency:BRLMXN"")*D1279"),879.823)</f>
        <v>879.823</v>
      </c>
      <c r="F1279" s="6">
        <f>IFERROR(__xludf.DUMMYFUNCTION("GOOGLEFINANCE(""Currency:BRLPEN"")*D1279"),169.8004)</f>
        <v>169.8004</v>
      </c>
      <c r="G1279" s="2" t="str">
        <f t="array" ref="G1279">_xlfn.XLOOKUP(B1279,Vendedores!$A$2:$A$41,Vendedores!$B$2:$B$41,"No hay datos")</f>
        <v>No hay datos</v>
      </c>
      <c r="H1279" s="2" t="str">
        <f t="array" ref="H1279">_xlfn.XLOOKUP(B1279,Vendedores!$A$2:$A$41,Vendedores!$C$2:$C$41,"No hay datos")</f>
        <v>No hay datos</v>
      </c>
      <c r="I1279" s="2" t="str">
        <f t="array" ref="I1279">_xlfn.XLOOKUP(B1279,Vendedores!$A$2:$A$41,Vendedores!$D$2:$D$41,"No hay datos")</f>
        <v>No hay datos</v>
      </c>
      <c r="J1279" s="2" t="str">
        <f t="array" ref="J1279">_xlfn.XLOOKUP(A1279,Productos!$A$2:$A$61,Productos!$B$2:$F$61)</f>
        <v>#N/A</v>
      </c>
    </row>
    <row r="1280">
      <c r="A1280" s="2" t="str">
        <f>IFERROR(__xludf.DUMMYFUNCTION("""COMPUTED_VALUE"""),"PR018")</f>
        <v>PR018</v>
      </c>
      <c r="B1280" s="2" t="str">
        <f>IFERROR(__xludf.DUMMYFUNCTION("""COMPUTED_VALUE"""),"VD029")</f>
        <v>VD029</v>
      </c>
      <c r="C1280" s="2">
        <f>IFERROR(__xludf.DUMMYFUNCTION("""COMPUTED_VALUE"""),9.0)</f>
        <v>9</v>
      </c>
      <c r="D1280" s="6">
        <f>IFERROR(__xludf.DUMMYFUNCTION("""COMPUTED_VALUE"""),307.94)</f>
        <v>307.94</v>
      </c>
      <c r="E1280" s="6">
        <f>IFERROR(__xludf.DUMMYFUNCTION("GOOGLEFINANCE(""Currency:BRLMXN"")*D1280"),1046.07218)</f>
        <v>1046.07218</v>
      </c>
      <c r="F1280" s="6">
        <f>IFERROR(__xludf.DUMMYFUNCTION("GOOGLEFINANCE(""Currency:BRLPEN"")*D1280"),201.88546399999998)</f>
        <v>201.885464</v>
      </c>
      <c r="G1280" s="2" t="str">
        <f t="array" ref="G1280">_xlfn.XLOOKUP(B1280,Vendedores!$A$2:$A$41,Vendedores!$B$2:$B$41,"No hay datos")</f>
        <v>No hay datos</v>
      </c>
      <c r="H1280" s="2" t="str">
        <f t="array" ref="H1280">_xlfn.XLOOKUP(B1280,Vendedores!$A$2:$A$41,Vendedores!$C$2:$C$41,"No hay datos")</f>
        <v>No hay datos</v>
      </c>
      <c r="I1280" s="2" t="str">
        <f t="array" ref="I1280">_xlfn.XLOOKUP(B1280,Vendedores!$A$2:$A$41,Vendedores!$D$2:$D$41,"No hay datos")</f>
        <v>No hay datos</v>
      </c>
      <c r="J1280" s="2" t="str">
        <f t="array" ref="J1280">_xlfn.XLOOKUP(A1280,Productos!$A$2:$A$61,Productos!$B$2:$F$61)</f>
        <v>#N/A</v>
      </c>
    </row>
    <row r="1281">
      <c r="A1281" s="2" t="str">
        <f>IFERROR(__xludf.DUMMYFUNCTION("""COMPUTED_VALUE"""),"PR021")</f>
        <v>PR021</v>
      </c>
      <c r="B1281" s="2" t="str">
        <f>IFERROR(__xludf.DUMMYFUNCTION("""COMPUTED_VALUE"""),"VD010")</f>
        <v>VD010</v>
      </c>
      <c r="C1281" s="2">
        <f>IFERROR(__xludf.DUMMYFUNCTION("""COMPUTED_VALUE"""),3.0)</f>
        <v>3</v>
      </c>
      <c r="D1281" s="6">
        <f>IFERROR(__xludf.DUMMYFUNCTION("""COMPUTED_VALUE"""),935.96)</f>
        <v>935.96</v>
      </c>
      <c r="E1281" s="6">
        <f>IFERROR(__xludf.DUMMYFUNCTION("GOOGLEFINANCE(""Currency:BRLMXN"")*D1281"),3179.45612)</f>
        <v>3179.45612</v>
      </c>
      <c r="F1281" s="6">
        <f>IFERROR(__xludf.DUMMYFUNCTION("GOOGLEFINANCE(""Currency:BRLPEN"")*D1281"),613.615376)</f>
        <v>613.615376</v>
      </c>
      <c r="G1281" s="2" t="str">
        <f t="array" ref="G1281">_xlfn.XLOOKUP(B1281,Vendedores!$A$2:$A$41,Vendedores!$B$2:$B$41,"No hay datos")</f>
        <v>No hay datos</v>
      </c>
      <c r="H1281" s="2" t="str">
        <f t="array" ref="H1281">_xlfn.XLOOKUP(B1281,Vendedores!$A$2:$A$41,Vendedores!$C$2:$C$41,"No hay datos")</f>
        <v>No hay datos</v>
      </c>
      <c r="I1281" s="2" t="str">
        <f t="array" ref="I1281">_xlfn.XLOOKUP(B1281,Vendedores!$A$2:$A$41,Vendedores!$D$2:$D$41,"No hay datos")</f>
        <v>No hay datos</v>
      </c>
      <c r="J1281" s="2" t="str">
        <f t="array" ref="J1281">_xlfn.XLOOKUP(A1281,Productos!$A$2:$A$61,Productos!$B$2:$F$61)</f>
        <v>#N/A</v>
      </c>
    </row>
    <row r="1282">
      <c r="A1282" s="2" t="str">
        <f>IFERROR(__xludf.DUMMYFUNCTION("""COMPUTED_VALUE"""),"PR004")</f>
        <v>PR004</v>
      </c>
      <c r="B1282" s="2" t="str">
        <f>IFERROR(__xludf.DUMMYFUNCTION("""COMPUTED_VALUE"""),"VD041")</f>
        <v>VD041</v>
      </c>
      <c r="C1282" s="2">
        <f>IFERROR(__xludf.DUMMYFUNCTION("""COMPUTED_VALUE"""),12.0)</f>
        <v>12</v>
      </c>
      <c r="D1282" s="6">
        <f>IFERROR(__xludf.DUMMYFUNCTION("""COMPUTED_VALUE"""),1809.6)</f>
        <v>1809.6</v>
      </c>
      <c r="E1282" s="6">
        <f>IFERROR(__xludf.DUMMYFUNCTION("GOOGLEFINANCE(""Currency:BRLMXN"")*D1282"),6147.2112)</f>
        <v>6147.2112</v>
      </c>
      <c r="F1282" s="6">
        <f>IFERROR(__xludf.DUMMYFUNCTION("GOOGLEFINANCE(""Currency:BRLPEN"")*D1282"),1186.37376)</f>
        <v>1186.37376</v>
      </c>
      <c r="G1282" s="2" t="str">
        <f t="array" ref="G1282">_xlfn.XLOOKUP(B1282,Vendedores!$A$2:$A$41,Vendedores!$B$2:$B$41,"No hay datos")</f>
        <v>No hay datos</v>
      </c>
      <c r="H1282" s="2" t="str">
        <f t="array" ref="H1282">_xlfn.XLOOKUP(B1282,Vendedores!$A$2:$A$41,Vendedores!$C$2:$C$41,"No hay datos")</f>
        <v>No hay datos</v>
      </c>
      <c r="I1282" s="2" t="str">
        <f t="array" ref="I1282">_xlfn.XLOOKUP(B1282,Vendedores!$A$2:$A$41,Vendedores!$D$2:$D$41,"No hay datos")</f>
        <v>No hay datos</v>
      </c>
      <c r="J1282" s="2" t="str">
        <f t="array" ref="J1282">_xlfn.XLOOKUP(A1282,Productos!$A$2:$A$61,Productos!$B$2:$F$61)</f>
        <v>#N/A</v>
      </c>
    </row>
    <row r="1283">
      <c r="A1283" s="2" t="str">
        <f>IFERROR(__xludf.DUMMYFUNCTION("""COMPUTED_VALUE"""),"PR044")</f>
        <v>PR044</v>
      </c>
      <c r="B1283" s="2" t="str">
        <f>IFERROR(__xludf.DUMMYFUNCTION("""COMPUTED_VALUE"""),"VD039")</f>
        <v>VD039</v>
      </c>
      <c r="C1283" s="2">
        <f>IFERROR(__xludf.DUMMYFUNCTION("""COMPUTED_VALUE"""),5.0)</f>
        <v>5</v>
      </c>
      <c r="D1283" s="6">
        <f>IFERROR(__xludf.DUMMYFUNCTION("""COMPUTED_VALUE"""),387.88)</f>
        <v>387.88</v>
      </c>
      <c r="E1283" s="6">
        <f>IFERROR(__xludf.DUMMYFUNCTION("GOOGLEFINANCE(""Currency:BRLMXN"")*D1283"),1317.62836)</f>
        <v>1317.62836</v>
      </c>
      <c r="F1283" s="6">
        <f>IFERROR(__xludf.DUMMYFUNCTION("GOOGLEFINANCE(""Currency:BRLPEN"")*D1283"),254.29412799999997)</f>
        <v>254.294128</v>
      </c>
      <c r="G1283" s="2" t="str">
        <f t="array" ref="G1283">_xlfn.XLOOKUP(B1283,Vendedores!$A$2:$A$41,Vendedores!$B$2:$B$41,"No hay datos")</f>
        <v>No hay datos</v>
      </c>
      <c r="H1283" s="2" t="str">
        <f t="array" ref="H1283">_xlfn.XLOOKUP(B1283,Vendedores!$A$2:$A$41,Vendedores!$C$2:$C$41,"No hay datos")</f>
        <v>No hay datos</v>
      </c>
      <c r="I1283" s="2" t="str">
        <f t="array" ref="I1283">_xlfn.XLOOKUP(B1283,Vendedores!$A$2:$A$41,Vendedores!$D$2:$D$41,"No hay datos")</f>
        <v>No hay datos</v>
      </c>
      <c r="J1283" s="2" t="str">
        <f t="array" ref="J1283">_xlfn.XLOOKUP(A1283,Productos!$A$2:$A$61,Productos!$B$2:$F$61)</f>
        <v>#N/A</v>
      </c>
    </row>
    <row r="1284">
      <c r="A1284" s="2" t="str">
        <f>IFERROR(__xludf.DUMMYFUNCTION("""COMPUTED_VALUE"""),"PR028")</f>
        <v>PR028</v>
      </c>
      <c r="B1284" s="2" t="str">
        <f>IFERROR(__xludf.DUMMYFUNCTION("""COMPUTED_VALUE"""),"VD026")</f>
        <v>VD026</v>
      </c>
      <c r="C1284" s="2">
        <f>IFERROR(__xludf.DUMMYFUNCTION("""COMPUTED_VALUE"""),1.0)</f>
        <v>1</v>
      </c>
      <c r="D1284" s="6">
        <f>IFERROR(__xludf.DUMMYFUNCTION("""COMPUTED_VALUE"""),259.9)</f>
        <v>259.9</v>
      </c>
      <c r="E1284" s="6">
        <f>IFERROR(__xludf.DUMMYFUNCTION("GOOGLEFINANCE(""Currency:BRLMXN"")*D1284"),882.8802999999999)</f>
        <v>882.8803</v>
      </c>
      <c r="F1284" s="6">
        <f>IFERROR(__xludf.DUMMYFUNCTION("GOOGLEFINANCE(""Currency:BRLPEN"")*D1284"),170.39043999999998)</f>
        <v>170.39044</v>
      </c>
      <c r="G1284" s="2" t="str">
        <f t="array" ref="G1284">_xlfn.XLOOKUP(B1284,Vendedores!$A$2:$A$41,Vendedores!$B$2:$B$41,"No hay datos")</f>
        <v>No hay datos</v>
      </c>
      <c r="H1284" s="2" t="str">
        <f t="array" ref="H1284">_xlfn.XLOOKUP(B1284,Vendedores!$A$2:$A$41,Vendedores!$C$2:$C$41,"No hay datos")</f>
        <v>No hay datos</v>
      </c>
      <c r="I1284" s="2" t="str">
        <f t="array" ref="I1284">_xlfn.XLOOKUP(B1284,Vendedores!$A$2:$A$41,Vendedores!$D$2:$D$41,"No hay datos")</f>
        <v>No hay datos</v>
      </c>
      <c r="J1284" s="2" t="str">
        <f t="array" ref="J1284">_xlfn.XLOOKUP(A1284,Productos!$A$2:$A$61,Productos!$B$2:$F$61)</f>
        <v>#N/A</v>
      </c>
    </row>
    <row r="1285">
      <c r="A1285" s="2" t="str">
        <f>IFERROR(__xludf.DUMMYFUNCTION("""COMPUTED_VALUE"""),"PR024")</f>
        <v>PR024</v>
      </c>
      <c r="B1285" s="2" t="str">
        <f>IFERROR(__xludf.DUMMYFUNCTION("""COMPUTED_VALUE"""),"VD036")</f>
        <v>VD036</v>
      </c>
      <c r="C1285" s="2">
        <f>IFERROR(__xludf.DUMMYFUNCTION("""COMPUTED_VALUE"""),2.0)</f>
        <v>2</v>
      </c>
      <c r="D1285" s="6">
        <f>IFERROR(__xludf.DUMMYFUNCTION("""COMPUTED_VALUE"""),540.59)</f>
        <v>540.59</v>
      </c>
      <c r="E1285" s="6">
        <f>IFERROR(__xludf.DUMMYFUNCTION("GOOGLEFINANCE(""Currency:BRLMXN"")*D1285"),1836.38423)</f>
        <v>1836.38423</v>
      </c>
      <c r="F1285" s="6">
        <f>IFERROR(__xludf.DUMMYFUNCTION("GOOGLEFINANCE(""Currency:BRLPEN"")*D1285"),354.410804)</f>
        <v>354.410804</v>
      </c>
      <c r="G1285" s="2" t="str">
        <f t="array" ref="G1285">_xlfn.XLOOKUP(B1285,Vendedores!$A$2:$A$41,Vendedores!$B$2:$B$41,"No hay datos")</f>
        <v>No hay datos</v>
      </c>
      <c r="H1285" s="2" t="str">
        <f t="array" ref="H1285">_xlfn.XLOOKUP(B1285,Vendedores!$A$2:$A$41,Vendedores!$C$2:$C$41,"No hay datos")</f>
        <v>No hay datos</v>
      </c>
      <c r="I1285" s="2" t="str">
        <f t="array" ref="I1285">_xlfn.XLOOKUP(B1285,Vendedores!$A$2:$A$41,Vendedores!$D$2:$D$41,"No hay datos")</f>
        <v>No hay datos</v>
      </c>
      <c r="J1285" s="2" t="str">
        <f t="array" ref="J1285">_xlfn.XLOOKUP(A1285,Productos!$A$2:$A$61,Productos!$B$2:$F$61)</f>
        <v>#N/A</v>
      </c>
    </row>
    <row r="1286">
      <c r="A1286" s="2" t="str">
        <f>IFERROR(__xludf.DUMMYFUNCTION("""COMPUTED_VALUE"""),"PR004")</f>
        <v>PR004</v>
      </c>
      <c r="B1286" s="2" t="str">
        <f>IFERROR(__xludf.DUMMYFUNCTION("""COMPUTED_VALUE"""),"VD020")</f>
        <v>VD020</v>
      </c>
      <c r="C1286" s="2">
        <f>IFERROR(__xludf.DUMMYFUNCTION("""COMPUTED_VALUE"""),10.0)</f>
        <v>10</v>
      </c>
      <c r="D1286" s="6">
        <f>IFERROR(__xludf.DUMMYFUNCTION("""COMPUTED_VALUE"""),1464.5)</f>
        <v>1464.5</v>
      </c>
      <c r="E1286" s="6">
        <f>IFERROR(__xludf.DUMMYFUNCTION("GOOGLEFINANCE(""Currency:BRLMXN"")*D1286"),4974.9065)</f>
        <v>4974.9065</v>
      </c>
      <c r="F1286" s="6">
        <f>IFERROR(__xludf.DUMMYFUNCTION("GOOGLEFINANCE(""Currency:BRLPEN"")*D1286"),960.1261999999999)</f>
        <v>960.1262</v>
      </c>
      <c r="G1286" s="2" t="str">
        <f t="array" ref="G1286">_xlfn.XLOOKUP(B1286,Vendedores!$A$2:$A$41,Vendedores!$B$2:$B$41,"No hay datos")</f>
        <v>No hay datos</v>
      </c>
      <c r="H1286" s="2" t="str">
        <f t="array" ref="H1286">_xlfn.XLOOKUP(B1286,Vendedores!$A$2:$A$41,Vendedores!$C$2:$C$41,"No hay datos")</f>
        <v>No hay datos</v>
      </c>
      <c r="I1286" s="2" t="str">
        <f t="array" ref="I1286">_xlfn.XLOOKUP(B1286,Vendedores!$A$2:$A$41,Vendedores!$D$2:$D$41,"No hay datos")</f>
        <v>No hay datos</v>
      </c>
      <c r="J1286" s="2" t="str">
        <f t="array" ref="J1286">_xlfn.XLOOKUP(A1286,Productos!$A$2:$A$61,Productos!$B$2:$F$61)</f>
        <v>#N/A</v>
      </c>
    </row>
    <row r="1287">
      <c r="A1287" s="2" t="str">
        <f>IFERROR(__xludf.DUMMYFUNCTION("""COMPUTED_VALUE"""),"PR004")</f>
        <v>PR004</v>
      </c>
      <c r="B1287" s="2" t="str">
        <f>IFERROR(__xludf.DUMMYFUNCTION("""COMPUTED_VALUE"""),"VD011")</f>
        <v>VD011</v>
      </c>
      <c r="C1287" s="2">
        <f>IFERROR(__xludf.DUMMYFUNCTION("""COMPUTED_VALUE"""),16.0)</f>
        <v>16</v>
      </c>
      <c r="D1287" s="6">
        <f>IFERROR(__xludf.DUMMYFUNCTION("""COMPUTED_VALUE"""),2528.8)</f>
        <v>2528.8</v>
      </c>
      <c r="E1287" s="6">
        <f>IFERROR(__xludf.DUMMYFUNCTION("GOOGLEFINANCE(""Currency:BRLMXN"")*D1287"),8590.3336)</f>
        <v>8590.3336</v>
      </c>
      <c r="F1287" s="6">
        <f>IFERROR(__xludf.DUMMYFUNCTION("GOOGLEFINANCE(""Currency:BRLPEN"")*D1287"),1657.88128)</f>
        <v>1657.88128</v>
      </c>
      <c r="G1287" s="2" t="str">
        <f t="array" ref="G1287">_xlfn.XLOOKUP(B1287,Vendedores!$A$2:$A$41,Vendedores!$B$2:$B$41,"No hay datos")</f>
        <v>No hay datos</v>
      </c>
      <c r="H1287" s="2" t="str">
        <f t="array" ref="H1287">_xlfn.XLOOKUP(B1287,Vendedores!$A$2:$A$41,Vendedores!$C$2:$C$41,"No hay datos")</f>
        <v>No hay datos</v>
      </c>
      <c r="I1287" s="2" t="str">
        <f t="array" ref="I1287">_xlfn.XLOOKUP(B1287,Vendedores!$A$2:$A$41,Vendedores!$D$2:$D$41,"No hay datos")</f>
        <v>No hay datos</v>
      </c>
      <c r="J1287" s="2" t="str">
        <f t="array" ref="J1287">_xlfn.XLOOKUP(A1287,Productos!$A$2:$A$61,Productos!$B$2:$F$61)</f>
        <v>#N/A</v>
      </c>
    </row>
    <row r="1288">
      <c r="A1288" s="2" t="str">
        <f>IFERROR(__xludf.DUMMYFUNCTION("""COMPUTED_VALUE"""),"PR007")</f>
        <v>PR007</v>
      </c>
      <c r="B1288" s="2" t="str">
        <f>IFERROR(__xludf.DUMMYFUNCTION("""COMPUTED_VALUE"""),"VD023")</f>
        <v>VD023</v>
      </c>
      <c r="C1288" s="2">
        <f>IFERROR(__xludf.DUMMYFUNCTION("""COMPUTED_VALUE"""),4.0)</f>
        <v>4</v>
      </c>
      <c r="D1288" s="6">
        <f>IFERROR(__xludf.DUMMYFUNCTION("""COMPUTED_VALUE"""),343.6)</f>
        <v>343.6</v>
      </c>
      <c r="E1288" s="6">
        <f>IFERROR(__xludf.DUMMYFUNCTION("GOOGLEFINANCE(""Currency:BRLMXN"")*D1288"),1167.2092)</f>
        <v>1167.2092</v>
      </c>
      <c r="F1288" s="6">
        <f>IFERROR(__xludf.DUMMYFUNCTION("GOOGLEFINANCE(""Currency:BRLPEN"")*D1288"),225.26416)</f>
        <v>225.26416</v>
      </c>
      <c r="G1288" s="2" t="str">
        <f t="array" ref="G1288">_xlfn.XLOOKUP(B1288,Vendedores!$A$2:$A$41,Vendedores!$B$2:$B$41,"No hay datos")</f>
        <v>No hay datos</v>
      </c>
      <c r="H1288" s="2" t="str">
        <f t="array" ref="H1288">_xlfn.XLOOKUP(B1288,Vendedores!$A$2:$A$41,Vendedores!$C$2:$C$41,"No hay datos")</f>
        <v>No hay datos</v>
      </c>
      <c r="I1288" s="2" t="str">
        <f t="array" ref="I1288">_xlfn.XLOOKUP(B1288,Vendedores!$A$2:$A$41,Vendedores!$D$2:$D$41,"No hay datos")</f>
        <v>No hay datos</v>
      </c>
      <c r="J1288" s="2" t="str">
        <f t="array" ref="J1288">_xlfn.XLOOKUP(A1288,Productos!$A$2:$A$61,Productos!$B$2:$F$61)</f>
        <v>#N/A</v>
      </c>
    </row>
    <row r="1289">
      <c r="A1289" s="2" t="str">
        <f>IFERROR(__xludf.DUMMYFUNCTION("""COMPUTED_VALUE"""),"PR020")</f>
        <v>PR020</v>
      </c>
      <c r="B1289" s="2" t="str">
        <f>IFERROR(__xludf.DUMMYFUNCTION("""COMPUTED_VALUE"""),"VD015")</f>
        <v>VD015</v>
      </c>
      <c r="C1289" s="2">
        <f>IFERROR(__xludf.DUMMYFUNCTION("""COMPUTED_VALUE"""),18.0)</f>
        <v>18</v>
      </c>
      <c r="D1289" s="6">
        <f>IFERROR(__xludf.DUMMYFUNCTION("""COMPUTED_VALUE"""),5830.06)</f>
        <v>5830.06</v>
      </c>
      <c r="E1289" s="6">
        <f>IFERROR(__xludf.DUMMYFUNCTION("GOOGLEFINANCE(""Currency:BRLMXN"")*D1289"),19804.71382)</f>
        <v>19804.71382</v>
      </c>
      <c r="F1289" s="6">
        <f>IFERROR(__xludf.DUMMYFUNCTION("GOOGLEFINANCE(""Currency:BRLPEN"")*D1289"),3822.187336)</f>
        <v>3822.187336</v>
      </c>
      <c r="G1289" s="2" t="str">
        <f t="array" ref="G1289">_xlfn.XLOOKUP(B1289,Vendedores!$A$2:$A$41,Vendedores!$B$2:$B$41,"No hay datos")</f>
        <v>No hay datos</v>
      </c>
      <c r="H1289" s="2" t="str">
        <f t="array" ref="H1289">_xlfn.XLOOKUP(B1289,Vendedores!$A$2:$A$41,Vendedores!$C$2:$C$41,"No hay datos")</f>
        <v>No hay datos</v>
      </c>
      <c r="I1289" s="2" t="str">
        <f t="array" ref="I1289">_xlfn.XLOOKUP(B1289,Vendedores!$A$2:$A$41,Vendedores!$D$2:$D$41,"No hay datos")</f>
        <v>No hay datos</v>
      </c>
      <c r="J1289" s="2" t="str">
        <f t="array" ref="J1289">_xlfn.XLOOKUP(A1289,Productos!$A$2:$A$61,Productos!$B$2:$F$61)</f>
        <v>#N/A</v>
      </c>
    </row>
    <row r="1290">
      <c r="A1290" s="2" t="str">
        <f>IFERROR(__xludf.DUMMYFUNCTION("""COMPUTED_VALUE"""),"PR051")</f>
        <v>PR051</v>
      </c>
      <c r="B1290" s="2" t="str">
        <f>IFERROR(__xludf.DUMMYFUNCTION("""COMPUTED_VALUE"""),"VD046")</f>
        <v>VD046</v>
      </c>
      <c r="C1290" s="2">
        <f>IFERROR(__xludf.DUMMYFUNCTION("""COMPUTED_VALUE"""),6.0)</f>
        <v>6</v>
      </c>
      <c r="D1290" s="6">
        <f>IFERROR(__xludf.DUMMYFUNCTION("""COMPUTED_VALUE"""),213.19)</f>
        <v>213.19</v>
      </c>
      <c r="E1290" s="6">
        <f>IFERROR(__xludf.DUMMYFUNCTION("GOOGLEFINANCE(""Currency:BRLMXN"")*D1290"),724.20643)</f>
        <v>724.20643</v>
      </c>
      <c r="F1290" s="6">
        <f>IFERROR(__xludf.DUMMYFUNCTION("GOOGLEFINANCE(""Currency:BRLPEN"")*D1290"),139.767364)</f>
        <v>139.767364</v>
      </c>
      <c r="G1290" s="2" t="str">
        <f t="array" ref="G1290">_xlfn.XLOOKUP(B1290,Vendedores!$A$2:$A$41,Vendedores!$B$2:$B$41,"No hay datos")</f>
        <v>No hay datos</v>
      </c>
      <c r="H1290" s="2" t="str">
        <f t="array" ref="H1290">_xlfn.XLOOKUP(B1290,Vendedores!$A$2:$A$41,Vendedores!$C$2:$C$41,"No hay datos")</f>
        <v>No hay datos</v>
      </c>
      <c r="I1290" s="2" t="str">
        <f t="array" ref="I1290">_xlfn.XLOOKUP(B1290,Vendedores!$A$2:$A$41,Vendedores!$D$2:$D$41,"No hay datos")</f>
        <v>No hay datos</v>
      </c>
      <c r="J1290" s="2" t="str">
        <f t="array" ref="J1290">_xlfn.XLOOKUP(A1290,Productos!$A$2:$A$61,Productos!$B$2:$F$61)</f>
        <v>#N/A</v>
      </c>
    </row>
    <row r="1291">
      <c r="A1291" s="2" t="str">
        <f>IFERROR(__xludf.DUMMYFUNCTION("""COMPUTED_VALUE"""),"PR057")</f>
        <v>PR057</v>
      </c>
      <c r="B1291" s="2" t="str">
        <f>IFERROR(__xludf.DUMMYFUNCTION("""COMPUTED_VALUE"""),"VD017")</f>
        <v>VD017</v>
      </c>
      <c r="C1291" s="2">
        <f>IFERROR(__xludf.DUMMYFUNCTION("""COMPUTED_VALUE"""),5.0)</f>
        <v>5</v>
      </c>
      <c r="D1291" s="6">
        <f>IFERROR(__xludf.DUMMYFUNCTION("""COMPUTED_VALUE"""),454.0)</f>
        <v>454</v>
      </c>
      <c r="E1291" s="6">
        <f>IFERROR(__xludf.DUMMYFUNCTION("GOOGLEFINANCE(""Currency:BRLMXN"")*D1291"),1542.2379999999998)</f>
        <v>1542.238</v>
      </c>
      <c r="F1291" s="6">
        <f>IFERROR(__xludf.DUMMYFUNCTION("GOOGLEFINANCE(""Currency:BRLPEN"")*D1291"),297.6424)</f>
        <v>297.6424</v>
      </c>
      <c r="G1291" s="2" t="str">
        <f t="array" ref="G1291">_xlfn.XLOOKUP(B1291,Vendedores!$A$2:$A$41,Vendedores!$B$2:$B$41,"No hay datos")</f>
        <v>No hay datos</v>
      </c>
      <c r="H1291" s="2" t="str">
        <f t="array" ref="H1291">_xlfn.XLOOKUP(B1291,Vendedores!$A$2:$A$41,Vendedores!$C$2:$C$41,"No hay datos")</f>
        <v>No hay datos</v>
      </c>
      <c r="I1291" s="2" t="str">
        <f t="array" ref="I1291">_xlfn.XLOOKUP(B1291,Vendedores!$A$2:$A$41,Vendedores!$D$2:$D$41,"No hay datos")</f>
        <v>No hay datos</v>
      </c>
      <c r="J1291" s="2" t="str">
        <f t="array" ref="J1291">_xlfn.XLOOKUP(A1291,Productos!$A$2:$A$61,Productos!$B$2:$F$61)</f>
        <v>#N/A</v>
      </c>
    </row>
    <row r="1292">
      <c r="A1292" s="2" t="str">
        <f>IFERROR(__xludf.DUMMYFUNCTION("""COMPUTED_VALUE"""),"PR035")</f>
        <v>PR035</v>
      </c>
      <c r="B1292" s="2" t="str">
        <f>IFERROR(__xludf.DUMMYFUNCTION("""COMPUTED_VALUE"""),"VD017")</f>
        <v>VD017</v>
      </c>
      <c r="C1292" s="2">
        <f>IFERROR(__xludf.DUMMYFUNCTION("""COMPUTED_VALUE"""),12.0)</f>
        <v>12</v>
      </c>
      <c r="D1292" s="6">
        <f>IFERROR(__xludf.DUMMYFUNCTION("""COMPUTED_VALUE"""),1173.58)</f>
        <v>1173.58</v>
      </c>
      <c r="E1292" s="6">
        <f>IFERROR(__xludf.DUMMYFUNCTION("GOOGLEFINANCE(""Currency:BRLMXN"")*D1292"),3986.6512599999996)</f>
        <v>3986.65126</v>
      </c>
      <c r="F1292" s="6">
        <f>IFERROR(__xludf.DUMMYFUNCTION("GOOGLEFINANCE(""Currency:BRLPEN"")*D1292"),769.3990479999999)</f>
        <v>769.399048</v>
      </c>
      <c r="G1292" s="2" t="str">
        <f t="array" ref="G1292">_xlfn.XLOOKUP(B1292,Vendedores!$A$2:$A$41,Vendedores!$B$2:$B$41,"No hay datos")</f>
        <v>No hay datos</v>
      </c>
      <c r="H1292" s="2" t="str">
        <f t="array" ref="H1292">_xlfn.XLOOKUP(B1292,Vendedores!$A$2:$A$41,Vendedores!$C$2:$C$41,"No hay datos")</f>
        <v>No hay datos</v>
      </c>
      <c r="I1292" s="2" t="str">
        <f t="array" ref="I1292">_xlfn.XLOOKUP(B1292,Vendedores!$A$2:$A$41,Vendedores!$D$2:$D$41,"No hay datos")</f>
        <v>No hay datos</v>
      </c>
      <c r="J1292" s="2" t="str">
        <f t="array" ref="J1292">_xlfn.XLOOKUP(A1292,Productos!$A$2:$A$61,Productos!$B$2:$F$61)</f>
        <v>#N/A</v>
      </c>
    </row>
    <row r="1293">
      <c r="A1293" s="2" t="str">
        <f>IFERROR(__xludf.DUMMYFUNCTION("""COMPUTED_VALUE"""),"PR049")</f>
        <v>PR049</v>
      </c>
      <c r="B1293" s="2" t="str">
        <f>IFERROR(__xludf.DUMMYFUNCTION("""COMPUTED_VALUE"""),"VD023")</f>
        <v>VD023</v>
      </c>
      <c r="C1293" s="2">
        <f>IFERROR(__xludf.DUMMYFUNCTION("""COMPUTED_VALUE"""),9.0)</f>
        <v>9</v>
      </c>
      <c r="D1293" s="6">
        <f>IFERROR(__xludf.DUMMYFUNCTION("""COMPUTED_VALUE"""),302.02)</f>
        <v>302.02</v>
      </c>
      <c r="E1293" s="6">
        <f>IFERROR(__xludf.DUMMYFUNCTION("GOOGLEFINANCE(""Currency:BRLMXN"")*D1293"),1025.96194)</f>
        <v>1025.96194</v>
      </c>
      <c r="F1293" s="6">
        <f>IFERROR(__xludf.DUMMYFUNCTION("GOOGLEFINANCE(""Currency:BRLPEN"")*D1293"),198.00431199999997)</f>
        <v>198.004312</v>
      </c>
      <c r="G1293" s="2" t="str">
        <f t="array" ref="G1293">_xlfn.XLOOKUP(B1293,Vendedores!$A$2:$A$41,Vendedores!$B$2:$B$41,"No hay datos")</f>
        <v>No hay datos</v>
      </c>
      <c r="H1293" s="2" t="str">
        <f t="array" ref="H1293">_xlfn.XLOOKUP(B1293,Vendedores!$A$2:$A$41,Vendedores!$C$2:$C$41,"No hay datos")</f>
        <v>No hay datos</v>
      </c>
      <c r="I1293" s="2" t="str">
        <f t="array" ref="I1293">_xlfn.XLOOKUP(B1293,Vendedores!$A$2:$A$41,Vendedores!$D$2:$D$41,"No hay datos")</f>
        <v>No hay datos</v>
      </c>
      <c r="J1293" s="2" t="str">
        <f t="array" ref="J1293">_xlfn.XLOOKUP(A1293,Productos!$A$2:$A$61,Productos!$B$2:$F$61)</f>
        <v>#N/A</v>
      </c>
    </row>
    <row r="1294">
      <c r="A1294" s="2" t="str">
        <f>IFERROR(__xludf.DUMMYFUNCTION("""COMPUTED_VALUE"""),"PR054")</f>
        <v>PR054</v>
      </c>
      <c r="B1294" s="2" t="str">
        <f>IFERROR(__xludf.DUMMYFUNCTION("""COMPUTED_VALUE"""),"VD036")</f>
        <v>VD036</v>
      </c>
      <c r="C1294" s="2">
        <f>IFERROR(__xludf.DUMMYFUNCTION("""COMPUTED_VALUE"""),18.0)</f>
        <v>18</v>
      </c>
      <c r="D1294" s="6">
        <f>IFERROR(__xludf.DUMMYFUNCTION("""COMPUTED_VALUE"""),952.09)</f>
        <v>952.09</v>
      </c>
      <c r="E1294" s="6">
        <f>IFERROR(__xludf.DUMMYFUNCTION("GOOGLEFINANCE(""Currency:BRLMXN"")*D1294"),3234.24973)</f>
        <v>3234.24973</v>
      </c>
      <c r="F1294" s="6">
        <f>IFERROR(__xludf.DUMMYFUNCTION("GOOGLEFINANCE(""Currency:BRLPEN"")*D1294"),624.190204)</f>
        <v>624.190204</v>
      </c>
      <c r="G1294" s="2" t="str">
        <f t="array" ref="G1294">_xlfn.XLOOKUP(B1294,Vendedores!$A$2:$A$41,Vendedores!$B$2:$B$41,"No hay datos")</f>
        <v>No hay datos</v>
      </c>
      <c r="H1294" s="2" t="str">
        <f t="array" ref="H1294">_xlfn.XLOOKUP(B1294,Vendedores!$A$2:$A$41,Vendedores!$C$2:$C$41,"No hay datos")</f>
        <v>No hay datos</v>
      </c>
      <c r="I1294" s="2" t="str">
        <f t="array" ref="I1294">_xlfn.XLOOKUP(B1294,Vendedores!$A$2:$A$41,Vendedores!$D$2:$D$41,"No hay datos")</f>
        <v>No hay datos</v>
      </c>
      <c r="J1294" s="2" t="str">
        <f t="array" ref="J1294">_xlfn.XLOOKUP(A1294,Productos!$A$2:$A$61,Productos!$B$2:$F$61)</f>
        <v>#N/A</v>
      </c>
    </row>
    <row r="1295">
      <c r="A1295" s="2" t="str">
        <f>IFERROR(__xludf.DUMMYFUNCTION("""COMPUTED_VALUE"""),"PR056")</f>
        <v>PR056</v>
      </c>
      <c r="B1295" s="2" t="str">
        <f>IFERROR(__xludf.DUMMYFUNCTION("""COMPUTED_VALUE"""),"VD032")</f>
        <v>VD032</v>
      </c>
      <c r="C1295" s="2">
        <f>IFERROR(__xludf.DUMMYFUNCTION("""COMPUTED_VALUE"""),2.0)</f>
        <v>2</v>
      </c>
      <c r="D1295" s="6">
        <f>IFERROR(__xludf.DUMMYFUNCTION("""COMPUTED_VALUE"""),188.79)</f>
        <v>188.79</v>
      </c>
      <c r="E1295" s="6">
        <f>IFERROR(__xludf.DUMMYFUNCTION("GOOGLEFINANCE(""Currency:BRLMXN"")*D1295"),641.31963)</f>
        <v>641.31963</v>
      </c>
      <c r="F1295" s="6">
        <f>IFERROR(__xludf.DUMMYFUNCTION("GOOGLEFINANCE(""Currency:BRLPEN"")*D1295"),123.77072399999999)</f>
        <v>123.770724</v>
      </c>
      <c r="G1295" s="2" t="str">
        <f t="array" ref="G1295">_xlfn.XLOOKUP(B1295,Vendedores!$A$2:$A$41,Vendedores!$B$2:$B$41,"No hay datos")</f>
        <v>No hay datos</v>
      </c>
      <c r="H1295" s="2" t="str">
        <f t="array" ref="H1295">_xlfn.XLOOKUP(B1295,Vendedores!$A$2:$A$41,Vendedores!$C$2:$C$41,"No hay datos")</f>
        <v>No hay datos</v>
      </c>
      <c r="I1295" s="2" t="str">
        <f t="array" ref="I1295">_xlfn.XLOOKUP(B1295,Vendedores!$A$2:$A$41,Vendedores!$D$2:$D$41,"No hay datos")</f>
        <v>No hay datos</v>
      </c>
      <c r="J1295" s="2" t="str">
        <f t="array" ref="J1295">_xlfn.XLOOKUP(A1295,Productos!$A$2:$A$61,Productos!$B$2:$F$61)</f>
        <v>#N/A</v>
      </c>
    </row>
    <row r="1296">
      <c r="A1296" s="2" t="str">
        <f>IFERROR(__xludf.DUMMYFUNCTION("""COMPUTED_VALUE"""),"PR055")</f>
        <v>PR055</v>
      </c>
      <c r="B1296" s="2" t="str">
        <f>IFERROR(__xludf.DUMMYFUNCTION("""COMPUTED_VALUE"""),"VD025")</f>
        <v>VD025</v>
      </c>
      <c r="C1296" s="2">
        <f>IFERROR(__xludf.DUMMYFUNCTION("""COMPUTED_VALUE"""),1.0)</f>
        <v>1</v>
      </c>
      <c r="D1296" s="6">
        <f>IFERROR(__xludf.DUMMYFUNCTION("""COMPUTED_VALUE"""),89.9)</f>
        <v>89.9</v>
      </c>
      <c r="E1296" s="6">
        <f>IFERROR(__xludf.DUMMYFUNCTION("GOOGLEFINANCE(""Currency:BRLMXN"")*D1296"),305.3903)</f>
        <v>305.3903</v>
      </c>
      <c r="F1296" s="6">
        <f>IFERROR(__xludf.DUMMYFUNCTION("GOOGLEFINANCE(""Currency:BRLPEN"")*D1296"),58.93844)</f>
        <v>58.93844</v>
      </c>
      <c r="G1296" s="2" t="str">
        <f t="array" ref="G1296">_xlfn.XLOOKUP(B1296,Vendedores!$A$2:$A$41,Vendedores!$B$2:$B$41,"No hay datos")</f>
        <v>No hay datos</v>
      </c>
      <c r="H1296" s="2" t="str">
        <f t="array" ref="H1296">_xlfn.XLOOKUP(B1296,Vendedores!$A$2:$A$41,Vendedores!$C$2:$C$41,"No hay datos")</f>
        <v>No hay datos</v>
      </c>
      <c r="I1296" s="2" t="str">
        <f t="array" ref="I1296">_xlfn.XLOOKUP(B1296,Vendedores!$A$2:$A$41,Vendedores!$D$2:$D$41,"No hay datos")</f>
        <v>No hay datos</v>
      </c>
      <c r="J1296" s="2" t="str">
        <f t="array" ref="J1296">_xlfn.XLOOKUP(A1296,Productos!$A$2:$A$61,Productos!$B$2:$F$61)</f>
        <v>#N/A</v>
      </c>
    </row>
    <row r="1297">
      <c r="A1297" s="2" t="str">
        <f>IFERROR(__xludf.DUMMYFUNCTION("""COMPUTED_VALUE"""),"PR027")</f>
        <v>PR027</v>
      </c>
      <c r="B1297" s="2" t="str">
        <f>IFERROR(__xludf.DUMMYFUNCTION("""COMPUTED_VALUE"""),"VD021")</f>
        <v>VD021</v>
      </c>
      <c r="C1297" s="2">
        <f>IFERROR(__xludf.DUMMYFUNCTION("""COMPUTED_VALUE"""),12.0)</f>
        <v>12</v>
      </c>
      <c r="D1297" s="6">
        <f>IFERROR(__xludf.DUMMYFUNCTION("""COMPUTED_VALUE"""),1555.2)</f>
        <v>1555.2</v>
      </c>
      <c r="E1297" s="6">
        <f>IFERROR(__xludf.DUMMYFUNCTION("GOOGLEFINANCE(""Currency:BRLMXN"")*D1297"),5283.0144)</f>
        <v>5283.0144</v>
      </c>
      <c r="F1297" s="6">
        <f>IFERROR(__xludf.DUMMYFUNCTION("GOOGLEFINANCE(""Currency:BRLPEN"")*D1297"),1019.58912)</f>
        <v>1019.58912</v>
      </c>
      <c r="G1297" s="2" t="str">
        <f t="array" ref="G1297">_xlfn.XLOOKUP(B1297,Vendedores!$A$2:$A$41,Vendedores!$B$2:$B$41,"No hay datos")</f>
        <v>No hay datos</v>
      </c>
      <c r="H1297" s="2" t="str">
        <f t="array" ref="H1297">_xlfn.XLOOKUP(B1297,Vendedores!$A$2:$A$41,Vendedores!$C$2:$C$41,"No hay datos")</f>
        <v>No hay datos</v>
      </c>
      <c r="I1297" s="2" t="str">
        <f t="array" ref="I1297">_xlfn.XLOOKUP(B1297,Vendedores!$A$2:$A$41,Vendedores!$D$2:$D$41,"No hay datos")</f>
        <v>No hay datos</v>
      </c>
      <c r="J1297" s="2" t="str">
        <f t="array" ref="J1297">_xlfn.XLOOKUP(A1297,Productos!$A$2:$A$61,Productos!$B$2:$F$61)</f>
        <v>#N/A</v>
      </c>
    </row>
    <row r="1298">
      <c r="A1298" s="2" t="str">
        <f>IFERROR(__xludf.DUMMYFUNCTION("""COMPUTED_VALUE"""),"PR013")</f>
        <v>PR013</v>
      </c>
      <c r="B1298" s="2" t="str">
        <f>IFERROR(__xludf.DUMMYFUNCTION("""COMPUTED_VALUE"""),"VD044")</f>
        <v>VD044</v>
      </c>
      <c r="C1298" s="2">
        <f>IFERROR(__xludf.DUMMYFUNCTION("""COMPUTED_VALUE"""),4.0)</f>
        <v>4</v>
      </c>
      <c r="D1298" s="6">
        <f>IFERROR(__xludf.DUMMYFUNCTION("""COMPUTED_VALUE"""),173.96)</f>
        <v>173.96</v>
      </c>
      <c r="E1298" s="6">
        <f>IFERROR(__xludf.DUMMYFUNCTION("GOOGLEFINANCE(""Currency:BRLMXN"")*D1298"),590.94212)</f>
        <v>590.94212</v>
      </c>
      <c r="F1298" s="6">
        <f>IFERROR(__xludf.DUMMYFUNCTION("GOOGLEFINANCE(""Currency:BRLPEN"")*D1298"),114.048176)</f>
        <v>114.048176</v>
      </c>
      <c r="G1298" s="2" t="str">
        <f t="array" ref="G1298">_xlfn.XLOOKUP(B1298,Vendedores!$A$2:$A$41,Vendedores!$B$2:$B$41,"No hay datos")</f>
        <v>No hay datos</v>
      </c>
      <c r="H1298" s="2" t="str">
        <f t="array" ref="H1298">_xlfn.XLOOKUP(B1298,Vendedores!$A$2:$A$41,Vendedores!$C$2:$C$41,"No hay datos")</f>
        <v>No hay datos</v>
      </c>
      <c r="I1298" s="2" t="str">
        <f t="array" ref="I1298">_xlfn.XLOOKUP(B1298,Vendedores!$A$2:$A$41,Vendedores!$D$2:$D$41,"No hay datos")</f>
        <v>No hay datos</v>
      </c>
      <c r="J1298" s="2" t="str">
        <f t="array" ref="J1298">_xlfn.XLOOKUP(A1298,Productos!$A$2:$A$61,Productos!$B$2:$F$61)</f>
        <v>#N/A</v>
      </c>
    </row>
    <row r="1299">
      <c r="A1299" s="2" t="str">
        <f>IFERROR(__xludf.DUMMYFUNCTION("""COMPUTED_VALUE"""),"PR050")</f>
        <v>PR050</v>
      </c>
      <c r="B1299" s="2" t="str">
        <f>IFERROR(__xludf.DUMMYFUNCTION("""COMPUTED_VALUE"""),"VD024")</f>
        <v>VD024</v>
      </c>
      <c r="C1299" s="2">
        <f>IFERROR(__xludf.DUMMYFUNCTION("""COMPUTED_VALUE"""),9.0)</f>
        <v>9</v>
      </c>
      <c r="D1299" s="6">
        <f>IFERROR(__xludf.DUMMYFUNCTION("""COMPUTED_VALUE"""),310.91)</f>
        <v>310.91</v>
      </c>
      <c r="E1299" s="6">
        <f>IFERROR(__xludf.DUMMYFUNCTION("GOOGLEFINANCE(""Currency:BRLMXN"")*D1299"),1056.16127)</f>
        <v>1056.16127</v>
      </c>
      <c r="F1299" s="6">
        <f>IFERROR(__xludf.DUMMYFUNCTION("GOOGLEFINANCE(""Currency:BRLPEN"")*D1299"),203.832596)</f>
        <v>203.832596</v>
      </c>
      <c r="G1299" s="2" t="str">
        <f t="array" ref="G1299">_xlfn.XLOOKUP(B1299,Vendedores!$A$2:$A$41,Vendedores!$B$2:$B$41,"No hay datos")</f>
        <v>No hay datos</v>
      </c>
      <c r="H1299" s="2" t="str">
        <f t="array" ref="H1299">_xlfn.XLOOKUP(B1299,Vendedores!$A$2:$A$41,Vendedores!$C$2:$C$41,"No hay datos")</f>
        <v>No hay datos</v>
      </c>
      <c r="I1299" s="2" t="str">
        <f t="array" ref="I1299">_xlfn.XLOOKUP(B1299,Vendedores!$A$2:$A$41,Vendedores!$D$2:$D$41,"No hay datos")</f>
        <v>No hay datos</v>
      </c>
      <c r="J1299" s="2" t="str">
        <f t="array" ref="J1299">_xlfn.XLOOKUP(A1299,Productos!$A$2:$A$61,Productos!$B$2:$F$61)</f>
        <v>#N/A</v>
      </c>
    </row>
    <row r="1300">
      <c r="A1300" s="2" t="str">
        <f>IFERROR(__xludf.DUMMYFUNCTION("""COMPUTED_VALUE"""),"PR036")</f>
        <v>PR036</v>
      </c>
      <c r="B1300" s="2" t="str">
        <f>IFERROR(__xludf.DUMMYFUNCTION("""COMPUTED_VALUE"""),"VD016")</f>
        <v>VD016</v>
      </c>
      <c r="C1300" s="2">
        <f>IFERROR(__xludf.DUMMYFUNCTION("""COMPUTED_VALUE"""),6.0)</f>
        <v>6</v>
      </c>
      <c r="D1300" s="6">
        <f>IFERROR(__xludf.DUMMYFUNCTION("""COMPUTED_VALUE"""),566.61)</f>
        <v>566.61</v>
      </c>
      <c r="E1300" s="6">
        <f>IFERROR(__xludf.DUMMYFUNCTION("GOOGLEFINANCE(""Currency:BRLMXN"")*D1300"),1924.77417)</f>
        <v>1924.77417</v>
      </c>
      <c r="F1300" s="6">
        <f>IFERROR(__xludf.DUMMYFUNCTION("GOOGLEFINANCE(""Currency:BRLPEN"")*D1300"),371.469516)</f>
        <v>371.469516</v>
      </c>
      <c r="G1300" s="2" t="str">
        <f t="array" ref="G1300">_xlfn.XLOOKUP(B1300,Vendedores!$A$2:$A$41,Vendedores!$B$2:$B$41,"No hay datos")</f>
        <v>No hay datos</v>
      </c>
      <c r="H1300" s="2" t="str">
        <f t="array" ref="H1300">_xlfn.XLOOKUP(B1300,Vendedores!$A$2:$A$41,Vendedores!$C$2:$C$41,"No hay datos")</f>
        <v>No hay datos</v>
      </c>
      <c r="I1300" s="2" t="str">
        <f t="array" ref="I1300">_xlfn.XLOOKUP(B1300,Vendedores!$A$2:$A$41,Vendedores!$D$2:$D$41,"No hay datos")</f>
        <v>No hay datos</v>
      </c>
      <c r="J1300" s="2" t="str">
        <f t="array" ref="J1300">_xlfn.XLOOKUP(A1300,Productos!$A$2:$A$61,Productos!$B$2:$F$61)</f>
        <v>#N/A</v>
      </c>
    </row>
    <row r="1301">
      <c r="A1301" s="2" t="str">
        <f>IFERROR(__xludf.DUMMYFUNCTION("""COMPUTED_VALUE"""),"PR005")</f>
        <v>PR005</v>
      </c>
      <c r="B1301" s="2" t="str">
        <f>IFERROR(__xludf.DUMMYFUNCTION("""COMPUTED_VALUE"""),"VD028")</f>
        <v>VD028</v>
      </c>
      <c r="C1301" s="2">
        <f>IFERROR(__xludf.DUMMYFUNCTION("""COMPUTED_VALUE"""),10.0)</f>
        <v>10</v>
      </c>
      <c r="D1301" s="6">
        <f>IFERROR(__xludf.DUMMYFUNCTION("""COMPUTED_VALUE"""),2832.91)</f>
        <v>2832.91</v>
      </c>
      <c r="E1301" s="6">
        <f>IFERROR(__xludf.DUMMYFUNCTION("GOOGLEFINANCE(""Currency:BRLMXN"")*D1301"),9623.395269999999)</f>
        <v>9623.39527</v>
      </c>
      <c r="F1301" s="6">
        <f>IFERROR(__xludf.DUMMYFUNCTION("GOOGLEFINANCE(""Currency:BRLPEN"")*D1301"),1857.2557959999997)</f>
        <v>1857.255796</v>
      </c>
      <c r="G1301" s="2" t="str">
        <f t="array" ref="G1301">_xlfn.XLOOKUP(B1301,Vendedores!$A$2:$A$41,Vendedores!$B$2:$B$41,"No hay datos")</f>
        <v>No hay datos</v>
      </c>
      <c r="H1301" s="2" t="str">
        <f t="array" ref="H1301">_xlfn.XLOOKUP(B1301,Vendedores!$A$2:$A$41,Vendedores!$C$2:$C$41,"No hay datos")</f>
        <v>No hay datos</v>
      </c>
      <c r="I1301" s="2" t="str">
        <f t="array" ref="I1301">_xlfn.XLOOKUP(B1301,Vendedores!$A$2:$A$41,Vendedores!$D$2:$D$41,"No hay datos")</f>
        <v>No hay datos</v>
      </c>
      <c r="J1301" s="2" t="str">
        <f t="array" ref="J1301">_xlfn.XLOOKUP(A1301,Productos!$A$2:$A$61,Productos!$B$2:$F$61)</f>
        <v>#N/A</v>
      </c>
    </row>
    <row r="1302">
      <c r="A1302" s="2" t="str">
        <f>IFERROR(__xludf.DUMMYFUNCTION("""COMPUTED_VALUE"""),"PR032")</f>
        <v>PR032</v>
      </c>
      <c r="B1302" s="2" t="str">
        <f>IFERROR(__xludf.DUMMYFUNCTION("""COMPUTED_VALUE"""),"VD035")</f>
        <v>VD035</v>
      </c>
      <c r="C1302" s="2">
        <f>IFERROR(__xludf.DUMMYFUNCTION("""COMPUTED_VALUE"""),6.0)</f>
        <v>6</v>
      </c>
      <c r="D1302" s="6">
        <f>IFERROR(__xludf.DUMMYFUNCTION("""COMPUTED_VALUE"""),1605.0)</f>
        <v>1605</v>
      </c>
      <c r="E1302" s="6">
        <f>IFERROR(__xludf.DUMMYFUNCTION("GOOGLEFINANCE(""Currency:BRLMXN"")*D1302"),5452.1849999999995)</f>
        <v>5452.185</v>
      </c>
      <c r="F1302" s="6">
        <f>IFERROR(__xludf.DUMMYFUNCTION("GOOGLEFINANCE(""Currency:BRLPEN"")*D1302"),1052.2379999999998)</f>
        <v>1052.238</v>
      </c>
      <c r="G1302" s="2" t="str">
        <f t="array" ref="G1302">_xlfn.XLOOKUP(B1302,Vendedores!$A$2:$A$41,Vendedores!$B$2:$B$41,"No hay datos")</f>
        <v>No hay datos</v>
      </c>
      <c r="H1302" s="2" t="str">
        <f t="array" ref="H1302">_xlfn.XLOOKUP(B1302,Vendedores!$A$2:$A$41,Vendedores!$C$2:$C$41,"No hay datos")</f>
        <v>No hay datos</v>
      </c>
      <c r="I1302" s="2" t="str">
        <f t="array" ref="I1302">_xlfn.XLOOKUP(B1302,Vendedores!$A$2:$A$41,Vendedores!$D$2:$D$41,"No hay datos")</f>
        <v>No hay datos</v>
      </c>
      <c r="J1302" s="2" t="str">
        <f t="array" ref="J1302">_xlfn.XLOOKUP(A1302,Productos!$A$2:$A$61,Productos!$B$2:$F$61)</f>
        <v>#N/A</v>
      </c>
    </row>
    <row r="1303">
      <c r="A1303" s="2" t="str">
        <f>IFERROR(__xludf.DUMMYFUNCTION("""COMPUTED_VALUE"""),"PR002")</f>
        <v>PR002</v>
      </c>
      <c r="B1303" s="2" t="str">
        <f>IFERROR(__xludf.DUMMYFUNCTION("""COMPUTED_VALUE"""),"VD012")</f>
        <v>VD012</v>
      </c>
      <c r="C1303" s="2">
        <f>IFERROR(__xludf.DUMMYFUNCTION("""COMPUTED_VALUE"""),14.0)</f>
        <v>14</v>
      </c>
      <c r="D1303" s="6">
        <f>IFERROR(__xludf.DUMMYFUNCTION("""COMPUTED_VALUE"""),1037.32)</f>
        <v>1037.32</v>
      </c>
      <c r="E1303" s="6">
        <f>IFERROR(__xludf.DUMMYFUNCTION("GOOGLEFINANCE(""Currency:BRLMXN"")*D1303"),3523.7760399999997)</f>
        <v>3523.77604</v>
      </c>
      <c r="F1303" s="6">
        <f>IFERROR(__xludf.DUMMYFUNCTION("GOOGLEFINANCE(""Currency:BRLPEN"")*D1303"),680.0669919999999)</f>
        <v>680.066992</v>
      </c>
      <c r="G1303" s="2" t="str">
        <f t="array" ref="G1303">_xlfn.XLOOKUP(B1303,Vendedores!$A$2:$A$41,Vendedores!$B$2:$B$41,"No hay datos")</f>
        <v>No hay datos</v>
      </c>
      <c r="H1303" s="2" t="str">
        <f t="array" ref="H1303">_xlfn.XLOOKUP(B1303,Vendedores!$A$2:$A$41,Vendedores!$C$2:$C$41,"No hay datos")</f>
        <v>No hay datos</v>
      </c>
      <c r="I1303" s="2" t="str">
        <f t="array" ref="I1303">_xlfn.XLOOKUP(B1303,Vendedores!$A$2:$A$41,Vendedores!$D$2:$D$41,"No hay datos")</f>
        <v>No hay datos</v>
      </c>
      <c r="J1303" s="2" t="str">
        <f t="array" ref="J1303">_xlfn.XLOOKUP(A1303,Productos!$A$2:$A$61,Productos!$B$2:$F$61)</f>
        <v>#N/A</v>
      </c>
    </row>
    <row r="1304">
      <c r="A1304" s="2" t="str">
        <f>IFERROR(__xludf.DUMMYFUNCTION("""COMPUTED_VALUE"""),"PR015")</f>
        <v>PR015</v>
      </c>
      <c r="B1304" s="2" t="str">
        <f>IFERROR(__xludf.DUMMYFUNCTION("""COMPUTED_VALUE"""),"VD032")</f>
        <v>VD032</v>
      </c>
      <c r="C1304" s="2">
        <f>IFERROR(__xludf.DUMMYFUNCTION("""COMPUTED_VALUE"""),10.0)</f>
        <v>10</v>
      </c>
      <c r="D1304" s="6">
        <f>IFERROR(__xludf.DUMMYFUNCTION("""COMPUTED_VALUE"""),437.75)</f>
        <v>437.75</v>
      </c>
      <c r="E1304" s="6">
        <f>IFERROR(__xludf.DUMMYFUNCTION("GOOGLEFINANCE(""Currency:BRLMXN"")*D1304"),1487.03675)</f>
        <v>1487.03675</v>
      </c>
      <c r="F1304" s="6">
        <f>IFERROR(__xludf.DUMMYFUNCTION("GOOGLEFINANCE(""Currency:BRLPEN"")*D1304"),286.9889)</f>
        <v>286.9889</v>
      </c>
      <c r="G1304" s="2" t="str">
        <f t="array" ref="G1304">_xlfn.XLOOKUP(B1304,Vendedores!$A$2:$A$41,Vendedores!$B$2:$B$41,"No hay datos")</f>
        <v>No hay datos</v>
      </c>
      <c r="H1304" s="2" t="str">
        <f t="array" ref="H1304">_xlfn.XLOOKUP(B1304,Vendedores!$A$2:$A$41,Vendedores!$C$2:$C$41,"No hay datos")</f>
        <v>No hay datos</v>
      </c>
      <c r="I1304" s="2" t="str">
        <f t="array" ref="I1304">_xlfn.XLOOKUP(B1304,Vendedores!$A$2:$A$41,Vendedores!$D$2:$D$41,"No hay datos")</f>
        <v>No hay datos</v>
      </c>
      <c r="J1304" s="2" t="str">
        <f t="array" ref="J1304">_xlfn.XLOOKUP(A1304,Productos!$A$2:$A$61,Productos!$B$2:$F$61)</f>
        <v>#N/A</v>
      </c>
    </row>
    <row r="1305">
      <c r="A1305" s="2" t="str">
        <f>IFERROR(__xludf.DUMMYFUNCTION("""COMPUTED_VALUE"""),"PR038")</f>
        <v>PR038</v>
      </c>
      <c r="B1305" s="2" t="str">
        <f>IFERROR(__xludf.DUMMYFUNCTION("""COMPUTED_VALUE"""),"VD021")</f>
        <v>VD021</v>
      </c>
      <c r="C1305" s="2">
        <f>IFERROR(__xludf.DUMMYFUNCTION("""COMPUTED_VALUE"""),4.0)</f>
        <v>4</v>
      </c>
      <c r="D1305" s="6">
        <f>IFERROR(__xludf.DUMMYFUNCTION("""COMPUTED_VALUE"""),571.6)</f>
        <v>571.6</v>
      </c>
      <c r="E1305" s="6">
        <f>IFERROR(__xludf.DUMMYFUNCTION("GOOGLEFINANCE(""Currency:BRLMXN"")*D1305"),1941.7251999999999)</f>
        <v>1941.7252</v>
      </c>
      <c r="F1305" s="6">
        <f>IFERROR(__xludf.DUMMYFUNCTION("GOOGLEFINANCE(""Currency:BRLPEN"")*D1305"),374.74096)</f>
        <v>374.74096</v>
      </c>
      <c r="G1305" s="2" t="str">
        <f t="array" ref="G1305">_xlfn.XLOOKUP(B1305,Vendedores!$A$2:$A$41,Vendedores!$B$2:$B$41,"No hay datos")</f>
        <v>No hay datos</v>
      </c>
      <c r="H1305" s="2" t="str">
        <f t="array" ref="H1305">_xlfn.XLOOKUP(B1305,Vendedores!$A$2:$A$41,Vendedores!$C$2:$C$41,"No hay datos")</f>
        <v>No hay datos</v>
      </c>
      <c r="I1305" s="2" t="str">
        <f t="array" ref="I1305">_xlfn.XLOOKUP(B1305,Vendedores!$A$2:$A$41,Vendedores!$D$2:$D$41,"No hay datos")</f>
        <v>No hay datos</v>
      </c>
      <c r="J1305" s="2" t="str">
        <f t="array" ref="J1305">_xlfn.XLOOKUP(A1305,Productos!$A$2:$A$61,Productos!$B$2:$F$61)</f>
        <v>#N/A</v>
      </c>
    </row>
    <row r="1306">
      <c r="A1306" s="2" t="str">
        <f>IFERROR(__xludf.DUMMYFUNCTION("""COMPUTED_VALUE"""),"PR043")</f>
        <v>PR043</v>
      </c>
      <c r="B1306" s="2" t="str">
        <f>IFERROR(__xludf.DUMMYFUNCTION("""COMPUTED_VALUE"""),"VD040")</f>
        <v>VD040</v>
      </c>
      <c r="C1306" s="2">
        <f>IFERROR(__xludf.DUMMYFUNCTION("""COMPUTED_VALUE"""),8.0)</f>
        <v>8</v>
      </c>
      <c r="D1306" s="6">
        <f>IFERROR(__xludf.DUMMYFUNCTION("""COMPUTED_VALUE"""),580.0)</f>
        <v>580</v>
      </c>
      <c r="E1306" s="6">
        <f>IFERROR(__xludf.DUMMYFUNCTION("GOOGLEFINANCE(""Currency:BRLMXN"")*D1306"),1970.26)</f>
        <v>1970.26</v>
      </c>
      <c r="F1306" s="6">
        <f>IFERROR(__xludf.DUMMYFUNCTION("GOOGLEFINANCE(""Currency:BRLPEN"")*D1306"),380.248)</f>
        <v>380.248</v>
      </c>
      <c r="G1306" s="2" t="str">
        <f t="array" ref="G1306">_xlfn.XLOOKUP(B1306,Vendedores!$A$2:$A$41,Vendedores!$B$2:$B$41,"No hay datos")</f>
        <v>No hay datos</v>
      </c>
      <c r="H1306" s="2" t="str">
        <f t="array" ref="H1306">_xlfn.XLOOKUP(B1306,Vendedores!$A$2:$A$41,Vendedores!$C$2:$C$41,"No hay datos")</f>
        <v>No hay datos</v>
      </c>
      <c r="I1306" s="2" t="str">
        <f t="array" ref="I1306">_xlfn.XLOOKUP(B1306,Vendedores!$A$2:$A$41,Vendedores!$D$2:$D$41,"No hay datos")</f>
        <v>No hay datos</v>
      </c>
      <c r="J1306" s="2" t="str">
        <f t="array" ref="J1306">_xlfn.XLOOKUP(A1306,Productos!$A$2:$A$61,Productos!$B$2:$F$61)</f>
        <v>#N/A</v>
      </c>
    </row>
    <row r="1307">
      <c r="A1307" s="2" t="str">
        <f>IFERROR(__xludf.DUMMYFUNCTION("""COMPUTED_VALUE"""),"PR060")</f>
        <v>PR060</v>
      </c>
      <c r="B1307" s="2" t="str">
        <f>IFERROR(__xludf.DUMMYFUNCTION("""COMPUTED_VALUE"""),"VD035")</f>
        <v>VD035</v>
      </c>
      <c r="C1307" s="2">
        <f>IFERROR(__xludf.DUMMYFUNCTION("""COMPUTED_VALUE"""),8.0)</f>
        <v>8</v>
      </c>
      <c r="D1307" s="6">
        <f>IFERROR(__xludf.DUMMYFUNCTION("""COMPUTED_VALUE"""),1440.0)</f>
        <v>1440</v>
      </c>
      <c r="E1307" s="6">
        <f>IFERROR(__xludf.DUMMYFUNCTION("GOOGLEFINANCE(""Currency:BRLMXN"")*D1307"),4891.679999999999)</f>
        <v>4891.68</v>
      </c>
      <c r="F1307" s="6">
        <f>IFERROR(__xludf.DUMMYFUNCTION("GOOGLEFINANCE(""Currency:BRLPEN"")*D1307"),944.064)</f>
        <v>944.064</v>
      </c>
      <c r="G1307" s="2" t="str">
        <f t="array" ref="G1307">_xlfn.XLOOKUP(B1307,Vendedores!$A$2:$A$41,Vendedores!$B$2:$B$41,"No hay datos")</f>
        <v>No hay datos</v>
      </c>
      <c r="H1307" s="2" t="str">
        <f t="array" ref="H1307">_xlfn.XLOOKUP(B1307,Vendedores!$A$2:$A$41,Vendedores!$C$2:$C$41,"No hay datos")</f>
        <v>No hay datos</v>
      </c>
      <c r="I1307" s="2" t="str">
        <f t="array" ref="I1307">_xlfn.XLOOKUP(B1307,Vendedores!$A$2:$A$41,Vendedores!$D$2:$D$41,"No hay datos")</f>
        <v>No hay datos</v>
      </c>
      <c r="J1307" s="2" t="str">
        <f t="array" ref="J1307">_xlfn.XLOOKUP(A1307,Productos!$A$2:$A$61,Productos!$B$2:$F$61)</f>
        <v>#N/A</v>
      </c>
    </row>
    <row r="1308">
      <c r="A1308" s="2" t="str">
        <f>IFERROR(__xludf.DUMMYFUNCTION("""COMPUTED_VALUE"""),"PR056")</f>
        <v>PR056</v>
      </c>
      <c r="B1308" s="2" t="str">
        <f>IFERROR(__xludf.DUMMYFUNCTION("""COMPUTED_VALUE"""),"VD045")</f>
        <v>VD045</v>
      </c>
      <c r="C1308" s="2">
        <f>IFERROR(__xludf.DUMMYFUNCTION("""COMPUTED_VALUE"""),6.0)</f>
        <v>6</v>
      </c>
      <c r="D1308" s="6">
        <f>IFERROR(__xludf.DUMMYFUNCTION("""COMPUTED_VALUE"""),560.98)</f>
        <v>560.98</v>
      </c>
      <c r="E1308" s="6">
        <f>IFERROR(__xludf.DUMMYFUNCTION("GOOGLEFINANCE(""Currency:BRLMXN"")*D1308"),1905.64906)</f>
        <v>1905.64906</v>
      </c>
      <c r="F1308" s="6">
        <f>IFERROR(__xludf.DUMMYFUNCTION("GOOGLEFINANCE(""Currency:BRLPEN"")*D1308"),367.778488)</f>
        <v>367.778488</v>
      </c>
      <c r="G1308" s="2" t="str">
        <f t="array" ref="G1308">_xlfn.XLOOKUP(B1308,Vendedores!$A$2:$A$41,Vendedores!$B$2:$B$41,"No hay datos")</f>
        <v>No hay datos</v>
      </c>
      <c r="H1308" s="2" t="str">
        <f t="array" ref="H1308">_xlfn.XLOOKUP(B1308,Vendedores!$A$2:$A$41,Vendedores!$C$2:$C$41,"No hay datos")</f>
        <v>No hay datos</v>
      </c>
      <c r="I1308" s="2" t="str">
        <f t="array" ref="I1308">_xlfn.XLOOKUP(B1308,Vendedores!$A$2:$A$41,Vendedores!$D$2:$D$41,"No hay datos")</f>
        <v>No hay datos</v>
      </c>
      <c r="J1308" s="2" t="str">
        <f t="array" ref="J1308">_xlfn.XLOOKUP(A1308,Productos!$A$2:$A$61,Productos!$B$2:$F$61)</f>
        <v>#N/A</v>
      </c>
    </row>
    <row r="1309">
      <c r="A1309" s="2" t="str">
        <f>IFERROR(__xludf.DUMMYFUNCTION("""COMPUTED_VALUE"""),"PR053")</f>
        <v>PR053</v>
      </c>
      <c r="B1309" s="2" t="str">
        <f>IFERROR(__xludf.DUMMYFUNCTION("""COMPUTED_VALUE"""),"VD028")</f>
        <v>VD028</v>
      </c>
      <c r="C1309" s="2">
        <f>IFERROR(__xludf.DUMMYFUNCTION("""COMPUTED_VALUE"""),6.0)</f>
        <v>6</v>
      </c>
      <c r="D1309" s="6">
        <f>IFERROR(__xludf.DUMMYFUNCTION("""COMPUTED_VALUE"""),311.38)</f>
        <v>311.38</v>
      </c>
      <c r="E1309" s="6">
        <f>IFERROR(__xludf.DUMMYFUNCTION("GOOGLEFINANCE(""Currency:BRLMXN"")*D1309"),1057.75786)</f>
        <v>1057.75786</v>
      </c>
      <c r="F1309" s="6">
        <f>IFERROR(__xludf.DUMMYFUNCTION("GOOGLEFINANCE(""Currency:BRLPEN"")*D1309"),204.140728)</f>
        <v>204.140728</v>
      </c>
      <c r="G1309" s="2" t="str">
        <f t="array" ref="G1309">_xlfn.XLOOKUP(B1309,Vendedores!$A$2:$A$41,Vendedores!$B$2:$B$41,"No hay datos")</f>
        <v>No hay datos</v>
      </c>
      <c r="H1309" s="2" t="str">
        <f t="array" ref="H1309">_xlfn.XLOOKUP(B1309,Vendedores!$A$2:$A$41,Vendedores!$C$2:$C$41,"No hay datos")</f>
        <v>No hay datos</v>
      </c>
      <c r="I1309" s="2" t="str">
        <f t="array" ref="I1309">_xlfn.XLOOKUP(B1309,Vendedores!$A$2:$A$41,Vendedores!$D$2:$D$41,"No hay datos")</f>
        <v>No hay datos</v>
      </c>
      <c r="J1309" s="2" t="str">
        <f t="array" ref="J1309">_xlfn.XLOOKUP(A1309,Productos!$A$2:$A$61,Productos!$B$2:$F$61)</f>
        <v>#N/A</v>
      </c>
    </row>
    <row r="1310">
      <c r="A1310" s="2" t="str">
        <f>IFERROR(__xludf.DUMMYFUNCTION("""COMPUTED_VALUE"""),"PR015")</f>
        <v>PR015</v>
      </c>
      <c r="B1310" s="2" t="str">
        <f>IFERROR(__xludf.DUMMYFUNCTION("""COMPUTED_VALUE"""),"VD037")</f>
        <v>VD037</v>
      </c>
      <c r="C1310" s="2">
        <f>IFERROR(__xludf.DUMMYFUNCTION("""COMPUTED_VALUE"""),2.0)</f>
        <v>2</v>
      </c>
      <c r="D1310" s="6">
        <f>IFERROR(__xludf.DUMMYFUNCTION("""COMPUTED_VALUE"""),85.0)</f>
        <v>85</v>
      </c>
      <c r="E1310" s="6">
        <f>IFERROR(__xludf.DUMMYFUNCTION("GOOGLEFINANCE(""Currency:BRLMXN"")*D1310"),288.745)</f>
        <v>288.745</v>
      </c>
      <c r="F1310" s="6">
        <f>IFERROR(__xludf.DUMMYFUNCTION("GOOGLEFINANCE(""Currency:BRLPEN"")*D1310"),55.726)</f>
        <v>55.726</v>
      </c>
      <c r="G1310" s="2" t="str">
        <f t="array" ref="G1310">_xlfn.XLOOKUP(B1310,Vendedores!$A$2:$A$41,Vendedores!$B$2:$B$41,"No hay datos")</f>
        <v>No hay datos</v>
      </c>
      <c r="H1310" s="2" t="str">
        <f t="array" ref="H1310">_xlfn.XLOOKUP(B1310,Vendedores!$A$2:$A$41,Vendedores!$C$2:$C$41,"No hay datos")</f>
        <v>No hay datos</v>
      </c>
      <c r="I1310" s="2" t="str">
        <f t="array" ref="I1310">_xlfn.XLOOKUP(B1310,Vendedores!$A$2:$A$41,Vendedores!$D$2:$D$41,"No hay datos")</f>
        <v>No hay datos</v>
      </c>
      <c r="J1310" s="2" t="str">
        <f t="array" ref="J1310">_xlfn.XLOOKUP(A1310,Productos!$A$2:$A$61,Productos!$B$2:$F$61)</f>
        <v>#N/A</v>
      </c>
    </row>
    <row r="1311">
      <c r="A1311" s="2" t="str">
        <f>IFERROR(__xludf.DUMMYFUNCTION("""COMPUTED_VALUE"""),"PR044")</f>
        <v>PR044</v>
      </c>
      <c r="B1311" s="2" t="str">
        <f>IFERROR(__xludf.DUMMYFUNCTION("""COMPUTED_VALUE"""),"VD043")</f>
        <v>VD043</v>
      </c>
      <c r="C1311" s="2">
        <f>IFERROR(__xludf.DUMMYFUNCTION("""COMPUTED_VALUE"""),4.0)</f>
        <v>4</v>
      </c>
      <c r="D1311" s="6">
        <f>IFERROR(__xludf.DUMMYFUNCTION("""COMPUTED_VALUE"""),310.3)</f>
        <v>310.3</v>
      </c>
      <c r="E1311" s="6">
        <f>IFERROR(__xludf.DUMMYFUNCTION("GOOGLEFINANCE(""Currency:BRLMXN"")*D1311"),1054.0891)</f>
        <v>1054.0891</v>
      </c>
      <c r="F1311" s="6">
        <f>IFERROR(__xludf.DUMMYFUNCTION("GOOGLEFINANCE(""Currency:BRLPEN"")*D1311"),203.43268)</f>
        <v>203.43268</v>
      </c>
      <c r="G1311" s="2" t="str">
        <f t="array" ref="G1311">_xlfn.XLOOKUP(B1311,Vendedores!$A$2:$A$41,Vendedores!$B$2:$B$41,"No hay datos")</f>
        <v>No hay datos</v>
      </c>
      <c r="H1311" s="2" t="str">
        <f t="array" ref="H1311">_xlfn.XLOOKUP(B1311,Vendedores!$A$2:$A$41,Vendedores!$C$2:$C$41,"No hay datos")</f>
        <v>No hay datos</v>
      </c>
      <c r="I1311" s="2" t="str">
        <f t="array" ref="I1311">_xlfn.XLOOKUP(B1311,Vendedores!$A$2:$A$41,Vendedores!$D$2:$D$41,"No hay datos")</f>
        <v>No hay datos</v>
      </c>
      <c r="J1311" s="2" t="str">
        <f t="array" ref="J1311">_xlfn.XLOOKUP(A1311,Productos!$A$2:$A$61,Productos!$B$2:$F$61)</f>
        <v>#N/A</v>
      </c>
    </row>
    <row r="1312">
      <c r="A1312" s="2" t="str">
        <f>IFERROR(__xludf.DUMMYFUNCTION("""COMPUTED_VALUE"""),"PR058")</f>
        <v>PR058</v>
      </c>
      <c r="B1312" s="2" t="str">
        <f>IFERROR(__xludf.DUMMYFUNCTION("""COMPUTED_VALUE"""),"VD013")</f>
        <v>VD013</v>
      </c>
      <c r="C1312" s="2">
        <f>IFERROR(__xludf.DUMMYFUNCTION("""COMPUTED_VALUE"""),5.0)</f>
        <v>5</v>
      </c>
      <c r="D1312" s="6">
        <f>IFERROR(__xludf.DUMMYFUNCTION("""COMPUTED_VALUE"""),954.0)</f>
        <v>954</v>
      </c>
      <c r="E1312" s="6">
        <f>IFERROR(__xludf.DUMMYFUNCTION("GOOGLEFINANCE(""Currency:BRLMXN"")*D1312"),3240.738)</f>
        <v>3240.738</v>
      </c>
      <c r="F1312" s="6">
        <f>IFERROR(__xludf.DUMMYFUNCTION("GOOGLEFINANCE(""Currency:BRLPEN"")*D1312"),625.4423999999999)</f>
        <v>625.4424</v>
      </c>
      <c r="G1312" s="2" t="str">
        <f t="array" ref="G1312">_xlfn.XLOOKUP(B1312,Vendedores!$A$2:$A$41,Vendedores!$B$2:$B$41,"No hay datos")</f>
        <v>No hay datos</v>
      </c>
      <c r="H1312" s="2" t="str">
        <f t="array" ref="H1312">_xlfn.XLOOKUP(B1312,Vendedores!$A$2:$A$41,Vendedores!$C$2:$C$41,"No hay datos")</f>
        <v>No hay datos</v>
      </c>
      <c r="I1312" s="2" t="str">
        <f t="array" ref="I1312">_xlfn.XLOOKUP(B1312,Vendedores!$A$2:$A$41,Vendedores!$D$2:$D$41,"No hay datos")</f>
        <v>No hay datos</v>
      </c>
      <c r="J1312" s="2" t="str">
        <f t="array" ref="J1312">_xlfn.XLOOKUP(A1312,Productos!$A$2:$A$61,Productos!$B$2:$F$61)</f>
        <v>#N/A</v>
      </c>
    </row>
    <row r="1313">
      <c r="A1313" s="2" t="str">
        <f>IFERROR(__xludf.DUMMYFUNCTION("""COMPUTED_VALUE"""),"PR006")</f>
        <v>PR006</v>
      </c>
      <c r="B1313" s="2" t="str">
        <f>IFERROR(__xludf.DUMMYFUNCTION("""COMPUTED_VALUE"""),"VD016")</f>
        <v>VD016</v>
      </c>
      <c r="C1313" s="2">
        <f>IFERROR(__xludf.DUMMYFUNCTION("""COMPUTED_VALUE"""),7.0)</f>
        <v>7</v>
      </c>
      <c r="D1313" s="6">
        <f>IFERROR(__xludf.DUMMYFUNCTION("""COMPUTED_VALUE"""),296.06)</f>
        <v>296.06</v>
      </c>
      <c r="E1313" s="6">
        <f>IFERROR(__xludf.DUMMYFUNCTION("GOOGLEFINANCE(""Currency:BRLMXN"")*D1313"),1005.7158199999999)</f>
        <v>1005.71582</v>
      </c>
      <c r="F1313" s="6">
        <f>IFERROR(__xludf.DUMMYFUNCTION("GOOGLEFINANCE(""Currency:BRLPEN"")*D1313"),194.096936)</f>
        <v>194.096936</v>
      </c>
      <c r="G1313" s="2" t="str">
        <f t="array" ref="G1313">_xlfn.XLOOKUP(B1313,Vendedores!$A$2:$A$41,Vendedores!$B$2:$B$41,"No hay datos")</f>
        <v>No hay datos</v>
      </c>
      <c r="H1313" s="2" t="str">
        <f t="array" ref="H1313">_xlfn.XLOOKUP(B1313,Vendedores!$A$2:$A$41,Vendedores!$C$2:$C$41,"No hay datos")</f>
        <v>No hay datos</v>
      </c>
      <c r="I1313" s="2" t="str">
        <f t="array" ref="I1313">_xlfn.XLOOKUP(B1313,Vendedores!$A$2:$A$41,Vendedores!$D$2:$D$41,"No hay datos")</f>
        <v>No hay datos</v>
      </c>
      <c r="J1313" s="2" t="str">
        <f t="array" ref="J1313">_xlfn.XLOOKUP(A1313,Productos!$A$2:$A$61,Productos!$B$2:$F$61)</f>
        <v>#N/A</v>
      </c>
    </row>
    <row r="1314">
      <c r="A1314" s="2" t="str">
        <f>IFERROR(__xludf.DUMMYFUNCTION("""COMPUTED_VALUE"""),"PR023")</f>
        <v>PR023</v>
      </c>
      <c r="B1314" s="2" t="str">
        <f>IFERROR(__xludf.DUMMYFUNCTION("""COMPUTED_VALUE"""),"VD021")</f>
        <v>VD021</v>
      </c>
      <c r="C1314" s="2">
        <f>IFERROR(__xludf.DUMMYFUNCTION("""COMPUTED_VALUE"""),14.0)</f>
        <v>14</v>
      </c>
      <c r="D1314" s="6">
        <f>IFERROR(__xludf.DUMMYFUNCTION("""COMPUTED_VALUE"""),3638.54)</f>
        <v>3638.54</v>
      </c>
      <c r="E1314" s="6">
        <f>IFERROR(__xludf.DUMMYFUNCTION("GOOGLEFINANCE(""Currency:BRLMXN"")*D1314"),12360.120379999998)</f>
        <v>12360.12038</v>
      </c>
      <c r="F1314" s="6">
        <f>IFERROR(__xludf.DUMMYFUNCTION("GOOGLEFINANCE(""Currency:BRLPEN"")*D1314"),2385.4268239999997)</f>
        <v>2385.426824</v>
      </c>
      <c r="G1314" s="2" t="str">
        <f t="array" ref="G1314">_xlfn.XLOOKUP(B1314,Vendedores!$A$2:$A$41,Vendedores!$B$2:$B$41,"No hay datos")</f>
        <v>No hay datos</v>
      </c>
      <c r="H1314" s="2" t="str">
        <f t="array" ref="H1314">_xlfn.XLOOKUP(B1314,Vendedores!$A$2:$A$41,Vendedores!$C$2:$C$41,"No hay datos")</f>
        <v>No hay datos</v>
      </c>
      <c r="I1314" s="2" t="str">
        <f t="array" ref="I1314">_xlfn.XLOOKUP(B1314,Vendedores!$A$2:$A$41,Vendedores!$D$2:$D$41,"No hay datos")</f>
        <v>No hay datos</v>
      </c>
      <c r="J1314" s="2" t="str">
        <f t="array" ref="J1314">_xlfn.XLOOKUP(A1314,Productos!$A$2:$A$61,Productos!$B$2:$F$61)</f>
        <v>#N/A</v>
      </c>
    </row>
    <row r="1315">
      <c r="A1315" s="2" t="str">
        <f>IFERROR(__xludf.DUMMYFUNCTION("""COMPUTED_VALUE"""),"PR055")</f>
        <v>PR055</v>
      </c>
      <c r="B1315" s="2" t="str">
        <f>IFERROR(__xludf.DUMMYFUNCTION("""COMPUTED_VALUE"""),"VD038")</f>
        <v>VD038</v>
      </c>
      <c r="C1315" s="2">
        <f>IFERROR(__xludf.DUMMYFUNCTION("""COMPUTED_VALUE"""),5.0)</f>
        <v>5</v>
      </c>
      <c r="D1315" s="6">
        <f>IFERROR(__xludf.DUMMYFUNCTION("""COMPUTED_VALUE"""),449.5)</f>
        <v>449.5</v>
      </c>
      <c r="E1315" s="6">
        <f>IFERROR(__xludf.DUMMYFUNCTION("GOOGLEFINANCE(""Currency:BRLMXN"")*D1315"),1526.9515)</f>
        <v>1526.9515</v>
      </c>
      <c r="F1315" s="6">
        <f>IFERROR(__xludf.DUMMYFUNCTION("GOOGLEFINANCE(""Currency:BRLPEN"")*D1315"),294.69219999999996)</f>
        <v>294.6922</v>
      </c>
      <c r="G1315" s="2" t="str">
        <f t="array" ref="G1315">_xlfn.XLOOKUP(B1315,Vendedores!$A$2:$A$41,Vendedores!$B$2:$B$41,"No hay datos")</f>
        <v>No hay datos</v>
      </c>
      <c r="H1315" s="2" t="str">
        <f t="array" ref="H1315">_xlfn.XLOOKUP(B1315,Vendedores!$A$2:$A$41,Vendedores!$C$2:$C$41,"No hay datos")</f>
        <v>No hay datos</v>
      </c>
      <c r="I1315" s="2" t="str">
        <f t="array" ref="I1315">_xlfn.XLOOKUP(B1315,Vendedores!$A$2:$A$41,Vendedores!$D$2:$D$41,"No hay datos")</f>
        <v>No hay datos</v>
      </c>
      <c r="J1315" s="2" t="str">
        <f t="array" ref="J1315">_xlfn.XLOOKUP(A1315,Productos!$A$2:$A$61,Productos!$B$2:$F$61)</f>
        <v>#N/A</v>
      </c>
    </row>
    <row r="1316">
      <c r="A1316" s="2" t="str">
        <f>IFERROR(__xludf.DUMMYFUNCTION("""COMPUTED_VALUE"""),"PR006")</f>
        <v>PR006</v>
      </c>
      <c r="B1316" s="2" t="str">
        <f>IFERROR(__xludf.DUMMYFUNCTION("""COMPUTED_VALUE"""),"VD046")</f>
        <v>VD046</v>
      </c>
      <c r="C1316" s="2">
        <f>IFERROR(__xludf.DUMMYFUNCTION("""COMPUTED_VALUE"""),7.0)</f>
        <v>7</v>
      </c>
      <c r="D1316" s="6">
        <f>IFERROR(__xludf.DUMMYFUNCTION("""COMPUTED_VALUE"""),293.27)</f>
        <v>293.27</v>
      </c>
      <c r="E1316" s="6">
        <f>IFERROR(__xludf.DUMMYFUNCTION("GOOGLEFINANCE(""Currency:BRLMXN"")*D1316"),996.2381899999999)</f>
        <v>996.23819</v>
      </c>
      <c r="F1316" s="6">
        <f>IFERROR(__xludf.DUMMYFUNCTION("GOOGLEFINANCE(""Currency:BRLPEN"")*D1316"),192.26781199999996)</f>
        <v>192.267812</v>
      </c>
      <c r="G1316" s="2" t="str">
        <f t="array" ref="G1316">_xlfn.XLOOKUP(B1316,Vendedores!$A$2:$A$41,Vendedores!$B$2:$B$41,"No hay datos")</f>
        <v>No hay datos</v>
      </c>
      <c r="H1316" s="2" t="str">
        <f t="array" ref="H1316">_xlfn.XLOOKUP(B1316,Vendedores!$A$2:$A$41,Vendedores!$C$2:$C$41,"No hay datos")</f>
        <v>No hay datos</v>
      </c>
      <c r="I1316" s="2" t="str">
        <f t="array" ref="I1316">_xlfn.XLOOKUP(B1316,Vendedores!$A$2:$A$41,Vendedores!$D$2:$D$41,"No hay datos")</f>
        <v>No hay datos</v>
      </c>
      <c r="J1316" s="2" t="str">
        <f t="array" ref="J1316">_xlfn.XLOOKUP(A1316,Productos!$A$2:$A$61,Productos!$B$2:$F$61)</f>
        <v>#N/A</v>
      </c>
    </row>
    <row r="1317">
      <c r="A1317" s="2" t="str">
        <f>IFERROR(__xludf.DUMMYFUNCTION("""COMPUTED_VALUE"""),"PR033")</f>
        <v>PR033</v>
      </c>
      <c r="B1317" s="2" t="str">
        <f>IFERROR(__xludf.DUMMYFUNCTION("""COMPUTED_VALUE"""),"VD049")</f>
        <v>VD049</v>
      </c>
      <c r="C1317" s="2">
        <f>IFERROR(__xludf.DUMMYFUNCTION("""COMPUTED_VALUE"""),8.0)</f>
        <v>8</v>
      </c>
      <c r="D1317" s="6">
        <f>IFERROR(__xludf.DUMMYFUNCTION("""COMPUTED_VALUE"""),2287.12)</f>
        <v>2287.12</v>
      </c>
      <c r="E1317" s="6">
        <f>IFERROR(__xludf.DUMMYFUNCTION("GOOGLEFINANCE(""Currency:BRLMXN"")*D1317"),7769.346639999999)</f>
        <v>7769.34664</v>
      </c>
      <c r="F1317" s="6">
        <f>IFERROR(__xludf.DUMMYFUNCTION("GOOGLEFINANCE(""Currency:BRLPEN"")*D1317"),1499.4358719999998)</f>
        <v>1499.435872</v>
      </c>
      <c r="G1317" s="2" t="str">
        <f t="array" ref="G1317">_xlfn.XLOOKUP(B1317,Vendedores!$A$2:$A$41,Vendedores!$B$2:$B$41,"No hay datos")</f>
        <v>No hay datos</v>
      </c>
      <c r="H1317" s="2" t="str">
        <f t="array" ref="H1317">_xlfn.XLOOKUP(B1317,Vendedores!$A$2:$A$41,Vendedores!$C$2:$C$41,"No hay datos")</f>
        <v>No hay datos</v>
      </c>
      <c r="I1317" s="2" t="str">
        <f t="array" ref="I1317">_xlfn.XLOOKUP(B1317,Vendedores!$A$2:$A$41,Vendedores!$D$2:$D$41,"No hay datos")</f>
        <v>No hay datos</v>
      </c>
      <c r="J1317" s="2" t="str">
        <f t="array" ref="J1317">_xlfn.XLOOKUP(A1317,Productos!$A$2:$A$61,Productos!$B$2:$F$61)</f>
        <v>#N/A</v>
      </c>
    </row>
    <row r="1318">
      <c r="A1318" s="2" t="str">
        <f>IFERROR(__xludf.DUMMYFUNCTION("""COMPUTED_VALUE"""),"PR028")</f>
        <v>PR028</v>
      </c>
      <c r="B1318" s="2" t="str">
        <f>IFERROR(__xludf.DUMMYFUNCTION("""COMPUTED_VALUE"""),"VD039")</f>
        <v>VD039</v>
      </c>
      <c r="C1318" s="2">
        <f>IFERROR(__xludf.DUMMYFUNCTION("""COMPUTED_VALUE"""),8.0)</f>
        <v>8</v>
      </c>
      <c r="D1318" s="6">
        <f>IFERROR(__xludf.DUMMYFUNCTION("""COMPUTED_VALUE"""),2119.15)</f>
        <v>2119.15</v>
      </c>
      <c r="E1318" s="6">
        <f>IFERROR(__xludf.DUMMYFUNCTION("GOOGLEFINANCE(""Currency:BRLMXN"")*D1318"),7198.75255)</f>
        <v>7198.75255</v>
      </c>
      <c r="F1318" s="6">
        <f>IFERROR(__xludf.DUMMYFUNCTION("GOOGLEFINANCE(""Currency:BRLPEN"")*D1318"),1389.31474)</f>
        <v>1389.31474</v>
      </c>
      <c r="G1318" s="2" t="str">
        <f t="array" ref="G1318">_xlfn.XLOOKUP(B1318,Vendedores!$A$2:$A$41,Vendedores!$B$2:$B$41,"No hay datos")</f>
        <v>No hay datos</v>
      </c>
      <c r="H1318" s="2" t="str">
        <f t="array" ref="H1318">_xlfn.XLOOKUP(B1318,Vendedores!$A$2:$A$41,Vendedores!$C$2:$C$41,"No hay datos")</f>
        <v>No hay datos</v>
      </c>
      <c r="I1318" s="2" t="str">
        <f t="array" ref="I1318">_xlfn.XLOOKUP(B1318,Vendedores!$A$2:$A$41,Vendedores!$D$2:$D$41,"No hay datos")</f>
        <v>No hay datos</v>
      </c>
      <c r="J1318" s="2" t="str">
        <f t="array" ref="J1318">_xlfn.XLOOKUP(A1318,Productos!$A$2:$A$61,Productos!$B$2:$F$61)</f>
        <v>#N/A</v>
      </c>
    </row>
    <row r="1319">
      <c r="A1319" s="2" t="str">
        <f>IFERROR(__xludf.DUMMYFUNCTION("""COMPUTED_VALUE"""),"PR047")</f>
        <v>PR047</v>
      </c>
      <c r="B1319" s="2" t="str">
        <f>IFERROR(__xludf.DUMMYFUNCTION("""COMPUTED_VALUE"""),"VD049")</f>
        <v>VD049</v>
      </c>
      <c r="C1319" s="2">
        <f>IFERROR(__xludf.DUMMYFUNCTION("""COMPUTED_VALUE"""),2.0)</f>
        <v>2</v>
      </c>
      <c r="D1319" s="6">
        <f>IFERROR(__xludf.DUMMYFUNCTION("""COMPUTED_VALUE"""),608.79)</f>
        <v>608.79</v>
      </c>
      <c r="E1319" s="6">
        <f>IFERROR(__xludf.DUMMYFUNCTION("GOOGLEFINANCE(""Currency:BRLMXN"")*D1319"),2068.0596299999997)</f>
        <v>2068.05963</v>
      </c>
      <c r="F1319" s="6">
        <f>IFERROR(__xludf.DUMMYFUNCTION("GOOGLEFINANCE(""Currency:BRLPEN"")*D1319"),399.12272399999995)</f>
        <v>399.122724</v>
      </c>
      <c r="G1319" s="2" t="str">
        <f t="array" ref="G1319">_xlfn.XLOOKUP(B1319,Vendedores!$A$2:$A$41,Vendedores!$B$2:$B$41,"No hay datos")</f>
        <v>No hay datos</v>
      </c>
      <c r="H1319" s="2" t="str">
        <f t="array" ref="H1319">_xlfn.XLOOKUP(B1319,Vendedores!$A$2:$A$41,Vendedores!$C$2:$C$41,"No hay datos")</f>
        <v>No hay datos</v>
      </c>
      <c r="I1319" s="2" t="str">
        <f t="array" ref="I1319">_xlfn.XLOOKUP(B1319,Vendedores!$A$2:$A$41,Vendedores!$D$2:$D$41,"No hay datos")</f>
        <v>No hay datos</v>
      </c>
      <c r="J1319" s="2" t="str">
        <f t="array" ref="J1319">_xlfn.XLOOKUP(A1319,Productos!$A$2:$A$61,Productos!$B$2:$F$61)</f>
        <v>#N/A</v>
      </c>
    </row>
    <row r="1320">
      <c r="A1320" s="2" t="str">
        <f>IFERROR(__xludf.DUMMYFUNCTION("""COMPUTED_VALUE"""),"PR030")</f>
        <v>PR030</v>
      </c>
      <c r="B1320" s="2" t="str">
        <f>IFERROR(__xludf.DUMMYFUNCTION("""COMPUTED_VALUE"""),"VD040")</f>
        <v>VD040</v>
      </c>
      <c r="C1320" s="2">
        <f>IFERROR(__xludf.DUMMYFUNCTION("""COMPUTED_VALUE"""),10.0)</f>
        <v>10</v>
      </c>
      <c r="D1320" s="6">
        <f>IFERROR(__xludf.DUMMYFUNCTION("""COMPUTED_VALUE"""),2728.95)</f>
        <v>2728.95</v>
      </c>
      <c r="E1320" s="6">
        <f>IFERROR(__xludf.DUMMYFUNCTION("GOOGLEFINANCE(""Currency:BRLMXN"")*D1320"),9270.243149999998)</f>
        <v>9270.24315</v>
      </c>
      <c r="F1320" s="6">
        <f>IFERROR(__xludf.DUMMYFUNCTION("GOOGLEFINANCE(""Currency:BRLPEN"")*D1320"),1789.0996199999997)</f>
        <v>1789.09962</v>
      </c>
      <c r="G1320" s="2" t="str">
        <f t="array" ref="G1320">_xlfn.XLOOKUP(B1320,Vendedores!$A$2:$A$41,Vendedores!$B$2:$B$41,"No hay datos")</f>
        <v>No hay datos</v>
      </c>
      <c r="H1320" s="2" t="str">
        <f t="array" ref="H1320">_xlfn.XLOOKUP(B1320,Vendedores!$A$2:$A$41,Vendedores!$C$2:$C$41,"No hay datos")</f>
        <v>No hay datos</v>
      </c>
      <c r="I1320" s="2" t="str">
        <f t="array" ref="I1320">_xlfn.XLOOKUP(B1320,Vendedores!$A$2:$A$41,Vendedores!$D$2:$D$41,"No hay datos")</f>
        <v>No hay datos</v>
      </c>
      <c r="J1320" s="2" t="str">
        <f t="array" ref="J1320">_xlfn.XLOOKUP(A1320,Productos!$A$2:$A$61,Productos!$B$2:$F$61)</f>
        <v>#N/A</v>
      </c>
    </row>
    <row r="1321">
      <c r="A1321" s="2" t="str">
        <f>IFERROR(__xludf.DUMMYFUNCTION("""COMPUTED_VALUE"""),"PR017")</f>
        <v>PR017</v>
      </c>
      <c r="B1321" s="2" t="str">
        <f>IFERROR(__xludf.DUMMYFUNCTION("""COMPUTED_VALUE"""),"VD043")</f>
        <v>VD043</v>
      </c>
      <c r="C1321" s="2">
        <f>IFERROR(__xludf.DUMMYFUNCTION("""COMPUTED_VALUE"""),2.0)</f>
        <v>2</v>
      </c>
      <c r="D1321" s="6">
        <f>IFERROR(__xludf.DUMMYFUNCTION("""COMPUTED_VALUE"""),61.59)</f>
        <v>61.59</v>
      </c>
      <c r="E1321" s="6">
        <f>IFERROR(__xludf.DUMMYFUNCTION("GOOGLEFINANCE(""Currency:BRLMXN"")*D1321"),209.22123)</f>
        <v>209.22123</v>
      </c>
      <c r="F1321" s="6">
        <f>IFERROR(__xludf.DUMMYFUNCTION("GOOGLEFINANCE(""Currency:BRLPEN"")*D1321"),40.378404)</f>
        <v>40.378404</v>
      </c>
      <c r="G1321" s="2" t="str">
        <f t="array" ref="G1321">_xlfn.XLOOKUP(B1321,Vendedores!$A$2:$A$41,Vendedores!$B$2:$B$41,"No hay datos")</f>
        <v>No hay datos</v>
      </c>
      <c r="H1321" s="2" t="str">
        <f t="array" ref="H1321">_xlfn.XLOOKUP(B1321,Vendedores!$A$2:$A$41,Vendedores!$C$2:$C$41,"No hay datos")</f>
        <v>No hay datos</v>
      </c>
      <c r="I1321" s="2" t="str">
        <f t="array" ref="I1321">_xlfn.XLOOKUP(B1321,Vendedores!$A$2:$A$41,Vendedores!$D$2:$D$41,"No hay datos")</f>
        <v>No hay datos</v>
      </c>
      <c r="J1321" s="2" t="str">
        <f t="array" ref="J1321">_xlfn.XLOOKUP(A1321,Productos!$A$2:$A$61,Productos!$B$2:$F$61)</f>
        <v>#N/A</v>
      </c>
    </row>
    <row r="1322">
      <c r="A1322" s="2" t="str">
        <f>IFERROR(__xludf.DUMMYFUNCTION("""COMPUTED_VALUE"""),"PR018")</f>
        <v>PR018</v>
      </c>
      <c r="B1322" s="2" t="str">
        <f>IFERROR(__xludf.DUMMYFUNCTION("""COMPUTED_VALUE"""),"VD012")</f>
        <v>VD012</v>
      </c>
      <c r="C1322" s="2">
        <f>IFERROR(__xludf.DUMMYFUNCTION("""COMPUTED_VALUE"""),16.0)</f>
        <v>16</v>
      </c>
      <c r="D1322" s="6">
        <f>IFERROR(__xludf.DUMMYFUNCTION("""COMPUTED_VALUE"""),536.93)</f>
        <v>536.93</v>
      </c>
      <c r="E1322" s="6">
        <f>IFERROR(__xludf.DUMMYFUNCTION("GOOGLEFINANCE(""Currency:BRLMXN"")*D1322"),1823.9512099999997)</f>
        <v>1823.95121</v>
      </c>
      <c r="F1322" s="6">
        <f>IFERROR(__xludf.DUMMYFUNCTION("GOOGLEFINANCE(""Currency:BRLPEN"")*D1322"),352.01130799999993)</f>
        <v>352.011308</v>
      </c>
      <c r="G1322" s="2" t="str">
        <f t="array" ref="G1322">_xlfn.XLOOKUP(B1322,Vendedores!$A$2:$A$41,Vendedores!$B$2:$B$41,"No hay datos")</f>
        <v>No hay datos</v>
      </c>
      <c r="H1322" s="2" t="str">
        <f t="array" ref="H1322">_xlfn.XLOOKUP(B1322,Vendedores!$A$2:$A$41,Vendedores!$C$2:$C$41,"No hay datos")</f>
        <v>No hay datos</v>
      </c>
      <c r="I1322" s="2" t="str">
        <f t="array" ref="I1322">_xlfn.XLOOKUP(B1322,Vendedores!$A$2:$A$41,Vendedores!$D$2:$D$41,"No hay datos")</f>
        <v>No hay datos</v>
      </c>
      <c r="J1322" s="2" t="str">
        <f t="array" ref="J1322">_xlfn.XLOOKUP(A1322,Productos!$A$2:$A$61,Productos!$B$2:$F$61)</f>
        <v>#N/A</v>
      </c>
    </row>
    <row r="1323">
      <c r="A1323" s="2" t="str">
        <f>IFERROR(__xludf.DUMMYFUNCTION("""COMPUTED_VALUE"""),"PR044")</f>
        <v>PR044</v>
      </c>
      <c r="B1323" s="2" t="str">
        <f>IFERROR(__xludf.DUMMYFUNCTION("""COMPUTED_VALUE"""),"VD023")</f>
        <v>VD023</v>
      </c>
      <c r="C1323" s="2">
        <f>IFERROR(__xludf.DUMMYFUNCTION("""COMPUTED_VALUE"""),10.0)</f>
        <v>10</v>
      </c>
      <c r="D1323" s="6">
        <f>IFERROR(__xludf.DUMMYFUNCTION("""COMPUTED_VALUE"""),768.5)</f>
        <v>768.5</v>
      </c>
      <c r="E1323" s="6">
        <f>IFERROR(__xludf.DUMMYFUNCTION("GOOGLEFINANCE(""Currency:BRLMXN"")*D1323"),2610.5944999999997)</f>
        <v>2610.5945</v>
      </c>
      <c r="F1323" s="6">
        <f>IFERROR(__xludf.DUMMYFUNCTION("GOOGLEFINANCE(""Currency:BRLPEN"")*D1323"),503.8286)</f>
        <v>503.8286</v>
      </c>
      <c r="G1323" s="2" t="str">
        <f t="array" ref="G1323">_xlfn.XLOOKUP(B1323,Vendedores!$A$2:$A$41,Vendedores!$B$2:$B$41,"No hay datos")</f>
        <v>No hay datos</v>
      </c>
      <c r="H1323" s="2" t="str">
        <f t="array" ref="H1323">_xlfn.XLOOKUP(B1323,Vendedores!$A$2:$A$41,Vendedores!$C$2:$C$41,"No hay datos")</f>
        <v>No hay datos</v>
      </c>
      <c r="I1323" s="2" t="str">
        <f t="array" ref="I1323">_xlfn.XLOOKUP(B1323,Vendedores!$A$2:$A$41,Vendedores!$D$2:$D$41,"No hay datos")</f>
        <v>No hay datos</v>
      </c>
      <c r="J1323" s="2" t="str">
        <f t="array" ref="J1323">_xlfn.XLOOKUP(A1323,Productos!$A$2:$A$61,Productos!$B$2:$F$61)</f>
        <v>#N/A</v>
      </c>
    </row>
    <row r="1324">
      <c r="A1324" s="2" t="str">
        <f>IFERROR(__xludf.DUMMYFUNCTION("""COMPUTED_VALUE"""),"PR053")</f>
        <v>PR053</v>
      </c>
      <c r="B1324" s="2" t="str">
        <f>IFERROR(__xludf.DUMMYFUNCTION("""COMPUTED_VALUE"""),"VD029")</f>
        <v>VD029</v>
      </c>
      <c r="C1324" s="2">
        <f>IFERROR(__xludf.DUMMYFUNCTION("""COMPUTED_VALUE"""),12.0)</f>
        <v>12</v>
      </c>
      <c r="D1324" s="6">
        <f>IFERROR(__xludf.DUMMYFUNCTION("""COMPUTED_VALUE"""),628.74)</f>
        <v>628.74</v>
      </c>
      <c r="E1324" s="6">
        <f>IFERROR(__xludf.DUMMYFUNCTION("GOOGLEFINANCE(""Currency:BRLMXN"")*D1324"),2135.82978)</f>
        <v>2135.82978</v>
      </c>
      <c r="F1324" s="6">
        <f>IFERROR(__xludf.DUMMYFUNCTION("GOOGLEFINANCE(""Currency:BRLPEN"")*D1324"),412.20194399999997)</f>
        <v>412.201944</v>
      </c>
      <c r="G1324" s="2" t="str">
        <f t="array" ref="G1324">_xlfn.XLOOKUP(B1324,Vendedores!$A$2:$A$41,Vendedores!$B$2:$B$41,"No hay datos")</f>
        <v>No hay datos</v>
      </c>
      <c r="H1324" s="2" t="str">
        <f t="array" ref="H1324">_xlfn.XLOOKUP(B1324,Vendedores!$A$2:$A$41,Vendedores!$C$2:$C$41,"No hay datos")</f>
        <v>No hay datos</v>
      </c>
      <c r="I1324" s="2" t="str">
        <f t="array" ref="I1324">_xlfn.XLOOKUP(B1324,Vendedores!$A$2:$A$41,Vendedores!$D$2:$D$41,"No hay datos")</f>
        <v>No hay datos</v>
      </c>
      <c r="J1324" s="2" t="str">
        <f t="array" ref="J1324">_xlfn.XLOOKUP(A1324,Productos!$A$2:$A$61,Productos!$B$2:$F$61)</f>
        <v>#N/A</v>
      </c>
    </row>
    <row r="1325">
      <c r="A1325" s="2" t="str">
        <f>IFERROR(__xludf.DUMMYFUNCTION("""COMPUTED_VALUE"""),"PR025")</f>
        <v>PR025</v>
      </c>
      <c r="B1325" s="2" t="str">
        <f>IFERROR(__xludf.DUMMYFUNCTION("""COMPUTED_VALUE"""),"VD015")</f>
        <v>VD015</v>
      </c>
      <c r="C1325" s="2">
        <f>IFERROR(__xludf.DUMMYFUNCTION("""COMPUTED_VALUE"""),7.0)</f>
        <v>7</v>
      </c>
      <c r="D1325" s="6">
        <f>IFERROR(__xludf.DUMMYFUNCTION("""COMPUTED_VALUE"""),2183.27)</f>
        <v>2183.27</v>
      </c>
      <c r="E1325" s="6">
        <f>IFERROR(__xludf.DUMMYFUNCTION("GOOGLEFINANCE(""Currency:BRLMXN"")*D1325"),7416.568189999999)</f>
        <v>7416.56819</v>
      </c>
      <c r="F1325" s="6">
        <f>IFERROR(__xludf.DUMMYFUNCTION("GOOGLEFINANCE(""Currency:BRLPEN"")*D1325"),1431.3518119999999)</f>
        <v>1431.351812</v>
      </c>
      <c r="G1325" s="2" t="str">
        <f t="array" ref="G1325">_xlfn.XLOOKUP(B1325,Vendedores!$A$2:$A$41,Vendedores!$B$2:$B$41,"No hay datos")</f>
        <v>No hay datos</v>
      </c>
      <c r="H1325" s="2" t="str">
        <f t="array" ref="H1325">_xlfn.XLOOKUP(B1325,Vendedores!$A$2:$A$41,Vendedores!$C$2:$C$41,"No hay datos")</f>
        <v>No hay datos</v>
      </c>
      <c r="I1325" s="2" t="str">
        <f t="array" ref="I1325">_xlfn.XLOOKUP(B1325,Vendedores!$A$2:$A$41,Vendedores!$D$2:$D$41,"No hay datos")</f>
        <v>No hay datos</v>
      </c>
      <c r="J1325" s="2" t="str">
        <f t="array" ref="J1325">_xlfn.XLOOKUP(A1325,Productos!$A$2:$A$61,Productos!$B$2:$F$61)</f>
        <v>#N/A</v>
      </c>
    </row>
    <row r="1326">
      <c r="A1326" s="2" t="str">
        <f>IFERROR(__xludf.DUMMYFUNCTION("""COMPUTED_VALUE"""),"PR021")</f>
        <v>PR021</v>
      </c>
      <c r="B1326" s="2" t="str">
        <f>IFERROR(__xludf.DUMMYFUNCTION("""COMPUTED_VALUE"""),"VD030")</f>
        <v>VD030</v>
      </c>
      <c r="C1326" s="2">
        <f>IFERROR(__xludf.DUMMYFUNCTION("""COMPUTED_VALUE"""),18.0)</f>
        <v>18</v>
      </c>
      <c r="D1326" s="6">
        <f>IFERROR(__xludf.DUMMYFUNCTION("""COMPUTED_VALUE"""),5670.29)</f>
        <v>5670.29</v>
      </c>
      <c r="E1326" s="6">
        <f>IFERROR(__xludf.DUMMYFUNCTION("GOOGLEFINANCE(""Currency:BRLMXN"")*D1326"),19261.97513)</f>
        <v>19261.97513</v>
      </c>
      <c r="F1326" s="6">
        <f>IFERROR(__xludf.DUMMYFUNCTION("GOOGLEFINANCE(""Currency:BRLPEN"")*D1326"),3717.4421239999997)</f>
        <v>3717.442124</v>
      </c>
      <c r="G1326" s="2" t="str">
        <f t="array" ref="G1326">_xlfn.XLOOKUP(B1326,Vendedores!$A$2:$A$41,Vendedores!$B$2:$B$41,"No hay datos")</f>
        <v>No hay datos</v>
      </c>
      <c r="H1326" s="2" t="str">
        <f t="array" ref="H1326">_xlfn.XLOOKUP(B1326,Vendedores!$A$2:$A$41,Vendedores!$C$2:$C$41,"No hay datos")</f>
        <v>No hay datos</v>
      </c>
      <c r="I1326" s="2" t="str">
        <f t="array" ref="I1326">_xlfn.XLOOKUP(B1326,Vendedores!$A$2:$A$41,Vendedores!$D$2:$D$41,"No hay datos")</f>
        <v>No hay datos</v>
      </c>
      <c r="J1326" s="2" t="str">
        <f t="array" ref="J1326">_xlfn.XLOOKUP(A1326,Productos!$A$2:$A$61,Productos!$B$2:$F$61)</f>
        <v>#N/A</v>
      </c>
    </row>
    <row r="1327">
      <c r="A1327" s="2" t="str">
        <f>IFERROR(__xludf.DUMMYFUNCTION("""COMPUTED_VALUE"""),"PR054")</f>
        <v>PR054</v>
      </c>
      <c r="B1327" s="2" t="str">
        <f>IFERROR(__xludf.DUMMYFUNCTION("""COMPUTED_VALUE"""),"VD026")</f>
        <v>VD026</v>
      </c>
      <c r="C1327" s="2">
        <f>IFERROR(__xludf.DUMMYFUNCTION("""COMPUTED_VALUE"""),10.0)</f>
        <v>10</v>
      </c>
      <c r="D1327" s="6">
        <f>IFERROR(__xludf.DUMMYFUNCTION("""COMPUTED_VALUE"""),523.95)</f>
        <v>523.95</v>
      </c>
      <c r="E1327" s="6">
        <f>IFERROR(__xludf.DUMMYFUNCTION("GOOGLEFINANCE(""Currency:BRLMXN"")*D1327"),1779.85815)</f>
        <v>1779.85815</v>
      </c>
      <c r="F1327" s="6">
        <f>IFERROR(__xludf.DUMMYFUNCTION("GOOGLEFINANCE(""Currency:BRLPEN"")*D1327"),343.50162)</f>
        <v>343.50162</v>
      </c>
      <c r="G1327" s="2" t="str">
        <f t="array" ref="G1327">_xlfn.XLOOKUP(B1327,Vendedores!$A$2:$A$41,Vendedores!$B$2:$B$41,"No hay datos")</f>
        <v>No hay datos</v>
      </c>
      <c r="H1327" s="2" t="str">
        <f t="array" ref="H1327">_xlfn.XLOOKUP(B1327,Vendedores!$A$2:$A$41,Vendedores!$C$2:$C$41,"No hay datos")</f>
        <v>No hay datos</v>
      </c>
      <c r="I1327" s="2" t="str">
        <f t="array" ref="I1327">_xlfn.XLOOKUP(B1327,Vendedores!$A$2:$A$41,Vendedores!$D$2:$D$41,"No hay datos")</f>
        <v>No hay datos</v>
      </c>
      <c r="J1327" s="2" t="str">
        <f t="array" ref="J1327">_xlfn.XLOOKUP(A1327,Productos!$A$2:$A$61,Productos!$B$2:$F$61)</f>
        <v>#N/A</v>
      </c>
    </row>
    <row r="1328">
      <c r="A1328" s="2" t="str">
        <f>IFERROR(__xludf.DUMMYFUNCTION("""COMPUTED_VALUE"""),"PR002")</f>
        <v>PR002</v>
      </c>
      <c r="B1328" s="2" t="str">
        <f>IFERROR(__xludf.DUMMYFUNCTION("""COMPUTED_VALUE"""),"VD019")</f>
        <v>VD019</v>
      </c>
      <c r="C1328" s="2">
        <f>IFERROR(__xludf.DUMMYFUNCTION("""COMPUTED_VALUE"""),2.0)</f>
        <v>2</v>
      </c>
      <c r="D1328" s="6">
        <f>IFERROR(__xludf.DUMMYFUNCTION("""COMPUTED_VALUE"""),153.78)</f>
        <v>153.78</v>
      </c>
      <c r="E1328" s="6">
        <f>IFERROR(__xludf.DUMMYFUNCTION("GOOGLEFINANCE(""Currency:BRLMXN"")*D1328"),522.39066)</f>
        <v>522.39066</v>
      </c>
      <c r="F1328" s="6">
        <f>IFERROR(__xludf.DUMMYFUNCTION("GOOGLEFINANCE(""Currency:BRLPEN"")*D1328"),100.818168)</f>
        <v>100.818168</v>
      </c>
      <c r="G1328" s="2" t="str">
        <f t="array" ref="G1328">_xlfn.XLOOKUP(B1328,Vendedores!$A$2:$A$41,Vendedores!$B$2:$B$41,"No hay datos")</f>
        <v>No hay datos</v>
      </c>
      <c r="H1328" s="2" t="str">
        <f t="array" ref="H1328">_xlfn.XLOOKUP(B1328,Vendedores!$A$2:$A$41,Vendedores!$C$2:$C$41,"No hay datos")</f>
        <v>No hay datos</v>
      </c>
      <c r="I1328" s="2" t="str">
        <f t="array" ref="I1328">_xlfn.XLOOKUP(B1328,Vendedores!$A$2:$A$41,Vendedores!$D$2:$D$41,"No hay datos")</f>
        <v>No hay datos</v>
      </c>
      <c r="J1328" s="2" t="str">
        <f t="array" ref="J1328">_xlfn.XLOOKUP(A1328,Productos!$A$2:$A$61,Productos!$B$2:$F$61)</f>
        <v>#N/A</v>
      </c>
    </row>
    <row r="1329">
      <c r="A1329" s="2" t="str">
        <f>IFERROR(__xludf.DUMMYFUNCTION("""COMPUTED_VALUE"""),"PR022")</f>
        <v>PR022</v>
      </c>
      <c r="B1329" s="2" t="str">
        <f>IFERROR(__xludf.DUMMYFUNCTION("""COMPUTED_VALUE"""),"VD029")</f>
        <v>VD029</v>
      </c>
      <c r="C1329" s="2">
        <f>IFERROR(__xludf.DUMMYFUNCTION("""COMPUTED_VALUE"""),6.0)</f>
        <v>6</v>
      </c>
      <c r="D1329" s="6">
        <f>IFERROR(__xludf.DUMMYFUNCTION("""COMPUTED_VALUE"""),1980.0)</f>
        <v>1980</v>
      </c>
      <c r="E1329" s="6">
        <f>IFERROR(__xludf.DUMMYFUNCTION("GOOGLEFINANCE(""Currency:BRLMXN"")*D1329"),6726.0599999999995)</f>
        <v>6726.06</v>
      </c>
      <c r="F1329" s="6">
        <f>IFERROR(__xludf.DUMMYFUNCTION("GOOGLEFINANCE(""Currency:BRLPEN"")*D1329"),1298.088)</f>
        <v>1298.088</v>
      </c>
      <c r="G1329" s="2" t="str">
        <f t="array" ref="G1329">_xlfn.XLOOKUP(B1329,Vendedores!$A$2:$A$41,Vendedores!$B$2:$B$41,"No hay datos")</f>
        <v>No hay datos</v>
      </c>
      <c r="H1329" s="2" t="str">
        <f t="array" ref="H1329">_xlfn.XLOOKUP(B1329,Vendedores!$A$2:$A$41,Vendedores!$C$2:$C$41,"No hay datos")</f>
        <v>No hay datos</v>
      </c>
      <c r="I1329" s="2" t="str">
        <f t="array" ref="I1329">_xlfn.XLOOKUP(B1329,Vendedores!$A$2:$A$41,Vendedores!$D$2:$D$41,"No hay datos")</f>
        <v>No hay datos</v>
      </c>
      <c r="J1329" s="2" t="str">
        <f t="array" ref="J1329">_xlfn.XLOOKUP(A1329,Productos!$A$2:$A$61,Productos!$B$2:$F$61)</f>
        <v>#N/A</v>
      </c>
    </row>
    <row r="1330">
      <c r="A1330" s="2" t="str">
        <f>IFERROR(__xludf.DUMMYFUNCTION("""COMPUTED_VALUE"""),"PR058")</f>
        <v>PR058</v>
      </c>
      <c r="B1330" s="2" t="str">
        <f>IFERROR(__xludf.DUMMYFUNCTION("""COMPUTED_VALUE"""),"VD024")</f>
        <v>VD024</v>
      </c>
      <c r="C1330" s="2">
        <f>IFERROR(__xludf.DUMMYFUNCTION("""COMPUTED_VALUE"""),5.0)</f>
        <v>5</v>
      </c>
      <c r="D1330" s="6">
        <f>IFERROR(__xludf.DUMMYFUNCTION("""COMPUTED_VALUE"""),954.0)</f>
        <v>954</v>
      </c>
      <c r="E1330" s="6">
        <f>IFERROR(__xludf.DUMMYFUNCTION("GOOGLEFINANCE(""Currency:BRLMXN"")*D1330"),3240.738)</f>
        <v>3240.738</v>
      </c>
      <c r="F1330" s="6">
        <f>IFERROR(__xludf.DUMMYFUNCTION("GOOGLEFINANCE(""Currency:BRLPEN"")*D1330"),625.4423999999999)</f>
        <v>625.4424</v>
      </c>
      <c r="G1330" s="2" t="str">
        <f t="array" ref="G1330">_xlfn.XLOOKUP(B1330,Vendedores!$A$2:$A$41,Vendedores!$B$2:$B$41,"No hay datos")</f>
        <v>No hay datos</v>
      </c>
      <c r="H1330" s="2" t="str">
        <f t="array" ref="H1330">_xlfn.XLOOKUP(B1330,Vendedores!$A$2:$A$41,Vendedores!$C$2:$C$41,"No hay datos")</f>
        <v>No hay datos</v>
      </c>
      <c r="I1330" s="2" t="str">
        <f t="array" ref="I1330">_xlfn.XLOOKUP(B1330,Vendedores!$A$2:$A$41,Vendedores!$D$2:$D$41,"No hay datos")</f>
        <v>No hay datos</v>
      </c>
      <c r="J1330" s="2" t="str">
        <f t="array" ref="J1330">_xlfn.XLOOKUP(A1330,Productos!$A$2:$A$61,Productos!$B$2:$F$61)</f>
        <v>#N/A</v>
      </c>
    </row>
    <row r="1331">
      <c r="A1331" s="2" t="str">
        <f>IFERROR(__xludf.DUMMYFUNCTION("""COMPUTED_VALUE"""),"PR055")</f>
        <v>PR055</v>
      </c>
      <c r="B1331" s="2" t="str">
        <f>IFERROR(__xludf.DUMMYFUNCTION("""COMPUTED_VALUE"""),"VD044")</f>
        <v>VD044</v>
      </c>
      <c r="C1331" s="2">
        <f>IFERROR(__xludf.DUMMYFUNCTION("""COMPUTED_VALUE"""),10.0)</f>
        <v>10</v>
      </c>
      <c r="D1331" s="6">
        <f>IFERROR(__xludf.DUMMYFUNCTION("""COMPUTED_VALUE"""),970.92)</f>
        <v>970.92</v>
      </c>
      <c r="E1331" s="6">
        <f>IFERROR(__xludf.DUMMYFUNCTION("GOOGLEFINANCE(""Currency:BRLMXN"")*D1331"),3298.2152399999995)</f>
        <v>3298.21524</v>
      </c>
      <c r="F1331" s="6">
        <f>IFERROR(__xludf.DUMMYFUNCTION("GOOGLEFINANCE(""Currency:BRLPEN"")*D1331"),636.5351519999999)</f>
        <v>636.535152</v>
      </c>
      <c r="G1331" s="2" t="str">
        <f t="array" ref="G1331">_xlfn.XLOOKUP(B1331,Vendedores!$A$2:$A$41,Vendedores!$B$2:$B$41,"No hay datos")</f>
        <v>No hay datos</v>
      </c>
      <c r="H1331" s="2" t="str">
        <f t="array" ref="H1331">_xlfn.XLOOKUP(B1331,Vendedores!$A$2:$A$41,Vendedores!$C$2:$C$41,"No hay datos")</f>
        <v>No hay datos</v>
      </c>
      <c r="I1331" s="2" t="str">
        <f t="array" ref="I1331">_xlfn.XLOOKUP(B1331,Vendedores!$A$2:$A$41,Vendedores!$D$2:$D$41,"No hay datos")</f>
        <v>No hay datos</v>
      </c>
      <c r="J1331" s="2" t="str">
        <f t="array" ref="J1331">_xlfn.XLOOKUP(A1331,Productos!$A$2:$A$61,Productos!$B$2:$F$61)</f>
        <v>#N/A</v>
      </c>
    </row>
    <row r="1332">
      <c r="A1332" s="2" t="str">
        <f>IFERROR(__xludf.DUMMYFUNCTION("""COMPUTED_VALUE"""),"PR027")</f>
        <v>PR027</v>
      </c>
      <c r="B1332" s="2" t="str">
        <f>IFERROR(__xludf.DUMMYFUNCTION("""COMPUTED_VALUE"""),"VD018")</f>
        <v>VD018</v>
      </c>
      <c r="C1332" s="2">
        <f>IFERROR(__xludf.DUMMYFUNCTION("""COMPUTED_VALUE"""),4.0)</f>
        <v>4</v>
      </c>
      <c r="D1332" s="6">
        <f>IFERROR(__xludf.DUMMYFUNCTION("""COMPUTED_VALUE"""),480.0)</f>
        <v>480</v>
      </c>
      <c r="E1332" s="6">
        <f>IFERROR(__xludf.DUMMYFUNCTION("GOOGLEFINANCE(""Currency:BRLMXN"")*D1332"),1630.56)</f>
        <v>1630.56</v>
      </c>
      <c r="F1332" s="6">
        <f>IFERROR(__xludf.DUMMYFUNCTION("GOOGLEFINANCE(""Currency:BRLPEN"")*D1332"),314.688)</f>
        <v>314.688</v>
      </c>
      <c r="G1332" s="2" t="str">
        <f t="array" ref="G1332">_xlfn.XLOOKUP(B1332,Vendedores!$A$2:$A$41,Vendedores!$B$2:$B$41,"No hay datos")</f>
        <v>No hay datos</v>
      </c>
      <c r="H1332" s="2" t="str">
        <f t="array" ref="H1332">_xlfn.XLOOKUP(B1332,Vendedores!$A$2:$A$41,Vendedores!$C$2:$C$41,"No hay datos")</f>
        <v>No hay datos</v>
      </c>
      <c r="I1332" s="2" t="str">
        <f t="array" ref="I1332">_xlfn.XLOOKUP(B1332,Vendedores!$A$2:$A$41,Vendedores!$D$2:$D$41,"No hay datos")</f>
        <v>No hay datos</v>
      </c>
      <c r="J1332" s="2" t="str">
        <f t="array" ref="J1332">_xlfn.XLOOKUP(A1332,Productos!$A$2:$A$61,Productos!$B$2:$F$61)</f>
        <v>#N/A</v>
      </c>
    </row>
    <row r="1333">
      <c r="A1333" s="2" t="str">
        <f>IFERROR(__xludf.DUMMYFUNCTION("""COMPUTED_VALUE"""),"PR031")</f>
        <v>PR031</v>
      </c>
      <c r="B1333" s="2" t="str">
        <f>IFERROR(__xludf.DUMMYFUNCTION("""COMPUTED_VALUE"""),"VD046")</f>
        <v>VD046</v>
      </c>
      <c r="C1333" s="2">
        <f>IFERROR(__xludf.DUMMYFUNCTION("""COMPUTED_VALUE"""),5.0)</f>
        <v>5</v>
      </c>
      <c r="D1333" s="6">
        <f>IFERROR(__xludf.DUMMYFUNCTION("""COMPUTED_VALUE"""),1249.5)</f>
        <v>1249.5</v>
      </c>
      <c r="E1333" s="6">
        <f>IFERROR(__xludf.DUMMYFUNCTION("GOOGLEFINANCE(""Currency:BRLMXN"")*D1333"),4244.5515)</f>
        <v>4244.5515</v>
      </c>
      <c r="F1333" s="6">
        <f>IFERROR(__xludf.DUMMYFUNCTION("GOOGLEFINANCE(""Currency:BRLPEN"")*D1333"),819.1722)</f>
        <v>819.1722</v>
      </c>
      <c r="G1333" s="2" t="str">
        <f t="array" ref="G1333">_xlfn.XLOOKUP(B1333,Vendedores!$A$2:$A$41,Vendedores!$B$2:$B$41,"No hay datos")</f>
        <v>No hay datos</v>
      </c>
      <c r="H1333" s="2" t="str">
        <f t="array" ref="H1333">_xlfn.XLOOKUP(B1333,Vendedores!$A$2:$A$41,Vendedores!$C$2:$C$41,"No hay datos")</f>
        <v>No hay datos</v>
      </c>
      <c r="I1333" s="2" t="str">
        <f t="array" ref="I1333">_xlfn.XLOOKUP(B1333,Vendedores!$A$2:$A$41,Vendedores!$D$2:$D$41,"No hay datos")</f>
        <v>No hay datos</v>
      </c>
      <c r="J1333" s="2" t="str">
        <f t="array" ref="J1333">_xlfn.XLOOKUP(A1333,Productos!$A$2:$A$61,Productos!$B$2:$F$61)</f>
        <v>#N/A</v>
      </c>
    </row>
    <row r="1334">
      <c r="A1334" s="2" t="str">
        <f>IFERROR(__xludf.DUMMYFUNCTION("""COMPUTED_VALUE"""),"PR021")</f>
        <v>PR021</v>
      </c>
      <c r="B1334" s="2" t="str">
        <f>IFERROR(__xludf.DUMMYFUNCTION("""COMPUTED_VALUE"""),"VD019")</f>
        <v>VD019</v>
      </c>
      <c r="C1334" s="2">
        <f>IFERROR(__xludf.DUMMYFUNCTION("""COMPUTED_VALUE"""),20.0)</f>
        <v>20</v>
      </c>
      <c r="D1334" s="6">
        <f>IFERROR(__xludf.DUMMYFUNCTION("""COMPUTED_VALUE"""),6300.32)</f>
        <v>6300.32</v>
      </c>
      <c r="E1334" s="6">
        <f>IFERROR(__xludf.DUMMYFUNCTION("GOOGLEFINANCE(""Currency:BRLMXN"")*D1334"),21402.187039999997)</f>
        <v>21402.18704</v>
      </c>
      <c r="F1334" s="6">
        <f>IFERROR(__xludf.DUMMYFUNCTION("GOOGLEFINANCE(""Currency:BRLPEN"")*D1334"),4130.489791999999)</f>
        <v>4130.489792</v>
      </c>
      <c r="G1334" s="2" t="str">
        <f t="array" ref="G1334">_xlfn.XLOOKUP(B1334,Vendedores!$A$2:$A$41,Vendedores!$B$2:$B$41,"No hay datos")</f>
        <v>No hay datos</v>
      </c>
      <c r="H1334" s="2" t="str">
        <f t="array" ref="H1334">_xlfn.XLOOKUP(B1334,Vendedores!$A$2:$A$41,Vendedores!$C$2:$C$41,"No hay datos")</f>
        <v>No hay datos</v>
      </c>
      <c r="I1334" s="2" t="str">
        <f t="array" ref="I1334">_xlfn.XLOOKUP(B1334,Vendedores!$A$2:$A$41,Vendedores!$D$2:$D$41,"No hay datos")</f>
        <v>No hay datos</v>
      </c>
      <c r="J1334" s="2" t="str">
        <f t="array" ref="J1334">_xlfn.XLOOKUP(A1334,Productos!$A$2:$A$61,Productos!$B$2:$F$61)</f>
        <v>#N/A</v>
      </c>
    </row>
    <row r="1335">
      <c r="A1335" s="2" t="str">
        <f>IFERROR(__xludf.DUMMYFUNCTION("""COMPUTED_VALUE"""),"PR001")</f>
        <v>PR001</v>
      </c>
      <c r="B1335" s="2" t="str">
        <f>IFERROR(__xludf.DUMMYFUNCTION("""COMPUTED_VALUE"""),"VD029")</f>
        <v>VD029</v>
      </c>
      <c r="C1335" s="2">
        <f>IFERROR(__xludf.DUMMYFUNCTION("""COMPUTED_VALUE"""),2.0)</f>
        <v>2</v>
      </c>
      <c r="D1335" s="6">
        <f>IFERROR(__xludf.DUMMYFUNCTION("""COMPUTED_VALUE"""),135.75)</f>
        <v>135.75</v>
      </c>
      <c r="E1335" s="6">
        <f>IFERROR(__xludf.DUMMYFUNCTION("GOOGLEFINANCE(""Currency:BRLMXN"")*D1335"),461.14275)</f>
        <v>461.14275</v>
      </c>
      <c r="F1335" s="6">
        <f>IFERROR(__xludf.DUMMYFUNCTION("GOOGLEFINANCE(""Currency:BRLPEN"")*D1335"),88.9977)</f>
        <v>88.9977</v>
      </c>
      <c r="G1335" s="2" t="str">
        <f t="array" ref="G1335">_xlfn.XLOOKUP(B1335,Vendedores!$A$2:$A$41,Vendedores!$B$2:$B$41,"No hay datos")</f>
        <v>No hay datos</v>
      </c>
      <c r="H1335" s="2" t="str">
        <f t="array" ref="H1335">_xlfn.XLOOKUP(B1335,Vendedores!$A$2:$A$41,Vendedores!$C$2:$C$41,"No hay datos")</f>
        <v>No hay datos</v>
      </c>
      <c r="I1335" s="2" t="str">
        <f t="array" ref="I1335">_xlfn.XLOOKUP(B1335,Vendedores!$A$2:$A$41,Vendedores!$D$2:$D$41,"No hay datos")</f>
        <v>No hay datos</v>
      </c>
      <c r="J1335" s="2" t="str">
        <f t="array" ref="J1335">_xlfn.XLOOKUP(A1335,Productos!$A$2:$A$61,Productos!$B$2:$F$61)</f>
        <v>#N/A</v>
      </c>
    </row>
    <row r="1336">
      <c r="A1336" s="2" t="str">
        <f>IFERROR(__xludf.DUMMYFUNCTION("""COMPUTED_VALUE"""),"PR055")</f>
        <v>PR055</v>
      </c>
      <c r="B1336" s="2" t="str">
        <f>IFERROR(__xludf.DUMMYFUNCTION("""COMPUTED_VALUE"""),"VD043")</f>
        <v>VD043</v>
      </c>
      <c r="C1336" s="2">
        <f>IFERROR(__xludf.DUMMYFUNCTION("""COMPUTED_VALUE"""),4.0)</f>
        <v>4</v>
      </c>
      <c r="D1336" s="6">
        <f>IFERROR(__xludf.DUMMYFUNCTION("""COMPUTED_VALUE"""),377.58)</f>
        <v>377.58</v>
      </c>
      <c r="E1336" s="6">
        <f>IFERROR(__xludf.DUMMYFUNCTION("GOOGLEFINANCE(""Currency:BRLMXN"")*D1336"),1282.63926)</f>
        <v>1282.63926</v>
      </c>
      <c r="F1336" s="6">
        <f>IFERROR(__xludf.DUMMYFUNCTION("GOOGLEFINANCE(""Currency:BRLPEN"")*D1336"),247.54144799999997)</f>
        <v>247.541448</v>
      </c>
      <c r="G1336" s="2" t="str">
        <f t="array" ref="G1336">_xlfn.XLOOKUP(B1336,Vendedores!$A$2:$A$41,Vendedores!$B$2:$B$41,"No hay datos")</f>
        <v>No hay datos</v>
      </c>
      <c r="H1336" s="2" t="str">
        <f t="array" ref="H1336">_xlfn.XLOOKUP(B1336,Vendedores!$A$2:$A$41,Vendedores!$C$2:$C$41,"No hay datos")</f>
        <v>No hay datos</v>
      </c>
      <c r="I1336" s="2" t="str">
        <f t="array" ref="I1336">_xlfn.XLOOKUP(B1336,Vendedores!$A$2:$A$41,Vendedores!$D$2:$D$41,"No hay datos")</f>
        <v>No hay datos</v>
      </c>
      <c r="J1336" s="2" t="str">
        <f t="array" ref="J1336">_xlfn.XLOOKUP(A1336,Productos!$A$2:$A$61,Productos!$B$2:$F$61)</f>
        <v>#N/A</v>
      </c>
    </row>
    <row r="1337">
      <c r="A1337" s="2" t="str">
        <f>IFERROR(__xludf.DUMMYFUNCTION("""COMPUTED_VALUE"""),"PR053")</f>
        <v>PR053</v>
      </c>
      <c r="B1337" s="2" t="str">
        <f>IFERROR(__xludf.DUMMYFUNCTION("""COMPUTED_VALUE"""),"VD033")</f>
        <v>VD033</v>
      </c>
      <c r="C1337" s="2">
        <f>IFERROR(__xludf.DUMMYFUNCTION("""COMPUTED_VALUE"""),3.0)</f>
        <v>3</v>
      </c>
      <c r="D1337" s="6">
        <f>IFERROR(__xludf.DUMMYFUNCTION("""COMPUTED_VALUE"""),164.67)</f>
        <v>164.67</v>
      </c>
      <c r="E1337" s="6">
        <f>IFERROR(__xludf.DUMMYFUNCTION("GOOGLEFINANCE(""Currency:BRLMXN"")*D1337"),559.3839899999999)</f>
        <v>559.38399</v>
      </c>
      <c r="F1337" s="6">
        <f>IFERROR(__xludf.DUMMYFUNCTION("GOOGLEFINANCE(""Currency:BRLPEN"")*D1337"),107.95765199999998)</f>
        <v>107.957652</v>
      </c>
      <c r="G1337" s="2" t="str">
        <f t="array" ref="G1337">_xlfn.XLOOKUP(B1337,Vendedores!$A$2:$A$41,Vendedores!$B$2:$B$41,"No hay datos")</f>
        <v>No hay datos</v>
      </c>
      <c r="H1337" s="2" t="str">
        <f t="array" ref="H1337">_xlfn.XLOOKUP(B1337,Vendedores!$A$2:$A$41,Vendedores!$C$2:$C$41,"No hay datos")</f>
        <v>No hay datos</v>
      </c>
      <c r="I1337" s="2" t="str">
        <f t="array" ref="I1337">_xlfn.XLOOKUP(B1337,Vendedores!$A$2:$A$41,Vendedores!$D$2:$D$41,"No hay datos")</f>
        <v>No hay datos</v>
      </c>
      <c r="J1337" s="2" t="str">
        <f t="array" ref="J1337">_xlfn.XLOOKUP(A1337,Productos!$A$2:$A$61,Productos!$B$2:$F$61)</f>
        <v>#N/A</v>
      </c>
    </row>
    <row r="1338">
      <c r="A1338" s="2" t="str">
        <f>IFERROR(__xludf.DUMMYFUNCTION("""COMPUTED_VALUE"""),"PR024")</f>
        <v>PR024</v>
      </c>
      <c r="B1338" s="2" t="str">
        <f>IFERROR(__xludf.DUMMYFUNCTION("""COMPUTED_VALUE"""),"VD032")</f>
        <v>VD032</v>
      </c>
      <c r="C1338" s="2">
        <f>IFERROR(__xludf.DUMMYFUNCTION("""COMPUTED_VALUE"""),8.0)</f>
        <v>8</v>
      </c>
      <c r="D1338" s="6">
        <f>IFERROR(__xludf.DUMMYFUNCTION("""COMPUTED_VALUE"""),2183.16)</f>
        <v>2183.16</v>
      </c>
      <c r="E1338" s="6">
        <f>IFERROR(__xludf.DUMMYFUNCTION("GOOGLEFINANCE(""Currency:BRLMXN"")*D1338"),7416.194519999999)</f>
        <v>7416.19452</v>
      </c>
      <c r="F1338" s="6">
        <f>IFERROR(__xludf.DUMMYFUNCTION("GOOGLEFINANCE(""Currency:BRLPEN"")*D1338"),1431.2796959999998)</f>
        <v>1431.279696</v>
      </c>
      <c r="G1338" s="2" t="str">
        <f t="array" ref="G1338">_xlfn.XLOOKUP(B1338,Vendedores!$A$2:$A$41,Vendedores!$B$2:$B$41,"No hay datos")</f>
        <v>No hay datos</v>
      </c>
      <c r="H1338" s="2" t="str">
        <f t="array" ref="H1338">_xlfn.XLOOKUP(B1338,Vendedores!$A$2:$A$41,Vendedores!$C$2:$C$41,"No hay datos")</f>
        <v>No hay datos</v>
      </c>
      <c r="I1338" s="2" t="str">
        <f t="array" ref="I1338">_xlfn.XLOOKUP(B1338,Vendedores!$A$2:$A$41,Vendedores!$D$2:$D$41,"No hay datos")</f>
        <v>No hay datos</v>
      </c>
      <c r="J1338" s="2" t="str">
        <f t="array" ref="J1338">_xlfn.XLOOKUP(A1338,Productos!$A$2:$A$61,Productos!$B$2:$F$61)</f>
        <v>#N/A</v>
      </c>
    </row>
    <row r="1339">
      <c r="A1339" s="2" t="str">
        <f>IFERROR(__xludf.DUMMYFUNCTION("""COMPUTED_VALUE"""),"PR042")</f>
        <v>PR042</v>
      </c>
      <c r="B1339" s="2" t="str">
        <f>IFERROR(__xludf.DUMMYFUNCTION("""COMPUTED_VALUE"""),"VD041")</f>
        <v>VD041</v>
      </c>
      <c r="C1339" s="2">
        <f>IFERROR(__xludf.DUMMYFUNCTION("""COMPUTED_VALUE"""),16.0)</f>
        <v>16</v>
      </c>
      <c r="D1339" s="6">
        <f>IFERROR(__xludf.DUMMYFUNCTION("""COMPUTED_VALUE"""),931.1)</f>
        <v>931.1</v>
      </c>
      <c r="E1339" s="6">
        <f>IFERROR(__xludf.DUMMYFUNCTION("GOOGLEFINANCE(""Currency:BRLMXN"")*D1339"),3162.9467)</f>
        <v>3162.9467</v>
      </c>
      <c r="F1339" s="6">
        <f>IFERROR(__xludf.DUMMYFUNCTION("GOOGLEFINANCE(""Currency:BRLPEN"")*D1339"),610.42916)</f>
        <v>610.42916</v>
      </c>
      <c r="G1339" s="2" t="str">
        <f t="array" ref="G1339">_xlfn.XLOOKUP(B1339,Vendedores!$A$2:$A$41,Vendedores!$B$2:$B$41,"No hay datos")</f>
        <v>No hay datos</v>
      </c>
      <c r="H1339" s="2" t="str">
        <f t="array" ref="H1339">_xlfn.XLOOKUP(B1339,Vendedores!$A$2:$A$41,Vendedores!$C$2:$C$41,"No hay datos")</f>
        <v>No hay datos</v>
      </c>
      <c r="I1339" s="2" t="str">
        <f t="array" ref="I1339">_xlfn.XLOOKUP(B1339,Vendedores!$A$2:$A$41,Vendedores!$D$2:$D$41,"No hay datos")</f>
        <v>No hay datos</v>
      </c>
      <c r="J1339" s="2" t="str">
        <f t="array" ref="J1339">_xlfn.XLOOKUP(A1339,Productos!$A$2:$A$61,Productos!$B$2:$F$61)</f>
        <v>#N/A</v>
      </c>
    </row>
    <row r="1340">
      <c r="A1340" s="2" t="str">
        <f>IFERROR(__xludf.DUMMYFUNCTION("""COMPUTED_VALUE"""),"PR021")</f>
        <v>PR021</v>
      </c>
      <c r="B1340" s="2" t="str">
        <f>IFERROR(__xludf.DUMMYFUNCTION("""COMPUTED_VALUE"""),"VD032")</f>
        <v>VD032</v>
      </c>
      <c r="C1340" s="2">
        <f>IFERROR(__xludf.DUMMYFUNCTION("""COMPUTED_VALUE"""),14.0)</f>
        <v>14</v>
      </c>
      <c r="D1340" s="6">
        <f>IFERROR(__xludf.DUMMYFUNCTION("""COMPUTED_VALUE"""),4240.6)</f>
        <v>4240.6</v>
      </c>
      <c r="E1340" s="6">
        <f>IFERROR(__xludf.DUMMYFUNCTION("GOOGLEFINANCE(""Currency:BRLMXN"")*D1340"),14405.3182)</f>
        <v>14405.3182</v>
      </c>
      <c r="F1340" s="6">
        <f>IFERROR(__xludf.DUMMYFUNCTION("GOOGLEFINANCE(""Currency:BRLPEN"")*D1340"),2780.13736)</f>
        <v>2780.13736</v>
      </c>
      <c r="G1340" s="2" t="str">
        <f t="array" ref="G1340">_xlfn.XLOOKUP(B1340,Vendedores!$A$2:$A$41,Vendedores!$B$2:$B$41,"No hay datos")</f>
        <v>No hay datos</v>
      </c>
      <c r="H1340" s="2" t="str">
        <f t="array" ref="H1340">_xlfn.XLOOKUP(B1340,Vendedores!$A$2:$A$41,Vendedores!$C$2:$C$41,"No hay datos")</f>
        <v>No hay datos</v>
      </c>
      <c r="I1340" s="2" t="str">
        <f t="array" ref="I1340">_xlfn.XLOOKUP(B1340,Vendedores!$A$2:$A$41,Vendedores!$D$2:$D$41,"No hay datos")</f>
        <v>No hay datos</v>
      </c>
      <c r="J1340" s="2" t="str">
        <f t="array" ref="J1340">_xlfn.XLOOKUP(A1340,Productos!$A$2:$A$61,Productos!$B$2:$F$61)</f>
        <v>#N/A</v>
      </c>
    </row>
    <row r="1341">
      <c r="A1341" s="2" t="str">
        <f>IFERROR(__xludf.DUMMYFUNCTION("""COMPUTED_VALUE"""),"PR056")</f>
        <v>PR056</v>
      </c>
      <c r="B1341" s="2" t="str">
        <f>IFERROR(__xludf.DUMMYFUNCTION("""COMPUTED_VALUE"""),"VD016")</f>
        <v>VD016</v>
      </c>
      <c r="C1341" s="2">
        <f>IFERROR(__xludf.DUMMYFUNCTION("""COMPUTED_VALUE"""),12.0)</f>
        <v>12</v>
      </c>
      <c r="D1341" s="6">
        <f>IFERROR(__xludf.DUMMYFUNCTION("""COMPUTED_VALUE"""),1175.89)</f>
        <v>1175.89</v>
      </c>
      <c r="E1341" s="6">
        <f>IFERROR(__xludf.DUMMYFUNCTION("GOOGLEFINANCE(""Currency:BRLMXN"")*D1341"),3994.49833)</f>
        <v>3994.49833</v>
      </c>
      <c r="F1341" s="6">
        <f>IFERROR(__xludf.DUMMYFUNCTION("GOOGLEFINANCE(""Currency:BRLPEN"")*D1341"),770.913484)</f>
        <v>770.913484</v>
      </c>
      <c r="G1341" s="2" t="str">
        <f t="array" ref="G1341">_xlfn.XLOOKUP(B1341,Vendedores!$A$2:$A$41,Vendedores!$B$2:$B$41,"No hay datos")</f>
        <v>No hay datos</v>
      </c>
      <c r="H1341" s="2" t="str">
        <f t="array" ref="H1341">_xlfn.XLOOKUP(B1341,Vendedores!$A$2:$A$41,Vendedores!$C$2:$C$41,"No hay datos")</f>
        <v>No hay datos</v>
      </c>
      <c r="I1341" s="2" t="str">
        <f t="array" ref="I1341">_xlfn.XLOOKUP(B1341,Vendedores!$A$2:$A$41,Vendedores!$D$2:$D$41,"No hay datos")</f>
        <v>No hay datos</v>
      </c>
      <c r="J1341" s="2" t="str">
        <f t="array" ref="J1341">_xlfn.XLOOKUP(A1341,Productos!$A$2:$A$61,Productos!$B$2:$F$61)</f>
        <v>#N/A</v>
      </c>
    </row>
    <row r="1342">
      <c r="A1342" s="2" t="str">
        <f>IFERROR(__xludf.DUMMYFUNCTION("""COMPUTED_VALUE"""),"PR006")</f>
        <v>PR006</v>
      </c>
      <c r="B1342" s="2" t="str">
        <f>IFERROR(__xludf.DUMMYFUNCTION("""COMPUTED_VALUE"""),"VD012")</f>
        <v>VD012</v>
      </c>
      <c r="C1342" s="2">
        <f>IFERROR(__xludf.DUMMYFUNCTION("""COMPUTED_VALUE"""),14.0)</f>
        <v>14</v>
      </c>
      <c r="D1342" s="6">
        <f>IFERROR(__xludf.DUMMYFUNCTION("""COMPUTED_VALUE"""),592.12)</f>
        <v>592.12</v>
      </c>
      <c r="E1342" s="6">
        <f>IFERROR(__xludf.DUMMYFUNCTION("GOOGLEFINANCE(""Currency:BRLMXN"")*D1342"),2011.4316399999998)</f>
        <v>2011.43164</v>
      </c>
      <c r="F1342" s="6">
        <f>IFERROR(__xludf.DUMMYFUNCTION("GOOGLEFINANCE(""Currency:BRLPEN"")*D1342"),388.193872)</f>
        <v>388.193872</v>
      </c>
      <c r="G1342" s="2" t="str">
        <f t="array" ref="G1342">_xlfn.XLOOKUP(B1342,Vendedores!$A$2:$A$41,Vendedores!$B$2:$B$41,"No hay datos")</f>
        <v>No hay datos</v>
      </c>
      <c r="H1342" s="2" t="str">
        <f t="array" ref="H1342">_xlfn.XLOOKUP(B1342,Vendedores!$A$2:$A$41,Vendedores!$C$2:$C$41,"No hay datos")</f>
        <v>No hay datos</v>
      </c>
      <c r="I1342" s="2" t="str">
        <f t="array" ref="I1342">_xlfn.XLOOKUP(B1342,Vendedores!$A$2:$A$41,Vendedores!$D$2:$D$41,"No hay datos")</f>
        <v>No hay datos</v>
      </c>
      <c r="J1342" s="2" t="str">
        <f t="array" ref="J1342">_xlfn.XLOOKUP(A1342,Productos!$A$2:$A$61,Productos!$B$2:$F$61)</f>
        <v>#N/A</v>
      </c>
    </row>
    <row r="1343">
      <c r="A1343" s="2" t="str">
        <f>IFERROR(__xludf.DUMMYFUNCTION("""COMPUTED_VALUE"""),"PR029")</f>
        <v>PR029</v>
      </c>
      <c r="B1343" s="2" t="str">
        <f>IFERROR(__xludf.DUMMYFUNCTION("""COMPUTED_VALUE"""),"VD043")</f>
        <v>VD043</v>
      </c>
      <c r="C1343" s="2">
        <f>IFERROR(__xludf.DUMMYFUNCTION("""COMPUTED_VALUE"""),2.0)</f>
        <v>2</v>
      </c>
      <c r="D1343" s="6">
        <f>IFERROR(__xludf.DUMMYFUNCTION("""COMPUTED_VALUE"""),515.1)</f>
        <v>515.1</v>
      </c>
      <c r="E1343" s="6">
        <f>IFERROR(__xludf.DUMMYFUNCTION("GOOGLEFINANCE(""Currency:BRLMXN"")*D1343"),1749.7947)</f>
        <v>1749.7947</v>
      </c>
      <c r="F1343" s="6">
        <f>IFERROR(__xludf.DUMMYFUNCTION("GOOGLEFINANCE(""Currency:BRLPEN"")*D1343"),337.69956)</f>
        <v>337.69956</v>
      </c>
      <c r="G1343" s="2" t="str">
        <f t="array" ref="G1343">_xlfn.XLOOKUP(B1343,Vendedores!$A$2:$A$41,Vendedores!$B$2:$B$41,"No hay datos")</f>
        <v>No hay datos</v>
      </c>
      <c r="H1343" s="2" t="str">
        <f t="array" ref="H1343">_xlfn.XLOOKUP(B1343,Vendedores!$A$2:$A$41,Vendedores!$C$2:$C$41,"No hay datos")</f>
        <v>No hay datos</v>
      </c>
      <c r="I1343" s="2" t="str">
        <f t="array" ref="I1343">_xlfn.XLOOKUP(B1343,Vendedores!$A$2:$A$41,Vendedores!$D$2:$D$41,"No hay datos")</f>
        <v>No hay datos</v>
      </c>
      <c r="J1343" s="2" t="str">
        <f t="array" ref="J1343">_xlfn.XLOOKUP(A1343,Productos!$A$2:$A$61,Productos!$B$2:$F$61)</f>
        <v>#N/A</v>
      </c>
    </row>
    <row r="1344">
      <c r="A1344" s="2" t="str">
        <f>IFERROR(__xludf.DUMMYFUNCTION("""COMPUTED_VALUE"""),"PR037")</f>
        <v>PR037</v>
      </c>
      <c r="B1344" s="2" t="str">
        <f>IFERROR(__xludf.DUMMYFUNCTION("""COMPUTED_VALUE"""),"VD039")</f>
        <v>VD039</v>
      </c>
      <c r="C1344" s="2">
        <f>IFERROR(__xludf.DUMMYFUNCTION("""COMPUTED_VALUE"""),9.0)</f>
        <v>9</v>
      </c>
      <c r="D1344" s="6">
        <f>IFERROR(__xludf.DUMMYFUNCTION("""COMPUTED_VALUE"""),1335.6)</f>
        <v>1335.6</v>
      </c>
      <c r="E1344" s="6">
        <f>IFERROR(__xludf.DUMMYFUNCTION("GOOGLEFINANCE(""Currency:BRLMXN"")*D1344"),4537.0332)</f>
        <v>4537.0332</v>
      </c>
      <c r="F1344" s="6">
        <f>IFERROR(__xludf.DUMMYFUNCTION("GOOGLEFINANCE(""Currency:BRLPEN"")*D1344"),875.6193599999999)</f>
        <v>875.61936</v>
      </c>
      <c r="G1344" s="2" t="str">
        <f t="array" ref="G1344">_xlfn.XLOOKUP(B1344,Vendedores!$A$2:$A$41,Vendedores!$B$2:$B$41,"No hay datos")</f>
        <v>No hay datos</v>
      </c>
      <c r="H1344" s="2" t="str">
        <f t="array" ref="H1344">_xlfn.XLOOKUP(B1344,Vendedores!$A$2:$A$41,Vendedores!$C$2:$C$41,"No hay datos")</f>
        <v>No hay datos</v>
      </c>
      <c r="I1344" s="2" t="str">
        <f t="array" ref="I1344">_xlfn.XLOOKUP(B1344,Vendedores!$A$2:$A$41,Vendedores!$D$2:$D$41,"No hay datos")</f>
        <v>No hay datos</v>
      </c>
      <c r="J1344" s="2" t="str">
        <f t="array" ref="J1344">_xlfn.XLOOKUP(A1344,Productos!$A$2:$A$61,Productos!$B$2:$F$61)</f>
        <v>#N/A</v>
      </c>
    </row>
    <row r="1345">
      <c r="A1345" s="2" t="str">
        <f>IFERROR(__xludf.DUMMYFUNCTION("""COMPUTED_VALUE"""),"PR028")</f>
        <v>PR028</v>
      </c>
      <c r="B1345" s="2" t="str">
        <f>IFERROR(__xludf.DUMMYFUNCTION("""COMPUTED_VALUE"""),"VD040")</f>
        <v>VD040</v>
      </c>
      <c r="C1345" s="2">
        <f>IFERROR(__xludf.DUMMYFUNCTION("""COMPUTED_VALUE"""),2.0)</f>
        <v>2</v>
      </c>
      <c r="D1345" s="6">
        <f>IFERROR(__xludf.DUMMYFUNCTION("""COMPUTED_VALUE"""),499.8)</f>
        <v>499.8</v>
      </c>
      <c r="E1345" s="6">
        <f>IFERROR(__xludf.DUMMYFUNCTION("GOOGLEFINANCE(""Currency:BRLMXN"")*D1345"),1697.8206)</f>
        <v>1697.8206</v>
      </c>
      <c r="F1345" s="6">
        <f>IFERROR(__xludf.DUMMYFUNCTION("GOOGLEFINANCE(""Currency:BRLPEN"")*D1345"),327.66888)</f>
        <v>327.66888</v>
      </c>
      <c r="G1345" s="2" t="str">
        <f t="array" ref="G1345">_xlfn.XLOOKUP(B1345,Vendedores!$A$2:$A$41,Vendedores!$B$2:$B$41,"No hay datos")</f>
        <v>No hay datos</v>
      </c>
      <c r="H1345" s="2" t="str">
        <f t="array" ref="H1345">_xlfn.XLOOKUP(B1345,Vendedores!$A$2:$A$41,Vendedores!$C$2:$C$41,"No hay datos")</f>
        <v>No hay datos</v>
      </c>
      <c r="I1345" s="2" t="str">
        <f t="array" ref="I1345">_xlfn.XLOOKUP(B1345,Vendedores!$A$2:$A$41,Vendedores!$D$2:$D$41,"No hay datos")</f>
        <v>No hay datos</v>
      </c>
      <c r="J1345" s="2" t="str">
        <f t="array" ref="J1345">_xlfn.XLOOKUP(A1345,Productos!$A$2:$A$61,Productos!$B$2:$F$61)</f>
        <v>#N/A</v>
      </c>
    </row>
    <row r="1346">
      <c r="A1346" s="2" t="str">
        <f>IFERROR(__xludf.DUMMYFUNCTION("""COMPUTED_VALUE"""),"PR054")</f>
        <v>PR054</v>
      </c>
      <c r="B1346" s="2" t="str">
        <f>IFERROR(__xludf.DUMMYFUNCTION("""COMPUTED_VALUE"""),"VD012")</f>
        <v>VD012</v>
      </c>
      <c r="C1346" s="2">
        <f>IFERROR(__xludf.DUMMYFUNCTION("""COMPUTED_VALUE"""),18.0)</f>
        <v>18</v>
      </c>
      <c r="D1346" s="6">
        <f>IFERROR(__xludf.DUMMYFUNCTION("""COMPUTED_VALUE"""),961.07)</f>
        <v>961.07</v>
      </c>
      <c r="E1346" s="6">
        <f>IFERROR(__xludf.DUMMYFUNCTION("GOOGLEFINANCE(""Currency:BRLMXN"")*D1346"),3264.75479)</f>
        <v>3264.75479</v>
      </c>
      <c r="F1346" s="6">
        <f>IFERROR(__xludf.DUMMYFUNCTION("GOOGLEFINANCE(""Currency:BRLPEN"")*D1346"),630.077492)</f>
        <v>630.077492</v>
      </c>
      <c r="G1346" s="2" t="str">
        <f t="array" ref="G1346">_xlfn.XLOOKUP(B1346,Vendedores!$A$2:$A$41,Vendedores!$B$2:$B$41,"No hay datos")</f>
        <v>No hay datos</v>
      </c>
      <c r="H1346" s="2" t="str">
        <f t="array" ref="H1346">_xlfn.XLOOKUP(B1346,Vendedores!$A$2:$A$41,Vendedores!$C$2:$C$41,"No hay datos")</f>
        <v>No hay datos</v>
      </c>
      <c r="I1346" s="2" t="str">
        <f t="array" ref="I1346">_xlfn.XLOOKUP(B1346,Vendedores!$A$2:$A$41,Vendedores!$D$2:$D$41,"No hay datos")</f>
        <v>No hay datos</v>
      </c>
      <c r="J1346" s="2" t="str">
        <f t="array" ref="J1346">_xlfn.XLOOKUP(A1346,Productos!$A$2:$A$61,Productos!$B$2:$F$61)</f>
        <v>#N/A</v>
      </c>
    </row>
    <row r="1347">
      <c r="A1347" s="2" t="str">
        <f>IFERROR(__xludf.DUMMYFUNCTION("""COMPUTED_VALUE"""),"PR023")</f>
        <v>PR023</v>
      </c>
      <c r="B1347" s="2" t="str">
        <f>IFERROR(__xludf.DUMMYFUNCTION("""COMPUTED_VALUE"""),"VD036")</f>
        <v>VD036</v>
      </c>
      <c r="C1347" s="2">
        <f>IFERROR(__xludf.DUMMYFUNCTION("""COMPUTED_VALUE"""),6.0)</f>
        <v>6</v>
      </c>
      <c r="D1347" s="6">
        <f>IFERROR(__xludf.DUMMYFUNCTION("""COMPUTED_VALUE"""),1514.39)</f>
        <v>1514.39</v>
      </c>
      <c r="E1347" s="6">
        <f>IFERROR(__xludf.DUMMYFUNCTION("GOOGLEFINANCE(""Currency:BRLMXN"")*D1347"),5144.3828300000005)</f>
        <v>5144.38283</v>
      </c>
      <c r="F1347" s="6">
        <f>IFERROR(__xludf.DUMMYFUNCTION("GOOGLEFINANCE(""Currency:BRLPEN"")*D1347"),992.834084)</f>
        <v>992.834084</v>
      </c>
      <c r="G1347" s="2" t="str">
        <f t="array" ref="G1347">_xlfn.XLOOKUP(B1347,Vendedores!$A$2:$A$41,Vendedores!$B$2:$B$41,"No hay datos")</f>
        <v>No hay datos</v>
      </c>
      <c r="H1347" s="2" t="str">
        <f t="array" ref="H1347">_xlfn.XLOOKUP(B1347,Vendedores!$A$2:$A$41,Vendedores!$C$2:$C$41,"No hay datos")</f>
        <v>No hay datos</v>
      </c>
      <c r="I1347" s="2" t="str">
        <f t="array" ref="I1347">_xlfn.XLOOKUP(B1347,Vendedores!$A$2:$A$41,Vendedores!$D$2:$D$41,"No hay datos")</f>
        <v>No hay datos</v>
      </c>
      <c r="J1347" s="2" t="str">
        <f t="array" ref="J1347">_xlfn.XLOOKUP(A1347,Productos!$A$2:$A$61,Productos!$B$2:$F$61)</f>
        <v>#N/A</v>
      </c>
    </row>
    <row r="1348">
      <c r="A1348" s="2" t="str">
        <f>IFERROR(__xludf.DUMMYFUNCTION("""COMPUTED_VALUE"""),"PR041")</f>
        <v>PR041</v>
      </c>
      <c r="B1348" s="2" t="str">
        <f>IFERROR(__xludf.DUMMYFUNCTION("""COMPUTED_VALUE"""),"VD013")</f>
        <v>VD013</v>
      </c>
      <c r="C1348" s="2">
        <f>IFERROR(__xludf.DUMMYFUNCTION("""COMPUTED_VALUE"""),9.0)</f>
        <v>9</v>
      </c>
      <c r="D1348" s="6">
        <f>IFERROR(__xludf.DUMMYFUNCTION("""COMPUTED_VALUE"""),503.98)</f>
        <v>503.98</v>
      </c>
      <c r="E1348" s="6">
        <f>IFERROR(__xludf.DUMMYFUNCTION("GOOGLEFINANCE(""Currency:BRLMXN"")*D1348"),1712.02006)</f>
        <v>1712.02006</v>
      </c>
      <c r="F1348" s="6">
        <f>IFERROR(__xludf.DUMMYFUNCTION("GOOGLEFINANCE(""Currency:BRLPEN"")*D1348"),330.409288)</f>
        <v>330.409288</v>
      </c>
      <c r="G1348" s="2" t="str">
        <f t="array" ref="G1348">_xlfn.XLOOKUP(B1348,Vendedores!$A$2:$A$41,Vendedores!$B$2:$B$41,"No hay datos")</f>
        <v>No hay datos</v>
      </c>
      <c r="H1348" s="2" t="str">
        <f t="array" ref="H1348">_xlfn.XLOOKUP(B1348,Vendedores!$A$2:$A$41,Vendedores!$C$2:$C$41,"No hay datos")</f>
        <v>No hay datos</v>
      </c>
      <c r="I1348" s="2" t="str">
        <f t="array" ref="I1348">_xlfn.XLOOKUP(B1348,Vendedores!$A$2:$A$41,Vendedores!$D$2:$D$41,"No hay datos")</f>
        <v>No hay datos</v>
      </c>
      <c r="J1348" s="2" t="str">
        <f t="array" ref="J1348">_xlfn.XLOOKUP(A1348,Productos!$A$2:$A$61,Productos!$B$2:$F$61)</f>
        <v>#N/A</v>
      </c>
    </row>
    <row r="1349">
      <c r="A1349" s="2" t="str">
        <f>IFERROR(__xludf.DUMMYFUNCTION("""COMPUTED_VALUE"""),"PR012")</f>
        <v>PR012</v>
      </c>
      <c r="B1349" s="2" t="str">
        <f>IFERROR(__xludf.DUMMYFUNCTION("""COMPUTED_VALUE"""),"VD015")</f>
        <v>VD015</v>
      </c>
      <c r="C1349" s="2">
        <f>IFERROR(__xludf.DUMMYFUNCTION("""COMPUTED_VALUE"""),10.0)</f>
        <v>10</v>
      </c>
      <c r="D1349" s="6">
        <f>IFERROR(__xludf.DUMMYFUNCTION("""COMPUTED_VALUE"""),518.34)</f>
        <v>518.34</v>
      </c>
      <c r="E1349" s="6">
        <f>IFERROR(__xludf.DUMMYFUNCTION("GOOGLEFINANCE(""Currency:BRLMXN"")*D1349"),1760.80098)</f>
        <v>1760.80098</v>
      </c>
      <c r="F1349" s="6">
        <f>IFERROR(__xludf.DUMMYFUNCTION("GOOGLEFINANCE(""Currency:BRLPEN"")*D1349"),339.823704)</f>
        <v>339.823704</v>
      </c>
      <c r="G1349" s="2" t="str">
        <f t="array" ref="G1349">_xlfn.XLOOKUP(B1349,Vendedores!$A$2:$A$41,Vendedores!$B$2:$B$41,"No hay datos")</f>
        <v>No hay datos</v>
      </c>
      <c r="H1349" s="2" t="str">
        <f t="array" ref="H1349">_xlfn.XLOOKUP(B1349,Vendedores!$A$2:$A$41,Vendedores!$C$2:$C$41,"No hay datos")</f>
        <v>No hay datos</v>
      </c>
      <c r="I1349" s="2" t="str">
        <f t="array" ref="I1349">_xlfn.XLOOKUP(B1349,Vendedores!$A$2:$A$41,Vendedores!$D$2:$D$41,"No hay datos")</f>
        <v>No hay datos</v>
      </c>
      <c r="J1349" s="2" t="str">
        <f t="array" ref="J1349">_xlfn.XLOOKUP(A1349,Productos!$A$2:$A$61,Productos!$B$2:$F$61)</f>
        <v>#N/A</v>
      </c>
    </row>
    <row r="1350">
      <c r="A1350" s="2" t="str">
        <f>IFERROR(__xludf.DUMMYFUNCTION("""COMPUTED_VALUE"""),"PR053")</f>
        <v>PR053</v>
      </c>
      <c r="B1350" s="2" t="str">
        <f>IFERROR(__xludf.DUMMYFUNCTION("""COMPUTED_VALUE"""),"VD021")</f>
        <v>VD021</v>
      </c>
      <c r="C1350" s="2">
        <f>IFERROR(__xludf.DUMMYFUNCTION("""COMPUTED_VALUE"""),18.0)</f>
        <v>18</v>
      </c>
      <c r="D1350" s="6">
        <f>IFERROR(__xludf.DUMMYFUNCTION("""COMPUTED_VALUE"""),898.2)</f>
        <v>898.2</v>
      </c>
      <c r="E1350" s="6">
        <f>IFERROR(__xludf.DUMMYFUNCTION("GOOGLEFINANCE(""Currency:BRLMXN"")*D1350"),3051.1854)</f>
        <v>3051.1854</v>
      </c>
      <c r="F1350" s="6">
        <f>IFERROR(__xludf.DUMMYFUNCTION("GOOGLEFINANCE(""Currency:BRLPEN"")*D1350"),588.85992)</f>
        <v>588.85992</v>
      </c>
      <c r="G1350" s="2" t="str">
        <f t="array" ref="G1350">_xlfn.XLOOKUP(B1350,Vendedores!$A$2:$A$41,Vendedores!$B$2:$B$41,"No hay datos")</f>
        <v>No hay datos</v>
      </c>
      <c r="H1350" s="2" t="str">
        <f t="array" ref="H1350">_xlfn.XLOOKUP(B1350,Vendedores!$A$2:$A$41,Vendedores!$C$2:$C$41,"No hay datos")</f>
        <v>No hay datos</v>
      </c>
      <c r="I1350" s="2" t="str">
        <f t="array" ref="I1350">_xlfn.XLOOKUP(B1350,Vendedores!$A$2:$A$41,Vendedores!$D$2:$D$41,"No hay datos")</f>
        <v>No hay datos</v>
      </c>
      <c r="J1350" s="2" t="str">
        <f t="array" ref="J1350">_xlfn.XLOOKUP(A1350,Productos!$A$2:$A$61,Productos!$B$2:$F$61)</f>
        <v>#N/A</v>
      </c>
    </row>
    <row r="1351">
      <c r="A1351" s="2" t="str">
        <f>IFERROR(__xludf.DUMMYFUNCTION("""COMPUTED_VALUE"""),"PR038")</f>
        <v>PR038</v>
      </c>
      <c r="B1351" s="2" t="str">
        <f>IFERROR(__xludf.DUMMYFUNCTION("""COMPUTED_VALUE"""),"VD013")</f>
        <v>VD013</v>
      </c>
      <c r="C1351" s="2">
        <f>IFERROR(__xludf.DUMMYFUNCTION("""COMPUTED_VALUE"""),2.0)</f>
        <v>2</v>
      </c>
      <c r="D1351" s="6">
        <f>IFERROR(__xludf.DUMMYFUNCTION("""COMPUTED_VALUE"""),311.52)</f>
        <v>311.52</v>
      </c>
      <c r="E1351" s="6">
        <f>IFERROR(__xludf.DUMMYFUNCTION("GOOGLEFINANCE(""Currency:BRLMXN"")*D1351"),1058.23344)</f>
        <v>1058.23344</v>
      </c>
      <c r="F1351" s="6">
        <f>IFERROR(__xludf.DUMMYFUNCTION("GOOGLEFINANCE(""Currency:BRLPEN"")*D1351"),204.23251199999999)</f>
        <v>204.232512</v>
      </c>
      <c r="G1351" s="2" t="str">
        <f t="array" ref="G1351">_xlfn.XLOOKUP(B1351,Vendedores!$A$2:$A$41,Vendedores!$B$2:$B$41,"No hay datos")</f>
        <v>No hay datos</v>
      </c>
      <c r="H1351" s="2" t="str">
        <f t="array" ref="H1351">_xlfn.XLOOKUP(B1351,Vendedores!$A$2:$A$41,Vendedores!$C$2:$C$41,"No hay datos")</f>
        <v>No hay datos</v>
      </c>
      <c r="I1351" s="2" t="str">
        <f t="array" ref="I1351">_xlfn.XLOOKUP(B1351,Vendedores!$A$2:$A$41,Vendedores!$D$2:$D$41,"No hay datos")</f>
        <v>No hay datos</v>
      </c>
      <c r="J1351" s="2" t="str">
        <f t="array" ref="J1351">_xlfn.XLOOKUP(A1351,Productos!$A$2:$A$61,Productos!$B$2:$F$61)</f>
        <v>#N/A</v>
      </c>
    </row>
    <row r="1352">
      <c r="A1352" s="2" t="str">
        <f>IFERROR(__xludf.DUMMYFUNCTION("""COMPUTED_VALUE"""),"PR009")</f>
        <v>PR009</v>
      </c>
      <c r="B1352" s="2" t="str">
        <f>IFERROR(__xludf.DUMMYFUNCTION("""COMPUTED_VALUE"""),"VD022")</f>
        <v>VD022</v>
      </c>
      <c r="C1352" s="2">
        <f>IFERROR(__xludf.DUMMYFUNCTION("""COMPUTED_VALUE"""),12.0)</f>
        <v>12</v>
      </c>
      <c r="D1352" s="6">
        <f>IFERROR(__xludf.DUMMYFUNCTION("""COMPUTED_VALUE"""),1181.69)</f>
        <v>1181.69</v>
      </c>
      <c r="E1352" s="6">
        <f>IFERROR(__xludf.DUMMYFUNCTION("GOOGLEFINANCE(""Currency:BRLMXN"")*D1352"),4014.20093)</f>
        <v>4014.20093</v>
      </c>
      <c r="F1352" s="6">
        <f>IFERROR(__xludf.DUMMYFUNCTION("GOOGLEFINANCE(""Currency:BRLPEN"")*D1352"),774.715964)</f>
        <v>774.715964</v>
      </c>
      <c r="G1352" s="2" t="str">
        <f t="array" ref="G1352">_xlfn.XLOOKUP(B1352,Vendedores!$A$2:$A$41,Vendedores!$B$2:$B$41,"No hay datos")</f>
        <v>No hay datos</v>
      </c>
      <c r="H1352" s="2" t="str">
        <f t="array" ref="H1352">_xlfn.XLOOKUP(B1352,Vendedores!$A$2:$A$41,Vendedores!$C$2:$C$41,"No hay datos")</f>
        <v>No hay datos</v>
      </c>
      <c r="I1352" s="2" t="str">
        <f t="array" ref="I1352">_xlfn.XLOOKUP(B1352,Vendedores!$A$2:$A$41,Vendedores!$D$2:$D$41,"No hay datos")</f>
        <v>No hay datos</v>
      </c>
      <c r="J1352" s="2" t="str">
        <f t="array" ref="J1352">_xlfn.XLOOKUP(A1352,Productos!$A$2:$A$61,Productos!$B$2:$F$61)</f>
        <v>#N/A</v>
      </c>
    </row>
    <row r="1353">
      <c r="A1353" s="2" t="str">
        <f>IFERROR(__xludf.DUMMYFUNCTION("""COMPUTED_VALUE"""),"PR019")</f>
        <v>PR019</v>
      </c>
      <c r="B1353" s="2" t="str">
        <f>IFERROR(__xludf.DUMMYFUNCTION("""COMPUTED_VALUE"""),"VD025")</f>
        <v>VD025</v>
      </c>
      <c r="C1353" s="2">
        <f>IFERROR(__xludf.DUMMYFUNCTION("""COMPUTED_VALUE"""),14.0)</f>
        <v>14</v>
      </c>
      <c r="D1353" s="6">
        <f>IFERROR(__xludf.DUMMYFUNCTION("""COMPUTED_VALUE"""),705.59)</f>
        <v>705.59</v>
      </c>
      <c r="E1353" s="6">
        <f>IFERROR(__xludf.DUMMYFUNCTION("GOOGLEFINANCE(""Currency:BRLMXN"")*D1353"),2396.8892299999998)</f>
        <v>2396.88923</v>
      </c>
      <c r="F1353" s="6">
        <f>IFERROR(__xludf.DUMMYFUNCTION("GOOGLEFINANCE(""Currency:BRLPEN"")*D1353"),462.584804)</f>
        <v>462.584804</v>
      </c>
      <c r="G1353" s="2" t="str">
        <f t="array" ref="G1353">_xlfn.XLOOKUP(B1353,Vendedores!$A$2:$A$41,Vendedores!$B$2:$B$41,"No hay datos")</f>
        <v>No hay datos</v>
      </c>
      <c r="H1353" s="2" t="str">
        <f t="array" ref="H1353">_xlfn.XLOOKUP(B1353,Vendedores!$A$2:$A$41,Vendedores!$C$2:$C$41,"No hay datos")</f>
        <v>No hay datos</v>
      </c>
      <c r="I1353" s="2" t="str">
        <f t="array" ref="I1353">_xlfn.XLOOKUP(B1353,Vendedores!$A$2:$A$41,Vendedores!$D$2:$D$41,"No hay datos")</f>
        <v>No hay datos</v>
      </c>
      <c r="J1353" s="2" t="str">
        <f t="array" ref="J1353">_xlfn.XLOOKUP(A1353,Productos!$A$2:$A$61,Productos!$B$2:$F$61)</f>
        <v>#N/A</v>
      </c>
    </row>
    <row r="1354">
      <c r="A1354" s="2" t="str">
        <f>IFERROR(__xludf.DUMMYFUNCTION("""COMPUTED_VALUE"""),"PR029")</f>
        <v>PR029</v>
      </c>
      <c r="B1354" s="2" t="str">
        <f>IFERROR(__xludf.DUMMYFUNCTION("""COMPUTED_VALUE"""),"VD018")</f>
        <v>VD018</v>
      </c>
      <c r="C1354" s="2">
        <f>IFERROR(__xludf.DUMMYFUNCTION("""COMPUTED_VALUE"""),1.0)</f>
        <v>1</v>
      </c>
      <c r="D1354" s="6">
        <f>IFERROR(__xludf.DUMMYFUNCTION("""COMPUTED_VALUE"""),257.55)</f>
        <v>257.55</v>
      </c>
      <c r="E1354" s="6">
        <f>IFERROR(__xludf.DUMMYFUNCTION("GOOGLEFINANCE(""Currency:BRLMXN"")*D1354"),874.89735)</f>
        <v>874.89735</v>
      </c>
      <c r="F1354" s="6">
        <f>IFERROR(__xludf.DUMMYFUNCTION("GOOGLEFINANCE(""Currency:BRLPEN"")*D1354"),168.84978)</f>
        <v>168.84978</v>
      </c>
      <c r="G1354" s="2" t="str">
        <f t="array" ref="G1354">_xlfn.XLOOKUP(B1354,Vendedores!$A$2:$A$41,Vendedores!$B$2:$B$41,"No hay datos")</f>
        <v>No hay datos</v>
      </c>
      <c r="H1354" s="2" t="str">
        <f t="array" ref="H1354">_xlfn.XLOOKUP(B1354,Vendedores!$A$2:$A$41,Vendedores!$C$2:$C$41,"No hay datos")</f>
        <v>No hay datos</v>
      </c>
      <c r="I1354" s="2" t="str">
        <f t="array" ref="I1354">_xlfn.XLOOKUP(B1354,Vendedores!$A$2:$A$41,Vendedores!$D$2:$D$41,"No hay datos")</f>
        <v>No hay datos</v>
      </c>
      <c r="J1354" s="2" t="str">
        <f t="array" ref="J1354">_xlfn.XLOOKUP(A1354,Productos!$A$2:$A$61,Productos!$B$2:$F$61)</f>
        <v>#N/A</v>
      </c>
    </row>
    <row r="1355">
      <c r="A1355" s="2" t="str">
        <f>IFERROR(__xludf.DUMMYFUNCTION("""COMPUTED_VALUE"""),"PR032")</f>
        <v>PR032</v>
      </c>
      <c r="B1355" s="2" t="str">
        <f>IFERROR(__xludf.DUMMYFUNCTION("""COMPUTED_VALUE"""),"VD018")</f>
        <v>VD018</v>
      </c>
      <c r="C1355" s="2">
        <f>IFERROR(__xludf.DUMMYFUNCTION("""COMPUTED_VALUE"""),2.0)</f>
        <v>2</v>
      </c>
      <c r="D1355" s="6">
        <f>IFERROR(__xludf.DUMMYFUNCTION("""COMPUTED_VALUE"""),520.0)</f>
        <v>520</v>
      </c>
      <c r="E1355" s="6">
        <f>IFERROR(__xludf.DUMMYFUNCTION("GOOGLEFINANCE(""Currency:BRLMXN"")*D1355"),1766.4399999999998)</f>
        <v>1766.44</v>
      </c>
      <c r="F1355" s="6">
        <f>IFERROR(__xludf.DUMMYFUNCTION("GOOGLEFINANCE(""Currency:BRLPEN"")*D1355"),340.912)</f>
        <v>340.912</v>
      </c>
      <c r="G1355" s="2" t="str">
        <f t="array" ref="G1355">_xlfn.XLOOKUP(B1355,Vendedores!$A$2:$A$41,Vendedores!$B$2:$B$41,"No hay datos")</f>
        <v>No hay datos</v>
      </c>
      <c r="H1355" s="2" t="str">
        <f t="array" ref="H1355">_xlfn.XLOOKUP(B1355,Vendedores!$A$2:$A$41,Vendedores!$C$2:$C$41,"No hay datos")</f>
        <v>No hay datos</v>
      </c>
      <c r="I1355" s="2" t="str">
        <f t="array" ref="I1355">_xlfn.XLOOKUP(B1355,Vendedores!$A$2:$A$41,Vendedores!$D$2:$D$41,"No hay datos")</f>
        <v>No hay datos</v>
      </c>
      <c r="J1355" s="2" t="str">
        <f t="array" ref="J1355">_xlfn.XLOOKUP(A1355,Productos!$A$2:$A$61,Productos!$B$2:$F$61)</f>
        <v>#N/A</v>
      </c>
    </row>
    <row r="1356">
      <c r="A1356" s="2" t="str">
        <f>IFERROR(__xludf.DUMMYFUNCTION("""COMPUTED_VALUE"""),"PR048")</f>
        <v>PR048</v>
      </c>
      <c r="B1356" s="2" t="str">
        <f>IFERROR(__xludf.DUMMYFUNCTION("""COMPUTED_VALUE"""),"VD042")</f>
        <v>VD042</v>
      </c>
      <c r="C1356" s="2">
        <f>IFERROR(__xludf.DUMMYFUNCTION("""COMPUTED_VALUE"""),2.0)</f>
        <v>2</v>
      </c>
      <c r="D1356" s="6">
        <f>IFERROR(__xludf.DUMMYFUNCTION("""COMPUTED_VALUE"""),585.6)</f>
        <v>585.6</v>
      </c>
      <c r="E1356" s="6">
        <f>IFERROR(__xludf.DUMMYFUNCTION("GOOGLEFINANCE(""Currency:BRLMXN"")*D1356"),1989.2831999999999)</f>
        <v>1989.2832</v>
      </c>
      <c r="F1356" s="6">
        <f>IFERROR(__xludf.DUMMYFUNCTION("GOOGLEFINANCE(""Currency:BRLPEN"")*D1356"),383.91936)</f>
        <v>383.91936</v>
      </c>
      <c r="G1356" s="2" t="str">
        <f t="array" ref="G1356">_xlfn.XLOOKUP(B1356,Vendedores!$A$2:$A$41,Vendedores!$B$2:$B$41,"No hay datos")</f>
        <v>No hay datos</v>
      </c>
      <c r="H1356" s="2" t="str">
        <f t="array" ref="H1356">_xlfn.XLOOKUP(B1356,Vendedores!$A$2:$A$41,Vendedores!$C$2:$C$41,"No hay datos")</f>
        <v>No hay datos</v>
      </c>
      <c r="I1356" s="2" t="str">
        <f t="array" ref="I1356">_xlfn.XLOOKUP(B1356,Vendedores!$A$2:$A$41,Vendedores!$D$2:$D$41,"No hay datos")</f>
        <v>No hay datos</v>
      </c>
      <c r="J1356" s="2" t="str">
        <f t="array" ref="J1356">_xlfn.XLOOKUP(A1356,Productos!$A$2:$A$61,Productos!$B$2:$F$61)</f>
        <v>#N/A</v>
      </c>
    </row>
    <row r="1357">
      <c r="A1357" s="2" t="str">
        <f>IFERROR(__xludf.DUMMYFUNCTION("""COMPUTED_VALUE"""),"PR044")</f>
        <v>PR044</v>
      </c>
      <c r="B1357" s="2" t="str">
        <f>IFERROR(__xludf.DUMMYFUNCTION("""COMPUTED_VALUE"""),"VD042")</f>
        <v>VD042</v>
      </c>
      <c r="C1357" s="2">
        <f>IFERROR(__xludf.DUMMYFUNCTION("""COMPUTED_VALUE"""),8.0)</f>
        <v>8</v>
      </c>
      <c r="D1357" s="6">
        <f>IFERROR(__xludf.DUMMYFUNCTION("""COMPUTED_VALUE"""),626.4)</f>
        <v>626.4</v>
      </c>
      <c r="E1357" s="6">
        <f>IFERROR(__xludf.DUMMYFUNCTION("GOOGLEFINANCE(""Currency:BRLMXN"")*D1357"),2127.8808)</f>
        <v>2127.8808</v>
      </c>
      <c r="F1357" s="6">
        <f>IFERROR(__xludf.DUMMYFUNCTION("GOOGLEFINANCE(""Currency:BRLPEN"")*D1357"),410.66783999999996)</f>
        <v>410.66784</v>
      </c>
      <c r="G1357" s="2" t="str">
        <f t="array" ref="G1357">_xlfn.XLOOKUP(B1357,Vendedores!$A$2:$A$41,Vendedores!$B$2:$B$41,"No hay datos")</f>
        <v>No hay datos</v>
      </c>
      <c r="H1357" s="2" t="str">
        <f t="array" ref="H1357">_xlfn.XLOOKUP(B1357,Vendedores!$A$2:$A$41,Vendedores!$C$2:$C$41,"No hay datos")</f>
        <v>No hay datos</v>
      </c>
      <c r="I1357" s="2" t="str">
        <f t="array" ref="I1357">_xlfn.XLOOKUP(B1357,Vendedores!$A$2:$A$41,Vendedores!$D$2:$D$41,"No hay datos")</f>
        <v>No hay datos</v>
      </c>
      <c r="J1357" s="2" t="str">
        <f t="array" ref="J1357">_xlfn.XLOOKUP(A1357,Productos!$A$2:$A$61,Productos!$B$2:$F$61)</f>
        <v>#N/A</v>
      </c>
    </row>
    <row r="1358">
      <c r="A1358" s="2" t="str">
        <f>IFERROR(__xludf.DUMMYFUNCTION("""COMPUTED_VALUE"""),"PR007")</f>
        <v>PR007</v>
      </c>
      <c r="B1358" s="2" t="str">
        <f>IFERROR(__xludf.DUMMYFUNCTION("""COMPUTED_VALUE"""),"VD019")</f>
        <v>VD019</v>
      </c>
      <c r="C1358" s="2">
        <f>IFERROR(__xludf.DUMMYFUNCTION("""COMPUTED_VALUE"""),3.0)</f>
        <v>3</v>
      </c>
      <c r="D1358" s="6">
        <f>IFERROR(__xludf.DUMMYFUNCTION("""COMPUTED_VALUE"""),280.89)</f>
        <v>280.89</v>
      </c>
      <c r="E1358" s="6">
        <f>IFERROR(__xludf.DUMMYFUNCTION("GOOGLEFINANCE(""Currency:BRLMXN"")*D1358"),954.1833299999998)</f>
        <v>954.18333</v>
      </c>
      <c r="F1358" s="6">
        <f>IFERROR(__xludf.DUMMYFUNCTION("GOOGLEFINANCE(""Currency:BRLPEN"")*D1358"),184.15148399999998)</f>
        <v>184.151484</v>
      </c>
      <c r="G1358" s="2" t="str">
        <f t="array" ref="G1358">_xlfn.XLOOKUP(B1358,Vendedores!$A$2:$A$41,Vendedores!$B$2:$B$41,"No hay datos")</f>
        <v>No hay datos</v>
      </c>
      <c r="H1358" s="2" t="str">
        <f t="array" ref="H1358">_xlfn.XLOOKUP(B1358,Vendedores!$A$2:$A$41,Vendedores!$C$2:$C$41,"No hay datos")</f>
        <v>No hay datos</v>
      </c>
      <c r="I1358" s="2" t="str">
        <f t="array" ref="I1358">_xlfn.XLOOKUP(B1358,Vendedores!$A$2:$A$41,Vendedores!$D$2:$D$41,"No hay datos")</f>
        <v>No hay datos</v>
      </c>
      <c r="J1358" s="2" t="str">
        <f t="array" ref="J1358">_xlfn.XLOOKUP(A1358,Productos!$A$2:$A$61,Productos!$B$2:$F$61)</f>
        <v>#N/A</v>
      </c>
    </row>
    <row r="1359">
      <c r="A1359" s="2" t="str">
        <f>IFERROR(__xludf.DUMMYFUNCTION("""COMPUTED_VALUE"""),"PR018")</f>
        <v>PR018</v>
      </c>
      <c r="B1359" s="2" t="str">
        <f>IFERROR(__xludf.DUMMYFUNCTION("""COMPUTED_VALUE"""),"VD029")</f>
        <v>VD029</v>
      </c>
      <c r="C1359" s="2">
        <f>IFERROR(__xludf.DUMMYFUNCTION("""COMPUTED_VALUE"""),20.0)</f>
        <v>20</v>
      </c>
      <c r="D1359" s="6">
        <f>IFERROR(__xludf.DUMMYFUNCTION("""COMPUTED_VALUE"""),717.22)</f>
        <v>717.22</v>
      </c>
      <c r="E1359" s="6">
        <f>IFERROR(__xludf.DUMMYFUNCTION("GOOGLEFINANCE(""Currency:BRLMXN"")*D1359"),2436.39634)</f>
        <v>2436.39634</v>
      </c>
      <c r="F1359" s="6">
        <f>IFERROR(__xludf.DUMMYFUNCTION("GOOGLEFINANCE(""Currency:BRLPEN"")*D1359"),470.209432)</f>
        <v>470.209432</v>
      </c>
      <c r="G1359" s="2" t="str">
        <f t="array" ref="G1359">_xlfn.XLOOKUP(B1359,Vendedores!$A$2:$A$41,Vendedores!$B$2:$B$41,"No hay datos")</f>
        <v>No hay datos</v>
      </c>
      <c r="H1359" s="2" t="str">
        <f t="array" ref="H1359">_xlfn.XLOOKUP(B1359,Vendedores!$A$2:$A$41,Vendedores!$C$2:$C$41,"No hay datos")</f>
        <v>No hay datos</v>
      </c>
      <c r="I1359" s="2" t="str">
        <f t="array" ref="I1359">_xlfn.XLOOKUP(B1359,Vendedores!$A$2:$A$41,Vendedores!$D$2:$D$41,"No hay datos")</f>
        <v>No hay datos</v>
      </c>
      <c r="J1359" s="2" t="str">
        <f t="array" ref="J1359">_xlfn.XLOOKUP(A1359,Productos!$A$2:$A$61,Productos!$B$2:$F$61)</f>
        <v>#N/A</v>
      </c>
    </row>
    <row r="1360">
      <c r="A1360" s="2" t="str">
        <f>IFERROR(__xludf.DUMMYFUNCTION("""COMPUTED_VALUE"""),"PR017")</f>
        <v>PR017</v>
      </c>
      <c r="B1360" s="2" t="str">
        <f>IFERROR(__xludf.DUMMYFUNCTION("""COMPUTED_VALUE"""),"VD028")</f>
        <v>VD028</v>
      </c>
      <c r="C1360" s="2">
        <f>IFERROR(__xludf.DUMMYFUNCTION("""COMPUTED_VALUE"""),9.0)</f>
        <v>9</v>
      </c>
      <c r="D1360" s="6">
        <f>IFERROR(__xludf.DUMMYFUNCTION("""COMPUTED_VALUE"""),279.86)</f>
        <v>279.86</v>
      </c>
      <c r="E1360" s="6">
        <f>IFERROR(__xludf.DUMMYFUNCTION("GOOGLEFINANCE(""Currency:BRLMXN"")*D1360"),950.68442)</f>
        <v>950.68442</v>
      </c>
      <c r="F1360" s="6">
        <f>IFERROR(__xludf.DUMMYFUNCTION("GOOGLEFINANCE(""Currency:BRLPEN"")*D1360"),183.476216)</f>
        <v>183.476216</v>
      </c>
      <c r="G1360" s="2" t="str">
        <f t="array" ref="G1360">_xlfn.XLOOKUP(B1360,Vendedores!$A$2:$A$41,Vendedores!$B$2:$B$41,"No hay datos")</f>
        <v>No hay datos</v>
      </c>
      <c r="H1360" s="2" t="str">
        <f t="array" ref="H1360">_xlfn.XLOOKUP(B1360,Vendedores!$A$2:$A$41,Vendedores!$C$2:$C$41,"No hay datos")</f>
        <v>No hay datos</v>
      </c>
      <c r="I1360" s="2" t="str">
        <f t="array" ref="I1360">_xlfn.XLOOKUP(B1360,Vendedores!$A$2:$A$41,Vendedores!$D$2:$D$41,"No hay datos")</f>
        <v>No hay datos</v>
      </c>
      <c r="J1360" s="2" t="str">
        <f t="array" ref="J1360">_xlfn.XLOOKUP(A1360,Productos!$A$2:$A$61,Productos!$B$2:$F$61)</f>
        <v>#N/A</v>
      </c>
    </row>
    <row r="1361">
      <c r="A1361" s="2" t="str">
        <f>IFERROR(__xludf.DUMMYFUNCTION("""COMPUTED_VALUE"""),"PR053")</f>
        <v>PR053</v>
      </c>
      <c r="B1361" s="2" t="str">
        <f>IFERROR(__xludf.DUMMYFUNCTION("""COMPUTED_VALUE"""),"VD014")</f>
        <v>VD014</v>
      </c>
      <c r="C1361" s="2">
        <f>IFERROR(__xludf.DUMMYFUNCTION("""COMPUTED_VALUE"""),8.0)</f>
        <v>8</v>
      </c>
      <c r="D1361" s="6">
        <f>IFERROR(__xludf.DUMMYFUNCTION("""COMPUTED_VALUE"""),419.16)</f>
        <v>419.16</v>
      </c>
      <c r="E1361" s="6">
        <f>IFERROR(__xludf.DUMMYFUNCTION("GOOGLEFINANCE(""Currency:BRLMXN"")*D1361"),1423.88652)</f>
        <v>1423.88652</v>
      </c>
      <c r="F1361" s="6">
        <f>IFERROR(__xludf.DUMMYFUNCTION("GOOGLEFINANCE(""Currency:BRLPEN"")*D1361"),274.801296)</f>
        <v>274.801296</v>
      </c>
      <c r="G1361" s="2" t="str">
        <f t="array" ref="G1361">_xlfn.XLOOKUP(B1361,Vendedores!$A$2:$A$41,Vendedores!$B$2:$B$41,"No hay datos")</f>
        <v>No hay datos</v>
      </c>
      <c r="H1361" s="2" t="str">
        <f t="array" ref="H1361">_xlfn.XLOOKUP(B1361,Vendedores!$A$2:$A$41,Vendedores!$C$2:$C$41,"No hay datos")</f>
        <v>No hay datos</v>
      </c>
      <c r="I1361" s="2" t="str">
        <f t="array" ref="I1361">_xlfn.XLOOKUP(B1361,Vendedores!$A$2:$A$41,Vendedores!$D$2:$D$41,"No hay datos")</f>
        <v>No hay datos</v>
      </c>
      <c r="J1361" s="2" t="str">
        <f t="array" ref="J1361">_xlfn.XLOOKUP(A1361,Productos!$A$2:$A$61,Productos!$B$2:$F$61)</f>
        <v>#N/A</v>
      </c>
    </row>
    <row r="1362">
      <c r="A1362" s="2" t="str">
        <f>IFERROR(__xludf.DUMMYFUNCTION("""COMPUTED_VALUE"""),"PR059")</f>
        <v>PR059</v>
      </c>
      <c r="B1362" s="2" t="str">
        <f>IFERROR(__xludf.DUMMYFUNCTION("""COMPUTED_VALUE"""),"VD015")</f>
        <v>VD015</v>
      </c>
      <c r="C1362" s="2">
        <f>IFERROR(__xludf.DUMMYFUNCTION("""COMPUTED_VALUE"""),1.0)</f>
        <v>1</v>
      </c>
      <c r="D1362" s="6">
        <f>IFERROR(__xludf.DUMMYFUNCTION("""COMPUTED_VALUE"""),181.8)</f>
        <v>181.8</v>
      </c>
      <c r="E1362" s="6">
        <f>IFERROR(__xludf.DUMMYFUNCTION("GOOGLEFINANCE(""Currency:BRLMXN"")*D1362"),617.5746)</f>
        <v>617.5746</v>
      </c>
      <c r="F1362" s="6">
        <f>IFERROR(__xludf.DUMMYFUNCTION("GOOGLEFINANCE(""Currency:BRLPEN"")*D1362"),119.18808)</f>
        <v>119.18808</v>
      </c>
      <c r="G1362" s="2" t="str">
        <f t="array" ref="G1362">_xlfn.XLOOKUP(B1362,Vendedores!$A$2:$A$41,Vendedores!$B$2:$B$41,"No hay datos")</f>
        <v>No hay datos</v>
      </c>
      <c r="H1362" s="2" t="str">
        <f t="array" ref="H1362">_xlfn.XLOOKUP(B1362,Vendedores!$A$2:$A$41,Vendedores!$C$2:$C$41,"No hay datos")</f>
        <v>No hay datos</v>
      </c>
      <c r="I1362" s="2" t="str">
        <f t="array" ref="I1362">_xlfn.XLOOKUP(B1362,Vendedores!$A$2:$A$41,Vendedores!$D$2:$D$41,"No hay datos")</f>
        <v>No hay datos</v>
      </c>
      <c r="J1362" s="2" t="str">
        <f t="array" ref="J1362">_xlfn.XLOOKUP(A1362,Productos!$A$2:$A$61,Productos!$B$2:$F$61)</f>
        <v>#N/A</v>
      </c>
    </row>
    <row r="1363">
      <c r="A1363" s="2" t="str">
        <f>IFERROR(__xludf.DUMMYFUNCTION("""COMPUTED_VALUE"""),"PR014")</f>
        <v>PR014</v>
      </c>
      <c r="B1363" s="2" t="str">
        <f>IFERROR(__xludf.DUMMYFUNCTION("""COMPUTED_VALUE"""),"VD018")</f>
        <v>VD018</v>
      </c>
      <c r="C1363" s="2">
        <f>IFERROR(__xludf.DUMMYFUNCTION("""COMPUTED_VALUE"""),16.0)</f>
        <v>16</v>
      </c>
      <c r="D1363" s="6">
        <f>IFERROR(__xludf.DUMMYFUNCTION("""COMPUTED_VALUE"""),651.17)</f>
        <v>651.17</v>
      </c>
      <c r="E1363" s="6">
        <f>IFERROR(__xludf.DUMMYFUNCTION("GOOGLEFINANCE(""Currency:BRLMXN"")*D1363"),2212.02449)</f>
        <v>2212.02449</v>
      </c>
      <c r="F1363" s="6">
        <f>IFERROR(__xludf.DUMMYFUNCTION("GOOGLEFINANCE(""Currency:BRLPEN"")*D1363"),426.90705199999996)</f>
        <v>426.907052</v>
      </c>
      <c r="G1363" s="2" t="str">
        <f t="array" ref="G1363">_xlfn.XLOOKUP(B1363,Vendedores!$A$2:$A$41,Vendedores!$B$2:$B$41,"No hay datos")</f>
        <v>No hay datos</v>
      </c>
      <c r="H1363" s="2" t="str">
        <f t="array" ref="H1363">_xlfn.XLOOKUP(B1363,Vendedores!$A$2:$A$41,Vendedores!$C$2:$C$41,"No hay datos")</f>
        <v>No hay datos</v>
      </c>
      <c r="I1363" s="2" t="str">
        <f t="array" ref="I1363">_xlfn.XLOOKUP(B1363,Vendedores!$A$2:$A$41,Vendedores!$D$2:$D$41,"No hay datos")</f>
        <v>No hay datos</v>
      </c>
      <c r="J1363" s="2" t="str">
        <f t="array" ref="J1363">_xlfn.XLOOKUP(A1363,Productos!$A$2:$A$61,Productos!$B$2:$F$61)</f>
        <v>#N/A</v>
      </c>
    </row>
    <row r="1364">
      <c r="A1364" s="2" t="str">
        <f>IFERROR(__xludf.DUMMYFUNCTION("""COMPUTED_VALUE"""),"PR022")</f>
        <v>PR022</v>
      </c>
      <c r="B1364" s="2" t="str">
        <f>IFERROR(__xludf.DUMMYFUNCTION("""COMPUTED_VALUE"""),"VD032")</f>
        <v>VD032</v>
      </c>
      <c r="C1364" s="2">
        <f>IFERROR(__xludf.DUMMYFUNCTION("""COMPUTED_VALUE"""),10.0)</f>
        <v>10</v>
      </c>
      <c r="D1364" s="6">
        <f>IFERROR(__xludf.DUMMYFUNCTION("""COMPUTED_VALUE"""),3150.0)</f>
        <v>3150</v>
      </c>
      <c r="E1364" s="6">
        <f>IFERROR(__xludf.DUMMYFUNCTION("GOOGLEFINANCE(""Currency:BRLMXN"")*D1364"),10700.55)</f>
        <v>10700.55</v>
      </c>
      <c r="F1364" s="6">
        <f>IFERROR(__xludf.DUMMYFUNCTION("GOOGLEFINANCE(""Currency:BRLPEN"")*D1364"),2065.14)</f>
        <v>2065.14</v>
      </c>
      <c r="G1364" s="2" t="str">
        <f t="array" ref="G1364">_xlfn.XLOOKUP(B1364,Vendedores!$A$2:$A$41,Vendedores!$B$2:$B$41,"No hay datos")</f>
        <v>No hay datos</v>
      </c>
      <c r="H1364" s="2" t="str">
        <f t="array" ref="H1364">_xlfn.XLOOKUP(B1364,Vendedores!$A$2:$A$41,Vendedores!$C$2:$C$41,"No hay datos")</f>
        <v>No hay datos</v>
      </c>
      <c r="I1364" s="2" t="str">
        <f t="array" ref="I1364">_xlfn.XLOOKUP(B1364,Vendedores!$A$2:$A$41,Vendedores!$D$2:$D$41,"No hay datos")</f>
        <v>No hay datos</v>
      </c>
      <c r="J1364" s="2" t="str">
        <f t="array" ref="J1364">_xlfn.XLOOKUP(A1364,Productos!$A$2:$A$61,Productos!$B$2:$F$61)</f>
        <v>#N/A</v>
      </c>
    </row>
    <row r="1365">
      <c r="A1365" s="2" t="str">
        <f>IFERROR(__xludf.DUMMYFUNCTION("""COMPUTED_VALUE"""),"PR007")</f>
        <v>PR007</v>
      </c>
      <c r="B1365" s="2" t="str">
        <f>IFERROR(__xludf.DUMMYFUNCTION("""COMPUTED_VALUE"""),"VD028")</f>
        <v>VD028</v>
      </c>
      <c r="C1365" s="2">
        <f>IFERROR(__xludf.DUMMYFUNCTION("""COMPUTED_VALUE"""),10.0)</f>
        <v>10</v>
      </c>
      <c r="D1365" s="6">
        <f>IFERROR(__xludf.DUMMYFUNCTION("""COMPUTED_VALUE"""),859.0)</f>
        <v>859</v>
      </c>
      <c r="E1365" s="6">
        <f>IFERROR(__xludf.DUMMYFUNCTION("GOOGLEFINANCE(""Currency:BRLMXN"")*D1365"),2918.0229999999997)</f>
        <v>2918.023</v>
      </c>
      <c r="F1365" s="6">
        <f>IFERROR(__xludf.DUMMYFUNCTION("GOOGLEFINANCE(""Currency:BRLPEN"")*D1365"),563.1604)</f>
        <v>563.1604</v>
      </c>
      <c r="G1365" s="2" t="str">
        <f t="array" ref="G1365">_xlfn.XLOOKUP(B1365,Vendedores!$A$2:$A$41,Vendedores!$B$2:$B$41,"No hay datos")</f>
        <v>No hay datos</v>
      </c>
      <c r="H1365" s="2" t="str">
        <f t="array" ref="H1365">_xlfn.XLOOKUP(B1365,Vendedores!$A$2:$A$41,Vendedores!$C$2:$C$41,"No hay datos")</f>
        <v>No hay datos</v>
      </c>
      <c r="I1365" s="2" t="str">
        <f t="array" ref="I1365">_xlfn.XLOOKUP(B1365,Vendedores!$A$2:$A$41,Vendedores!$D$2:$D$41,"No hay datos")</f>
        <v>No hay datos</v>
      </c>
      <c r="J1365" s="2" t="str">
        <f t="array" ref="J1365">_xlfn.XLOOKUP(A1365,Productos!$A$2:$A$61,Productos!$B$2:$F$61)</f>
        <v>#N/A</v>
      </c>
    </row>
    <row r="1366">
      <c r="A1366" s="2" t="str">
        <f>IFERROR(__xludf.DUMMYFUNCTION("""COMPUTED_VALUE"""),"PR035")</f>
        <v>PR035</v>
      </c>
      <c r="B1366" s="2" t="str">
        <f>IFERROR(__xludf.DUMMYFUNCTION("""COMPUTED_VALUE"""),"VD049")</f>
        <v>VD049</v>
      </c>
      <c r="C1366" s="2">
        <f>IFERROR(__xludf.DUMMYFUNCTION("""COMPUTED_VALUE"""),8.0)</f>
        <v>8</v>
      </c>
      <c r="D1366" s="6">
        <f>IFERROR(__xludf.DUMMYFUNCTION("""COMPUTED_VALUE"""),775.07)</f>
        <v>775.07</v>
      </c>
      <c r="E1366" s="6">
        <f>IFERROR(__xludf.DUMMYFUNCTION("GOOGLEFINANCE(""Currency:BRLMXN"")*D1366"),2632.91279)</f>
        <v>2632.91279</v>
      </c>
      <c r="F1366" s="6">
        <f>IFERROR(__xludf.DUMMYFUNCTION("GOOGLEFINANCE(""Currency:BRLPEN"")*D1366"),508.135892)</f>
        <v>508.135892</v>
      </c>
      <c r="G1366" s="2" t="str">
        <f t="array" ref="G1366">_xlfn.XLOOKUP(B1366,Vendedores!$A$2:$A$41,Vendedores!$B$2:$B$41,"No hay datos")</f>
        <v>No hay datos</v>
      </c>
      <c r="H1366" s="2" t="str">
        <f t="array" ref="H1366">_xlfn.XLOOKUP(B1366,Vendedores!$A$2:$A$41,Vendedores!$C$2:$C$41,"No hay datos")</f>
        <v>No hay datos</v>
      </c>
      <c r="I1366" s="2" t="str">
        <f t="array" ref="I1366">_xlfn.XLOOKUP(B1366,Vendedores!$A$2:$A$41,Vendedores!$D$2:$D$41,"No hay datos")</f>
        <v>No hay datos</v>
      </c>
      <c r="J1366" s="2" t="str">
        <f t="array" ref="J1366">_xlfn.XLOOKUP(A1366,Productos!$A$2:$A$61,Productos!$B$2:$F$61)</f>
        <v>#N/A</v>
      </c>
    </row>
    <row r="1367">
      <c r="A1367" s="2" t="str">
        <f>IFERROR(__xludf.DUMMYFUNCTION("""COMPUTED_VALUE"""),"PR024")</f>
        <v>PR024</v>
      </c>
      <c r="B1367" s="2" t="str">
        <f>IFERROR(__xludf.DUMMYFUNCTION("""COMPUTED_VALUE"""),"VD037")</f>
        <v>VD037</v>
      </c>
      <c r="C1367" s="2">
        <f>IFERROR(__xludf.DUMMYFUNCTION("""COMPUTED_VALUE"""),5.0)</f>
        <v>5</v>
      </c>
      <c r="D1367" s="6">
        <f>IFERROR(__xludf.DUMMYFUNCTION("""COMPUTED_VALUE"""),1299.5)</f>
        <v>1299.5</v>
      </c>
      <c r="E1367" s="6">
        <f>IFERROR(__xludf.DUMMYFUNCTION("GOOGLEFINANCE(""Currency:BRLMXN"")*D1367"),4414.4015)</f>
        <v>4414.4015</v>
      </c>
      <c r="F1367" s="6">
        <f>IFERROR(__xludf.DUMMYFUNCTION("GOOGLEFINANCE(""Currency:BRLPEN"")*D1367"),851.9522)</f>
        <v>851.9522</v>
      </c>
      <c r="G1367" s="2" t="str">
        <f t="array" ref="G1367">_xlfn.XLOOKUP(B1367,Vendedores!$A$2:$A$41,Vendedores!$B$2:$B$41,"No hay datos")</f>
        <v>No hay datos</v>
      </c>
      <c r="H1367" s="2" t="str">
        <f t="array" ref="H1367">_xlfn.XLOOKUP(B1367,Vendedores!$A$2:$A$41,Vendedores!$C$2:$C$41,"No hay datos")</f>
        <v>No hay datos</v>
      </c>
      <c r="I1367" s="2" t="str">
        <f t="array" ref="I1367">_xlfn.XLOOKUP(B1367,Vendedores!$A$2:$A$41,Vendedores!$D$2:$D$41,"No hay datos")</f>
        <v>No hay datos</v>
      </c>
      <c r="J1367" s="2" t="str">
        <f t="array" ref="J1367">_xlfn.XLOOKUP(A1367,Productos!$A$2:$A$61,Productos!$B$2:$F$61)</f>
        <v>#N/A</v>
      </c>
    </row>
    <row r="1368">
      <c r="A1368" s="2" t="str">
        <f>IFERROR(__xludf.DUMMYFUNCTION("""COMPUTED_VALUE"""),"PR057")</f>
        <v>PR057</v>
      </c>
      <c r="B1368" s="2" t="str">
        <f>IFERROR(__xludf.DUMMYFUNCTION("""COMPUTED_VALUE"""),"VD033")</f>
        <v>VD033</v>
      </c>
      <c r="C1368" s="2">
        <f>IFERROR(__xludf.DUMMYFUNCTION("""COMPUTED_VALUE"""),14.0)</f>
        <v>14</v>
      </c>
      <c r="D1368" s="6">
        <f>IFERROR(__xludf.DUMMYFUNCTION("""COMPUTED_VALUE"""),1296.36)</f>
        <v>1296.36</v>
      </c>
      <c r="E1368" s="6">
        <f>IFERROR(__xludf.DUMMYFUNCTION("GOOGLEFINANCE(""Currency:BRLMXN"")*D1368"),4403.734919999999)</f>
        <v>4403.73492</v>
      </c>
      <c r="F1368" s="6">
        <f>IFERROR(__xludf.DUMMYFUNCTION("GOOGLEFINANCE(""Currency:BRLPEN"")*D1368"),849.8936159999998)</f>
        <v>849.893616</v>
      </c>
      <c r="G1368" s="2" t="str">
        <f t="array" ref="G1368">_xlfn.XLOOKUP(B1368,Vendedores!$A$2:$A$41,Vendedores!$B$2:$B$41,"No hay datos")</f>
        <v>No hay datos</v>
      </c>
      <c r="H1368" s="2" t="str">
        <f t="array" ref="H1368">_xlfn.XLOOKUP(B1368,Vendedores!$A$2:$A$41,Vendedores!$C$2:$C$41,"No hay datos")</f>
        <v>No hay datos</v>
      </c>
      <c r="I1368" s="2" t="str">
        <f t="array" ref="I1368">_xlfn.XLOOKUP(B1368,Vendedores!$A$2:$A$41,Vendedores!$D$2:$D$41,"No hay datos")</f>
        <v>No hay datos</v>
      </c>
      <c r="J1368" s="2" t="str">
        <f t="array" ref="J1368">_xlfn.XLOOKUP(A1368,Productos!$A$2:$A$61,Productos!$B$2:$F$61)</f>
        <v>#N/A</v>
      </c>
    </row>
    <row r="1369">
      <c r="A1369" s="2" t="str">
        <f>IFERROR(__xludf.DUMMYFUNCTION("""COMPUTED_VALUE"""),"PR047")</f>
        <v>PR047</v>
      </c>
      <c r="B1369" s="2" t="str">
        <f>IFERROR(__xludf.DUMMYFUNCTION("""COMPUTED_VALUE"""),"VD037")</f>
        <v>VD037</v>
      </c>
      <c r="C1369" s="2">
        <f>IFERROR(__xludf.DUMMYFUNCTION("""COMPUTED_VALUE"""),3.0)</f>
        <v>3</v>
      </c>
      <c r="D1369" s="6">
        <f>IFERROR(__xludf.DUMMYFUNCTION("""COMPUTED_VALUE"""),913.19)</f>
        <v>913.19</v>
      </c>
      <c r="E1369" s="6">
        <f>IFERROR(__xludf.DUMMYFUNCTION("GOOGLEFINANCE(""Currency:BRLMXN"")*D1369"),3102.10643)</f>
        <v>3102.10643</v>
      </c>
      <c r="F1369" s="6">
        <f>IFERROR(__xludf.DUMMYFUNCTION("GOOGLEFINANCE(""Currency:BRLPEN"")*D1369"),598.687364)</f>
        <v>598.687364</v>
      </c>
      <c r="G1369" s="2" t="str">
        <f t="array" ref="G1369">_xlfn.XLOOKUP(B1369,Vendedores!$A$2:$A$41,Vendedores!$B$2:$B$41,"No hay datos")</f>
        <v>No hay datos</v>
      </c>
      <c r="H1369" s="2" t="str">
        <f t="array" ref="H1369">_xlfn.XLOOKUP(B1369,Vendedores!$A$2:$A$41,Vendedores!$C$2:$C$41,"No hay datos")</f>
        <v>No hay datos</v>
      </c>
      <c r="I1369" s="2" t="str">
        <f t="array" ref="I1369">_xlfn.XLOOKUP(B1369,Vendedores!$A$2:$A$41,Vendedores!$D$2:$D$41,"No hay datos")</f>
        <v>No hay datos</v>
      </c>
      <c r="J1369" s="2" t="str">
        <f t="array" ref="J1369">_xlfn.XLOOKUP(A1369,Productos!$A$2:$A$61,Productos!$B$2:$F$61)</f>
        <v>#N/A</v>
      </c>
    </row>
    <row r="1370">
      <c r="A1370" s="2" t="str">
        <f>IFERROR(__xludf.DUMMYFUNCTION("""COMPUTED_VALUE"""),"PR035")</f>
        <v>PR035</v>
      </c>
      <c r="B1370" s="2" t="str">
        <f>IFERROR(__xludf.DUMMYFUNCTION("""COMPUTED_VALUE"""),"VD042")</f>
        <v>VD042</v>
      </c>
      <c r="C1370" s="2">
        <f>IFERROR(__xludf.DUMMYFUNCTION("""COMPUTED_VALUE"""),20.0)</f>
        <v>20</v>
      </c>
      <c r="D1370" s="6">
        <f>IFERROR(__xludf.DUMMYFUNCTION("""COMPUTED_VALUE"""),1937.68)</f>
        <v>1937.68</v>
      </c>
      <c r="E1370" s="6">
        <f>IFERROR(__xludf.DUMMYFUNCTION("GOOGLEFINANCE(""Currency:BRLMXN"")*D1370"),6582.29896)</f>
        <v>6582.29896</v>
      </c>
      <c r="F1370" s="6">
        <f>IFERROR(__xludf.DUMMYFUNCTION("GOOGLEFINANCE(""Currency:BRLPEN"")*D1370"),1270.343008)</f>
        <v>1270.343008</v>
      </c>
      <c r="G1370" s="2" t="str">
        <f t="array" ref="G1370">_xlfn.XLOOKUP(B1370,Vendedores!$A$2:$A$41,Vendedores!$B$2:$B$41,"No hay datos")</f>
        <v>No hay datos</v>
      </c>
      <c r="H1370" s="2" t="str">
        <f t="array" ref="H1370">_xlfn.XLOOKUP(B1370,Vendedores!$A$2:$A$41,Vendedores!$C$2:$C$41,"No hay datos")</f>
        <v>No hay datos</v>
      </c>
      <c r="I1370" s="2" t="str">
        <f t="array" ref="I1370">_xlfn.XLOOKUP(B1370,Vendedores!$A$2:$A$41,Vendedores!$D$2:$D$41,"No hay datos")</f>
        <v>No hay datos</v>
      </c>
      <c r="J1370" s="2" t="str">
        <f t="array" ref="J1370">_xlfn.XLOOKUP(A1370,Productos!$A$2:$A$61,Productos!$B$2:$F$61)</f>
        <v>#N/A</v>
      </c>
    </row>
    <row r="1371">
      <c r="A1371" s="2" t="str">
        <f>IFERROR(__xludf.DUMMYFUNCTION("""COMPUTED_VALUE"""),"PR007")</f>
        <v>PR007</v>
      </c>
      <c r="B1371" s="2" t="str">
        <f>IFERROR(__xludf.DUMMYFUNCTION("""COMPUTED_VALUE"""),"VD026")</f>
        <v>VD026</v>
      </c>
      <c r="C1371" s="2">
        <f>IFERROR(__xludf.DUMMYFUNCTION("""COMPUTED_VALUE"""),3.0)</f>
        <v>3</v>
      </c>
      <c r="D1371" s="6">
        <f>IFERROR(__xludf.DUMMYFUNCTION("""COMPUTED_VALUE"""),270.59)</f>
        <v>270.59</v>
      </c>
      <c r="E1371" s="6">
        <f>IFERROR(__xludf.DUMMYFUNCTION("GOOGLEFINANCE(""Currency:BRLMXN"")*D1371"),919.1942299999998)</f>
        <v>919.19423</v>
      </c>
      <c r="F1371" s="6">
        <f>IFERROR(__xludf.DUMMYFUNCTION("GOOGLEFINANCE(""Currency:BRLPEN"")*D1371"),177.39880399999998)</f>
        <v>177.398804</v>
      </c>
      <c r="G1371" s="2" t="str">
        <f t="array" ref="G1371">_xlfn.XLOOKUP(B1371,Vendedores!$A$2:$A$41,Vendedores!$B$2:$B$41,"No hay datos")</f>
        <v>No hay datos</v>
      </c>
      <c r="H1371" s="2" t="str">
        <f t="array" ref="H1371">_xlfn.XLOOKUP(B1371,Vendedores!$A$2:$A$41,Vendedores!$C$2:$C$41,"No hay datos")</f>
        <v>No hay datos</v>
      </c>
      <c r="I1371" s="2" t="str">
        <f t="array" ref="I1371">_xlfn.XLOOKUP(B1371,Vendedores!$A$2:$A$41,Vendedores!$D$2:$D$41,"No hay datos")</f>
        <v>No hay datos</v>
      </c>
      <c r="J1371" s="2" t="str">
        <f t="array" ref="J1371">_xlfn.XLOOKUP(A1371,Productos!$A$2:$A$61,Productos!$B$2:$F$61)</f>
        <v>#N/A</v>
      </c>
    </row>
    <row r="1372">
      <c r="A1372" s="2" t="str">
        <f>IFERROR(__xludf.DUMMYFUNCTION("""COMPUTED_VALUE"""),"PR002")</f>
        <v>PR002</v>
      </c>
      <c r="B1372" s="2" t="str">
        <f>IFERROR(__xludf.DUMMYFUNCTION("""COMPUTED_VALUE"""),"VD013")</f>
        <v>VD013</v>
      </c>
      <c r="C1372" s="2">
        <f>IFERROR(__xludf.DUMMYFUNCTION("""COMPUTED_VALUE"""),5.0)</f>
        <v>5</v>
      </c>
      <c r="D1372" s="6">
        <f>IFERROR(__xludf.DUMMYFUNCTION("""COMPUTED_VALUE"""),373.97)</f>
        <v>373.97</v>
      </c>
      <c r="E1372" s="6">
        <f>IFERROR(__xludf.DUMMYFUNCTION("GOOGLEFINANCE(""Currency:BRLMXN"")*D1372"),1270.37609)</f>
        <v>1270.37609</v>
      </c>
      <c r="F1372" s="6">
        <f>IFERROR(__xludf.DUMMYFUNCTION("GOOGLEFINANCE(""Currency:BRLPEN"")*D1372"),245.174732)</f>
        <v>245.174732</v>
      </c>
      <c r="G1372" s="2" t="str">
        <f t="array" ref="G1372">_xlfn.XLOOKUP(B1372,Vendedores!$A$2:$A$41,Vendedores!$B$2:$B$41,"No hay datos")</f>
        <v>No hay datos</v>
      </c>
      <c r="H1372" s="2" t="str">
        <f t="array" ref="H1372">_xlfn.XLOOKUP(B1372,Vendedores!$A$2:$A$41,Vendedores!$C$2:$C$41,"No hay datos")</f>
        <v>No hay datos</v>
      </c>
      <c r="I1372" s="2" t="str">
        <f t="array" ref="I1372">_xlfn.XLOOKUP(B1372,Vendedores!$A$2:$A$41,Vendedores!$D$2:$D$41,"No hay datos")</f>
        <v>No hay datos</v>
      </c>
      <c r="J1372" s="2" t="str">
        <f t="array" ref="J1372">_xlfn.XLOOKUP(A1372,Productos!$A$2:$A$61,Productos!$B$2:$F$61)</f>
        <v>#N/A</v>
      </c>
    </row>
    <row r="1373">
      <c r="A1373" s="2" t="str">
        <f>IFERROR(__xludf.DUMMYFUNCTION("""COMPUTED_VALUE"""),"PR035")</f>
        <v>PR035</v>
      </c>
      <c r="B1373" s="2" t="str">
        <f>IFERROR(__xludf.DUMMYFUNCTION("""COMPUTED_VALUE"""),"VD036")</f>
        <v>VD036</v>
      </c>
      <c r="C1373" s="2">
        <f>IFERROR(__xludf.DUMMYFUNCTION("""COMPUTED_VALUE"""),2.0)</f>
        <v>2</v>
      </c>
      <c r="D1373" s="6">
        <f>IFERROR(__xludf.DUMMYFUNCTION("""COMPUTED_VALUE"""),184.63)</f>
        <v>184.63</v>
      </c>
      <c r="E1373" s="6">
        <f>IFERROR(__xludf.DUMMYFUNCTION("GOOGLEFINANCE(""Currency:BRLMXN"")*D1373"),627.1881099999999)</f>
        <v>627.18811</v>
      </c>
      <c r="F1373" s="6">
        <f>IFERROR(__xludf.DUMMYFUNCTION("GOOGLEFINANCE(""Currency:BRLPEN"")*D1373"),121.04342799999999)</f>
        <v>121.043428</v>
      </c>
      <c r="G1373" s="2" t="str">
        <f t="array" ref="G1373">_xlfn.XLOOKUP(B1373,Vendedores!$A$2:$A$41,Vendedores!$B$2:$B$41,"No hay datos")</f>
        <v>No hay datos</v>
      </c>
      <c r="H1373" s="2" t="str">
        <f t="array" ref="H1373">_xlfn.XLOOKUP(B1373,Vendedores!$A$2:$A$41,Vendedores!$C$2:$C$41,"No hay datos")</f>
        <v>No hay datos</v>
      </c>
      <c r="I1373" s="2" t="str">
        <f t="array" ref="I1373">_xlfn.XLOOKUP(B1373,Vendedores!$A$2:$A$41,Vendedores!$D$2:$D$41,"No hay datos")</f>
        <v>No hay datos</v>
      </c>
      <c r="J1373" s="2" t="str">
        <f t="array" ref="J1373">_xlfn.XLOOKUP(A1373,Productos!$A$2:$A$61,Productos!$B$2:$F$61)</f>
        <v>#N/A</v>
      </c>
    </row>
    <row r="1374">
      <c r="A1374" s="2" t="str">
        <f>IFERROR(__xludf.DUMMYFUNCTION("""COMPUTED_VALUE"""),"PR049")</f>
        <v>PR049</v>
      </c>
      <c r="B1374" s="2" t="str">
        <f>IFERROR(__xludf.DUMMYFUNCTION("""COMPUTED_VALUE"""),"VD026")</f>
        <v>VD026</v>
      </c>
      <c r="C1374" s="2">
        <f>IFERROR(__xludf.DUMMYFUNCTION("""COMPUTED_VALUE"""),10.0)</f>
        <v>10</v>
      </c>
      <c r="D1374" s="6">
        <f>IFERROR(__xludf.DUMMYFUNCTION("""COMPUTED_VALUE"""),348.74)</f>
        <v>348.74</v>
      </c>
      <c r="E1374" s="6">
        <f>IFERROR(__xludf.DUMMYFUNCTION("GOOGLEFINANCE(""Currency:BRLMXN"")*D1374"),1184.66978)</f>
        <v>1184.66978</v>
      </c>
      <c r="F1374" s="6">
        <f>IFERROR(__xludf.DUMMYFUNCTION("GOOGLEFINANCE(""Currency:BRLPEN"")*D1374"),228.63394399999999)</f>
        <v>228.633944</v>
      </c>
      <c r="G1374" s="2" t="str">
        <f t="array" ref="G1374">_xlfn.XLOOKUP(B1374,Vendedores!$A$2:$A$41,Vendedores!$B$2:$B$41,"No hay datos")</f>
        <v>No hay datos</v>
      </c>
      <c r="H1374" s="2" t="str">
        <f t="array" ref="H1374">_xlfn.XLOOKUP(B1374,Vendedores!$A$2:$A$41,Vendedores!$C$2:$C$41,"No hay datos")</f>
        <v>No hay datos</v>
      </c>
      <c r="I1374" s="2" t="str">
        <f t="array" ref="I1374">_xlfn.XLOOKUP(B1374,Vendedores!$A$2:$A$41,Vendedores!$D$2:$D$41,"No hay datos")</f>
        <v>No hay datos</v>
      </c>
      <c r="J1374" s="2" t="str">
        <f t="array" ref="J1374">_xlfn.XLOOKUP(A1374,Productos!$A$2:$A$61,Productos!$B$2:$F$61)</f>
        <v>#N/A</v>
      </c>
    </row>
    <row r="1375">
      <c r="A1375" s="2" t="str">
        <f>IFERROR(__xludf.DUMMYFUNCTION("""COMPUTED_VALUE"""),"PR048")</f>
        <v>PR048</v>
      </c>
      <c r="B1375" s="2" t="str">
        <f>IFERROR(__xludf.DUMMYFUNCTION("""COMPUTED_VALUE"""),"VD019")</f>
        <v>VD019</v>
      </c>
      <c r="C1375" s="2">
        <f>IFERROR(__xludf.DUMMYFUNCTION("""COMPUTED_VALUE"""),14.0)</f>
        <v>14</v>
      </c>
      <c r="D1375" s="6">
        <f>IFERROR(__xludf.DUMMYFUNCTION("""COMPUTED_VALUE"""),4139.77)</f>
        <v>4139.77</v>
      </c>
      <c r="E1375" s="6">
        <f>IFERROR(__xludf.DUMMYFUNCTION("GOOGLEFINANCE(""Currency:BRLMXN"")*D1375"),14062.798690000001)</f>
        <v>14062.79869</v>
      </c>
      <c r="F1375" s="6">
        <f>IFERROR(__xludf.DUMMYFUNCTION("GOOGLEFINANCE(""Currency:BRLPEN"")*D1375"),2714.0332120000003)</f>
        <v>2714.033212</v>
      </c>
      <c r="G1375" s="2" t="str">
        <f t="array" ref="G1375">_xlfn.XLOOKUP(B1375,Vendedores!$A$2:$A$41,Vendedores!$B$2:$B$41,"No hay datos")</f>
        <v>No hay datos</v>
      </c>
      <c r="H1375" s="2" t="str">
        <f t="array" ref="H1375">_xlfn.XLOOKUP(B1375,Vendedores!$A$2:$A$41,Vendedores!$C$2:$C$41,"No hay datos")</f>
        <v>No hay datos</v>
      </c>
      <c r="I1375" s="2" t="str">
        <f t="array" ref="I1375">_xlfn.XLOOKUP(B1375,Vendedores!$A$2:$A$41,Vendedores!$D$2:$D$41,"No hay datos")</f>
        <v>No hay datos</v>
      </c>
      <c r="J1375" s="2" t="str">
        <f t="array" ref="J1375">_xlfn.XLOOKUP(A1375,Productos!$A$2:$A$61,Productos!$B$2:$F$61)</f>
        <v>#N/A</v>
      </c>
    </row>
    <row r="1376">
      <c r="A1376" s="2" t="str">
        <f>IFERROR(__xludf.DUMMYFUNCTION("""COMPUTED_VALUE"""),"PR058")</f>
        <v>PR058</v>
      </c>
      <c r="B1376" s="2" t="str">
        <f>IFERROR(__xludf.DUMMYFUNCTION("""COMPUTED_VALUE"""),"VD029")</f>
        <v>VD029</v>
      </c>
      <c r="C1376" s="2">
        <f>IFERROR(__xludf.DUMMYFUNCTION("""COMPUTED_VALUE"""),5.0)</f>
        <v>5</v>
      </c>
      <c r="D1376" s="6">
        <f>IFERROR(__xludf.DUMMYFUNCTION("""COMPUTED_VALUE"""),918.0)</f>
        <v>918</v>
      </c>
      <c r="E1376" s="6">
        <f>IFERROR(__xludf.DUMMYFUNCTION("GOOGLEFINANCE(""Currency:BRLMXN"")*D1376"),3118.446)</f>
        <v>3118.446</v>
      </c>
      <c r="F1376" s="6">
        <f>IFERROR(__xludf.DUMMYFUNCTION("GOOGLEFINANCE(""Currency:BRLPEN"")*D1376"),601.8408)</f>
        <v>601.8408</v>
      </c>
      <c r="G1376" s="2" t="str">
        <f t="array" ref="G1376">_xlfn.XLOOKUP(B1376,Vendedores!$A$2:$A$41,Vendedores!$B$2:$B$41,"No hay datos")</f>
        <v>No hay datos</v>
      </c>
      <c r="H1376" s="2" t="str">
        <f t="array" ref="H1376">_xlfn.XLOOKUP(B1376,Vendedores!$A$2:$A$41,Vendedores!$C$2:$C$41,"No hay datos")</f>
        <v>No hay datos</v>
      </c>
      <c r="I1376" s="2" t="str">
        <f t="array" ref="I1376">_xlfn.XLOOKUP(B1376,Vendedores!$A$2:$A$41,Vendedores!$D$2:$D$41,"No hay datos")</f>
        <v>No hay datos</v>
      </c>
      <c r="J1376" s="2" t="str">
        <f t="array" ref="J1376">_xlfn.XLOOKUP(A1376,Productos!$A$2:$A$61,Productos!$B$2:$F$61)</f>
        <v>#N/A</v>
      </c>
    </row>
    <row r="1377">
      <c r="A1377" s="2" t="str">
        <f>IFERROR(__xludf.DUMMYFUNCTION("""COMPUTED_VALUE"""),"PR032")</f>
        <v>PR032</v>
      </c>
      <c r="B1377" s="2" t="str">
        <f>IFERROR(__xludf.DUMMYFUNCTION("""COMPUTED_VALUE"""),"VD038")</f>
        <v>VD038</v>
      </c>
      <c r="C1377" s="2">
        <f>IFERROR(__xludf.DUMMYFUNCTION("""COMPUTED_VALUE"""),8.0)</f>
        <v>8</v>
      </c>
      <c r="D1377" s="6">
        <f>IFERROR(__xludf.DUMMYFUNCTION("""COMPUTED_VALUE"""),2080.0)</f>
        <v>2080</v>
      </c>
      <c r="E1377" s="6">
        <f>IFERROR(__xludf.DUMMYFUNCTION("GOOGLEFINANCE(""Currency:BRLMXN"")*D1377"),7065.759999999999)</f>
        <v>7065.76</v>
      </c>
      <c r="F1377" s="6">
        <f>IFERROR(__xludf.DUMMYFUNCTION("GOOGLEFINANCE(""Currency:BRLPEN"")*D1377"),1363.648)</f>
        <v>1363.648</v>
      </c>
      <c r="G1377" s="2" t="str">
        <f t="array" ref="G1377">_xlfn.XLOOKUP(B1377,Vendedores!$A$2:$A$41,Vendedores!$B$2:$B$41,"No hay datos")</f>
        <v>No hay datos</v>
      </c>
      <c r="H1377" s="2" t="str">
        <f t="array" ref="H1377">_xlfn.XLOOKUP(B1377,Vendedores!$A$2:$A$41,Vendedores!$C$2:$C$41,"No hay datos")</f>
        <v>No hay datos</v>
      </c>
      <c r="I1377" s="2" t="str">
        <f t="array" ref="I1377">_xlfn.XLOOKUP(B1377,Vendedores!$A$2:$A$41,Vendedores!$D$2:$D$41,"No hay datos")</f>
        <v>No hay datos</v>
      </c>
      <c r="J1377" s="2" t="str">
        <f t="array" ref="J1377">_xlfn.XLOOKUP(A1377,Productos!$A$2:$A$61,Productos!$B$2:$F$61)</f>
        <v>#N/A</v>
      </c>
    </row>
    <row r="1378">
      <c r="A1378" s="2" t="str">
        <f>IFERROR(__xludf.DUMMYFUNCTION("""COMPUTED_VALUE"""),"PR009")</f>
        <v>PR009</v>
      </c>
      <c r="B1378" s="2" t="str">
        <f>IFERROR(__xludf.DUMMYFUNCTION("""COMPUTED_VALUE"""),"VD032")</f>
        <v>VD032</v>
      </c>
      <c r="C1378" s="2">
        <f>IFERROR(__xludf.DUMMYFUNCTION("""COMPUTED_VALUE"""),20.0)</f>
        <v>20</v>
      </c>
      <c r="D1378" s="6">
        <f>IFERROR(__xludf.DUMMYFUNCTION("""COMPUTED_VALUE"""),1969.48)</f>
        <v>1969.48</v>
      </c>
      <c r="E1378" s="6">
        <f>IFERROR(__xludf.DUMMYFUNCTION("GOOGLEFINANCE(""Currency:BRLMXN"")*D1378"),6690.32356)</f>
        <v>6690.32356</v>
      </c>
      <c r="F1378" s="6">
        <f>IFERROR(__xludf.DUMMYFUNCTION("GOOGLEFINANCE(""Currency:BRLPEN"")*D1378"),1291.191088)</f>
        <v>1291.191088</v>
      </c>
      <c r="G1378" s="2" t="str">
        <f t="array" ref="G1378">_xlfn.XLOOKUP(B1378,Vendedores!$A$2:$A$41,Vendedores!$B$2:$B$41,"No hay datos")</f>
        <v>No hay datos</v>
      </c>
      <c r="H1378" s="2" t="str">
        <f t="array" ref="H1378">_xlfn.XLOOKUP(B1378,Vendedores!$A$2:$A$41,Vendedores!$C$2:$C$41,"No hay datos")</f>
        <v>No hay datos</v>
      </c>
      <c r="I1378" s="2" t="str">
        <f t="array" ref="I1378">_xlfn.XLOOKUP(B1378,Vendedores!$A$2:$A$41,Vendedores!$D$2:$D$41,"No hay datos")</f>
        <v>No hay datos</v>
      </c>
      <c r="J1378" s="2" t="str">
        <f t="array" ref="J1378">_xlfn.XLOOKUP(A1378,Productos!$A$2:$A$61,Productos!$B$2:$F$61)</f>
        <v>#N/A</v>
      </c>
    </row>
    <row r="1379">
      <c r="A1379" s="2" t="str">
        <f>IFERROR(__xludf.DUMMYFUNCTION("""COMPUTED_VALUE"""),"PR060")</f>
        <v>PR060</v>
      </c>
      <c r="B1379" s="2" t="str">
        <f>IFERROR(__xludf.DUMMYFUNCTION("""COMPUTED_VALUE"""),"VD032")</f>
        <v>VD032</v>
      </c>
      <c r="C1379" s="2">
        <f>IFERROR(__xludf.DUMMYFUNCTION("""COMPUTED_VALUE"""),5.0)</f>
        <v>5</v>
      </c>
      <c r="D1379" s="6">
        <f>IFERROR(__xludf.DUMMYFUNCTION("""COMPUTED_VALUE"""),927.0)</f>
        <v>927</v>
      </c>
      <c r="E1379" s="6">
        <f>IFERROR(__xludf.DUMMYFUNCTION("GOOGLEFINANCE(""Currency:BRLMXN"")*D1379"),3149.019)</f>
        <v>3149.019</v>
      </c>
      <c r="F1379" s="6">
        <f>IFERROR(__xludf.DUMMYFUNCTION("GOOGLEFINANCE(""Currency:BRLPEN"")*D1379"),607.7411999999999)</f>
        <v>607.7412</v>
      </c>
      <c r="G1379" s="2" t="str">
        <f t="array" ref="G1379">_xlfn.XLOOKUP(B1379,Vendedores!$A$2:$A$41,Vendedores!$B$2:$B$41,"No hay datos")</f>
        <v>No hay datos</v>
      </c>
      <c r="H1379" s="2" t="str">
        <f t="array" ref="H1379">_xlfn.XLOOKUP(B1379,Vendedores!$A$2:$A$41,Vendedores!$C$2:$C$41,"No hay datos")</f>
        <v>No hay datos</v>
      </c>
      <c r="I1379" s="2" t="str">
        <f t="array" ref="I1379">_xlfn.XLOOKUP(B1379,Vendedores!$A$2:$A$41,Vendedores!$D$2:$D$41,"No hay datos")</f>
        <v>No hay datos</v>
      </c>
      <c r="J1379" s="2" t="str">
        <f t="array" ref="J1379">_xlfn.XLOOKUP(A1379,Productos!$A$2:$A$61,Productos!$B$2:$F$61)</f>
        <v>#N/A</v>
      </c>
    </row>
    <row r="1380">
      <c r="A1380" s="2" t="str">
        <f>IFERROR(__xludf.DUMMYFUNCTION("""COMPUTED_VALUE"""),"PR026")</f>
        <v>PR026</v>
      </c>
      <c r="B1380" s="2" t="str">
        <f>IFERROR(__xludf.DUMMYFUNCTION("""COMPUTED_VALUE"""),"VD026")</f>
        <v>VD026</v>
      </c>
      <c r="C1380" s="2">
        <f>IFERROR(__xludf.DUMMYFUNCTION("""COMPUTED_VALUE"""),14.0)</f>
        <v>14</v>
      </c>
      <c r="D1380" s="6">
        <f>IFERROR(__xludf.DUMMYFUNCTION("""COMPUTED_VALUE"""),5290.49)</f>
        <v>5290.49</v>
      </c>
      <c r="E1380" s="6">
        <f>IFERROR(__xludf.DUMMYFUNCTION("GOOGLEFINANCE(""Currency:BRLMXN"")*D1380"),17971.79453)</f>
        <v>17971.79453</v>
      </c>
      <c r="F1380" s="6">
        <f>IFERROR(__xludf.DUMMYFUNCTION("GOOGLEFINANCE(""Currency:BRLPEN"")*D1380"),3468.4452439999995)</f>
        <v>3468.445244</v>
      </c>
      <c r="G1380" s="2" t="str">
        <f t="array" ref="G1380">_xlfn.XLOOKUP(B1380,Vendedores!$A$2:$A$41,Vendedores!$B$2:$B$41,"No hay datos")</f>
        <v>No hay datos</v>
      </c>
      <c r="H1380" s="2" t="str">
        <f t="array" ref="H1380">_xlfn.XLOOKUP(B1380,Vendedores!$A$2:$A$41,Vendedores!$C$2:$C$41,"No hay datos")</f>
        <v>No hay datos</v>
      </c>
      <c r="I1380" s="2" t="str">
        <f t="array" ref="I1380">_xlfn.XLOOKUP(B1380,Vendedores!$A$2:$A$41,Vendedores!$D$2:$D$41,"No hay datos")</f>
        <v>No hay datos</v>
      </c>
      <c r="J1380" s="2" t="str">
        <f t="array" ref="J1380">_xlfn.XLOOKUP(A1380,Productos!$A$2:$A$61,Productos!$B$2:$F$61)</f>
        <v>#N/A</v>
      </c>
    </row>
    <row r="1381">
      <c r="A1381" s="2" t="str">
        <f>IFERROR(__xludf.DUMMYFUNCTION("""COMPUTED_VALUE"""),"PR012")</f>
        <v>PR012</v>
      </c>
      <c r="B1381" s="2" t="str">
        <f>IFERROR(__xludf.DUMMYFUNCTION("""COMPUTED_VALUE"""),"VD035")</f>
        <v>VD035</v>
      </c>
      <c r="C1381" s="2">
        <f>IFERROR(__xludf.DUMMYFUNCTION("""COMPUTED_VALUE"""),16.0)</f>
        <v>16</v>
      </c>
      <c r="D1381" s="6">
        <f>IFERROR(__xludf.DUMMYFUNCTION("""COMPUTED_VALUE"""),852.82)</f>
        <v>852.82</v>
      </c>
      <c r="E1381" s="6">
        <f>IFERROR(__xludf.DUMMYFUNCTION("GOOGLEFINANCE(""Currency:BRLMXN"")*D1381"),2897.02954)</f>
        <v>2897.02954</v>
      </c>
      <c r="F1381" s="6">
        <f>IFERROR(__xludf.DUMMYFUNCTION("GOOGLEFINANCE(""Currency:BRLPEN"")*D1381"),559.108792)</f>
        <v>559.108792</v>
      </c>
      <c r="G1381" s="2" t="str">
        <f t="array" ref="G1381">_xlfn.XLOOKUP(B1381,Vendedores!$A$2:$A$41,Vendedores!$B$2:$B$41,"No hay datos")</f>
        <v>No hay datos</v>
      </c>
      <c r="H1381" s="2" t="str">
        <f t="array" ref="H1381">_xlfn.XLOOKUP(B1381,Vendedores!$A$2:$A$41,Vendedores!$C$2:$C$41,"No hay datos")</f>
        <v>No hay datos</v>
      </c>
      <c r="I1381" s="2" t="str">
        <f t="array" ref="I1381">_xlfn.XLOOKUP(B1381,Vendedores!$A$2:$A$41,Vendedores!$D$2:$D$41,"No hay datos")</f>
        <v>No hay datos</v>
      </c>
      <c r="J1381" s="2" t="str">
        <f t="array" ref="J1381">_xlfn.XLOOKUP(A1381,Productos!$A$2:$A$61,Productos!$B$2:$F$61)</f>
        <v>#N/A</v>
      </c>
    </row>
    <row r="1382">
      <c r="A1382" s="2" t="str">
        <f>IFERROR(__xludf.DUMMYFUNCTION("""COMPUTED_VALUE"""),"PR036")</f>
        <v>PR036</v>
      </c>
      <c r="B1382" s="2" t="str">
        <f>IFERROR(__xludf.DUMMYFUNCTION("""COMPUTED_VALUE"""),"VD046")</f>
        <v>VD046</v>
      </c>
      <c r="C1382" s="2">
        <f>IFERROR(__xludf.DUMMYFUNCTION("""COMPUTED_VALUE"""),5.0)</f>
        <v>5</v>
      </c>
      <c r="D1382" s="6">
        <f>IFERROR(__xludf.DUMMYFUNCTION("""COMPUTED_VALUE"""),514.25)</f>
        <v>514.25</v>
      </c>
      <c r="E1382" s="6">
        <f>IFERROR(__xludf.DUMMYFUNCTION("GOOGLEFINANCE(""Currency:BRLMXN"")*D1382"),1746.90725)</f>
        <v>1746.90725</v>
      </c>
      <c r="F1382" s="6">
        <f>IFERROR(__xludf.DUMMYFUNCTION("GOOGLEFINANCE(""Currency:BRLPEN"")*D1382"),337.1423)</f>
        <v>337.1423</v>
      </c>
      <c r="G1382" s="2" t="str">
        <f t="array" ref="G1382">_xlfn.XLOOKUP(B1382,Vendedores!$A$2:$A$41,Vendedores!$B$2:$B$41,"No hay datos")</f>
        <v>No hay datos</v>
      </c>
      <c r="H1382" s="2" t="str">
        <f t="array" ref="H1382">_xlfn.XLOOKUP(B1382,Vendedores!$A$2:$A$41,Vendedores!$C$2:$C$41,"No hay datos")</f>
        <v>No hay datos</v>
      </c>
      <c r="I1382" s="2" t="str">
        <f t="array" ref="I1382">_xlfn.XLOOKUP(B1382,Vendedores!$A$2:$A$41,Vendedores!$D$2:$D$41,"No hay datos")</f>
        <v>No hay datos</v>
      </c>
      <c r="J1382" s="2" t="str">
        <f t="array" ref="J1382">_xlfn.XLOOKUP(A1382,Productos!$A$2:$A$61,Productos!$B$2:$F$61)</f>
        <v>#N/A</v>
      </c>
    </row>
    <row r="1383">
      <c r="A1383" s="2" t="str">
        <f>IFERROR(__xludf.DUMMYFUNCTION("""COMPUTED_VALUE"""),"PR022")</f>
        <v>PR022</v>
      </c>
      <c r="B1383" s="2" t="str">
        <f>IFERROR(__xludf.DUMMYFUNCTION("""COMPUTED_VALUE"""),"VD011")</f>
        <v>VD011</v>
      </c>
      <c r="C1383" s="2">
        <f>IFERROR(__xludf.DUMMYFUNCTION("""COMPUTED_VALUE"""),9.0)</f>
        <v>9</v>
      </c>
      <c r="D1383" s="6">
        <f>IFERROR(__xludf.DUMMYFUNCTION("""COMPUTED_VALUE"""),2835.0)</f>
        <v>2835</v>
      </c>
      <c r="E1383" s="6">
        <f>IFERROR(__xludf.DUMMYFUNCTION("GOOGLEFINANCE(""Currency:BRLMXN"")*D1383"),9630.494999999999)</f>
        <v>9630.495</v>
      </c>
      <c r="F1383" s="6">
        <f>IFERROR(__xludf.DUMMYFUNCTION("GOOGLEFINANCE(""Currency:BRLPEN"")*D1383"),1858.626)</f>
        <v>1858.626</v>
      </c>
      <c r="G1383" s="2" t="str">
        <f t="array" ref="G1383">_xlfn.XLOOKUP(B1383,Vendedores!$A$2:$A$41,Vendedores!$B$2:$B$41,"No hay datos")</f>
        <v>No hay datos</v>
      </c>
      <c r="H1383" s="2" t="str">
        <f t="array" ref="H1383">_xlfn.XLOOKUP(B1383,Vendedores!$A$2:$A$41,Vendedores!$C$2:$C$41,"No hay datos")</f>
        <v>No hay datos</v>
      </c>
      <c r="I1383" s="2" t="str">
        <f t="array" ref="I1383">_xlfn.XLOOKUP(B1383,Vendedores!$A$2:$A$41,Vendedores!$D$2:$D$41,"No hay datos")</f>
        <v>No hay datos</v>
      </c>
      <c r="J1383" s="2" t="str">
        <f t="array" ref="J1383">_xlfn.XLOOKUP(A1383,Productos!$A$2:$A$61,Productos!$B$2:$F$61)</f>
        <v>#N/A</v>
      </c>
    </row>
    <row r="1384">
      <c r="A1384" s="2" t="str">
        <f>IFERROR(__xludf.DUMMYFUNCTION("""COMPUTED_VALUE"""),"PR030")</f>
        <v>PR030</v>
      </c>
      <c r="B1384" s="2" t="str">
        <f>IFERROR(__xludf.DUMMYFUNCTION("""COMPUTED_VALUE"""),"VD023")</f>
        <v>VD023</v>
      </c>
      <c r="C1384" s="2">
        <f>IFERROR(__xludf.DUMMYFUNCTION("""COMPUTED_VALUE"""),8.0)</f>
        <v>8</v>
      </c>
      <c r="D1384" s="6">
        <f>IFERROR(__xludf.DUMMYFUNCTION("""COMPUTED_VALUE"""),2245.54)</f>
        <v>2245.54</v>
      </c>
      <c r="E1384" s="6">
        <f>IFERROR(__xludf.DUMMYFUNCTION("GOOGLEFINANCE(""Currency:BRLMXN"")*D1384"),7628.09938)</f>
        <v>7628.09938</v>
      </c>
      <c r="F1384" s="6">
        <f>IFERROR(__xludf.DUMMYFUNCTION("GOOGLEFINANCE(""Currency:BRLPEN"")*D1384"),1472.1760239999999)</f>
        <v>1472.176024</v>
      </c>
      <c r="G1384" s="2" t="str">
        <f t="array" ref="G1384">_xlfn.XLOOKUP(B1384,Vendedores!$A$2:$A$41,Vendedores!$B$2:$B$41,"No hay datos")</f>
        <v>No hay datos</v>
      </c>
      <c r="H1384" s="2" t="str">
        <f t="array" ref="H1384">_xlfn.XLOOKUP(B1384,Vendedores!$A$2:$A$41,Vendedores!$C$2:$C$41,"No hay datos")</f>
        <v>No hay datos</v>
      </c>
      <c r="I1384" s="2" t="str">
        <f t="array" ref="I1384">_xlfn.XLOOKUP(B1384,Vendedores!$A$2:$A$41,Vendedores!$D$2:$D$41,"No hay datos")</f>
        <v>No hay datos</v>
      </c>
      <c r="J1384" s="2" t="str">
        <f t="array" ref="J1384">_xlfn.XLOOKUP(A1384,Productos!$A$2:$A$61,Productos!$B$2:$F$61)</f>
        <v>#N/A</v>
      </c>
    </row>
    <row r="1385">
      <c r="A1385" s="2" t="str">
        <f>IFERROR(__xludf.DUMMYFUNCTION("""COMPUTED_VALUE"""),"PR019")</f>
        <v>PR019</v>
      </c>
      <c r="B1385" s="2" t="str">
        <f>IFERROR(__xludf.DUMMYFUNCTION("""COMPUTED_VALUE"""),"VD039")</f>
        <v>VD039</v>
      </c>
      <c r="C1385" s="2">
        <f>IFERROR(__xludf.DUMMYFUNCTION("""COMPUTED_VALUE"""),16.0)</f>
        <v>16</v>
      </c>
      <c r="D1385" s="6">
        <f>IFERROR(__xludf.DUMMYFUNCTION("""COMPUTED_VALUE"""),822.35)</f>
        <v>822.35</v>
      </c>
      <c r="E1385" s="6">
        <f>IFERROR(__xludf.DUMMYFUNCTION("GOOGLEFINANCE(""Currency:BRLMXN"")*D1385"),2793.52295)</f>
        <v>2793.52295</v>
      </c>
      <c r="F1385" s="6">
        <f>IFERROR(__xludf.DUMMYFUNCTION("GOOGLEFINANCE(""Currency:BRLPEN"")*D1385"),539.13266)</f>
        <v>539.13266</v>
      </c>
      <c r="G1385" s="2" t="str">
        <f t="array" ref="G1385">_xlfn.XLOOKUP(B1385,Vendedores!$A$2:$A$41,Vendedores!$B$2:$B$41,"No hay datos")</f>
        <v>No hay datos</v>
      </c>
      <c r="H1385" s="2" t="str">
        <f t="array" ref="H1385">_xlfn.XLOOKUP(B1385,Vendedores!$A$2:$A$41,Vendedores!$C$2:$C$41,"No hay datos")</f>
        <v>No hay datos</v>
      </c>
      <c r="I1385" s="2" t="str">
        <f t="array" ref="I1385">_xlfn.XLOOKUP(B1385,Vendedores!$A$2:$A$41,Vendedores!$D$2:$D$41,"No hay datos")</f>
        <v>No hay datos</v>
      </c>
      <c r="J1385" s="2" t="str">
        <f t="array" ref="J1385">_xlfn.XLOOKUP(A1385,Productos!$A$2:$A$61,Productos!$B$2:$F$61)</f>
        <v>#N/A</v>
      </c>
    </row>
    <row r="1386">
      <c r="A1386" s="2" t="str">
        <f>IFERROR(__xludf.DUMMYFUNCTION("""COMPUTED_VALUE"""),"PR016")</f>
        <v>PR016</v>
      </c>
      <c r="B1386" s="2" t="str">
        <f>IFERROR(__xludf.DUMMYFUNCTION("""COMPUTED_VALUE"""),"VD018")</f>
        <v>VD018</v>
      </c>
      <c r="C1386" s="2">
        <f>IFERROR(__xludf.DUMMYFUNCTION("""COMPUTED_VALUE"""),9.0)</f>
        <v>9</v>
      </c>
      <c r="D1386" s="6">
        <f>IFERROR(__xludf.DUMMYFUNCTION("""COMPUTED_VALUE"""),244.76)</f>
        <v>244.76</v>
      </c>
      <c r="E1386" s="6">
        <f>IFERROR(__xludf.DUMMYFUNCTION("GOOGLEFINANCE(""Currency:BRLMXN"")*D1386"),831.44972)</f>
        <v>831.44972</v>
      </c>
      <c r="F1386" s="6">
        <f>IFERROR(__xludf.DUMMYFUNCTION("GOOGLEFINANCE(""Currency:BRLPEN"")*D1386"),160.464656)</f>
        <v>160.464656</v>
      </c>
      <c r="G1386" s="2" t="str">
        <f t="array" ref="G1386">_xlfn.XLOOKUP(B1386,Vendedores!$A$2:$A$41,Vendedores!$B$2:$B$41,"No hay datos")</f>
        <v>No hay datos</v>
      </c>
      <c r="H1386" s="2" t="str">
        <f t="array" ref="H1386">_xlfn.XLOOKUP(B1386,Vendedores!$A$2:$A$41,Vendedores!$C$2:$C$41,"No hay datos")</f>
        <v>No hay datos</v>
      </c>
      <c r="I1386" s="2" t="str">
        <f t="array" ref="I1386">_xlfn.XLOOKUP(B1386,Vendedores!$A$2:$A$41,Vendedores!$D$2:$D$41,"No hay datos")</f>
        <v>No hay datos</v>
      </c>
      <c r="J1386" s="2" t="str">
        <f t="array" ref="J1386">_xlfn.XLOOKUP(A1386,Productos!$A$2:$A$61,Productos!$B$2:$F$61)</f>
        <v>#N/A</v>
      </c>
    </row>
    <row r="1387">
      <c r="A1387" s="2" t="str">
        <f>IFERROR(__xludf.DUMMYFUNCTION("""COMPUTED_VALUE"""),"PR014")</f>
        <v>PR014</v>
      </c>
      <c r="B1387" s="2" t="str">
        <f>IFERROR(__xludf.DUMMYFUNCTION("""COMPUTED_VALUE"""),"VD027")</f>
        <v>VD027</v>
      </c>
      <c r="C1387" s="2">
        <f>IFERROR(__xludf.DUMMYFUNCTION("""COMPUTED_VALUE"""),10.0)</f>
        <v>10</v>
      </c>
      <c r="D1387" s="6">
        <f>IFERROR(__xludf.DUMMYFUNCTION("""COMPUTED_VALUE"""),410.97)</f>
        <v>410.97</v>
      </c>
      <c r="E1387" s="6">
        <f>IFERROR(__xludf.DUMMYFUNCTION("GOOGLEFINANCE(""Currency:BRLMXN"")*D1387"),1396.06509)</f>
        <v>1396.06509</v>
      </c>
      <c r="F1387" s="6">
        <f>IFERROR(__xludf.DUMMYFUNCTION("GOOGLEFINANCE(""Currency:BRLPEN"")*D1387"),269.431932)</f>
        <v>269.431932</v>
      </c>
      <c r="G1387" s="2" t="str">
        <f t="array" ref="G1387">_xlfn.XLOOKUP(B1387,Vendedores!$A$2:$A$41,Vendedores!$B$2:$B$41,"No hay datos")</f>
        <v>No hay datos</v>
      </c>
      <c r="H1387" s="2" t="str">
        <f t="array" ref="H1387">_xlfn.XLOOKUP(B1387,Vendedores!$A$2:$A$41,Vendedores!$C$2:$C$41,"No hay datos")</f>
        <v>No hay datos</v>
      </c>
      <c r="I1387" s="2" t="str">
        <f t="array" ref="I1387">_xlfn.XLOOKUP(B1387,Vendedores!$A$2:$A$41,Vendedores!$D$2:$D$41,"No hay datos")</f>
        <v>No hay datos</v>
      </c>
      <c r="J1387" s="2" t="str">
        <f t="array" ref="J1387">_xlfn.XLOOKUP(A1387,Productos!$A$2:$A$61,Productos!$B$2:$F$61)</f>
        <v>#N/A</v>
      </c>
    </row>
    <row r="1388">
      <c r="A1388" s="2" t="str">
        <f>IFERROR(__xludf.DUMMYFUNCTION("""COMPUTED_VALUE"""),"PR044")</f>
        <v>PR044</v>
      </c>
      <c r="B1388" s="2" t="str">
        <f>IFERROR(__xludf.DUMMYFUNCTION("""COMPUTED_VALUE"""),"VD025")</f>
        <v>VD025</v>
      </c>
      <c r="C1388" s="2">
        <f>IFERROR(__xludf.DUMMYFUNCTION("""COMPUTED_VALUE"""),14.0)</f>
        <v>14</v>
      </c>
      <c r="D1388" s="6">
        <f>IFERROR(__xludf.DUMMYFUNCTION("""COMPUTED_VALUE"""),1116.5)</f>
        <v>1116.5</v>
      </c>
      <c r="E1388" s="6">
        <f>IFERROR(__xludf.DUMMYFUNCTION("GOOGLEFINANCE(""Currency:BRLMXN"")*D1388"),3792.7504999999996)</f>
        <v>3792.7505</v>
      </c>
      <c r="F1388" s="6">
        <f>IFERROR(__xludf.DUMMYFUNCTION("GOOGLEFINANCE(""Currency:BRLPEN"")*D1388"),731.9774)</f>
        <v>731.9774</v>
      </c>
      <c r="G1388" s="2" t="str">
        <f t="array" ref="G1388">_xlfn.XLOOKUP(B1388,Vendedores!$A$2:$A$41,Vendedores!$B$2:$B$41,"No hay datos")</f>
        <v>No hay datos</v>
      </c>
      <c r="H1388" s="2" t="str">
        <f t="array" ref="H1388">_xlfn.XLOOKUP(B1388,Vendedores!$A$2:$A$41,Vendedores!$C$2:$C$41,"No hay datos")</f>
        <v>No hay datos</v>
      </c>
      <c r="I1388" s="2" t="str">
        <f t="array" ref="I1388">_xlfn.XLOOKUP(B1388,Vendedores!$A$2:$A$41,Vendedores!$D$2:$D$41,"No hay datos")</f>
        <v>No hay datos</v>
      </c>
      <c r="J1388" s="2" t="str">
        <f t="array" ref="J1388">_xlfn.XLOOKUP(A1388,Productos!$A$2:$A$61,Productos!$B$2:$F$61)</f>
        <v>#N/A</v>
      </c>
    </row>
    <row r="1389">
      <c r="A1389" s="2" t="str">
        <f>IFERROR(__xludf.DUMMYFUNCTION("""COMPUTED_VALUE"""),"PR014")</f>
        <v>PR014</v>
      </c>
      <c r="B1389" s="2" t="str">
        <f>IFERROR(__xludf.DUMMYFUNCTION("""COMPUTED_VALUE"""),"VD024")</f>
        <v>VD024</v>
      </c>
      <c r="C1389" s="2">
        <f>IFERROR(__xludf.DUMMYFUNCTION("""COMPUTED_VALUE"""),5.0)</f>
        <v>5</v>
      </c>
      <c r="D1389" s="6">
        <f>IFERROR(__xludf.DUMMYFUNCTION("""COMPUTED_VALUE"""),203.49)</f>
        <v>203.49</v>
      </c>
      <c r="E1389" s="6">
        <f>IFERROR(__xludf.DUMMYFUNCTION("GOOGLEFINANCE(""Currency:BRLMXN"")*D1389"),691.25553)</f>
        <v>691.25553</v>
      </c>
      <c r="F1389" s="6">
        <f>IFERROR(__xludf.DUMMYFUNCTION("GOOGLEFINANCE(""Currency:BRLPEN"")*D1389"),133.408044)</f>
        <v>133.408044</v>
      </c>
      <c r="G1389" s="2" t="str">
        <f t="array" ref="G1389">_xlfn.XLOOKUP(B1389,Vendedores!$A$2:$A$41,Vendedores!$B$2:$B$41,"No hay datos")</f>
        <v>No hay datos</v>
      </c>
      <c r="H1389" s="2" t="str">
        <f t="array" ref="H1389">_xlfn.XLOOKUP(B1389,Vendedores!$A$2:$A$41,Vendedores!$C$2:$C$41,"No hay datos")</f>
        <v>No hay datos</v>
      </c>
      <c r="I1389" s="2" t="str">
        <f t="array" ref="I1389">_xlfn.XLOOKUP(B1389,Vendedores!$A$2:$A$41,Vendedores!$D$2:$D$41,"No hay datos")</f>
        <v>No hay datos</v>
      </c>
      <c r="J1389" s="2" t="str">
        <f t="array" ref="J1389">_xlfn.XLOOKUP(A1389,Productos!$A$2:$A$61,Productos!$B$2:$F$61)</f>
        <v>#N/A</v>
      </c>
    </row>
    <row r="1390">
      <c r="A1390" s="2" t="str">
        <f>IFERROR(__xludf.DUMMYFUNCTION("""COMPUTED_VALUE"""),"PR019")</f>
        <v>PR019</v>
      </c>
      <c r="B1390" s="2" t="str">
        <f>IFERROR(__xludf.DUMMYFUNCTION("""COMPUTED_VALUE"""),"VD043")</f>
        <v>VD043</v>
      </c>
      <c r="C1390" s="2">
        <f>IFERROR(__xludf.DUMMYFUNCTION("""COMPUTED_VALUE"""),12.0)</f>
        <v>12</v>
      </c>
      <c r="D1390" s="6">
        <f>IFERROR(__xludf.DUMMYFUNCTION("""COMPUTED_VALUE"""),604.79)</f>
        <v>604.79</v>
      </c>
      <c r="E1390" s="6">
        <f>IFERROR(__xludf.DUMMYFUNCTION("GOOGLEFINANCE(""Currency:BRLMXN"")*D1390"),2054.4716299999995)</f>
        <v>2054.47163</v>
      </c>
      <c r="F1390" s="6">
        <f>IFERROR(__xludf.DUMMYFUNCTION("GOOGLEFINANCE(""Currency:BRLPEN"")*D1390"),396.500324)</f>
        <v>396.500324</v>
      </c>
      <c r="G1390" s="2" t="str">
        <f t="array" ref="G1390">_xlfn.XLOOKUP(B1390,Vendedores!$A$2:$A$41,Vendedores!$B$2:$B$41,"No hay datos")</f>
        <v>No hay datos</v>
      </c>
      <c r="H1390" s="2" t="str">
        <f t="array" ref="H1390">_xlfn.XLOOKUP(B1390,Vendedores!$A$2:$A$41,Vendedores!$C$2:$C$41,"No hay datos")</f>
        <v>No hay datos</v>
      </c>
      <c r="I1390" s="2" t="str">
        <f t="array" ref="I1390">_xlfn.XLOOKUP(B1390,Vendedores!$A$2:$A$41,Vendedores!$D$2:$D$41,"No hay datos")</f>
        <v>No hay datos</v>
      </c>
      <c r="J1390" s="2" t="str">
        <f t="array" ref="J1390">_xlfn.XLOOKUP(A1390,Productos!$A$2:$A$61,Productos!$B$2:$F$61)</f>
        <v>#N/A</v>
      </c>
    </row>
    <row r="1391">
      <c r="A1391" s="2" t="str">
        <f>IFERROR(__xludf.DUMMYFUNCTION("""COMPUTED_VALUE"""),"PR003")</f>
        <v>PR003</v>
      </c>
      <c r="B1391" s="2" t="str">
        <f>IFERROR(__xludf.DUMMYFUNCTION("""COMPUTED_VALUE"""),"VD039")</f>
        <v>VD039</v>
      </c>
      <c r="C1391" s="2">
        <f>IFERROR(__xludf.DUMMYFUNCTION("""COMPUTED_VALUE"""),5.0)</f>
        <v>5</v>
      </c>
      <c r="D1391" s="6">
        <f>IFERROR(__xludf.DUMMYFUNCTION("""COMPUTED_VALUE"""),354.5)</f>
        <v>354.5</v>
      </c>
      <c r="E1391" s="6">
        <f>IFERROR(__xludf.DUMMYFUNCTION("GOOGLEFINANCE(""Currency:BRLMXN"")*D1391"),1204.2365)</f>
        <v>1204.2365</v>
      </c>
      <c r="F1391" s="6">
        <f>IFERROR(__xludf.DUMMYFUNCTION("GOOGLEFINANCE(""Currency:BRLPEN"")*D1391"),232.41019999999997)</f>
        <v>232.4102</v>
      </c>
      <c r="G1391" s="2" t="str">
        <f t="array" ref="G1391">_xlfn.XLOOKUP(B1391,Vendedores!$A$2:$A$41,Vendedores!$B$2:$B$41,"No hay datos")</f>
        <v>No hay datos</v>
      </c>
      <c r="H1391" s="2" t="str">
        <f t="array" ref="H1391">_xlfn.XLOOKUP(B1391,Vendedores!$A$2:$A$41,Vendedores!$C$2:$C$41,"No hay datos")</f>
        <v>No hay datos</v>
      </c>
      <c r="I1391" s="2" t="str">
        <f t="array" ref="I1391">_xlfn.XLOOKUP(B1391,Vendedores!$A$2:$A$41,Vendedores!$D$2:$D$41,"No hay datos")</f>
        <v>No hay datos</v>
      </c>
      <c r="J1391" s="2" t="str">
        <f t="array" ref="J1391">_xlfn.XLOOKUP(A1391,Productos!$A$2:$A$61,Productos!$B$2:$F$61)</f>
        <v>#N/A</v>
      </c>
    </row>
    <row r="1392">
      <c r="A1392" s="2" t="str">
        <f>IFERROR(__xludf.DUMMYFUNCTION("""COMPUTED_VALUE"""),"PR054")</f>
        <v>PR054</v>
      </c>
      <c r="B1392" s="2" t="str">
        <f>IFERROR(__xludf.DUMMYFUNCTION("""COMPUTED_VALUE"""),"VD019")</f>
        <v>VD019</v>
      </c>
      <c r="C1392" s="2">
        <f>IFERROR(__xludf.DUMMYFUNCTION("""COMPUTED_VALUE"""),4.0)</f>
        <v>4</v>
      </c>
      <c r="D1392" s="6">
        <f>IFERROR(__xludf.DUMMYFUNCTION("""COMPUTED_VALUE"""),217.56)</f>
        <v>217.56</v>
      </c>
      <c r="E1392" s="6">
        <f>IFERROR(__xludf.DUMMYFUNCTION("GOOGLEFINANCE(""Currency:BRLMXN"")*D1392"),739.0513199999999)</f>
        <v>739.05132</v>
      </c>
      <c r="F1392" s="6">
        <f>IFERROR(__xludf.DUMMYFUNCTION("GOOGLEFINANCE(""Currency:BRLPEN"")*D1392"),142.63233599999998)</f>
        <v>142.632336</v>
      </c>
      <c r="G1392" s="2" t="str">
        <f t="array" ref="G1392">_xlfn.XLOOKUP(B1392,Vendedores!$A$2:$A$41,Vendedores!$B$2:$B$41,"No hay datos")</f>
        <v>No hay datos</v>
      </c>
      <c r="H1392" s="2" t="str">
        <f t="array" ref="H1392">_xlfn.XLOOKUP(B1392,Vendedores!$A$2:$A$41,Vendedores!$C$2:$C$41,"No hay datos")</f>
        <v>No hay datos</v>
      </c>
      <c r="I1392" s="2" t="str">
        <f t="array" ref="I1392">_xlfn.XLOOKUP(B1392,Vendedores!$A$2:$A$41,Vendedores!$D$2:$D$41,"No hay datos")</f>
        <v>No hay datos</v>
      </c>
      <c r="J1392" s="2" t="str">
        <f t="array" ref="J1392">_xlfn.XLOOKUP(A1392,Productos!$A$2:$A$61,Productos!$B$2:$F$61)</f>
        <v>#N/A</v>
      </c>
    </row>
    <row r="1393">
      <c r="A1393" s="2" t="str">
        <f>IFERROR(__xludf.DUMMYFUNCTION("""COMPUTED_VALUE"""),"PR003")</f>
        <v>PR003</v>
      </c>
      <c r="B1393" s="2" t="str">
        <f>IFERROR(__xludf.DUMMYFUNCTION("""COMPUTED_VALUE"""),"VD030")</f>
        <v>VD030</v>
      </c>
      <c r="C1393" s="2">
        <f>IFERROR(__xludf.DUMMYFUNCTION("""COMPUTED_VALUE"""),5.0)</f>
        <v>5</v>
      </c>
      <c r="D1393" s="6">
        <f>IFERROR(__xludf.DUMMYFUNCTION("""COMPUTED_VALUE"""),386.41)</f>
        <v>386.41</v>
      </c>
      <c r="E1393" s="6">
        <f>IFERROR(__xludf.DUMMYFUNCTION("GOOGLEFINANCE(""Currency:BRLMXN"")*D1393"),1312.6347700000001)</f>
        <v>1312.63477</v>
      </c>
      <c r="F1393" s="6">
        <f>IFERROR(__xludf.DUMMYFUNCTION("GOOGLEFINANCE(""Currency:BRLPEN"")*D1393"),253.330396)</f>
        <v>253.330396</v>
      </c>
      <c r="G1393" s="2" t="str">
        <f t="array" ref="G1393">_xlfn.XLOOKUP(B1393,Vendedores!$A$2:$A$41,Vendedores!$B$2:$B$41,"No hay datos")</f>
        <v>No hay datos</v>
      </c>
      <c r="H1393" s="2" t="str">
        <f t="array" ref="H1393">_xlfn.XLOOKUP(B1393,Vendedores!$A$2:$A$41,Vendedores!$C$2:$C$41,"No hay datos")</f>
        <v>No hay datos</v>
      </c>
      <c r="I1393" s="2" t="str">
        <f t="array" ref="I1393">_xlfn.XLOOKUP(B1393,Vendedores!$A$2:$A$41,Vendedores!$D$2:$D$41,"No hay datos")</f>
        <v>No hay datos</v>
      </c>
      <c r="J1393" s="2" t="str">
        <f t="array" ref="J1393">_xlfn.XLOOKUP(A1393,Productos!$A$2:$A$61,Productos!$B$2:$F$61)</f>
        <v>#N/A</v>
      </c>
    </row>
    <row r="1394">
      <c r="A1394" s="2" t="str">
        <f>IFERROR(__xludf.DUMMYFUNCTION("""COMPUTED_VALUE"""),"PR033")</f>
        <v>PR033</v>
      </c>
      <c r="B1394" s="2" t="str">
        <f>IFERROR(__xludf.DUMMYFUNCTION("""COMPUTED_VALUE"""),"VD025")</f>
        <v>VD025</v>
      </c>
      <c r="C1394" s="2">
        <f>IFERROR(__xludf.DUMMYFUNCTION("""COMPUTED_VALUE"""),2.0)</f>
        <v>2</v>
      </c>
      <c r="D1394" s="6">
        <f>IFERROR(__xludf.DUMMYFUNCTION("""COMPUTED_VALUE"""),550.99)</f>
        <v>550.99</v>
      </c>
      <c r="E1394" s="6">
        <f>IFERROR(__xludf.DUMMYFUNCTION("GOOGLEFINANCE(""Currency:BRLMXN"")*D1394"),1871.71303)</f>
        <v>1871.71303</v>
      </c>
      <c r="F1394" s="6">
        <f>IFERROR(__xludf.DUMMYFUNCTION("GOOGLEFINANCE(""Currency:BRLPEN"")*D1394"),361.229044)</f>
        <v>361.229044</v>
      </c>
      <c r="G1394" s="2" t="str">
        <f t="array" ref="G1394">_xlfn.XLOOKUP(B1394,Vendedores!$A$2:$A$41,Vendedores!$B$2:$B$41,"No hay datos")</f>
        <v>No hay datos</v>
      </c>
      <c r="H1394" s="2" t="str">
        <f t="array" ref="H1394">_xlfn.XLOOKUP(B1394,Vendedores!$A$2:$A$41,Vendedores!$C$2:$C$41,"No hay datos")</f>
        <v>No hay datos</v>
      </c>
      <c r="I1394" s="2" t="str">
        <f t="array" ref="I1394">_xlfn.XLOOKUP(B1394,Vendedores!$A$2:$A$41,Vendedores!$D$2:$D$41,"No hay datos")</f>
        <v>No hay datos</v>
      </c>
      <c r="J1394" s="2" t="str">
        <f t="array" ref="J1394">_xlfn.XLOOKUP(A1394,Productos!$A$2:$A$61,Productos!$B$2:$F$61)</f>
        <v>#N/A</v>
      </c>
    </row>
    <row r="1395">
      <c r="A1395" s="2" t="str">
        <f>IFERROR(__xludf.DUMMYFUNCTION("""COMPUTED_VALUE"""),"PR054")</f>
        <v>PR054</v>
      </c>
      <c r="B1395" s="2" t="str">
        <f>IFERROR(__xludf.DUMMYFUNCTION("""COMPUTED_VALUE"""),"VD028")</f>
        <v>VD028</v>
      </c>
      <c r="C1395" s="2">
        <f>IFERROR(__xludf.DUMMYFUNCTION("""COMPUTED_VALUE"""),5.0)</f>
        <v>5</v>
      </c>
      <c r="D1395" s="6">
        <f>IFERROR(__xludf.DUMMYFUNCTION("""COMPUTED_VALUE"""),274.45)</f>
        <v>274.45</v>
      </c>
      <c r="E1395" s="6">
        <f>IFERROR(__xludf.DUMMYFUNCTION("GOOGLEFINANCE(""Currency:BRLMXN"")*D1395"),932.3066499999999)</f>
        <v>932.30665</v>
      </c>
      <c r="F1395" s="6">
        <f>IFERROR(__xludf.DUMMYFUNCTION("GOOGLEFINANCE(""Currency:BRLPEN"")*D1395"),179.92942)</f>
        <v>179.92942</v>
      </c>
      <c r="G1395" s="2" t="str">
        <f t="array" ref="G1395">_xlfn.XLOOKUP(B1395,Vendedores!$A$2:$A$41,Vendedores!$B$2:$B$41,"No hay datos")</f>
        <v>No hay datos</v>
      </c>
      <c r="H1395" s="2" t="str">
        <f t="array" ref="H1395">_xlfn.XLOOKUP(B1395,Vendedores!$A$2:$A$41,Vendedores!$C$2:$C$41,"No hay datos")</f>
        <v>No hay datos</v>
      </c>
      <c r="I1395" s="2" t="str">
        <f t="array" ref="I1395">_xlfn.XLOOKUP(B1395,Vendedores!$A$2:$A$41,Vendedores!$D$2:$D$41,"No hay datos")</f>
        <v>No hay datos</v>
      </c>
      <c r="J1395" s="2" t="str">
        <f t="array" ref="J1395">_xlfn.XLOOKUP(A1395,Productos!$A$2:$A$61,Productos!$B$2:$F$61)</f>
        <v>#N/A</v>
      </c>
    </row>
    <row r="1396">
      <c r="A1396" s="2" t="str">
        <f>IFERROR(__xludf.DUMMYFUNCTION("""COMPUTED_VALUE"""),"PR050")</f>
        <v>PR050</v>
      </c>
      <c r="B1396" s="2" t="str">
        <f>IFERROR(__xludf.DUMMYFUNCTION("""COMPUTED_VALUE"""),"VD043")</f>
        <v>VD043</v>
      </c>
      <c r="C1396" s="2">
        <f>IFERROR(__xludf.DUMMYFUNCTION("""COMPUTED_VALUE"""),4.0)</f>
        <v>4</v>
      </c>
      <c r="D1396" s="6">
        <f>IFERROR(__xludf.DUMMYFUNCTION("""COMPUTED_VALUE"""),132.92)</f>
        <v>132.92</v>
      </c>
      <c r="E1396" s="6">
        <f>IFERROR(__xludf.DUMMYFUNCTION("GOOGLEFINANCE(""Currency:BRLMXN"")*D1396"),451.52923999999996)</f>
        <v>451.52924</v>
      </c>
      <c r="F1396" s="6">
        <f>IFERROR(__xludf.DUMMYFUNCTION("GOOGLEFINANCE(""Currency:BRLPEN"")*D1396"),87.14235199999999)</f>
        <v>87.142352</v>
      </c>
      <c r="G1396" s="2" t="str">
        <f t="array" ref="G1396">_xlfn.XLOOKUP(B1396,Vendedores!$A$2:$A$41,Vendedores!$B$2:$B$41,"No hay datos")</f>
        <v>No hay datos</v>
      </c>
      <c r="H1396" s="2" t="str">
        <f t="array" ref="H1396">_xlfn.XLOOKUP(B1396,Vendedores!$A$2:$A$41,Vendedores!$C$2:$C$41,"No hay datos")</f>
        <v>No hay datos</v>
      </c>
      <c r="I1396" s="2" t="str">
        <f t="array" ref="I1396">_xlfn.XLOOKUP(B1396,Vendedores!$A$2:$A$41,Vendedores!$D$2:$D$41,"No hay datos")</f>
        <v>No hay datos</v>
      </c>
      <c r="J1396" s="2" t="str">
        <f t="array" ref="J1396">_xlfn.XLOOKUP(A1396,Productos!$A$2:$A$61,Productos!$B$2:$F$61)</f>
        <v>#N/A</v>
      </c>
    </row>
    <row r="1397">
      <c r="A1397" s="2" t="str">
        <f>IFERROR(__xludf.DUMMYFUNCTION("""COMPUTED_VALUE"""),"PR029")</f>
        <v>PR029</v>
      </c>
      <c r="B1397" s="2" t="str">
        <f>IFERROR(__xludf.DUMMYFUNCTION("""COMPUTED_VALUE"""),"VD021")</f>
        <v>VD021</v>
      </c>
      <c r="C1397" s="2">
        <f>IFERROR(__xludf.DUMMYFUNCTION("""COMPUTED_VALUE"""),6.0)</f>
        <v>6</v>
      </c>
      <c r="D1397" s="6">
        <f>IFERROR(__xludf.DUMMYFUNCTION("""COMPUTED_VALUE"""),1683.0)</f>
        <v>1683</v>
      </c>
      <c r="E1397" s="6">
        <f>IFERROR(__xludf.DUMMYFUNCTION("GOOGLEFINANCE(""Currency:BRLMXN"")*D1397"),5717.151)</f>
        <v>5717.151</v>
      </c>
      <c r="F1397" s="6">
        <f>IFERROR(__xludf.DUMMYFUNCTION("GOOGLEFINANCE(""Currency:BRLPEN"")*D1397"),1103.3747999999998)</f>
        <v>1103.3748</v>
      </c>
      <c r="G1397" s="2" t="str">
        <f t="array" ref="G1397">_xlfn.XLOOKUP(B1397,Vendedores!$A$2:$A$41,Vendedores!$B$2:$B$41,"No hay datos")</f>
        <v>No hay datos</v>
      </c>
      <c r="H1397" s="2" t="str">
        <f t="array" ref="H1397">_xlfn.XLOOKUP(B1397,Vendedores!$A$2:$A$41,Vendedores!$C$2:$C$41,"No hay datos")</f>
        <v>No hay datos</v>
      </c>
      <c r="I1397" s="2" t="str">
        <f t="array" ref="I1397">_xlfn.XLOOKUP(B1397,Vendedores!$A$2:$A$41,Vendedores!$D$2:$D$41,"No hay datos")</f>
        <v>No hay datos</v>
      </c>
      <c r="J1397" s="2" t="str">
        <f t="array" ref="J1397">_xlfn.XLOOKUP(A1397,Productos!$A$2:$A$61,Productos!$B$2:$F$61)</f>
        <v>#N/A</v>
      </c>
    </row>
    <row r="1398">
      <c r="A1398" s="2" t="str">
        <f>IFERROR(__xludf.DUMMYFUNCTION("""COMPUTED_VALUE"""),"PR057")</f>
        <v>PR057</v>
      </c>
      <c r="B1398" s="2" t="str">
        <f>IFERROR(__xludf.DUMMYFUNCTION("""COMPUTED_VALUE"""),"VD033")</f>
        <v>VD033</v>
      </c>
      <c r="C1398" s="2">
        <f>IFERROR(__xludf.DUMMYFUNCTION("""COMPUTED_VALUE"""),6.0)</f>
        <v>6</v>
      </c>
      <c r="D1398" s="6">
        <f>IFERROR(__xludf.DUMMYFUNCTION("""COMPUTED_VALUE"""),566.37)</f>
        <v>566.37</v>
      </c>
      <c r="E1398" s="6">
        <f>IFERROR(__xludf.DUMMYFUNCTION("GOOGLEFINANCE(""Currency:BRLMXN"")*D1398"),1923.9588899999999)</f>
        <v>1923.95889</v>
      </c>
      <c r="F1398" s="6">
        <f>IFERROR(__xludf.DUMMYFUNCTION("GOOGLEFINANCE(""Currency:BRLPEN"")*D1398"),371.312172)</f>
        <v>371.312172</v>
      </c>
      <c r="G1398" s="2" t="str">
        <f t="array" ref="G1398">_xlfn.XLOOKUP(B1398,Vendedores!$A$2:$A$41,Vendedores!$B$2:$B$41,"No hay datos")</f>
        <v>No hay datos</v>
      </c>
      <c r="H1398" s="2" t="str">
        <f t="array" ref="H1398">_xlfn.XLOOKUP(B1398,Vendedores!$A$2:$A$41,Vendedores!$C$2:$C$41,"No hay datos")</f>
        <v>No hay datos</v>
      </c>
      <c r="I1398" s="2" t="str">
        <f t="array" ref="I1398">_xlfn.XLOOKUP(B1398,Vendedores!$A$2:$A$41,Vendedores!$D$2:$D$41,"No hay datos")</f>
        <v>No hay datos</v>
      </c>
      <c r="J1398" s="2" t="str">
        <f t="array" ref="J1398">_xlfn.XLOOKUP(A1398,Productos!$A$2:$A$61,Productos!$B$2:$F$61)</f>
        <v>#N/A</v>
      </c>
    </row>
    <row r="1399">
      <c r="A1399" s="2" t="str">
        <f>IFERROR(__xludf.DUMMYFUNCTION("""COMPUTED_VALUE"""),"PR006")</f>
        <v>PR006</v>
      </c>
      <c r="B1399" s="2" t="str">
        <f>IFERROR(__xludf.DUMMYFUNCTION("""COMPUTED_VALUE"""),"VD028")</f>
        <v>VD028</v>
      </c>
      <c r="C1399" s="2">
        <f>IFERROR(__xludf.DUMMYFUNCTION("""COMPUTED_VALUE"""),16.0)</f>
        <v>16</v>
      </c>
      <c r="D1399" s="6">
        <f>IFERROR(__xludf.DUMMYFUNCTION("""COMPUTED_VALUE"""),689.47)</f>
        <v>689.47</v>
      </c>
      <c r="E1399" s="6">
        <f>IFERROR(__xludf.DUMMYFUNCTION("GOOGLEFINANCE(""Currency:BRLMXN"")*D1399"),2342.12959)</f>
        <v>2342.12959</v>
      </c>
      <c r="F1399" s="6">
        <f>IFERROR(__xludf.DUMMYFUNCTION("GOOGLEFINANCE(""Currency:BRLPEN"")*D1399"),452.016532)</f>
        <v>452.016532</v>
      </c>
      <c r="G1399" s="2" t="str">
        <f t="array" ref="G1399">_xlfn.XLOOKUP(B1399,Vendedores!$A$2:$A$41,Vendedores!$B$2:$B$41,"No hay datos")</f>
        <v>No hay datos</v>
      </c>
      <c r="H1399" s="2" t="str">
        <f t="array" ref="H1399">_xlfn.XLOOKUP(B1399,Vendedores!$A$2:$A$41,Vendedores!$C$2:$C$41,"No hay datos")</f>
        <v>No hay datos</v>
      </c>
      <c r="I1399" s="2" t="str">
        <f t="array" ref="I1399">_xlfn.XLOOKUP(B1399,Vendedores!$A$2:$A$41,Vendedores!$D$2:$D$41,"No hay datos")</f>
        <v>No hay datos</v>
      </c>
      <c r="J1399" s="2" t="str">
        <f t="array" ref="J1399">_xlfn.XLOOKUP(A1399,Productos!$A$2:$A$61,Productos!$B$2:$F$61)</f>
        <v>#N/A</v>
      </c>
    </row>
    <row r="1400">
      <c r="A1400" s="2" t="str">
        <f>IFERROR(__xludf.DUMMYFUNCTION("""COMPUTED_VALUE"""),"PR006")</f>
        <v>PR006</v>
      </c>
      <c r="B1400" s="2" t="str">
        <f>IFERROR(__xludf.DUMMYFUNCTION("""COMPUTED_VALUE"""),"VD032")</f>
        <v>VD032</v>
      </c>
      <c r="C1400" s="2">
        <f>IFERROR(__xludf.DUMMYFUNCTION("""COMPUTED_VALUE"""),8.0)</f>
        <v>8</v>
      </c>
      <c r="D1400" s="6">
        <f>IFERROR(__xludf.DUMMYFUNCTION("""COMPUTED_VALUE"""),347.93)</f>
        <v>347.93</v>
      </c>
      <c r="E1400" s="6">
        <f>IFERROR(__xludf.DUMMYFUNCTION("GOOGLEFINANCE(""Currency:BRLMXN"")*D1400"),1181.91821)</f>
        <v>1181.91821</v>
      </c>
      <c r="F1400" s="6">
        <f>IFERROR(__xludf.DUMMYFUNCTION("GOOGLEFINANCE(""Currency:BRLPEN"")*D1400"),228.10290799999999)</f>
        <v>228.102908</v>
      </c>
      <c r="G1400" s="2" t="str">
        <f t="array" ref="G1400">_xlfn.XLOOKUP(B1400,Vendedores!$A$2:$A$41,Vendedores!$B$2:$B$41,"No hay datos")</f>
        <v>No hay datos</v>
      </c>
      <c r="H1400" s="2" t="str">
        <f t="array" ref="H1400">_xlfn.XLOOKUP(B1400,Vendedores!$A$2:$A$41,Vendedores!$C$2:$C$41,"No hay datos")</f>
        <v>No hay datos</v>
      </c>
      <c r="I1400" s="2" t="str">
        <f t="array" ref="I1400">_xlfn.XLOOKUP(B1400,Vendedores!$A$2:$A$41,Vendedores!$D$2:$D$41,"No hay datos")</f>
        <v>No hay datos</v>
      </c>
      <c r="J1400" s="2" t="str">
        <f t="array" ref="J1400">_xlfn.XLOOKUP(A1400,Productos!$A$2:$A$61,Productos!$B$2:$F$61)</f>
        <v>#N/A</v>
      </c>
    </row>
    <row r="1401">
      <c r="A1401" s="2" t="str">
        <f>IFERROR(__xludf.DUMMYFUNCTION("""COMPUTED_VALUE"""),"PR014")</f>
        <v>PR014</v>
      </c>
      <c r="B1401" s="2" t="str">
        <f>IFERROR(__xludf.DUMMYFUNCTION("""COMPUTED_VALUE"""),"VD028")</f>
        <v>VD028</v>
      </c>
      <c r="C1401" s="2">
        <f>IFERROR(__xludf.DUMMYFUNCTION("""COMPUTED_VALUE"""),7.0)</f>
        <v>7</v>
      </c>
      <c r="D1401" s="6">
        <f>IFERROR(__xludf.DUMMYFUNCTION("""COMPUTED_VALUE"""),290.47)</f>
        <v>290.47</v>
      </c>
      <c r="E1401" s="6">
        <f>IFERROR(__xludf.DUMMYFUNCTION("GOOGLEFINANCE(""Currency:BRLMXN"")*D1401"),986.72659)</f>
        <v>986.72659</v>
      </c>
      <c r="F1401" s="6">
        <f>IFERROR(__xludf.DUMMYFUNCTION("GOOGLEFINANCE(""Currency:BRLPEN"")*D1401"),190.432132)</f>
        <v>190.432132</v>
      </c>
      <c r="G1401" s="2" t="str">
        <f t="array" ref="G1401">_xlfn.XLOOKUP(B1401,Vendedores!$A$2:$A$41,Vendedores!$B$2:$B$41,"No hay datos")</f>
        <v>No hay datos</v>
      </c>
      <c r="H1401" s="2" t="str">
        <f t="array" ref="H1401">_xlfn.XLOOKUP(B1401,Vendedores!$A$2:$A$41,Vendedores!$C$2:$C$41,"No hay datos")</f>
        <v>No hay datos</v>
      </c>
      <c r="I1401" s="2" t="str">
        <f t="array" ref="I1401">_xlfn.XLOOKUP(B1401,Vendedores!$A$2:$A$41,Vendedores!$D$2:$D$41,"No hay datos")</f>
        <v>No hay datos</v>
      </c>
      <c r="J1401" s="2" t="str">
        <f t="array" ref="J1401">_xlfn.XLOOKUP(A1401,Productos!$A$2:$A$61,Productos!$B$2:$F$61)</f>
        <v>#N/A</v>
      </c>
    </row>
    <row r="1402">
      <c r="A1402" s="2" t="str">
        <f>IFERROR(__xludf.DUMMYFUNCTION("""COMPUTED_VALUE"""),"PR027")</f>
        <v>PR027</v>
      </c>
      <c r="B1402" s="2" t="str">
        <f>IFERROR(__xludf.DUMMYFUNCTION("""COMPUTED_VALUE"""),"VD042")</f>
        <v>VD042</v>
      </c>
      <c r="C1402" s="2">
        <f>IFERROR(__xludf.DUMMYFUNCTION("""COMPUTED_VALUE"""),8.0)</f>
        <v>8</v>
      </c>
      <c r="D1402" s="6">
        <f>IFERROR(__xludf.DUMMYFUNCTION("""COMPUTED_VALUE"""),960.0)</f>
        <v>960</v>
      </c>
      <c r="E1402" s="6">
        <f>IFERROR(__xludf.DUMMYFUNCTION("GOOGLEFINANCE(""Currency:BRLMXN"")*D1402"),3261.12)</f>
        <v>3261.12</v>
      </c>
      <c r="F1402" s="6">
        <f>IFERROR(__xludf.DUMMYFUNCTION("GOOGLEFINANCE(""Currency:BRLPEN"")*D1402"),629.376)</f>
        <v>629.376</v>
      </c>
      <c r="G1402" s="2" t="str">
        <f t="array" ref="G1402">_xlfn.XLOOKUP(B1402,Vendedores!$A$2:$A$41,Vendedores!$B$2:$B$41,"No hay datos")</f>
        <v>No hay datos</v>
      </c>
      <c r="H1402" s="2" t="str">
        <f t="array" ref="H1402">_xlfn.XLOOKUP(B1402,Vendedores!$A$2:$A$41,Vendedores!$C$2:$C$41,"No hay datos")</f>
        <v>No hay datos</v>
      </c>
      <c r="I1402" s="2" t="str">
        <f t="array" ref="I1402">_xlfn.XLOOKUP(B1402,Vendedores!$A$2:$A$41,Vendedores!$D$2:$D$41,"No hay datos")</f>
        <v>No hay datos</v>
      </c>
      <c r="J1402" s="2" t="str">
        <f t="array" ref="J1402">_xlfn.XLOOKUP(A1402,Productos!$A$2:$A$61,Productos!$B$2:$F$61)</f>
        <v>#N/A</v>
      </c>
    </row>
    <row r="1403">
      <c r="A1403" s="2" t="str">
        <f>IFERROR(__xludf.DUMMYFUNCTION("""COMPUTED_VALUE"""),"PR004")</f>
        <v>PR004</v>
      </c>
      <c r="B1403" s="2" t="str">
        <f>IFERROR(__xludf.DUMMYFUNCTION("""COMPUTED_VALUE"""),"VD012")</f>
        <v>VD012</v>
      </c>
      <c r="C1403" s="2">
        <f>IFERROR(__xludf.DUMMYFUNCTION("""COMPUTED_VALUE"""),4.0)</f>
        <v>4</v>
      </c>
      <c r="D1403" s="6">
        <f>IFERROR(__xludf.DUMMYFUNCTION("""COMPUTED_VALUE"""),620.6)</f>
        <v>620.6</v>
      </c>
      <c r="E1403" s="6">
        <f>IFERROR(__xludf.DUMMYFUNCTION("GOOGLEFINANCE(""Currency:BRLMXN"")*D1403"),2108.1782)</f>
        <v>2108.1782</v>
      </c>
      <c r="F1403" s="6">
        <f>IFERROR(__xludf.DUMMYFUNCTION("GOOGLEFINANCE(""Currency:BRLPEN"")*D1403"),406.86536)</f>
        <v>406.86536</v>
      </c>
      <c r="G1403" s="2" t="str">
        <f t="array" ref="G1403">_xlfn.XLOOKUP(B1403,Vendedores!$A$2:$A$41,Vendedores!$B$2:$B$41,"No hay datos")</f>
        <v>No hay datos</v>
      </c>
      <c r="H1403" s="2" t="str">
        <f t="array" ref="H1403">_xlfn.XLOOKUP(B1403,Vendedores!$A$2:$A$41,Vendedores!$C$2:$C$41,"No hay datos")</f>
        <v>No hay datos</v>
      </c>
      <c r="I1403" s="2" t="str">
        <f t="array" ref="I1403">_xlfn.XLOOKUP(B1403,Vendedores!$A$2:$A$41,Vendedores!$D$2:$D$41,"No hay datos")</f>
        <v>No hay datos</v>
      </c>
      <c r="J1403" s="2" t="str">
        <f t="array" ref="J1403">_xlfn.XLOOKUP(A1403,Productos!$A$2:$A$61,Productos!$B$2:$F$61)</f>
        <v>#N/A</v>
      </c>
    </row>
    <row r="1404">
      <c r="A1404" s="2" t="str">
        <f>IFERROR(__xludf.DUMMYFUNCTION("""COMPUTED_VALUE"""),"PR020")</f>
        <v>PR020</v>
      </c>
      <c r="B1404" s="2" t="str">
        <f>IFERROR(__xludf.DUMMYFUNCTION("""COMPUTED_VALUE"""),"VD018")</f>
        <v>VD018</v>
      </c>
      <c r="C1404" s="2">
        <f>IFERROR(__xludf.DUMMYFUNCTION("""COMPUTED_VALUE"""),10.0)</f>
        <v>10</v>
      </c>
      <c r="D1404" s="6">
        <f>IFERROR(__xludf.DUMMYFUNCTION("""COMPUTED_VALUE"""),3118.96)</f>
        <v>3118.96</v>
      </c>
      <c r="E1404" s="6">
        <f>IFERROR(__xludf.DUMMYFUNCTION("GOOGLEFINANCE(""Currency:BRLMXN"")*D1404"),10595.107119999999)</f>
        <v>10595.10712</v>
      </c>
      <c r="F1404" s="6">
        <f>IFERROR(__xludf.DUMMYFUNCTION("GOOGLEFINANCE(""Currency:BRLPEN"")*D1404"),2044.790176)</f>
        <v>2044.790176</v>
      </c>
      <c r="G1404" s="2" t="str">
        <f t="array" ref="G1404">_xlfn.XLOOKUP(B1404,Vendedores!$A$2:$A$41,Vendedores!$B$2:$B$41,"No hay datos")</f>
        <v>No hay datos</v>
      </c>
      <c r="H1404" s="2" t="str">
        <f t="array" ref="H1404">_xlfn.XLOOKUP(B1404,Vendedores!$A$2:$A$41,Vendedores!$C$2:$C$41,"No hay datos")</f>
        <v>No hay datos</v>
      </c>
      <c r="I1404" s="2" t="str">
        <f t="array" ref="I1404">_xlfn.XLOOKUP(B1404,Vendedores!$A$2:$A$41,Vendedores!$D$2:$D$41,"No hay datos")</f>
        <v>No hay datos</v>
      </c>
      <c r="J1404" s="2" t="str">
        <f t="array" ref="J1404">_xlfn.XLOOKUP(A1404,Productos!$A$2:$A$61,Productos!$B$2:$F$61)</f>
        <v>#N/A</v>
      </c>
    </row>
    <row r="1405">
      <c r="A1405" s="2" t="str">
        <f>IFERROR(__xludf.DUMMYFUNCTION("""COMPUTED_VALUE"""),"PR004")</f>
        <v>PR004</v>
      </c>
      <c r="B1405" s="2" t="str">
        <f>IFERROR(__xludf.DUMMYFUNCTION("""COMPUTED_VALUE"""),"VD032")</f>
        <v>VD032</v>
      </c>
      <c r="C1405" s="2">
        <f>IFERROR(__xludf.DUMMYFUNCTION("""COMPUTED_VALUE"""),14.0)</f>
        <v>14</v>
      </c>
      <c r="D1405" s="6">
        <f>IFERROR(__xludf.DUMMYFUNCTION("""COMPUTED_VALUE"""),2172.1)</f>
        <v>2172.1</v>
      </c>
      <c r="E1405" s="6">
        <f>IFERROR(__xludf.DUMMYFUNCTION("GOOGLEFINANCE(""Currency:BRLMXN"")*D1405"),7378.623699999999)</f>
        <v>7378.6237</v>
      </c>
      <c r="F1405" s="6">
        <f>IFERROR(__xludf.DUMMYFUNCTION("GOOGLEFINANCE(""Currency:BRLPEN"")*D1405"),1424.02876)</f>
        <v>1424.02876</v>
      </c>
      <c r="G1405" s="2" t="str">
        <f t="array" ref="G1405">_xlfn.XLOOKUP(B1405,Vendedores!$A$2:$A$41,Vendedores!$B$2:$B$41,"No hay datos")</f>
        <v>No hay datos</v>
      </c>
      <c r="H1405" s="2" t="str">
        <f t="array" ref="H1405">_xlfn.XLOOKUP(B1405,Vendedores!$A$2:$A$41,Vendedores!$C$2:$C$41,"No hay datos")</f>
        <v>No hay datos</v>
      </c>
      <c r="I1405" s="2" t="str">
        <f t="array" ref="I1405">_xlfn.XLOOKUP(B1405,Vendedores!$A$2:$A$41,Vendedores!$D$2:$D$41,"No hay datos")</f>
        <v>No hay datos</v>
      </c>
      <c r="J1405" s="2" t="str">
        <f t="array" ref="J1405">_xlfn.XLOOKUP(A1405,Productos!$A$2:$A$61,Productos!$B$2:$F$61)</f>
        <v>#N/A</v>
      </c>
    </row>
    <row r="1406">
      <c r="A1406" s="2" t="str">
        <f>IFERROR(__xludf.DUMMYFUNCTION("""COMPUTED_VALUE"""),"PR014")</f>
        <v>PR014</v>
      </c>
      <c r="B1406" s="2" t="str">
        <f>IFERROR(__xludf.DUMMYFUNCTION("""COMPUTED_VALUE"""),"VD036")</f>
        <v>VD036</v>
      </c>
      <c r="C1406" s="2">
        <f>IFERROR(__xludf.DUMMYFUNCTION("""COMPUTED_VALUE"""),3.0)</f>
        <v>3</v>
      </c>
      <c r="D1406" s="6">
        <f>IFERROR(__xludf.DUMMYFUNCTION("""COMPUTED_VALUE"""),124.49)</f>
        <v>124.49</v>
      </c>
      <c r="E1406" s="6">
        <f>IFERROR(__xludf.DUMMYFUNCTION("GOOGLEFINANCE(""Currency:BRLMXN"")*D1406"),422.89252999999997)</f>
        <v>422.89253</v>
      </c>
      <c r="F1406" s="6">
        <f>IFERROR(__xludf.DUMMYFUNCTION("GOOGLEFINANCE(""Currency:BRLPEN"")*D1406"),81.61564399999999)</f>
        <v>81.615644</v>
      </c>
      <c r="G1406" s="2" t="str">
        <f t="array" ref="G1406">_xlfn.XLOOKUP(B1406,Vendedores!$A$2:$A$41,Vendedores!$B$2:$B$41,"No hay datos")</f>
        <v>No hay datos</v>
      </c>
      <c r="H1406" s="2" t="str">
        <f t="array" ref="H1406">_xlfn.XLOOKUP(B1406,Vendedores!$A$2:$A$41,Vendedores!$C$2:$C$41,"No hay datos")</f>
        <v>No hay datos</v>
      </c>
      <c r="I1406" s="2" t="str">
        <f t="array" ref="I1406">_xlfn.XLOOKUP(B1406,Vendedores!$A$2:$A$41,Vendedores!$D$2:$D$41,"No hay datos")</f>
        <v>No hay datos</v>
      </c>
      <c r="J1406" s="2" t="str">
        <f t="array" ref="J1406">_xlfn.XLOOKUP(A1406,Productos!$A$2:$A$61,Productos!$B$2:$F$61)</f>
        <v>#N/A</v>
      </c>
    </row>
    <row r="1407">
      <c r="A1407" s="2" t="str">
        <f>IFERROR(__xludf.DUMMYFUNCTION("""COMPUTED_VALUE"""),"PR033")</f>
        <v>PR033</v>
      </c>
      <c r="B1407" s="2" t="str">
        <f>IFERROR(__xludf.DUMMYFUNCTION("""COMPUTED_VALUE"""),"VD011")</f>
        <v>VD011</v>
      </c>
      <c r="C1407" s="2">
        <f>IFERROR(__xludf.DUMMYFUNCTION("""COMPUTED_VALUE"""),12.0)</f>
        <v>12</v>
      </c>
      <c r="D1407" s="6">
        <f>IFERROR(__xludf.DUMMYFUNCTION("""COMPUTED_VALUE"""),3149.99)</f>
        <v>3149.99</v>
      </c>
      <c r="E1407" s="6">
        <f>IFERROR(__xludf.DUMMYFUNCTION("GOOGLEFINANCE(""Currency:BRLMXN"")*D1407"),10700.516029999999)</f>
        <v>10700.51603</v>
      </c>
      <c r="F1407" s="6">
        <f>IFERROR(__xludf.DUMMYFUNCTION("GOOGLEFINANCE(""Currency:BRLPEN"")*D1407"),2065.1334439999996)</f>
        <v>2065.133444</v>
      </c>
      <c r="G1407" s="2" t="str">
        <f t="array" ref="G1407">_xlfn.XLOOKUP(B1407,Vendedores!$A$2:$A$41,Vendedores!$B$2:$B$41,"No hay datos")</f>
        <v>No hay datos</v>
      </c>
      <c r="H1407" s="2" t="str">
        <f t="array" ref="H1407">_xlfn.XLOOKUP(B1407,Vendedores!$A$2:$A$41,Vendedores!$C$2:$C$41,"No hay datos")</f>
        <v>No hay datos</v>
      </c>
      <c r="I1407" s="2" t="str">
        <f t="array" ref="I1407">_xlfn.XLOOKUP(B1407,Vendedores!$A$2:$A$41,Vendedores!$D$2:$D$41,"No hay datos")</f>
        <v>No hay datos</v>
      </c>
      <c r="J1407" s="2" t="str">
        <f t="array" ref="J1407">_xlfn.XLOOKUP(A1407,Productos!$A$2:$A$61,Productos!$B$2:$F$61)</f>
        <v>#N/A</v>
      </c>
    </row>
    <row r="1408">
      <c r="A1408" s="2" t="str">
        <f>IFERROR(__xludf.DUMMYFUNCTION("""COMPUTED_VALUE"""),"PR049")</f>
        <v>PR049</v>
      </c>
      <c r="B1408" s="2" t="str">
        <f>IFERROR(__xludf.DUMMYFUNCTION("""COMPUTED_VALUE"""),"VD021")</f>
        <v>VD021</v>
      </c>
      <c r="C1408" s="2">
        <f>IFERROR(__xludf.DUMMYFUNCTION("""COMPUTED_VALUE"""),5.0)</f>
        <v>5</v>
      </c>
      <c r="D1408" s="6">
        <f>IFERROR(__xludf.DUMMYFUNCTION("""COMPUTED_VALUE"""),164.5)</f>
        <v>164.5</v>
      </c>
      <c r="E1408" s="6">
        <f>IFERROR(__xludf.DUMMYFUNCTION("GOOGLEFINANCE(""Currency:BRLMXN"")*D1408"),558.8064999999999)</f>
        <v>558.8065</v>
      </c>
      <c r="F1408" s="6">
        <f>IFERROR(__xludf.DUMMYFUNCTION("GOOGLEFINANCE(""Currency:BRLPEN"")*D1408"),107.8462)</f>
        <v>107.8462</v>
      </c>
      <c r="G1408" s="2" t="str">
        <f t="array" ref="G1408">_xlfn.XLOOKUP(B1408,Vendedores!$A$2:$A$41,Vendedores!$B$2:$B$41,"No hay datos")</f>
        <v>No hay datos</v>
      </c>
      <c r="H1408" s="2" t="str">
        <f t="array" ref="H1408">_xlfn.XLOOKUP(B1408,Vendedores!$A$2:$A$41,Vendedores!$C$2:$C$41,"No hay datos")</f>
        <v>No hay datos</v>
      </c>
      <c r="I1408" s="2" t="str">
        <f t="array" ref="I1408">_xlfn.XLOOKUP(B1408,Vendedores!$A$2:$A$41,Vendedores!$D$2:$D$41,"No hay datos")</f>
        <v>No hay datos</v>
      </c>
      <c r="J1408" s="2" t="str">
        <f t="array" ref="J1408">_xlfn.XLOOKUP(A1408,Productos!$A$2:$A$61,Productos!$B$2:$F$61)</f>
        <v>#N/A</v>
      </c>
    </row>
    <row r="1409">
      <c r="A1409" s="2" t="str">
        <f>IFERROR(__xludf.DUMMYFUNCTION("""COMPUTED_VALUE"""),"PR021")</f>
        <v>PR021</v>
      </c>
      <c r="B1409" s="2" t="str">
        <f>IFERROR(__xludf.DUMMYFUNCTION("""COMPUTED_VALUE"""),"VD045")</f>
        <v>VD045</v>
      </c>
      <c r="C1409" s="2">
        <f>IFERROR(__xludf.DUMMYFUNCTION("""COMPUTED_VALUE"""),16.0)</f>
        <v>16</v>
      </c>
      <c r="D1409" s="6">
        <f>IFERROR(__xludf.DUMMYFUNCTION("""COMPUTED_VALUE"""),5088.72)</f>
        <v>5088.72</v>
      </c>
      <c r="E1409" s="6">
        <f>IFERROR(__xludf.DUMMYFUNCTION("GOOGLEFINANCE(""Currency:BRLMXN"")*D1409"),17286.38184)</f>
        <v>17286.38184</v>
      </c>
      <c r="F1409" s="6">
        <f>IFERROR(__xludf.DUMMYFUNCTION("GOOGLEFINANCE(""Currency:BRLPEN"")*D1409"),3336.164832)</f>
        <v>3336.164832</v>
      </c>
      <c r="G1409" s="2" t="str">
        <f t="array" ref="G1409">_xlfn.XLOOKUP(B1409,Vendedores!$A$2:$A$41,Vendedores!$B$2:$B$41,"No hay datos")</f>
        <v>No hay datos</v>
      </c>
      <c r="H1409" s="2" t="str">
        <f t="array" ref="H1409">_xlfn.XLOOKUP(B1409,Vendedores!$A$2:$A$41,Vendedores!$C$2:$C$41,"No hay datos")</f>
        <v>No hay datos</v>
      </c>
      <c r="I1409" s="2" t="str">
        <f t="array" ref="I1409">_xlfn.XLOOKUP(B1409,Vendedores!$A$2:$A$41,Vendedores!$D$2:$D$41,"No hay datos")</f>
        <v>No hay datos</v>
      </c>
      <c r="J1409" s="2" t="str">
        <f t="array" ref="J1409">_xlfn.XLOOKUP(A1409,Productos!$A$2:$A$61,Productos!$B$2:$F$61)</f>
        <v>#N/A</v>
      </c>
    </row>
    <row r="1410">
      <c r="A1410" s="2" t="str">
        <f>IFERROR(__xludf.DUMMYFUNCTION("""COMPUTED_VALUE"""),"PR018")</f>
        <v>PR018</v>
      </c>
      <c r="B1410" s="2" t="str">
        <f>IFERROR(__xludf.DUMMYFUNCTION("""COMPUTED_VALUE"""),"VD017")</f>
        <v>VD017</v>
      </c>
      <c r="C1410" s="2">
        <f>IFERROR(__xludf.DUMMYFUNCTION("""COMPUTED_VALUE"""),8.0)</f>
        <v>8</v>
      </c>
      <c r="D1410" s="6">
        <f>IFERROR(__xludf.DUMMYFUNCTION("""COMPUTED_VALUE"""),268.46)</f>
        <v>268.46</v>
      </c>
      <c r="E1410" s="6">
        <f>IFERROR(__xludf.DUMMYFUNCTION("GOOGLEFINANCE(""Currency:BRLMXN"")*D1410"),911.9586199999999)</f>
        <v>911.95862</v>
      </c>
      <c r="F1410" s="6">
        <f>IFERROR(__xludf.DUMMYFUNCTION("GOOGLEFINANCE(""Currency:BRLPEN"")*D1410"),176.00237599999997)</f>
        <v>176.002376</v>
      </c>
      <c r="G1410" s="2" t="str">
        <f t="array" ref="G1410">_xlfn.XLOOKUP(B1410,Vendedores!$A$2:$A$41,Vendedores!$B$2:$B$41,"No hay datos")</f>
        <v>No hay datos</v>
      </c>
      <c r="H1410" s="2" t="str">
        <f t="array" ref="H1410">_xlfn.XLOOKUP(B1410,Vendedores!$A$2:$A$41,Vendedores!$C$2:$C$41,"No hay datos")</f>
        <v>No hay datos</v>
      </c>
      <c r="I1410" s="2" t="str">
        <f t="array" ref="I1410">_xlfn.XLOOKUP(B1410,Vendedores!$A$2:$A$41,Vendedores!$D$2:$D$41,"No hay datos")</f>
        <v>No hay datos</v>
      </c>
      <c r="J1410" s="2" t="str">
        <f t="array" ref="J1410">_xlfn.XLOOKUP(A1410,Productos!$A$2:$A$61,Productos!$B$2:$F$61)</f>
        <v>#N/A</v>
      </c>
    </row>
    <row r="1411">
      <c r="A1411" s="2" t="str">
        <f>IFERROR(__xludf.DUMMYFUNCTION("""COMPUTED_VALUE"""),"PR038")</f>
        <v>PR038</v>
      </c>
      <c r="B1411" s="2" t="str">
        <f>IFERROR(__xludf.DUMMYFUNCTION("""COMPUTED_VALUE"""),"VD028")</f>
        <v>VD028</v>
      </c>
      <c r="C1411" s="2">
        <f>IFERROR(__xludf.DUMMYFUNCTION("""COMPUTED_VALUE"""),6.0)</f>
        <v>6</v>
      </c>
      <c r="D1411" s="6">
        <f>IFERROR(__xludf.DUMMYFUNCTION("""COMPUTED_VALUE"""),908.84)</f>
        <v>908.84</v>
      </c>
      <c r="E1411" s="6">
        <f>IFERROR(__xludf.DUMMYFUNCTION("GOOGLEFINANCE(""Currency:BRLMXN"")*D1411"),3087.32948)</f>
        <v>3087.32948</v>
      </c>
      <c r="F1411" s="6">
        <f>IFERROR(__xludf.DUMMYFUNCTION("GOOGLEFINANCE(""Currency:BRLPEN"")*D1411"),595.835504)</f>
        <v>595.835504</v>
      </c>
      <c r="G1411" s="2" t="str">
        <f t="array" ref="G1411">_xlfn.XLOOKUP(B1411,Vendedores!$A$2:$A$41,Vendedores!$B$2:$B$41,"No hay datos")</f>
        <v>No hay datos</v>
      </c>
      <c r="H1411" s="2" t="str">
        <f t="array" ref="H1411">_xlfn.XLOOKUP(B1411,Vendedores!$A$2:$A$41,Vendedores!$C$2:$C$41,"No hay datos")</f>
        <v>No hay datos</v>
      </c>
      <c r="I1411" s="2" t="str">
        <f t="array" ref="I1411">_xlfn.XLOOKUP(B1411,Vendedores!$A$2:$A$41,Vendedores!$D$2:$D$41,"No hay datos")</f>
        <v>No hay datos</v>
      </c>
      <c r="J1411" s="2" t="str">
        <f t="array" ref="J1411">_xlfn.XLOOKUP(A1411,Productos!$A$2:$A$61,Productos!$B$2:$F$61)</f>
        <v>#N/A</v>
      </c>
    </row>
    <row r="1412">
      <c r="A1412" s="2" t="str">
        <f>IFERROR(__xludf.DUMMYFUNCTION("""COMPUTED_VALUE"""),"PR037")</f>
        <v>PR037</v>
      </c>
      <c r="B1412" s="2" t="str">
        <f>IFERROR(__xludf.DUMMYFUNCTION("""COMPUTED_VALUE"""),"VD019")</f>
        <v>VD019</v>
      </c>
      <c r="C1412" s="2">
        <f>IFERROR(__xludf.DUMMYFUNCTION("""COMPUTED_VALUE"""),5.0)</f>
        <v>5</v>
      </c>
      <c r="D1412" s="6">
        <f>IFERROR(__xludf.DUMMYFUNCTION("""COMPUTED_VALUE"""),707.0)</f>
        <v>707</v>
      </c>
      <c r="E1412" s="6">
        <f>IFERROR(__xludf.DUMMYFUNCTION("GOOGLEFINANCE(""Currency:BRLMXN"")*D1412"),2401.6789999999996)</f>
        <v>2401.679</v>
      </c>
      <c r="F1412" s="6">
        <f>IFERROR(__xludf.DUMMYFUNCTION("GOOGLEFINANCE(""Currency:BRLPEN"")*D1412"),463.50919999999996)</f>
        <v>463.5092</v>
      </c>
      <c r="G1412" s="2" t="str">
        <f t="array" ref="G1412">_xlfn.XLOOKUP(B1412,Vendedores!$A$2:$A$41,Vendedores!$B$2:$B$41,"No hay datos")</f>
        <v>No hay datos</v>
      </c>
      <c r="H1412" s="2" t="str">
        <f t="array" ref="H1412">_xlfn.XLOOKUP(B1412,Vendedores!$A$2:$A$41,Vendedores!$C$2:$C$41,"No hay datos")</f>
        <v>No hay datos</v>
      </c>
      <c r="I1412" s="2" t="str">
        <f t="array" ref="I1412">_xlfn.XLOOKUP(B1412,Vendedores!$A$2:$A$41,Vendedores!$D$2:$D$41,"No hay datos")</f>
        <v>No hay datos</v>
      </c>
      <c r="J1412" s="2" t="str">
        <f t="array" ref="J1412">_xlfn.XLOOKUP(A1412,Productos!$A$2:$A$61,Productos!$B$2:$F$61)</f>
        <v>#N/A</v>
      </c>
    </row>
    <row r="1413">
      <c r="A1413" s="2" t="str">
        <f>IFERROR(__xludf.DUMMYFUNCTION("""COMPUTED_VALUE"""),"PR041")</f>
        <v>PR041</v>
      </c>
      <c r="B1413" s="2" t="str">
        <f>IFERROR(__xludf.DUMMYFUNCTION("""COMPUTED_VALUE"""),"VD024")</f>
        <v>VD024</v>
      </c>
      <c r="C1413" s="2">
        <f>IFERROR(__xludf.DUMMYFUNCTION("""COMPUTED_VALUE"""),10.0)</f>
        <v>10</v>
      </c>
      <c r="D1413" s="6">
        <f>IFERROR(__xludf.DUMMYFUNCTION("""COMPUTED_VALUE"""),576.45)</f>
        <v>576.45</v>
      </c>
      <c r="E1413" s="6">
        <f>IFERROR(__xludf.DUMMYFUNCTION("GOOGLEFINANCE(""Currency:BRLMXN"")*D1413"),1958.20065)</f>
        <v>1958.20065</v>
      </c>
      <c r="F1413" s="6">
        <f>IFERROR(__xludf.DUMMYFUNCTION("GOOGLEFINANCE(""Currency:BRLPEN"")*D1413"),377.92062)</f>
        <v>377.92062</v>
      </c>
      <c r="G1413" s="2" t="str">
        <f t="array" ref="G1413">_xlfn.XLOOKUP(B1413,Vendedores!$A$2:$A$41,Vendedores!$B$2:$B$41,"No hay datos")</f>
        <v>No hay datos</v>
      </c>
      <c r="H1413" s="2" t="str">
        <f t="array" ref="H1413">_xlfn.XLOOKUP(B1413,Vendedores!$A$2:$A$41,Vendedores!$C$2:$C$41,"No hay datos")</f>
        <v>No hay datos</v>
      </c>
      <c r="I1413" s="2" t="str">
        <f t="array" ref="I1413">_xlfn.XLOOKUP(B1413,Vendedores!$A$2:$A$41,Vendedores!$D$2:$D$41,"No hay datos")</f>
        <v>No hay datos</v>
      </c>
      <c r="J1413" s="2" t="str">
        <f t="array" ref="J1413">_xlfn.XLOOKUP(A1413,Productos!$A$2:$A$61,Productos!$B$2:$F$61)</f>
        <v>#N/A</v>
      </c>
    </row>
    <row r="1414">
      <c r="A1414" s="2" t="str">
        <f>IFERROR(__xludf.DUMMYFUNCTION("""COMPUTED_VALUE"""),"PR014")</f>
        <v>PR014</v>
      </c>
      <c r="B1414" s="2" t="str">
        <f>IFERROR(__xludf.DUMMYFUNCTION("""COMPUTED_VALUE"""),"VD034")</f>
        <v>VD034</v>
      </c>
      <c r="C1414" s="2">
        <f>IFERROR(__xludf.DUMMYFUNCTION("""COMPUTED_VALUE"""),6.0)</f>
        <v>6</v>
      </c>
      <c r="D1414" s="6">
        <f>IFERROR(__xludf.DUMMYFUNCTION("""COMPUTED_VALUE"""),260.95)</f>
        <v>260.95</v>
      </c>
      <c r="E1414" s="6">
        <f>IFERROR(__xludf.DUMMYFUNCTION("GOOGLEFINANCE(""Currency:BRLMXN"")*D1414"),886.44715)</f>
        <v>886.44715</v>
      </c>
      <c r="F1414" s="6">
        <f>IFERROR(__xludf.DUMMYFUNCTION("GOOGLEFINANCE(""Currency:BRLPEN"")*D1414"),171.07881999999998)</f>
        <v>171.07882</v>
      </c>
      <c r="G1414" s="2" t="str">
        <f t="array" ref="G1414">_xlfn.XLOOKUP(B1414,Vendedores!$A$2:$A$41,Vendedores!$B$2:$B$41,"No hay datos")</f>
        <v>No hay datos</v>
      </c>
      <c r="H1414" s="2" t="str">
        <f t="array" ref="H1414">_xlfn.XLOOKUP(B1414,Vendedores!$A$2:$A$41,Vendedores!$C$2:$C$41,"No hay datos")</f>
        <v>No hay datos</v>
      </c>
      <c r="I1414" s="2" t="str">
        <f t="array" ref="I1414">_xlfn.XLOOKUP(B1414,Vendedores!$A$2:$A$41,Vendedores!$D$2:$D$41,"No hay datos")</f>
        <v>No hay datos</v>
      </c>
      <c r="J1414" s="2" t="str">
        <f t="array" ref="J1414">_xlfn.XLOOKUP(A1414,Productos!$A$2:$A$61,Productos!$B$2:$F$61)</f>
        <v>#N/A</v>
      </c>
    </row>
    <row r="1415">
      <c r="A1415" s="2" t="str">
        <f>IFERROR(__xludf.DUMMYFUNCTION("""COMPUTED_VALUE"""),"PR002")</f>
        <v>PR002</v>
      </c>
      <c r="B1415" s="2" t="str">
        <f>IFERROR(__xludf.DUMMYFUNCTION("""COMPUTED_VALUE"""),"VD041")</f>
        <v>VD041</v>
      </c>
      <c r="C1415" s="2">
        <f>IFERROR(__xludf.DUMMYFUNCTION("""COMPUTED_VALUE"""),8.0)</f>
        <v>8</v>
      </c>
      <c r="D1415" s="6">
        <f>IFERROR(__xludf.DUMMYFUNCTION("""COMPUTED_VALUE"""),609.53)</f>
        <v>609.53</v>
      </c>
      <c r="E1415" s="6">
        <f>IFERROR(__xludf.DUMMYFUNCTION("GOOGLEFINANCE(""Currency:BRLMXN"")*D1415"),2070.57341)</f>
        <v>2070.57341</v>
      </c>
      <c r="F1415" s="6">
        <f>IFERROR(__xludf.DUMMYFUNCTION("GOOGLEFINANCE(""Currency:BRLPEN"")*D1415"),399.60786799999994)</f>
        <v>399.607868</v>
      </c>
      <c r="G1415" s="2" t="str">
        <f t="array" ref="G1415">_xlfn.XLOOKUP(B1415,Vendedores!$A$2:$A$41,Vendedores!$B$2:$B$41,"No hay datos")</f>
        <v>No hay datos</v>
      </c>
      <c r="H1415" s="2" t="str">
        <f t="array" ref="H1415">_xlfn.XLOOKUP(B1415,Vendedores!$A$2:$A$41,Vendedores!$C$2:$C$41,"No hay datos")</f>
        <v>No hay datos</v>
      </c>
      <c r="I1415" s="2" t="str">
        <f t="array" ref="I1415">_xlfn.XLOOKUP(B1415,Vendedores!$A$2:$A$41,Vendedores!$D$2:$D$41,"No hay datos")</f>
        <v>No hay datos</v>
      </c>
      <c r="J1415" s="2" t="str">
        <f t="array" ref="J1415">_xlfn.XLOOKUP(A1415,Productos!$A$2:$A$61,Productos!$B$2:$F$61)</f>
        <v>#N/A</v>
      </c>
    </row>
    <row r="1416">
      <c r="A1416" s="2" t="str">
        <f>IFERROR(__xludf.DUMMYFUNCTION("""COMPUTED_VALUE"""),"PR023")</f>
        <v>PR023</v>
      </c>
      <c r="B1416" s="2" t="str">
        <f>IFERROR(__xludf.DUMMYFUNCTION("""COMPUTED_VALUE"""),"VD035")</f>
        <v>VD035</v>
      </c>
      <c r="C1416" s="2">
        <f>IFERROR(__xludf.DUMMYFUNCTION("""COMPUTED_VALUE"""),6.0)</f>
        <v>6</v>
      </c>
      <c r="D1416" s="6">
        <f>IFERROR(__xludf.DUMMYFUNCTION("""COMPUTED_VALUE"""),1604.36)</f>
        <v>1604.36</v>
      </c>
      <c r="E1416" s="6">
        <f>IFERROR(__xludf.DUMMYFUNCTION("GOOGLEFINANCE(""Currency:BRLMXN"")*D1416"),5450.01092)</f>
        <v>5450.01092</v>
      </c>
      <c r="F1416" s="6">
        <f>IFERROR(__xludf.DUMMYFUNCTION("GOOGLEFINANCE(""Currency:BRLPEN"")*D1416"),1051.8184159999998)</f>
        <v>1051.818416</v>
      </c>
      <c r="G1416" s="2" t="str">
        <f t="array" ref="G1416">_xlfn.XLOOKUP(B1416,Vendedores!$A$2:$A$41,Vendedores!$B$2:$B$41,"No hay datos")</f>
        <v>No hay datos</v>
      </c>
      <c r="H1416" s="2" t="str">
        <f t="array" ref="H1416">_xlfn.XLOOKUP(B1416,Vendedores!$A$2:$A$41,Vendedores!$C$2:$C$41,"No hay datos")</f>
        <v>No hay datos</v>
      </c>
      <c r="I1416" s="2" t="str">
        <f t="array" ref="I1416">_xlfn.XLOOKUP(B1416,Vendedores!$A$2:$A$41,Vendedores!$D$2:$D$41,"No hay datos")</f>
        <v>No hay datos</v>
      </c>
      <c r="J1416" s="2" t="str">
        <f t="array" ref="J1416">_xlfn.XLOOKUP(A1416,Productos!$A$2:$A$61,Productos!$B$2:$F$61)</f>
        <v>#N/A</v>
      </c>
    </row>
    <row r="1417">
      <c r="A1417" s="2" t="str">
        <f>IFERROR(__xludf.DUMMYFUNCTION("""COMPUTED_VALUE"""),"PR008")</f>
        <v>PR008</v>
      </c>
      <c r="B1417" s="2" t="str">
        <f>IFERROR(__xludf.DUMMYFUNCTION("""COMPUTED_VALUE"""),"VD043")</f>
        <v>VD043</v>
      </c>
      <c r="C1417" s="2">
        <f>IFERROR(__xludf.DUMMYFUNCTION("""COMPUTED_VALUE"""),8.0)</f>
        <v>8</v>
      </c>
      <c r="D1417" s="6">
        <f>IFERROR(__xludf.DUMMYFUNCTION("""COMPUTED_VALUE"""),726.39)</f>
        <v>726.39</v>
      </c>
      <c r="E1417" s="6">
        <f>IFERROR(__xludf.DUMMYFUNCTION("GOOGLEFINANCE(""Currency:BRLMXN"")*D1417"),2467.5468299999998)</f>
        <v>2467.54683</v>
      </c>
      <c r="F1417" s="6">
        <f>IFERROR(__xludf.DUMMYFUNCTION("GOOGLEFINANCE(""Currency:BRLPEN"")*D1417"),476.22128399999997)</f>
        <v>476.221284</v>
      </c>
      <c r="G1417" s="2" t="str">
        <f t="array" ref="G1417">_xlfn.XLOOKUP(B1417,Vendedores!$A$2:$A$41,Vendedores!$B$2:$B$41,"No hay datos")</f>
        <v>No hay datos</v>
      </c>
      <c r="H1417" s="2" t="str">
        <f t="array" ref="H1417">_xlfn.XLOOKUP(B1417,Vendedores!$A$2:$A$41,Vendedores!$C$2:$C$41,"No hay datos")</f>
        <v>No hay datos</v>
      </c>
      <c r="I1417" s="2" t="str">
        <f t="array" ref="I1417">_xlfn.XLOOKUP(B1417,Vendedores!$A$2:$A$41,Vendedores!$D$2:$D$41,"No hay datos")</f>
        <v>No hay datos</v>
      </c>
      <c r="J1417" s="2" t="str">
        <f t="array" ref="J1417">_xlfn.XLOOKUP(A1417,Productos!$A$2:$A$61,Productos!$B$2:$F$61)</f>
        <v>#N/A</v>
      </c>
    </row>
    <row r="1418">
      <c r="A1418" s="2" t="str">
        <f>IFERROR(__xludf.DUMMYFUNCTION("""COMPUTED_VALUE"""),"PR053")</f>
        <v>PR053</v>
      </c>
      <c r="B1418" s="2" t="str">
        <f>IFERROR(__xludf.DUMMYFUNCTION("""COMPUTED_VALUE"""),"VD037")</f>
        <v>VD037</v>
      </c>
      <c r="C1418" s="2">
        <f>IFERROR(__xludf.DUMMYFUNCTION("""COMPUTED_VALUE"""),8.0)</f>
        <v>8</v>
      </c>
      <c r="D1418" s="6">
        <f>IFERROR(__xludf.DUMMYFUNCTION("""COMPUTED_VALUE"""),415.17)</f>
        <v>415.17</v>
      </c>
      <c r="E1418" s="6">
        <f>IFERROR(__xludf.DUMMYFUNCTION("GOOGLEFINANCE(""Currency:BRLMXN"")*D1418"),1410.33249)</f>
        <v>1410.33249</v>
      </c>
      <c r="F1418" s="6">
        <f>IFERROR(__xludf.DUMMYFUNCTION("GOOGLEFINANCE(""Currency:BRLPEN"")*D1418"),272.185452)</f>
        <v>272.185452</v>
      </c>
      <c r="G1418" s="2" t="str">
        <f t="array" ref="G1418">_xlfn.XLOOKUP(B1418,Vendedores!$A$2:$A$41,Vendedores!$B$2:$B$41,"No hay datos")</f>
        <v>No hay datos</v>
      </c>
      <c r="H1418" s="2" t="str">
        <f t="array" ref="H1418">_xlfn.XLOOKUP(B1418,Vendedores!$A$2:$A$41,Vendedores!$C$2:$C$41,"No hay datos")</f>
        <v>No hay datos</v>
      </c>
      <c r="I1418" s="2" t="str">
        <f t="array" ref="I1418">_xlfn.XLOOKUP(B1418,Vendedores!$A$2:$A$41,Vendedores!$D$2:$D$41,"No hay datos")</f>
        <v>No hay datos</v>
      </c>
      <c r="J1418" s="2" t="str">
        <f t="array" ref="J1418">_xlfn.XLOOKUP(A1418,Productos!$A$2:$A$61,Productos!$B$2:$F$61)</f>
        <v>#N/A</v>
      </c>
    </row>
    <row r="1419">
      <c r="A1419" s="2" t="str">
        <f>IFERROR(__xludf.DUMMYFUNCTION("""COMPUTED_VALUE"""),"PR014")</f>
        <v>PR014</v>
      </c>
      <c r="B1419" s="2" t="str">
        <f>IFERROR(__xludf.DUMMYFUNCTION("""COMPUTED_VALUE"""),"VD026")</f>
        <v>VD026</v>
      </c>
      <c r="C1419" s="2">
        <f>IFERROR(__xludf.DUMMYFUNCTION("""COMPUTED_VALUE"""),3.0)</f>
        <v>3</v>
      </c>
      <c r="D1419" s="6">
        <f>IFERROR(__xludf.DUMMYFUNCTION("""COMPUTED_VALUE"""),129.28)</f>
        <v>129.28</v>
      </c>
      <c r="E1419" s="6">
        <f>IFERROR(__xludf.DUMMYFUNCTION("GOOGLEFINANCE(""Currency:BRLMXN"")*D1419"),439.16416)</f>
        <v>439.16416</v>
      </c>
      <c r="F1419" s="6">
        <f>IFERROR(__xludf.DUMMYFUNCTION("GOOGLEFINANCE(""Currency:BRLPEN"")*D1419"),84.755968)</f>
        <v>84.755968</v>
      </c>
      <c r="G1419" s="2" t="str">
        <f t="array" ref="G1419">_xlfn.XLOOKUP(B1419,Vendedores!$A$2:$A$41,Vendedores!$B$2:$B$41,"No hay datos")</f>
        <v>No hay datos</v>
      </c>
      <c r="H1419" s="2" t="str">
        <f t="array" ref="H1419">_xlfn.XLOOKUP(B1419,Vendedores!$A$2:$A$41,Vendedores!$C$2:$C$41,"No hay datos")</f>
        <v>No hay datos</v>
      </c>
      <c r="I1419" s="2" t="str">
        <f t="array" ref="I1419">_xlfn.XLOOKUP(B1419,Vendedores!$A$2:$A$41,Vendedores!$D$2:$D$41,"No hay datos")</f>
        <v>No hay datos</v>
      </c>
      <c r="J1419" s="2" t="str">
        <f t="array" ref="J1419">_xlfn.XLOOKUP(A1419,Productos!$A$2:$A$61,Productos!$B$2:$F$61)</f>
        <v>#N/A</v>
      </c>
    </row>
    <row r="1420">
      <c r="A1420" s="2" t="str">
        <f>IFERROR(__xludf.DUMMYFUNCTION("""COMPUTED_VALUE"""),"PR028")</f>
        <v>PR028</v>
      </c>
      <c r="B1420" s="2" t="str">
        <f>IFERROR(__xludf.DUMMYFUNCTION("""COMPUTED_VALUE"""),"VD015")</f>
        <v>VD015</v>
      </c>
      <c r="C1420" s="2">
        <f>IFERROR(__xludf.DUMMYFUNCTION("""COMPUTED_VALUE"""),2.0)</f>
        <v>2</v>
      </c>
      <c r="D1420" s="6">
        <f>IFERROR(__xludf.DUMMYFUNCTION("""COMPUTED_VALUE"""),544.78)</f>
        <v>544.78</v>
      </c>
      <c r="E1420" s="6">
        <f>IFERROR(__xludf.DUMMYFUNCTION("GOOGLEFINANCE(""Currency:BRLMXN"")*D1420"),1850.61766)</f>
        <v>1850.61766</v>
      </c>
      <c r="F1420" s="6">
        <f>IFERROR(__xludf.DUMMYFUNCTION("GOOGLEFINANCE(""Currency:BRLPEN"")*D1420"),357.157768)</f>
        <v>357.157768</v>
      </c>
      <c r="G1420" s="2" t="str">
        <f t="array" ref="G1420">_xlfn.XLOOKUP(B1420,Vendedores!$A$2:$A$41,Vendedores!$B$2:$B$41,"No hay datos")</f>
        <v>No hay datos</v>
      </c>
      <c r="H1420" s="2" t="str">
        <f t="array" ref="H1420">_xlfn.XLOOKUP(B1420,Vendedores!$A$2:$A$41,Vendedores!$C$2:$C$41,"No hay datos")</f>
        <v>No hay datos</v>
      </c>
      <c r="I1420" s="2" t="str">
        <f t="array" ref="I1420">_xlfn.XLOOKUP(B1420,Vendedores!$A$2:$A$41,Vendedores!$D$2:$D$41,"No hay datos")</f>
        <v>No hay datos</v>
      </c>
      <c r="J1420" s="2" t="str">
        <f t="array" ref="J1420">_xlfn.XLOOKUP(A1420,Productos!$A$2:$A$61,Productos!$B$2:$F$61)</f>
        <v>#N/A</v>
      </c>
    </row>
    <row r="1421">
      <c r="A1421" s="2" t="str">
        <f>IFERROR(__xludf.DUMMYFUNCTION("""COMPUTED_VALUE"""),"PR059")</f>
        <v>PR059</v>
      </c>
      <c r="B1421" s="2" t="str">
        <f>IFERROR(__xludf.DUMMYFUNCTION("""COMPUTED_VALUE"""),"VD028")</f>
        <v>VD028</v>
      </c>
      <c r="C1421" s="2">
        <f>IFERROR(__xludf.DUMMYFUNCTION("""COMPUTED_VALUE"""),8.0)</f>
        <v>8</v>
      </c>
      <c r="D1421" s="6">
        <f>IFERROR(__xludf.DUMMYFUNCTION("""COMPUTED_VALUE"""),1440.0)</f>
        <v>1440</v>
      </c>
      <c r="E1421" s="6">
        <f>IFERROR(__xludf.DUMMYFUNCTION("GOOGLEFINANCE(""Currency:BRLMXN"")*D1421"),4891.679999999999)</f>
        <v>4891.68</v>
      </c>
      <c r="F1421" s="6">
        <f>IFERROR(__xludf.DUMMYFUNCTION("GOOGLEFINANCE(""Currency:BRLPEN"")*D1421"),944.064)</f>
        <v>944.064</v>
      </c>
      <c r="G1421" s="2" t="str">
        <f t="array" ref="G1421">_xlfn.XLOOKUP(B1421,Vendedores!$A$2:$A$41,Vendedores!$B$2:$B$41,"No hay datos")</f>
        <v>No hay datos</v>
      </c>
      <c r="H1421" s="2" t="str">
        <f t="array" ref="H1421">_xlfn.XLOOKUP(B1421,Vendedores!$A$2:$A$41,Vendedores!$C$2:$C$41,"No hay datos")</f>
        <v>No hay datos</v>
      </c>
      <c r="I1421" s="2" t="str">
        <f t="array" ref="I1421">_xlfn.XLOOKUP(B1421,Vendedores!$A$2:$A$41,Vendedores!$D$2:$D$41,"No hay datos")</f>
        <v>No hay datos</v>
      </c>
      <c r="J1421" s="2" t="str">
        <f t="array" ref="J1421">_xlfn.XLOOKUP(A1421,Productos!$A$2:$A$61,Productos!$B$2:$F$61)</f>
        <v>#N/A</v>
      </c>
    </row>
    <row r="1422">
      <c r="A1422" s="2" t="str">
        <f>IFERROR(__xludf.DUMMYFUNCTION("""COMPUTED_VALUE"""),"PR053")</f>
        <v>PR053</v>
      </c>
      <c r="B1422" s="2" t="str">
        <f>IFERROR(__xludf.DUMMYFUNCTION("""COMPUTED_VALUE"""),"VD031")</f>
        <v>VD031</v>
      </c>
      <c r="C1422" s="2">
        <f>IFERROR(__xludf.DUMMYFUNCTION("""COMPUTED_VALUE"""),6.0)</f>
        <v>6</v>
      </c>
      <c r="D1422" s="6">
        <f>IFERROR(__xludf.DUMMYFUNCTION("""COMPUTED_VALUE"""),329.34)</f>
        <v>329.34</v>
      </c>
      <c r="E1422" s="6">
        <f>IFERROR(__xludf.DUMMYFUNCTION("GOOGLEFINANCE(""Currency:BRLMXN"")*D1422"),1118.7679799999999)</f>
        <v>1118.76798</v>
      </c>
      <c r="F1422" s="6">
        <f>IFERROR(__xludf.DUMMYFUNCTION("GOOGLEFINANCE(""Currency:BRLPEN"")*D1422"),215.91530399999996)</f>
        <v>215.915304</v>
      </c>
      <c r="G1422" s="2" t="str">
        <f t="array" ref="G1422">_xlfn.XLOOKUP(B1422,Vendedores!$A$2:$A$41,Vendedores!$B$2:$B$41,"No hay datos")</f>
        <v>No hay datos</v>
      </c>
      <c r="H1422" s="2" t="str">
        <f t="array" ref="H1422">_xlfn.XLOOKUP(B1422,Vendedores!$A$2:$A$41,Vendedores!$C$2:$C$41,"No hay datos")</f>
        <v>No hay datos</v>
      </c>
      <c r="I1422" s="2" t="str">
        <f t="array" ref="I1422">_xlfn.XLOOKUP(B1422,Vendedores!$A$2:$A$41,Vendedores!$D$2:$D$41,"No hay datos")</f>
        <v>No hay datos</v>
      </c>
      <c r="J1422" s="2" t="str">
        <f t="array" ref="J1422">_xlfn.XLOOKUP(A1422,Productos!$A$2:$A$61,Productos!$B$2:$F$61)</f>
        <v>#N/A</v>
      </c>
    </row>
    <row r="1423">
      <c r="A1423" s="2" t="str">
        <f>IFERROR(__xludf.DUMMYFUNCTION("""COMPUTED_VALUE"""),"PR005")</f>
        <v>PR005</v>
      </c>
      <c r="B1423" s="2" t="str">
        <f>IFERROR(__xludf.DUMMYFUNCTION("""COMPUTED_VALUE"""),"VD046")</f>
        <v>VD046</v>
      </c>
      <c r="C1423" s="2">
        <f>IFERROR(__xludf.DUMMYFUNCTION("""COMPUTED_VALUE"""),14.0)</f>
        <v>14</v>
      </c>
      <c r="D1423" s="6">
        <f>IFERROR(__xludf.DUMMYFUNCTION("""COMPUTED_VALUE"""),3674.99)</f>
        <v>3674.99</v>
      </c>
      <c r="E1423" s="6">
        <f>IFERROR(__xludf.DUMMYFUNCTION("GOOGLEFINANCE(""Currency:BRLMXN"")*D1423"),12483.941029999998)</f>
        <v>12483.94103</v>
      </c>
      <c r="F1423" s="6">
        <f>IFERROR(__xludf.DUMMYFUNCTION("GOOGLEFINANCE(""Currency:BRLPEN"")*D1423"),2409.3234439999997)</f>
        <v>2409.323444</v>
      </c>
      <c r="G1423" s="2" t="str">
        <f t="array" ref="G1423">_xlfn.XLOOKUP(B1423,Vendedores!$A$2:$A$41,Vendedores!$B$2:$B$41,"No hay datos")</f>
        <v>No hay datos</v>
      </c>
      <c r="H1423" s="2" t="str">
        <f t="array" ref="H1423">_xlfn.XLOOKUP(B1423,Vendedores!$A$2:$A$41,Vendedores!$C$2:$C$41,"No hay datos")</f>
        <v>No hay datos</v>
      </c>
      <c r="I1423" s="2" t="str">
        <f t="array" ref="I1423">_xlfn.XLOOKUP(B1423,Vendedores!$A$2:$A$41,Vendedores!$D$2:$D$41,"No hay datos")</f>
        <v>No hay datos</v>
      </c>
      <c r="J1423" s="2" t="str">
        <f t="array" ref="J1423">_xlfn.XLOOKUP(A1423,Productos!$A$2:$A$61,Productos!$B$2:$F$61)</f>
        <v>#N/A</v>
      </c>
    </row>
    <row r="1424">
      <c r="A1424" s="2" t="str">
        <f>IFERROR(__xludf.DUMMYFUNCTION("""COMPUTED_VALUE"""),"PR016")</f>
        <v>PR016</v>
      </c>
      <c r="B1424" s="2" t="str">
        <f>IFERROR(__xludf.DUMMYFUNCTION("""COMPUTED_VALUE"""),"VD047")</f>
        <v>VD047</v>
      </c>
      <c r="C1424" s="2">
        <f>IFERROR(__xludf.DUMMYFUNCTION("""COMPUTED_VALUE"""),6.0)</f>
        <v>6</v>
      </c>
      <c r="D1424" s="6">
        <f>IFERROR(__xludf.DUMMYFUNCTION("""COMPUTED_VALUE"""),158.51)</f>
        <v>158.51</v>
      </c>
      <c r="E1424" s="6">
        <f>IFERROR(__xludf.DUMMYFUNCTION("GOOGLEFINANCE(""Currency:BRLMXN"")*D1424"),538.4584699999999)</f>
        <v>538.45847</v>
      </c>
      <c r="F1424" s="6">
        <f>IFERROR(__xludf.DUMMYFUNCTION("GOOGLEFINANCE(""Currency:BRLPEN"")*D1424"),103.91915599999999)</f>
        <v>103.919156</v>
      </c>
      <c r="G1424" s="2" t="str">
        <f t="array" ref="G1424">_xlfn.XLOOKUP(B1424,Vendedores!$A$2:$A$41,Vendedores!$B$2:$B$41,"No hay datos")</f>
        <v>No hay datos</v>
      </c>
      <c r="H1424" s="2" t="str">
        <f t="array" ref="H1424">_xlfn.XLOOKUP(B1424,Vendedores!$A$2:$A$41,Vendedores!$C$2:$C$41,"No hay datos")</f>
        <v>No hay datos</v>
      </c>
      <c r="I1424" s="2" t="str">
        <f t="array" ref="I1424">_xlfn.XLOOKUP(B1424,Vendedores!$A$2:$A$41,Vendedores!$D$2:$D$41,"No hay datos")</f>
        <v>No hay datos</v>
      </c>
      <c r="J1424" s="2" t="str">
        <f t="array" ref="J1424">_xlfn.XLOOKUP(A1424,Productos!$A$2:$A$61,Productos!$B$2:$F$61)</f>
        <v>#N/A</v>
      </c>
    </row>
    <row r="1425">
      <c r="A1425" s="2" t="str">
        <f>IFERROR(__xludf.DUMMYFUNCTION("""COMPUTED_VALUE"""),"PR019")</f>
        <v>PR019</v>
      </c>
      <c r="B1425" s="2" t="str">
        <f>IFERROR(__xludf.DUMMYFUNCTION("""COMPUTED_VALUE"""),"VD023")</f>
        <v>VD023</v>
      </c>
      <c r="C1425" s="2">
        <f>IFERROR(__xludf.DUMMYFUNCTION("""COMPUTED_VALUE"""),8.0)</f>
        <v>8</v>
      </c>
      <c r="D1425" s="6">
        <f>IFERROR(__xludf.DUMMYFUNCTION("""COMPUTED_VALUE"""),407.18)</f>
        <v>407.18</v>
      </c>
      <c r="E1425" s="6">
        <f>IFERROR(__xludf.DUMMYFUNCTION("GOOGLEFINANCE(""Currency:BRLMXN"")*D1425"),1383.19046)</f>
        <v>1383.19046</v>
      </c>
      <c r="F1425" s="6">
        <f>IFERROR(__xludf.DUMMYFUNCTION("GOOGLEFINANCE(""Currency:BRLPEN"")*D1425"),266.947208)</f>
        <v>266.947208</v>
      </c>
      <c r="G1425" s="2" t="str">
        <f t="array" ref="G1425">_xlfn.XLOOKUP(B1425,Vendedores!$A$2:$A$41,Vendedores!$B$2:$B$41,"No hay datos")</f>
        <v>No hay datos</v>
      </c>
      <c r="H1425" s="2" t="str">
        <f t="array" ref="H1425">_xlfn.XLOOKUP(B1425,Vendedores!$A$2:$A$41,Vendedores!$C$2:$C$41,"No hay datos")</f>
        <v>No hay datos</v>
      </c>
      <c r="I1425" s="2" t="str">
        <f t="array" ref="I1425">_xlfn.XLOOKUP(B1425,Vendedores!$A$2:$A$41,Vendedores!$D$2:$D$41,"No hay datos")</f>
        <v>No hay datos</v>
      </c>
      <c r="J1425" s="2" t="str">
        <f t="array" ref="J1425">_xlfn.XLOOKUP(A1425,Productos!$A$2:$A$61,Productos!$B$2:$F$61)</f>
        <v>#N/A</v>
      </c>
    </row>
    <row r="1426">
      <c r="A1426" s="2" t="str">
        <f>IFERROR(__xludf.DUMMYFUNCTION("""COMPUTED_VALUE"""),"PR049")</f>
        <v>PR049</v>
      </c>
      <c r="B1426" s="2" t="str">
        <f>IFERROR(__xludf.DUMMYFUNCTION("""COMPUTED_VALUE"""),"VD028")</f>
        <v>VD028</v>
      </c>
      <c r="C1426" s="2">
        <f>IFERROR(__xludf.DUMMYFUNCTION("""COMPUTED_VALUE"""),2.0)</f>
        <v>2</v>
      </c>
      <c r="D1426" s="6">
        <f>IFERROR(__xludf.DUMMYFUNCTION("""COMPUTED_VALUE"""),69.75)</f>
        <v>69.75</v>
      </c>
      <c r="E1426" s="6">
        <f>IFERROR(__xludf.DUMMYFUNCTION("GOOGLEFINANCE(""Currency:BRLMXN"")*D1426"),236.94074999999998)</f>
        <v>236.94075</v>
      </c>
      <c r="F1426" s="6">
        <f>IFERROR(__xludf.DUMMYFUNCTION("GOOGLEFINANCE(""Currency:BRLPEN"")*D1426"),45.7281)</f>
        <v>45.7281</v>
      </c>
      <c r="G1426" s="2" t="str">
        <f t="array" ref="G1426">_xlfn.XLOOKUP(B1426,Vendedores!$A$2:$A$41,Vendedores!$B$2:$B$41,"No hay datos")</f>
        <v>No hay datos</v>
      </c>
      <c r="H1426" s="2" t="str">
        <f t="array" ref="H1426">_xlfn.XLOOKUP(B1426,Vendedores!$A$2:$A$41,Vendedores!$C$2:$C$41,"No hay datos")</f>
        <v>No hay datos</v>
      </c>
      <c r="I1426" s="2" t="str">
        <f t="array" ref="I1426">_xlfn.XLOOKUP(B1426,Vendedores!$A$2:$A$41,Vendedores!$D$2:$D$41,"No hay datos")</f>
        <v>No hay datos</v>
      </c>
      <c r="J1426" s="2" t="str">
        <f t="array" ref="J1426">_xlfn.XLOOKUP(A1426,Productos!$A$2:$A$61,Productos!$B$2:$F$61)</f>
        <v>#N/A</v>
      </c>
    </row>
    <row r="1427">
      <c r="A1427" s="2" t="str">
        <f>IFERROR(__xludf.DUMMYFUNCTION("""COMPUTED_VALUE"""),"PR036")</f>
        <v>PR036</v>
      </c>
      <c r="B1427" s="2" t="str">
        <f>IFERROR(__xludf.DUMMYFUNCTION("""COMPUTED_VALUE"""),"VD043")</f>
        <v>VD043</v>
      </c>
      <c r="C1427" s="2">
        <f>IFERROR(__xludf.DUMMYFUNCTION("""COMPUTED_VALUE"""),4.0)</f>
        <v>4</v>
      </c>
      <c r="D1427" s="6">
        <f>IFERROR(__xludf.DUMMYFUNCTION("""COMPUTED_VALUE"""),381.48)</f>
        <v>381.48</v>
      </c>
      <c r="E1427" s="6">
        <f>IFERROR(__xludf.DUMMYFUNCTION("GOOGLEFINANCE(""Currency:BRLMXN"")*D1427"),1295.88756)</f>
        <v>1295.88756</v>
      </c>
      <c r="F1427" s="6">
        <f>IFERROR(__xludf.DUMMYFUNCTION("GOOGLEFINANCE(""Currency:BRLPEN"")*D1427"),250.098288)</f>
        <v>250.098288</v>
      </c>
      <c r="G1427" s="2" t="str">
        <f t="array" ref="G1427">_xlfn.XLOOKUP(B1427,Vendedores!$A$2:$A$41,Vendedores!$B$2:$B$41,"No hay datos")</f>
        <v>No hay datos</v>
      </c>
      <c r="H1427" s="2" t="str">
        <f t="array" ref="H1427">_xlfn.XLOOKUP(B1427,Vendedores!$A$2:$A$41,Vendedores!$C$2:$C$41,"No hay datos")</f>
        <v>No hay datos</v>
      </c>
      <c r="I1427" s="2" t="str">
        <f t="array" ref="I1427">_xlfn.XLOOKUP(B1427,Vendedores!$A$2:$A$41,Vendedores!$D$2:$D$41,"No hay datos")</f>
        <v>No hay datos</v>
      </c>
      <c r="J1427" s="2" t="str">
        <f t="array" ref="J1427">_xlfn.XLOOKUP(A1427,Productos!$A$2:$A$61,Productos!$B$2:$F$61)</f>
        <v>#N/A</v>
      </c>
    </row>
    <row r="1428">
      <c r="A1428" s="2" t="str">
        <f>IFERROR(__xludf.DUMMYFUNCTION("""COMPUTED_VALUE"""),"PR027")</f>
        <v>PR027</v>
      </c>
      <c r="B1428" s="2" t="str">
        <f>IFERROR(__xludf.DUMMYFUNCTION("""COMPUTED_VALUE"""),"VD019")</f>
        <v>VD019</v>
      </c>
      <c r="C1428" s="2">
        <f>IFERROR(__xludf.DUMMYFUNCTION("""COMPUTED_VALUE"""),1.0)</f>
        <v>1</v>
      </c>
      <c r="D1428" s="6">
        <f>IFERROR(__xludf.DUMMYFUNCTION("""COMPUTED_VALUE"""),122.4)</f>
        <v>122.4</v>
      </c>
      <c r="E1428" s="6">
        <f>IFERROR(__xludf.DUMMYFUNCTION("GOOGLEFINANCE(""Currency:BRLMXN"")*D1428"),415.7928)</f>
        <v>415.7928</v>
      </c>
      <c r="F1428" s="6">
        <f>IFERROR(__xludf.DUMMYFUNCTION("GOOGLEFINANCE(""Currency:BRLPEN"")*D1428"),80.24544)</f>
        <v>80.24544</v>
      </c>
      <c r="G1428" s="2" t="str">
        <f t="array" ref="G1428">_xlfn.XLOOKUP(B1428,Vendedores!$A$2:$A$41,Vendedores!$B$2:$B$41,"No hay datos")</f>
        <v>No hay datos</v>
      </c>
      <c r="H1428" s="2" t="str">
        <f t="array" ref="H1428">_xlfn.XLOOKUP(B1428,Vendedores!$A$2:$A$41,Vendedores!$C$2:$C$41,"No hay datos")</f>
        <v>No hay datos</v>
      </c>
      <c r="I1428" s="2" t="str">
        <f t="array" ref="I1428">_xlfn.XLOOKUP(B1428,Vendedores!$A$2:$A$41,Vendedores!$D$2:$D$41,"No hay datos")</f>
        <v>No hay datos</v>
      </c>
      <c r="J1428" s="2" t="str">
        <f t="array" ref="J1428">_xlfn.XLOOKUP(A1428,Productos!$A$2:$A$61,Productos!$B$2:$F$61)</f>
        <v>#N/A</v>
      </c>
    </row>
    <row r="1429">
      <c r="A1429" s="2" t="str">
        <f>IFERROR(__xludf.DUMMYFUNCTION("""COMPUTED_VALUE"""),"PR028")</f>
        <v>PR028</v>
      </c>
      <c r="B1429" s="2" t="str">
        <f>IFERROR(__xludf.DUMMYFUNCTION("""COMPUTED_VALUE"""),"VD020")</f>
        <v>VD020</v>
      </c>
      <c r="C1429" s="2">
        <f>IFERROR(__xludf.DUMMYFUNCTION("""COMPUTED_VALUE"""),14.0)</f>
        <v>14</v>
      </c>
      <c r="D1429" s="6">
        <f>IFERROR(__xludf.DUMMYFUNCTION("""COMPUTED_VALUE"""),3533.59)</f>
        <v>3533.59</v>
      </c>
      <c r="E1429" s="6">
        <f>IFERROR(__xludf.DUMMYFUNCTION("GOOGLEFINANCE(""Currency:BRLMXN"")*D1429"),12003.60523)</f>
        <v>12003.60523</v>
      </c>
      <c r="F1429" s="6">
        <f>IFERROR(__xludf.DUMMYFUNCTION("GOOGLEFINANCE(""Currency:BRLPEN"")*D1429"),2316.621604)</f>
        <v>2316.621604</v>
      </c>
      <c r="G1429" s="2" t="str">
        <f t="array" ref="G1429">_xlfn.XLOOKUP(B1429,Vendedores!$A$2:$A$41,Vendedores!$B$2:$B$41,"No hay datos")</f>
        <v>No hay datos</v>
      </c>
      <c r="H1429" s="2" t="str">
        <f t="array" ref="H1429">_xlfn.XLOOKUP(B1429,Vendedores!$A$2:$A$41,Vendedores!$C$2:$C$41,"No hay datos")</f>
        <v>No hay datos</v>
      </c>
      <c r="I1429" s="2" t="str">
        <f t="array" ref="I1429">_xlfn.XLOOKUP(B1429,Vendedores!$A$2:$A$41,Vendedores!$D$2:$D$41,"No hay datos")</f>
        <v>No hay datos</v>
      </c>
      <c r="J1429" s="2" t="str">
        <f t="array" ref="J1429">_xlfn.XLOOKUP(A1429,Productos!$A$2:$A$61,Productos!$B$2:$F$61)</f>
        <v>#N/A</v>
      </c>
    </row>
    <row r="1430">
      <c r="A1430" s="2" t="str">
        <f>IFERROR(__xludf.DUMMYFUNCTION("""COMPUTED_VALUE"""),"PR022")</f>
        <v>PR022</v>
      </c>
      <c r="B1430" s="2" t="str">
        <f>IFERROR(__xludf.DUMMYFUNCTION("""COMPUTED_VALUE"""),"VD010")</f>
        <v>VD010</v>
      </c>
      <c r="C1430" s="2">
        <f>IFERROR(__xludf.DUMMYFUNCTION("""COMPUTED_VALUE"""),20.0)</f>
        <v>20</v>
      </c>
      <c r="D1430" s="6">
        <f>IFERROR(__xludf.DUMMYFUNCTION("""COMPUTED_VALUE"""),6060.0)</f>
        <v>6060</v>
      </c>
      <c r="E1430" s="6">
        <f>IFERROR(__xludf.DUMMYFUNCTION("GOOGLEFINANCE(""Currency:BRLMXN"")*D1430"),20585.82)</f>
        <v>20585.82</v>
      </c>
      <c r="F1430" s="6">
        <f>IFERROR(__xludf.DUMMYFUNCTION("GOOGLEFINANCE(""Currency:BRLPEN"")*D1430"),3972.9359999999997)</f>
        <v>3972.936</v>
      </c>
      <c r="G1430" s="2" t="str">
        <f t="array" ref="G1430">_xlfn.XLOOKUP(B1430,Vendedores!$A$2:$A$41,Vendedores!$B$2:$B$41,"No hay datos")</f>
        <v>No hay datos</v>
      </c>
      <c r="H1430" s="2" t="str">
        <f t="array" ref="H1430">_xlfn.XLOOKUP(B1430,Vendedores!$A$2:$A$41,Vendedores!$C$2:$C$41,"No hay datos")</f>
        <v>No hay datos</v>
      </c>
      <c r="I1430" s="2" t="str">
        <f t="array" ref="I1430">_xlfn.XLOOKUP(B1430,Vendedores!$A$2:$A$41,Vendedores!$D$2:$D$41,"No hay datos")</f>
        <v>No hay datos</v>
      </c>
      <c r="J1430" s="2" t="str">
        <f t="array" ref="J1430">_xlfn.XLOOKUP(A1430,Productos!$A$2:$A$61,Productos!$B$2:$F$61)</f>
        <v>#N/A</v>
      </c>
    </row>
    <row r="1431">
      <c r="A1431" s="2" t="str">
        <f>IFERROR(__xludf.DUMMYFUNCTION("""COMPUTED_VALUE"""),"PR059")</f>
        <v>PR059</v>
      </c>
      <c r="B1431" s="2" t="str">
        <f>IFERROR(__xludf.DUMMYFUNCTION("""COMPUTED_VALUE"""),"VD010")</f>
        <v>VD010</v>
      </c>
      <c r="C1431" s="2">
        <f>IFERROR(__xludf.DUMMYFUNCTION("""COMPUTED_VALUE"""),8.0)</f>
        <v>8</v>
      </c>
      <c r="D1431" s="6">
        <f>IFERROR(__xludf.DUMMYFUNCTION("""COMPUTED_VALUE"""),1584.0)</f>
        <v>1584</v>
      </c>
      <c r="E1431" s="6">
        <f>IFERROR(__xludf.DUMMYFUNCTION("GOOGLEFINANCE(""Currency:BRLMXN"")*D1431"),5380.848)</f>
        <v>5380.848</v>
      </c>
      <c r="F1431" s="6">
        <f>IFERROR(__xludf.DUMMYFUNCTION("GOOGLEFINANCE(""Currency:BRLPEN"")*D1431"),1038.4704)</f>
        <v>1038.4704</v>
      </c>
      <c r="G1431" s="2" t="str">
        <f t="array" ref="G1431">_xlfn.XLOOKUP(B1431,Vendedores!$A$2:$A$41,Vendedores!$B$2:$B$41,"No hay datos")</f>
        <v>No hay datos</v>
      </c>
      <c r="H1431" s="2" t="str">
        <f t="array" ref="H1431">_xlfn.XLOOKUP(B1431,Vendedores!$A$2:$A$41,Vendedores!$C$2:$C$41,"No hay datos")</f>
        <v>No hay datos</v>
      </c>
      <c r="I1431" s="2" t="str">
        <f t="array" ref="I1431">_xlfn.XLOOKUP(B1431,Vendedores!$A$2:$A$41,Vendedores!$D$2:$D$41,"No hay datos")</f>
        <v>No hay datos</v>
      </c>
      <c r="J1431" s="2" t="str">
        <f t="array" ref="J1431">_xlfn.XLOOKUP(A1431,Productos!$A$2:$A$61,Productos!$B$2:$F$61)</f>
        <v>#N/A</v>
      </c>
    </row>
    <row r="1432">
      <c r="A1432" s="2" t="str">
        <f>IFERROR(__xludf.DUMMYFUNCTION("""COMPUTED_VALUE"""),"PR059")</f>
        <v>PR059</v>
      </c>
      <c r="B1432" s="2" t="str">
        <f>IFERROR(__xludf.DUMMYFUNCTION("""COMPUTED_VALUE"""),"VD029")</f>
        <v>VD029</v>
      </c>
      <c r="C1432" s="2">
        <f>IFERROR(__xludf.DUMMYFUNCTION("""COMPUTED_VALUE"""),18.0)</f>
        <v>18</v>
      </c>
      <c r="D1432" s="6">
        <f>IFERROR(__xludf.DUMMYFUNCTION("""COMPUTED_VALUE"""),3564.0)</f>
        <v>3564</v>
      </c>
      <c r="E1432" s="6">
        <f>IFERROR(__xludf.DUMMYFUNCTION("GOOGLEFINANCE(""Currency:BRLMXN"")*D1432"),12106.908)</f>
        <v>12106.908</v>
      </c>
      <c r="F1432" s="6">
        <f>IFERROR(__xludf.DUMMYFUNCTION("GOOGLEFINANCE(""Currency:BRLPEN"")*D1432"),2336.5584)</f>
        <v>2336.5584</v>
      </c>
      <c r="G1432" s="2" t="str">
        <f t="array" ref="G1432">_xlfn.XLOOKUP(B1432,Vendedores!$A$2:$A$41,Vendedores!$B$2:$B$41,"No hay datos")</f>
        <v>No hay datos</v>
      </c>
      <c r="H1432" s="2" t="str">
        <f t="array" ref="H1432">_xlfn.XLOOKUP(B1432,Vendedores!$A$2:$A$41,Vendedores!$C$2:$C$41,"No hay datos")</f>
        <v>No hay datos</v>
      </c>
      <c r="I1432" s="2" t="str">
        <f t="array" ref="I1432">_xlfn.XLOOKUP(B1432,Vendedores!$A$2:$A$41,Vendedores!$D$2:$D$41,"No hay datos")</f>
        <v>No hay datos</v>
      </c>
      <c r="J1432" s="2" t="str">
        <f t="array" ref="J1432">_xlfn.XLOOKUP(A1432,Productos!$A$2:$A$61,Productos!$B$2:$F$61)</f>
        <v>#N/A</v>
      </c>
    </row>
    <row r="1433">
      <c r="A1433" s="2" t="str">
        <f>IFERROR(__xludf.DUMMYFUNCTION("""COMPUTED_VALUE"""),"PR056")</f>
        <v>PR056</v>
      </c>
      <c r="B1433" s="2" t="str">
        <f>IFERROR(__xludf.DUMMYFUNCTION("""COMPUTED_VALUE"""),"VD011")</f>
        <v>VD011</v>
      </c>
      <c r="C1433" s="2">
        <f>IFERROR(__xludf.DUMMYFUNCTION("""COMPUTED_VALUE"""),12.0)</f>
        <v>12</v>
      </c>
      <c r="D1433" s="6">
        <f>IFERROR(__xludf.DUMMYFUNCTION("""COMPUTED_VALUE"""),1121.95)</f>
        <v>1121.95</v>
      </c>
      <c r="E1433" s="6">
        <f>IFERROR(__xludf.DUMMYFUNCTION("GOOGLEFINANCE(""Currency:BRLMXN"")*D1433"),3811.26415)</f>
        <v>3811.26415</v>
      </c>
      <c r="F1433" s="6">
        <f>IFERROR(__xludf.DUMMYFUNCTION("GOOGLEFINANCE(""Currency:BRLPEN"")*D1433"),735.55042)</f>
        <v>735.55042</v>
      </c>
      <c r="G1433" s="2" t="str">
        <f t="array" ref="G1433">_xlfn.XLOOKUP(B1433,Vendedores!$A$2:$A$41,Vendedores!$B$2:$B$41,"No hay datos")</f>
        <v>No hay datos</v>
      </c>
      <c r="H1433" s="2" t="str">
        <f t="array" ref="H1433">_xlfn.XLOOKUP(B1433,Vendedores!$A$2:$A$41,Vendedores!$C$2:$C$41,"No hay datos")</f>
        <v>No hay datos</v>
      </c>
      <c r="I1433" s="2" t="str">
        <f t="array" ref="I1433">_xlfn.XLOOKUP(B1433,Vendedores!$A$2:$A$41,Vendedores!$D$2:$D$41,"No hay datos")</f>
        <v>No hay datos</v>
      </c>
      <c r="J1433" s="2" t="str">
        <f t="array" ref="J1433">_xlfn.XLOOKUP(A1433,Productos!$A$2:$A$61,Productos!$B$2:$F$61)</f>
        <v>#N/A</v>
      </c>
    </row>
    <row r="1434">
      <c r="A1434" s="2" t="str">
        <f>IFERROR(__xludf.DUMMYFUNCTION("""COMPUTED_VALUE"""),"PR033")</f>
        <v>PR033</v>
      </c>
      <c r="B1434" s="2" t="str">
        <f>IFERROR(__xludf.DUMMYFUNCTION("""COMPUTED_VALUE"""),"VD027")</f>
        <v>VD027</v>
      </c>
      <c r="C1434" s="2">
        <f>IFERROR(__xludf.DUMMYFUNCTION("""COMPUTED_VALUE"""),6.0)</f>
        <v>6</v>
      </c>
      <c r="D1434" s="6">
        <f>IFERROR(__xludf.DUMMYFUNCTION("""COMPUTED_VALUE"""),1699.75)</f>
        <v>1699.75</v>
      </c>
      <c r="E1434" s="6">
        <f>IFERROR(__xludf.DUMMYFUNCTION("GOOGLEFINANCE(""Currency:BRLMXN"")*D1434"),5774.050749999999)</f>
        <v>5774.05075</v>
      </c>
      <c r="F1434" s="6">
        <f>IFERROR(__xludf.DUMMYFUNCTION("GOOGLEFINANCE(""Currency:BRLPEN"")*D1434"),1114.3561)</f>
        <v>1114.3561</v>
      </c>
      <c r="G1434" s="2" t="str">
        <f t="array" ref="G1434">_xlfn.XLOOKUP(B1434,Vendedores!$A$2:$A$41,Vendedores!$B$2:$B$41,"No hay datos")</f>
        <v>No hay datos</v>
      </c>
      <c r="H1434" s="2" t="str">
        <f t="array" ref="H1434">_xlfn.XLOOKUP(B1434,Vendedores!$A$2:$A$41,Vendedores!$C$2:$C$41,"No hay datos")</f>
        <v>No hay datos</v>
      </c>
      <c r="I1434" s="2" t="str">
        <f t="array" ref="I1434">_xlfn.XLOOKUP(B1434,Vendedores!$A$2:$A$41,Vendedores!$D$2:$D$41,"No hay datos")</f>
        <v>No hay datos</v>
      </c>
      <c r="J1434" s="2" t="str">
        <f t="array" ref="J1434">_xlfn.XLOOKUP(A1434,Productos!$A$2:$A$61,Productos!$B$2:$F$61)</f>
        <v>#N/A</v>
      </c>
    </row>
    <row r="1435">
      <c r="A1435" s="2" t="str">
        <f>IFERROR(__xludf.DUMMYFUNCTION("""COMPUTED_VALUE"""),"PR021")</f>
        <v>PR021</v>
      </c>
      <c r="B1435" s="2" t="str">
        <f>IFERROR(__xludf.DUMMYFUNCTION("""COMPUTED_VALUE"""),"VD038")</f>
        <v>VD038</v>
      </c>
      <c r="C1435" s="2">
        <f>IFERROR(__xludf.DUMMYFUNCTION("""COMPUTED_VALUE"""),2.0)</f>
        <v>2</v>
      </c>
      <c r="D1435" s="6">
        <f>IFERROR(__xludf.DUMMYFUNCTION("""COMPUTED_VALUE"""),605.8)</f>
        <v>605.8</v>
      </c>
      <c r="E1435" s="6">
        <f>IFERROR(__xludf.DUMMYFUNCTION("GOOGLEFINANCE(""Currency:BRLMXN"")*D1435"),2057.9026)</f>
        <v>2057.9026</v>
      </c>
      <c r="F1435" s="6">
        <f>IFERROR(__xludf.DUMMYFUNCTION("GOOGLEFINANCE(""Currency:BRLPEN"")*D1435"),397.16247999999996)</f>
        <v>397.16248</v>
      </c>
      <c r="G1435" s="2" t="str">
        <f t="array" ref="G1435">_xlfn.XLOOKUP(B1435,Vendedores!$A$2:$A$41,Vendedores!$B$2:$B$41,"No hay datos")</f>
        <v>No hay datos</v>
      </c>
      <c r="H1435" s="2" t="str">
        <f t="array" ref="H1435">_xlfn.XLOOKUP(B1435,Vendedores!$A$2:$A$41,Vendedores!$C$2:$C$41,"No hay datos")</f>
        <v>No hay datos</v>
      </c>
      <c r="I1435" s="2" t="str">
        <f t="array" ref="I1435">_xlfn.XLOOKUP(B1435,Vendedores!$A$2:$A$41,Vendedores!$D$2:$D$41,"No hay datos")</f>
        <v>No hay datos</v>
      </c>
      <c r="J1435" s="2" t="str">
        <f t="array" ref="J1435">_xlfn.XLOOKUP(A1435,Productos!$A$2:$A$61,Productos!$B$2:$F$61)</f>
        <v>#N/A</v>
      </c>
    </row>
    <row r="1436">
      <c r="A1436" s="2" t="str">
        <f>IFERROR(__xludf.DUMMYFUNCTION("""COMPUTED_VALUE"""),"PR045")</f>
        <v>PR045</v>
      </c>
      <c r="B1436" s="2" t="str">
        <f>IFERROR(__xludf.DUMMYFUNCTION("""COMPUTED_VALUE"""),"VD018")</f>
        <v>VD018</v>
      </c>
      <c r="C1436" s="2">
        <f>IFERROR(__xludf.DUMMYFUNCTION("""COMPUTED_VALUE"""),6.0)</f>
        <v>6</v>
      </c>
      <c r="D1436" s="6">
        <f>IFERROR(__xludf.DUMMYFUNCTION("""COMPUTED_VALUE"""),443.7)</f>
        <v>443.7</v>
      </c>
      <c r="E1436" s="6">
        <f>IFERROR(__xludf.DUMMYFUNCTION("GOOGLEFINANCE(""Currency:BRLMXN"")*D1436"),1507.2488999999998)</f>
        <v>1507.2489</v>
      </c>
      <c r="F1436" s="6">
        <f>IFERROR(__xludf.DUMMYFUNCTION("GOOGLEFINANCE(""Currency:BRLPEN"")*D1436"),290.88971999999995)</f>
        <v>290.88972</v>
      </c>
      <c r="G1436" s="2" t="str">
        <f t="array" ref="G1436">_xlfn.XLOOKUP(B1436,Vendedores!$A$2:$A$41,Vendedores!$B$2:$B$41,"No hay datos")</f>
        <v>No hay datos</v>
      </c>
      <c r="H1436" s="2" t="str">
        <f t="array" ref="H1436">_xlfn.XLOOKUP(B1436,Vendedores!$A$2:$A$41,Vendedores!$C$2:$C$41,"No hay datos")</f>
        <v>No hay datos</v>
      </c>
      <c r="I1436" s="2" t="str">
        <f t="array" ref="I1436">_xlfn.XLOOKUP(B1436,Vendedores!$A$2:$A$41,Vendedores!$D$2:$D$41,"No hay datos")</f>
        <v>No hay datos</v>
      </c>
      <c r="J1436" s="2" t="str">
        <f t="array" ref="J1436">_xlfn.XLOOKUP(A1436,Productos!$A$2:$A$61,Productos!$B$2:$F$61)</f>
        <v>#N/A</v>
      </c>
    </row>
    <row r="1437">
      <c r="A1437" s="2" t="str">
        <f>IFERROR(__xludf.DUMMYFUNCTION("""COMPUTED_VALUE"""),"PR055")</f>
        <v>PR055</v>
      </c>
      <c r="B1437" s="2" t="str">
        <f>IFERROR(__xludf.DUMMYFUNCTION("""COMPUTED_VALUE"""),"VD019")</f>
        <v>VD019</v>
      </c>
      <c r="C1437" s="2">
        <f>IFERROR(__xludf.DUMMYFUNCTION("""COMPUTED_VALUE"""),6.0)</f>
        <v>6</v>
      </c>
      <c r="D1437" s="6">
        <f>IFERROR(__xludf.DUMMYFUNCTION("""COMPUTED_VALUE"""),560.98)</f>
        <v>560.98</v>
      </c>
      <c r="E1437" s="6">
        <f>IFERROR(__xludf.DUMMYFUNCTION("GOOGLEFINANCE(""Currency:BRLMXN"")*D1437"),1905.64906)</f>
        <v>1905.64906</v>
      </c>
      <c r="F1437" s="6">
        <f>IFERROR(__xludf.DUMMYFUNCTION("GOOGLEFINANCE(""Currency:BRLPEN"")*D1437"),367.778488)</f>
        <v>367.778488</v>
      </c>
      <c r="G1437" s="2" t="str">
        <f t="array" ref="G1437">_xlfn.XLOOKUP(B1437,Vendedores!$A$2:$A$41,Vendedores!$B$2:$B$41,"No hay datos")</f>
        <v>No hay datos</v>
      </c>
      <c r="H1437" s="2" t="str">
        <f t="array" ref="H1437">_xlfn.XLOOKUP(B1437,Vendedores!$A$2:$A$41,Vendedores!$C$2:$C$41,"No hay datos")</f>
        <v>No hay datos</v>
      </c>
      <c r="I1437" s="2" t="str">
        <f t="array" ref="I1437">_xlfn.XLOOKUP(B1437,Vendedores!$A$2:$A$41,Vendedores!$D$2:$D$41,"No hay datos")</f>
        <v>No hay datos</v>
      </c>
      <c r="J1437" s="2" t="str">
        <f t="array" ref="J1437">_xlfn.XLOOKUP(A1437,Productos!$A$2:$A$61,Productos!$B$2:$F$61)</f>
        <v>#N/A</v>
      </c>
    </row>
    <row r="1438">
      <c r="A1438" s="2" t="str">
        <f>IFERROR(__xludf.DUMMYFUNCTION("""COMPUTED_VALUE"""),"PR017")</f>
        <v>PR017</v>
      </c>
      <c r="B1438" s="2" t="str">
        <f>IFERROR(__xludf.DUMMYFUNCTION("""COMPUTED_VALUE"""),"VD013")</f>
        <v>VD013</v>
      </c>
      <c r="C1438" s="2">
        <f>IFERROR(__xludf.DUMMYFUNCTION("""COMPUTED_VALUE"""),9.0)</f>
        <v>9</v>
      </c>
      <c r="D1438" s="6">
        <f>IFERROR(__xludf.DUMMYFUNCTION("""COMPUTED_VALUE"""),282.56)</f>
        <v>282.56</v>
      </c>
      <c r="E1438" s="6">
        <f>IFERROR(__xludf.DUMMYFUNCTION("GOOGLEFINANCE(""Currency:BRLMXN"")*D1438"),959.85632)</f>
        <v>959.85632</v>
      </c>
      <c r="F1438" s="6">
        <f>IFERROR(__xludf.DUMMYFUNCTION("GOOGLEFINANCE(""Currency:BRLPEN"")*D1438"),185.24633599999999)</f>
        <v>185.246336</v>
      </c>
      <c r="G1438" s="2" t="str">
        <f t="array" ref="G1438">_xlfn.XLOOKUP(B1438,Vendedores!$A$2:$A$41,Vendedores!$B$2:$B$41,"No hay datos")</f>
        <v>No hay datos</v>
      </c>
      <c r="H1438" s="2" t="str">
        <f t="array" ref="H1438">_xlfn.XLOOKUP(B1438,Vendedores!$A$2:$A$41,Vendedores!$C$2:$C$41,"No hay datos")</f>
        <v>No hay datos</v>
      </c>
      <c r="I1438" s="2" t="str">
        <f t="array" ref="I1438">_xlfn.XLOOKUP(B1438,Vendedores!$A$2:$A$41,Vendedores!$D$2:$D$41,"No hay datos")</f>
        <v>No hay datos</v>
      </c>
      <c r="J1438" s="2" t="str">
        <f t="array" ref="J1438">_xlfn.XLOOKUP(A1438,Productos!$A$2:$A$61,Productos!$B$2:$F$61)</f>
        <v>#N/A</v>
      </c>
    </row>
    <row r="1439">
      <c r="A1439" s="2" t="str">
        <f>IFERROR(__xludf.DUMMYFUNCTION("""COMPUTED_VALUE"""),"PR039")</f>
        <v>PR039</v>
      </c>
      <c r="B1439" s="2" t="str">
        <f>IFERROR(__xludf.DUMMYFUNCTION("""COMPUTED_VALUE"""),"VD040")</f>
        <v>VD040</v>
      </c>
      <c r="C1439" s="2">
        <f>IFERROR(__xludf.DUMMYFUNCTION("""COMPUTED_VALUE"""),4.0)</f>
        <v>4</v>
      </c>
      <c r="D1439" s="6">
        <f>IFERROR(__xludf.DUMMYFUNCTION("""COMPUTED_VALUE"""),601.52)</f>
        <v>601.52</v>
      </c>
      <c r="E1439" s="6">
        <f>IFERROR(__xludf.DUMMYFUNCTION("GOOGLEFINANCE(""Currency:BRLMXN"")*D1439"),2043.3634399999999)</f>
        <v>2043.36344</v>
      </c>
      <c r="F1439" s="6">
        <f>IFERROR(__xludf.DUMMYFUNCTION("GOOGLEFINANCE(""Currency:BRLPEN"")*D1439"),394.35651199999995)</f>
        <v>394.356512</v>
      </c>
      <c r="G1439" s="2" t="str">
        <f t="array" ref="G1439">_xlfn.XLOOKUP(B1439,Vendedores!$A$2:$A$41,Vendedores!$B$2:$B$41,"No hay datos")</f>
        <v>No hay datos</v>
      </c>
      <c r="H1439" s="2" t="str">
        <f t="array" ref="H1439">_xlfn.XLOOKUP(B1439,Vendedores!$A$2:$A$41,Vendedores!$C$2:$C$41,"No hay datos")</f>
        <v>No hay datos</v>
      </c>
      <c r="I1439" s="2" t="str">
        <f t="array" ref="I1439">_xlfn.XLOOKUP(B1439,Vendedores!$A$2:$A$41,Vendedores!$D$2:$D$41,"No hay datos")</f>
        <v>No hay datos</v>
      </c>
      <c r="J1439" s="2" t="str">
        <f t="array" ref="J1439">_xlfn.XLOOKUP(A1439,Productos!$A$2:$A$61,Productos!$B$2:$F$61)</f>
        <v>#N/A</v>
      </c>
    </row>
    <row r="1440">
      <c r="A1440" s="2" t="str">
        <f>IFERROR(__xludf.DUMMYFUNCTION("""COMPUTED_VALUE"""),"PR060")</f>
        <v>PR060</v>
      </c>
      <c r="B1440" s="2" t="str">
        <f>IFERROR(__xludf.DUMMYFUNCTION("""COMPUTED_VALUE"""),"VD037")</f>
        <v>VD037</v>
      </c>
      <c r="C1440" s="2">
        <f>IFERROR(__xludf.DUMMYFUNCTION("""COMPUTED_VALUE"""),10.0)</f>
        <v>10</v>
      </c>
      <c r="D1440" s="6">
        <f>IFERROR(__xludf.DUMMYFUNCTION("""COMPUTED_VALUE"""),1818.0)</f>
        <v>1818</v>
      </c>
      <c r="E1440" s="6">
        <f>IFERROR(__xludf.DUMMYFUNCTION("GOOGLEFINANCE(""Currency:BRLMXN"")*D1440"),6175.745999999999)</f>
        <v>6175.746</v>
      </c>
      <c r="F1440" s="6">
        <f>IFERROR(__xludf.DUMMYFUNCTION("GOOGLEFINANCE(""Currency:BRLPEN"")*D1440"),1191.8808)</f>
        <v>1191.8808</v>
      </c>
      <c r="G1440" s="2" t="str">
        <f t="array" ref="G1440">_xlfn.XLOOKUP(B1440,Vendedores!$A$2:$A$41,Vendedores!$B$2:$B$41,"No hay datos")</f>
        <v>No hay datos</v>
      </c>
      <c r="H1440" s="2" t="str">
        <f t="array" ref="H1440">_xlfn.XLOOKUP(B1440,Vendedores!$A$2:$A$41,Vendedores!$C$2:$C$41,"No hay datos")</f>
        <v>No hay datos</v>
      </c>
      <c r="I1440" s="2" t="str">
        <f t="array" ref="I1440">_xlfn.XLOOKUP(B1440,Vendedores!$A$2:$A$41,Vendedores!$D$2:$D$41,"No hay datos")</f>
        <v>No hay datos</v>
      </c>
      <c r="J1440" s="2" t="str">
        <f t="array" ref="J1440">_xlfn.XLOOKUP(A1440,Productos!$A$2:$A$61,Productos!$B$2:$F$61)</f>
        <v>#N/A</v>
      </c>
    </row>
    <row r="1441">
      <c r="A1441" s="2" t="str">
        <f>IFERROR(__xludf.DUMMYFUNCTION("""COMPUTED_VALUE"""),"PR029")</f>
        <v>PR029</v>
      </c>
      <c r="B1441" s="2" t="str">
        <f>IFERROR(__xludf.DUMMYFUNCTION("""COMPUTED_VALUE"""),"VD013")</f>
        <v>VD013</v>
      </c>
      <c r="C1441" s="2">
        <f>IFERROR(__xludf.DUMMYFUNCTION("""COMPUTED_VALUE"""),7.0)</f>
        <v>7</v>
      </c>
      <c r="D1441" s="6">
        <f>IFERROR(__xludf.DUMMYFUNCTION("""COMPUTED_VALUE"""),1963.5)</f>
        <v>1963.5</v>
      </c>
      <c r="E1441" s="6">
        <f>IFERROR(__xludf.DUMMYFUNCTION("GOOGLEFINANCE(""Currency:BRLMXN"")*D1441"),6670.009499999999)</f>
        <v>6670.0095</v>
      </c>
      <c r="F1441" s="6">
        <f>IFERROR(__xludf.DUMMYFUNCTION("GOOGLEFINANCE(""Currency:BRLPEN"")*D1441"),1287.2705999999998)</f>
        <v>1287.2706</v>
      </c>
      <c r="G1441" s="2" t="str">
        <f t="array" ref="G1441">_xlfn.XLOOKUP(B1441,Vendedores!$A$2:$A$41,Vendedores!$B$2:$B$41,"No hay datos")</f>
        <v>No hay datos</v>
      </c>
      <c r="H1441" s="2" t="str">
        <f t="array" ref="H1441">_xlfn.XLOOKUP(B1441,Vendedores!$A$2:$A$41,Vendedores!$C$2:$C$41,"No hay datos")</f>
        <v>No hay datos</v>
      </c>
      <c r="I1441" s="2" t="str">
        <f t="array" ref="I1441">_xlfn.XLOOKUP(B1441,Vendedores!$A$2:$A$41,Vendedores!$D$2:$D$41,"No hay datos")</f>
        <v>No hay datos</v>
      </c>
      <c r="J1441" s="2" t="str">
        <f t="array" ref="J1441">_xlfn.XLOOKUP(A1441,Productos!$A$2:$A$61,Productos!$B$2:$F$61)</f>
        <v>#N/A</v>
      </c>
    </row>
    <row r="1442">
      <c r="A1442" s="2" t="str">
        <f>IFERROR(__xludf.DUMMYFUNCTION("""COMPUTED_VALUE"""),"PR009")</f>
        <v>PR009</v>
      </c>
      <c r="B1442" s="2" t="str">
        <f>IFERROR(__xludf.DUMMYFUNCTION("""COMPUTED_VALUE"""),"VD011")</f>
        <v>VD011</v>
      </c>
      <c r="C1442" s="2">
        <f>IFERROR(__xludf.DUMMYFUNCTION("""COMPUTED_VALUE"""),14.0)</f>
        <v>14</v>
      </c>
      <c r="D1442" s="6">
        <f>IFERROR(__xludf.DUMMYFUNCTION("""COMPUTED_VALUE"""),1365.63)</f>
        <v>1365.63</v>
      </c>
      <c r="E1442" s="6">
        <f>IFERROR(__xludf.DUMMYFUNCTION("GOOGLEFINANCE(""Currency:BRLMXN"")*D1442"),4639.04511)</f>
        <v>4639.04511</v>
      </c>
      <c r="F1442" s="6">
        <f>IFERROR(__xludf.DUMMYFUNCTION("GOOGLEFINANCE(""Currency:BRLPEN"")*D1442"),895.3070280000001)</f>
        <v>895.307028</v>
      </c>
      <c r="G1442" s="2" t="str">
        <f t="array" ref="G1442">_xlfn.XLOOKUP(B1442,Vendedores!$A$2:$A$41,Vendedores!$B$2:$B$41,"No hay datos")</f>
        <v>No hay datos</v>
      </c>
      <c r="H1442" s="2" t="str">
        <f t="array" ref="H1442">_xlfn.XLOOKUP(B1442,Vendedores!$A$2:$A$41,Vendedores!$C$2:$C$41,"No hay datos")</f>
        <v>No hay datos</v>
      </c>
      <c r="I1442" s="2" t="str">
        <f t="array" ref="I1442">_xlfn.XLOOKUP(B1442,Vendedores!$A$2:$A$41,Vendedores!$D$2:$D$41,"No hay datos")</f>
        <v>No hay datos</v>
      </c>
      <c r="J1442" s="2" t="str">
        <f t="array" ref="J1442">_xlfn.XLOOKUP(A1442,Productos!$A$2:$A$61,Productos!$B$2:$F$61)</f>
        <v>#N/A</v>
      </c>
    </row>
    <row r="1443">
      <c r="A1443" s="2" t="str">
        <f>IFERROR(__xludf.DUMMYFUNCTION("""COMPUTED_VALUE"""),"PR050")</f>
        <v>PR050</v>
      </c>
      <c r="B1443" s="2" t="str">
        <f>IFERROR(__xludf.DUMMYFUNCTION("""COMPUTED_VALUE"""),"VD033")</f>
        <v>VD033</v>
      </c>
      <c r="C1443" s="2">
        <f>IFERROR(__xludf.DUMMYFUNCTION("""COMPUTED_VALUE"""),6.0)</f>
        <v>6</v>
      </c>
      <c r="D1443" s="6">
        <f>IFERROR(__xludf.DUMMYFUNCTION("""COMPUTED_VALUE"""),205.3)</f>
        <v>205.3</v>
      </c>
      <c r="E1443" s="6">
        <f>IFERROR(__xludf.DUMMYFUNCTION("GOOGLEFINANCE(""Currency:BRLMXN"")*D1443"),697.4041)</f>
        <v>697.4041</v>
      </c>
      <c r="F1443" s="6">
        <f>IFERROR(__xludf.DUMMYFUNCTION("GOOGLEFINANCE(""Currency:BRLPEN"")*D1443"),134.59468)</f>
        <v>134.59468</v>
      </c>
      <c r="G1443" s="2" t="str">
        <f t="array" ref="G1443">_xlfn.XLOOKUP(B1443,Vendedores!$A$2:$A$41,Vendedores!$B$2:$B$41,"No hay datos")</f>
        <v>No hay datos</v>
      </c>
      <c r="H1443" s="2" t="str">
        <f t="array" ref="H1443">_xlfn.XLOOKUP(B1443,Vendedores!$A$2:$A$41,Vendedores!$C$2:$C$41,"No hay datos")</f>
        <v>No hay datos</v>
      </c>
      <c r="I1443" s="2" t="str">
        <f t="array" ref="I1443">_xlfn.XLOOKUP(B1443,Vendedores!$A$2:$A$41,Vendedores!$D$2:$D$41,"No hay datos")</f>
        <v>No hay datos</v>
      </c>
      <c r="J1443" s="2" t="str">
        <f t="array" ref="J1443">_xlfn.XLOOKUP(A1443,Productos!$A$2:$A$61,Productos!$B$2:$F$61)</f>
        <v>#N/A</v>
      </c>
    </row>
    <row r="1444">
      <c r="A1444" s="2" t="str">
        <f>IFERROR(__xludf.DUMMYFUNCTION("""COMPUTED_VALUE"""),"PR004")</f>
        <v>PR004</v>
      </c>
      <c r="B1444" s="2" t="str">
        <f>IFERROR(__xludf.DUMMYFUNCTION("""COMPUTED_VALUE"""),"VD021")</f>
        <v>VD021</v>
      </c>
      <c r="C1444" s="2">
        <f>IFERROR(__xludf.DUMMYFUNCTION("""COMPUTED_VALUE"""),8.0)</f>
        <v>8</v>
      </c>
      <c r="D1444" s="6">
        <f>IFERROR(__xludf.DUMMYFUNCTION("""COMPUTED_VALUE"""),1264.4)</f>
        <v>1264.4</v>
      </c>
      <c r="E1444" s="6">
        <f>IFERROR(__xludf.DUMMYFUNCTION("GOOGLEFINANCE(""Currency:BRLMXN"")*D1444"),4295.1668)</f>
        <v>4295.1668</v>
      </c>
      <c r="F1444" s="6">
        <f>IFERROR(__xludf.DUMMYFUNCTION("GOOGLEFINANCE(""Currency:BRLPEN"")*D1444"),828.94064)</f>
        <v>828.94064</v>
      </c>
      <c r="G1444" s="2" t="str">
        <f t="array" ref="G1444">_xlfn.XLOOKUP(B1444,Vendedores!$A$2:$A$41,Vendedores!$B$2:$B$41,"No hay datos")</f>
        <v>No hay datos</v>
      </c>
      <c r="H1444" s="2" t="str">
        <f t="array" ref="H1444">_xlfn.XLOOKUP(B1444,Vendedores!$A$2:$A$41,Vendedores!$C$2:$C$41,"No hay datos")</f>
        <v>No hay datos</v>
      </c>
      <c r="I1444" s="2" t="str">
        <f t="array" ref="I1444">_xlfn.XLOOKUP(B1444,Vendedores!$A$2:$A$41,Vendedores!$D$2:$D$41,"No hay datos")</f>
        <v>No hay datos</v>
      </c>
      <c r="J1444" s="2" t="str">
        <f t="array" ref="J1444">_xlfn.XLOOKUP(A1444,Productos!$A$2:$A$61,Productos!$B$2:$F$61)</f>
        <v>#N/A</v>
      </c>
    </row>
    <row r="1445">
      <c r="A1445" s="2" t="str">
        <f>IFERROR(__xludf.DUMMYFUNCTION("""COMPUTED_VALUE"""),"PR017")</f>
        <v>PR017</v>
      </c>
      <c r="B1445" s="2" t="str">
        <f>IFERROR(__xludf.DUMMYFUNCTION("""COMPUTED_VALUE"""),"VD045")</f>
        <v>VD045</v>
      </c>
      <c r="C1445" s="2">
        <f>IFERROR(__xludf.DUMMYFUNCTION("""COMPUTED_VALUE"""),9.0)</f>
        <v>9</v>
      </c>
      <c r="D1445" s="6">
        <f>IFERROR(__xludf.DUMMYFUNCTION("""COMPUTED_VALUE"""),269.1)</f>
        <v>269.1</v>
      </c>
      <c r="E1445" s="6">
        <f>IFERROR(__xludf.DUMMYFUNCTION("GOOGLEFINANCE(""Currency:BRLMXN"")*D1445"),914.1327)</f>
        <v>914.1327</v>
      </c>
      <c r="F1445" s="6">
        <f>IFERROR(__xludf.DUMMYFUNCTION("GOOGLEFINANCE(""Currency:BRLPEN"")*D1445"),176.42196)</f>
        <v>176.42196</v>
      </c>
      <c r="G1445" s="2" t="str">
        <f t="array" ref="G1445">_xlfn.XLOOKUP(B1445,Vendedores!$A$2:$A$41,Vendedores!$B$2:$B$41,"No hay datos")</f>
        <v>No hay datos</v>
      </c>
      <c r="H1445" s="2" t="str">
        <f t="array" ref="H1445">_xlfn.XLOOKUP(B1445,Vendedores!$A$2:$A$41,Vendedores!$C$2:$C$41,"No hay datos")</f>
        <v>No hay datos</v>
      </c>
      <c r="I1445" s="2" t="str">
        <f t="array" ref="I1445">_xlfn.XLOOKUP(B1445,Vendedores!$A$2:$A$41,Vendedores!$D$2:$D$41,"No hay datos")</f>
        <v>No hay datos</v>
      </c>
      <c r="J1445" s="2" t="str">
        <f t="array" ref="J1445">_xlfn.XLOOKUP(A1445,Productos!$A$2:$A$61,Productos!$B$2:$F$61)</f>
        <v>#N/A</v>
      </c>
    </row>
    <row r="1446">
      <c r="A1446" s="2" t="str">
        <f>IFERROR(__xludf.DUMMYFUNCTION("""COMPUTED_VALUE"""),"PR054")</f>
        <v>PR054</v>
      </c>
      <c r="B1446" s="2" t="str">
        <f>IFERROR(__xludf.DUMMYFUNCTION("""COMPUTED_VALUE"""),"VD049")</f>
        <v>VD049</v>
      </c>
      <c r="C1446" s="2">
        <f>IFERROR(__xludf.DUMMYFUNCTION("""COMPUTED_VALUE"""),8.0)</f>
        <v>8</v>
      </c>
      <c r="D1446" s="6">
        <f>IFERROR(__xludf.DUMMYFUNCTION("""COMPUTED_VALUE"""),403.19)</f>
        <v>403.19</v>
      </c>
      <c r="E1446" s="6">
        <f>IFERROR(__xludf.DUMMYFUNCTION("GOOGLEFINANCE(""Currency:BRLMXN"")*D1446"),1369.63643)</f>
        <v>1369.63643</v>
      </c>
      <c r="F1446" s="6">
        <f>IFERROR(__xludf.DUMMYFUNCTION("GOOGLEFINANCE(""Currency:BRLPEN"")*D1446"),264.331364)</f>
        <v>264.331364</v>
      </c>
      <c r="G1446" s="2" t="str">
        <f t="array" ref="G1446">_xlfn.XLOOKUP(B1446,Vendedores!$A$2:$A$41,Vendedores!$B$2:$B$41,"No hay datos")</f>
        <v>No hay datos</v>
      </c>
      <c r="H1446" s="2" t="str">
        <f t="array" ref="H1446">_xlfn.XLOOKUP(B1446,Vendedores!$A$2:$A$41,Vendedores!$C$2:$C$41,"No hay datos")</f>
        <v>No hay datos</v>
      </c>
      <c r="I1446" s="2" t="str">
        <f t="array" ref="I1446">_xlfn.XLOOKUP(B1446,Vendedores!$A$2:$A$41,Vendedores!$D$2:$D$41,"No hay datos")</f>
        <v>No hay datos</v>
      </c>
      <c r="J1446" s="2" t="str">
        <f t="array" ref="J1446">_xlfn.XLOOKUP(A1446,Productos!$A$2:$A$61,Productos!$B$2:$F$61)</f>
        <v>#N/A</v>
      </c>
    </row>
    <row r="1447">
      <c r="A1447" s="2" t="str">
        <f>IFERROR(__xludf.DUMMYFUNCTION("""COMPUTED_VALUE"""),"PR028")</f>
        <v>PR028</v>
      </c>
      <c r="B1447" s="2" t="str">
        <f>IFERROR(__xludf.DUMMYFUNCTION("""COMPUTED_VALUE"""),"VD033")</f>
        <v>VD033</v>
      </c>
      <c r="C1447" s="2">
        <f>IFERROR(__xludf.DUMMYFUNCTION("""COMPUTED_VALUE"""),8.0)</f>
        <v>8</v>
      </c>
      <c r="D1447" s="6">
        <f>IFERROR(__xludf.DUMMYFUNCTION("""COMPUTED_VALUE"""),2119.15)</f>
        <v>2119.15</v>
      </c>
      <c r="E1447" s="6">
        <f>IFERROR(__xludf.DUMMYFUNCTION("GOOGLEFINANCE(""Currency:BRLMXN"")*D1447"),7198.75255)</f>
        <v>7198.75255</v>
      </c>
      <c r="F1447" s="6">
        <f>IFERROR(__xludf.DUMMYFUNCTION("GOOGLEFINANCE(""Currency:BRLPEN"")*D1447"),1389.31474)</f>
        <v>1389.31474</v>
      </c>
      <c r="G1447" s="2" t="str">
        <f t="array" ref="G1447">_xlfn.XLOOKUP(B1447,Vendedores!$A$2:$A$41,Vendedores!$B$2:$B$41,"No hay datos")</f>
        <v>No hay datos</v>
      </c>
      <c r="H1447" s="2" t="str">
        <f t="array" ref="H1447">_xlfn.XLOOKUP(B1447,Vendedores!$A$2:$A$41,Vendedores!$C$2:$C$41,"No hay datos")</f>
        <v>No hay datos</v>
      </c>
      <c r="I1447" s="2" t="str">
        <f t="array" ref="I1447">_xlfn.XLOOKUP(B1447,Vendedores!$A$2:$A$41,Vendedores!$D$2:$D$41,"No hay datos")</f>
        <v>No hay datos</v>
      </c>
      <c r="J1447" s="2" t="str">
        <f t="array" ref="J1447">_xlfn.XLOOKUP(A1447,Productos!$A$2:$A$61,Productos!$B$2:$F$61)</f>
        <v>#N/A</v>
      </c>
    </row>
    <row r="1448">
      <c r="A1448" s="2" t="str">
        <f>IFERROR(__xludf.DUMMYFUNCTION("""COMPUTED_VALUE"""),"PR037")</f>
        <v>PR037</v>
      </c>
      <c r="B1448" s="2" t="str">
        <f>IFERROR(__xludf.DUMMYFUNCTION("""COMPUTED_VALUE"""),"VD024")</f>
        <v>VD024</v>
      </c>
      <c r="C1448" s="2">
        <f>IFERROR(__xludf.DUMMYFUNCTION("""COMPUTED_VALUE"""),6.0)</f>
        <v>6</v>
      </c>
      <c r="D1448" s="6">
        <f>IFERROR(__xludf.DUMMYFUNCTION("""COMPUTED_VALUE"""),924.0)</f>
        <v>924</v>
      </c>
      <c r="E1448" s="6">
        <f>IFERROR(__xludf.DUMMYFUNCTION("GOOGLEFINANCE(""Currency:BRLMXN"")*D1448"),3138.828)</f>
        <v>3138.828</v>
      </c>
      <c r="F1448" s="6">
        <f>IFERROR(__xludf.DUMMYFUNCTION("GOOGLEFINANCE(""Currency:BRLPEN"")*D1448"),605.7744)</f>
        <v>605.7744</v>
      </c>
      <c r="G1448" s="2" t="str">
        <f t="array" ref="G1448">_xlfn.XLOOKUP(B1448,Vendedores!$A$2:$A$41,Vendedores!$B$2:$B$41,"No hay datos")</f>
        <v>No hay datos</v>
      </c>
      <c r="H1448" s="2" t="str">
        <f t="array" ref="H1448">_xlfn.XLOOKUP(B1448,Vendedores!$A$2:$A$41,Vendedores!$C$2:$C$41,"No hay datos")</f>
        <v>No hay datos</v>
      </c>
      <c r="I1448" s="2" t="str">
        <f t="array" ref="I1448">_xlfn.XLOOKUP(B1448,Vendedores!$A$2:$A$41,Vendedores!$D$2:$D$41,"No hay datos")</f>
        <v>No hay datos</v>
      </c>
      <c r="J1448" s="2" t="str">
        <f t="array" ref="J1448">_xlfn.XLOOKUP(A1448,Productos!$A$2:$A$61,Productos!$B$2:$F$61)</f>
        <v>#N/A</v>
      </c>
    </row>
    <row r="1449">
      <c r="A1449" s="2" t="str">
        <f>IFERROR(__xludf.DUMMYFUNCTION("""COMPUTED_VALUE"""),"PR011")</f>
        <v>PR011</v>
      </c>
      <c r="B1449" s="2" t="str">
        <f>IFERROR(__xludf.DUMMYFUNCTION("""COMPUTED_VALUE"""),"VD012")</f>
        <v>VD012</v>
      </c>
      <c r="C1449" s="2">
        <f>IFERROR(__xludf.DUMMYFUNCTION("""COMPUTED_VALUE"""),3.0)</f>
        <v>3</v>
      </c>
      <c r="D1449" s="6">
        <f>IFERROR(__xludf.DUMMYFUNCTION("""COMPUTED_VALUE"""),143.51)</f>
        <v>143.51</v>
      </c>
      <c r="E1449" s="6">
        <f>IFERROR(__xludf.DUMMYFUNCTION("GOOGLEFINANCE(""Currency:BRLMXN"")*D1449"),487.50346999999994)</f>
        <v>487.50347</v>
      </c>
      <c r="F1449" s="6">
        <f>IFERROR(__xludf.DUMMYFUNCTION("GOOGLEFINANCE(""Currency:BRLPEN"")*D1449"),94.08515599999998)</f>
        <v>94.085156</v>
      </c>
      <c r="G1449" s="2" t="str">
        <f t="array" ref="G1449">_xlfn.XLOOKUP(B1449,Vendedores!$A$2:$A$41,Vendedores!$B$2:$B$41,"No hay datos")</f>
        <v>No hay datos</v>
      </c>
      <c r="H1449" s="2" t="str">
        <f t="array" ref="H1449">_xlfn.XLOOKUP(B1449,Vendedores!$A$2:$A$41,Vendedores!$C$2:$C$41,"No hay datos")</f>
        <v>No hay datos</v>
      </c>
      <c r="I1449" s="2" t="str">
        <f t="array" ref="I1449">_xlfn.XLOOKUP(B1449,Vendedores!$A$2:$A$41,Vendedores!$D$2:$D$41,"No hay datos")</f>
        <v>No hay datos</v>
      </c>
      <c r="J1449" s="2" t="str">
        <f t="array" ref="J1449">_xlfn.XLOOKUP(A1449,Productos!$A$2:$A$61,Productos!$B$2:$F$61)</f>
        <v>#N/A</v>
      </c>
    </row>
    <row r="1450">
      <c r="A1450" s="2" t="str">
        <f>IFERROR(__xludf.DUMMYFUNCTION("""COMPUTED_VALUE"""),"PR047")</f>
        <v>PR047</v>
      </c>
      <c r="B1450" s="2" t="str">
        <f>IFERROR(__xludf.DUMMYFUNCTION("""COMPUTED_VALUE"""),"VD037")</f>
        <v>VD037</v>
      </c>
      <c r="C1450" s="2">
        <f>IFERROR(__xludf.DUMMYFUNCTION("""COMPUTED_VALUE"""),6.0)</f>
        <v>6</v>
      </c>
      <c r="D1450" s="6">
        <f>IFERROR(__xludf.DUMMYFUNCTION("""COMPUTED_VALUE"""),1808.98)</f>
        <v>1808.98</v>
      </c>
      <c r="E1450" s="6">
        <f>IFERROR(__xludf.DUMMYFUNCTION("GOOGLEFINANCE(""Currency:BRLMXN"")*D1450"),6145.10506)</f>
        <v>6145.10506</v>
      </c>
      <c r="F1450" s="6">
        <f>IFERROR(__xludf.DUMMYFUNCTION("GOOGLEFINANCE(""Currency:BRLPEN"")*D1450"),1185.967288)</f>
        <v>1185.967288</v>
      </c>
      <c r="G1450" s="2" t="str">
        <f t="array" ref="G1450">_xlfn.XLOOKUP(B1450,Vendedores!$A$2:$A$41,Vendedores!$B$2:$B$41,"No hay datos")</f>
        <v>No hay datos</v>
      </c>
      <c r="H1450" s="2" t="str">
        <f t="array" ref="H1450">_xlfn.XLOOKUP(B1450,Vendedores!$A$2:$A$41,Vendedores!$C$2:$C$41,"No hay datos")</f>
        <v>No hay datos</v>
      </c>
      <c r="I1450" s="2" t="str">
        <f t="array" ref="I1450">_xlfn.XLOOKUP(B1450,Vendedores!$A$2:$A$41,Vendedores!$D$2:$D$41,"No hay datos")</f>
        <v>No hay datos</v>
      </c>
      <c r="J1450" s="2" t="str">
        <f t="array" ref="J1450">_xlfn.XLOOKUP(A1450,Productos!$A$2:$A$61,Productos!$B$2:$F$61)</f>
        <v>#N/A</v>
      </c>
    </row>
    <row r="1451">
      <c r="A1451" s="2" t="str">
        <f>IFERROR(__xludf.DUMMYFUNCTION("""COMPUTED_VALUE"""),"PR036")</f>
        <v>PR036</v>
      </c>
      <c r="B1451" s="2" t="str">
        <f>IFERROR(__xludf.DUMMYFUNCTION("""COMPUTED_VALUE"""),"VD027")</f>
        <v>VD027</v>
      </c>
      <c r="C1451" s="2">
        <f>IFERROR(__xludf.DUMMYFUNCTION("""COMPUTED_VALUE"""),7.0)</f>
        <v>7</v>
      </c>
      <c r="D1451" s="6">
        <f>IFERROR(__xludf.DUMMYFUNCTION("""COMPUTED_VALUE"""),693.77)</f>
        <v>693.77</v>
      </c>
      <c r="E1451" s="6">
        <f>IFERROR(__xludf.DUMMYFUNCTION("GOOGLEFINANCE(""Currency:BRLMXN"")*D1451"),2356.7366899999997)</f>
        <v>2356.73669</v>
      </c>
      <c r="F1451" s="6">
        <f>IFERROR(__xludf.DUMMYFUNCTION("GOOGLEFINANCE(""Currency:BRLPEN"")*D1451"),454.83561199999997)</f>
        <v>454.835612</v>
      </c>
      <c r="G1451" s="2" t="str">
        <f t="array" ref="G1451">_xlfn.XLOOKUP(B1451,Vendedores!$A$2:$A$41,Vendedores!$B$2:$B$41,"No hay datos")</f>
        <v>No hay datos</v>
      </c>
      <c r="H1451" s="2" t="str">
        <f t="array" ref="H1451">_xlfn.XLOOKUP(B1451,Vendedores!$A$2:$A$41,Vendedores!$C$2:$C$41,"No hay datos")</f>
        <v>No hay datos</v>
      </c>
      <c r="I1451" s="2" t="str">
        <f t="array" ref="I1451">_xlfn.XLOOKUP(B1451,Vendedores!$A$2:$A$41,Vendedores!$D$2:$D$41,"No hay datos")</f>
        <v>No hay datos</v>
      </c>
      <c r="J1451" s="2" t="str">
        <f t="array" ref="J1451">_xlfn.XLOOKUP(A1451,Productos!$A$2:$A$61,Productos!$B$2:$F$61)</f>
        <v>#N/A</v>
      </c>
    </row>
    <row r="1452">
      <c r="A1452" s="2" t="str">
        <f>IFERROR(__xludf.DUMMYFUNCTION("""COMPUTED_VALUE"""),"PR027")</f>
        <v>PR027</v>
      </c>
      <c r="B1452" s="2" t="str">
        <f>IFERROR(__xludf.DUMMYFUNCTION("""COMPUTED_VALUE"""),"VD034")</f>
        <v>VD034</v>
      </c>
      <c r="C1452" s="2">
        <f>IFERROR(__xludf.DUMMYFUNCTION("""COMPUTED_VALUE"""),6.0)</f>
        <v>6</v>
      </c>
      <c r="D1452" s="6">
        <f>IFERROR(__xludf.DUMMYFUNCTION("""COMPUTED_VALUE"""),720.0)</f>
        <v>720</v>
      </c>
      <c r="E1452" s="6">
        <f>IFERROR(__xludf.DUMMYFUNCTION("GOOGLEFINANCE(""Currency:BRLMXN"")*D1452"),2445.8399999999997)</f>
        <v>2445.84</v>
      </c>
      <c r="F1452" s="6">
        <f>IFERROR(__xludf.DUMMYFUNCTION("GOOGLEFINANCE(""Currency:BRLPEN"")*D1452"),472.032)</f>
        <v>472.032</v>
      </c>
      <c r="G1452" s="2" t="str">
        <f t="array" ref="G1452">_xlfn.XLOOKUP(B1452,Vendedores!$A$2:$A$41,Vendedores!$B$2:$B$41,"No hay datos")</f>
        <v>No hay datos</v>
      </c>
      <c r="H1452" s="2" t="str">
        <f t="array" ref="H1452">_xlfn.XLOOKUP(B1452,Vendedores!$A$2:$A$41,Vendedores!$C$2:$C$41,"No hay datos")</f>
        <v>No hay datos</v>
      </c>
      <c r="I1452" s="2" t="str">
        <f t="array" ref="I1452">_xlfn.XLOOKUP(B1452,Vendedores!$A$2:$A$41,Vendedores!$D$2:$D$41,"No hay datos")</f>
        <v>No hay datos</v>
      </c>
      <c r="J1452" s="2" t="str">
        <f t="array" ref="J1452">_xlfn.XLOOKUP(A1452,Productos!$A$2:$A$61,Productos!$B$2:$F$61)</f>
        <v>#N/A</v>
      </c>
    </row>
    <row r="1453">
      <c r="A1453" s="2" t="str">
        <f>IFERROR(__xludf.DUMMYFUNCTION("""COMPUTED_VALUE"""),"PR018")</f>
        <v>PR018</v>
      </c>
      <c r="B1453" s="2" t="str">
        <f>IFERROR(__xludf.DUMMYFUNCTION("""COMPUTED_VALUE"""),"VD017")</f>
        <v>VD017</v>
      </c>
      <c r="C1453" s="2">
        <f>IFERROR(__xludf.DUMMYFUNCTION("""COMPUTED_VALUE"""),8.0)</f>
        <v>8</v>
      </c>
      <c r="D1453" s="6">
        <f>IFERROR(__xludf.DUMMYFUNCTION("""COMPUTED_VALUE"""),268.46)</f>
        <v>268.46</v>
      </c>
      <c r="E1453" s="6">
        <f>IFERROR(__xludf.DUMMYFUNCTION("GOOGLEFINANCE(""Currency:BRLMXN"")*D1453"),911.9586199999999)</f>
        <v>911.95862</v>
      </c>
      <c r="F1453" s="6">
        <f>IFERROR(__xludf.DUMMYFUNCTION("GOOGLEFINANCE(""Currency:BRLPEN"")*D1453"),176.00237599999997)</f>
        <v>176.002376</v>
      </c>
      <c r="G1453" s="2" t="str">
        <f t="array" ref="G1453">_xlfn.XLOOKUP(B1453,Vendedores!$A$2:$A$41,Vendedores!$B$2:$B$41,"No hay datos")</f>
        <v>No hay datos</v>
      </c>
      <c r="H1453" s="2" t="str">
        <f t="array" ref="H1453">_xlfn.XLOOKUP(B1453,Vendedores!$A$2:$A$41,Vendedores!$C$2:$C$41,"No hay datos")</f>
        <v>No hay datos</v>
      </c>
      <c r="I1453" s="2" t="str">
        <f t="array" ref="I1453">_xlfn.XLOOKUP(B1453,Vendedores!$A$2:$A$41,Vendedores!$D$2:$D$41,"No hay datos")</f>
        <v>No hay datos</v>
      </c>
      <c r="J1453" s="2" t="str">
        <f t="array" ref="J1453">_xlfn.XLOOKUP(A1453,Productos!$A$2:$A$61,Productos!$B$2:$F$61)</f>
        <v>#N/A</v>
      </c>
    </row>
    <row r="1454">
      <c r="A1454" s="2" t="str">
        <f>IFERROR(__xludf.DUMMYFUNCTION("""COMPUTED_VALUE"""),"PR043")</f>
        <v>PR043</v>
      </c>
      <c r="B1454" s="2" t="str">
        <f>IFERROR(__xludf.DUMMYFUNCTION("""COMPUTED_VALUE"""),"VD038")</f>
        <v>VD038</v>
      </c>
      <c r="C1454" s="2">
        <f>IFERROR(__xludf.DUMMYFUNCTION("""COMPUTED_VALUE"""),14.0)</f>
        <v>14</v>
      </c>
      <c r="D1454" s="6">
        <f>IFERROR(__xludf.DUMMYFUNCTION("""COMPUTED_VALUE"""),1035.3)</f>
        <v>1035.3</v>
      </c>
      <c r="E1454" s="6">
        <f>IFERROR(__xludf.DUMMYFUNCTION("GOOGLEFINANCE(""Currency:BRLMXN"")*D1454"),3516.9140999999995)</f>
        <v>3516.9141</v>
      </c>
      <c r="F1454" s="6">
        <f>IFERROR(__xludf.DUMMYFUNCTION("GOOGLEFINANCE(""Currency:BRLPEN"")*D1454"),678.74268)</f>
        <v>678.74268</v>
      </c>
      <c r="G1454" s="2" t="str">
        <f t="array" ref="G1454">_xlfn.XLOOKUP(B1454,Vendedores!$A$2:$A$41,Vendedores!$B$2:$B$41,"No hay datos")</f>
        <v>No hay datos</v>
      </c>
      <c r="H1454" s="2" t="str">
        <f t="array" ref="H1454">_xlfn.XLOOKUP(B1454,Vendedores!$A$2:$A$41,Vendedores!$C$2:$C$41,"No hay datos")</f>
        <v>No hay datos</v>
      </c>
      <c r="I1454" s="2" t="str">
        <f t="array" ref="I1454">_xlfn.XLOOKUP(B1454,Vendedores!$A$2:$A$41,Vendedores!$D$2:$D$41,"No hay datos")</f>
        <v>No hay datos</v>
      </c>
      <c r="J1454" s="2" t="str">
        <f t="array" ref="J1454">_xlfn.XLOOKUP(A1454,Productos!$A$2:$A$61,Productos!$B$2:$F$61)</f>
        <v>#N/A</v>
      </c>
    </row>
    <row r="1455">
      <c r="A1455" s="2" t="str">
        <f>IFERROR(__xludf.DUMMYFUNCTION("""COMPUTED_VALUE"""),"PR023")</f>
        <v>PR023</v>
      </c>
      <c r="B1455" s="2" t="str">
        <f>IFERROR(__xludf.DUMMYFUNCTION("""COMPUTED_VALUE"""),"VD046")</f>
        <v>VD046</v>
      </c>
      <c r="C1455" s="2">
        <f>IFERROR(__xludf.DUMMYFUNCTION("""COMPUTED_VALUE"""),12.0)</f>
        <v>12</v>
      </c>
      <c r="D1455" s="6">
        <f>IFERROR(__xludf.DUMMYFUNCTION("""COMPUTED_VALUE"""),3058.78)</f>
        <v>3058.78</v>
      </c>
      <c r="E1455" s="6">
        <f>IFERROR(__xludf.DUMMYFUNCTION("GOOGLEFINANCE(""Currency:BRLMXN"")*D1455"),10390.67566)</f>
        <v>10390.67566</v>
      </c>
      <c r="F1455" s="6">
        <f>IFERROR(__xludf.DUMMYFUNCTION("GOOGLEFINANCE(""Currency:BRLPEN"")*D1455"),2005.336168)</f>
        <v>2005.336168</v>
      </c>
      <c r="G1455" s="2" t="str">
        <f t="array" ref="G1455">_xlfn.XLOOKUP(B1455,Vendedores!$A$2:$A$41,Vendedores!$B$2:$B$41,"No hay datos")</f>
        <v>No hay datos</v>
      </c>
      <c r="H1455" s="2" t="str">
        <f t="array" ref="H1455">_xlfn.XLOOKUP(B1455,Vendedores!$A$2:$A$41,Vendedores!$C$2:$C$41,"No hay datos")</f>
        <v>No hay datos</v>
      </c>
      <c r="I1455" s="2" t="str">
        <f t="array" ref="I1455">_xlfn.XLOOKUP(B1455,Vendedores!$A$2:$A$41,Vendedores!$D$2:$D$41,"No hay datos")</f>
        <v>No hay datos</v>
      </c>
      <c r="J1455" s="2" t="str">
        <f t="array" ref="J1455">_xlfn.XLOOKUP(A1455,Productos!$A$2:$A$61,Productos!$B$2:$F$61)</f>
        <v>#N/A</v>
      </c>
    </row>
    <row r="1456">
      <c r="A1456" s="2" t="str">
        <f>IFERROR(__xludf.DUMMYFUNCTION("""COMPUTED_VALUE"""),"PR014")</f>
        <v>PR014</v>
      </c>
      <c r="B1456" s="2" t="str">
        <f>IFERROR(__xludf.DUMMYFUNCTION("""COMPUTED_VALUE"""),"VD019")</f>
        <v>VD019</v>
      </c>
      <c r="C1456" s="2">
        <f>IFERROR(__xludf.DUMMYFUNCTION("""COMPUTED_VALUE"""),18.0)</f>
        <v>18</v>
      </c>
      <c r="D1456" s="6">
        <f>IFERROR(__xludf.DUMMYFUNCTION("""COMPUTED_VALUE"""),718.2)</f>
        <v>718.2</v>
      </c>
      <c r="E1456" s="6">
        <f>IFERROR(__xludf.DUMMYFUNCTION("GOOGLEFINANCE(""Currency:BRLMXN"")*D1456"),2439.7254)</f>
        <v>2439.7254</v>
      </c>
      <c r="F1456" s="6">
        <f>IFERROR(__xludf.DUMMYFUNCTION("GOOGLEFINANCE(""Currency:BRLPEN"")*D1456"),470.85192)</f>
        <v>470.85192</v>
      </c>
      <c r="G1456" s="2" t="str">
        <f t="array" ref="G1456">_xlfn.XLOOKUP(B1456,Vendedores!$A$2:$A$41,Vendedores!$B$2:$B$41,"No hay datos")</f>
        <v>No hay datos</v>
      </c>
      <c r="H1456" s="2" t="str">
        <f t="array" ref="H1456">_xlfn.XLOOKUP(B1456,Vendedores!$A$2:$A$41,Vendedores!$C$2:$C$41,"No hay datos")</f>
        <v>No hay datos</v>
      </c>
      <c r="I1456" s="2" t="str">
        <f t="array" ref="I1456">_xlfn.XLOOKUP(B1456,Vendedores!$A$2:$A$41,Vendedores!$D$2:$D$41,"No hay datos")</f>
        <v>No hay datos</v>
      </c>
      <c r="J1456" s="2" t="str">
        <f t="array" ref="J1456">_xlfn.XLOOKUP(A1456,Productos!$A$2:$A$61,Productos!$B$2:$F$61)</f>
        <v>#N/A</v>
      </c>
    </row>
    <row r="1457">
      <c r="A1457" s="2" t="str">
        <f>IFERROR(__xludf.DUMMYFUNCTION("""COMPUTED_VALUE"""),"PR028")</f>
        <v>PR028</v>
      </c>
      <c r="B1457" s="2" t="str">
        <f>IFERROR(__xludf.DUMMYFUNCTION("""COMPUTED_VALUE"""),"VD029")</f>
        <v>VD029</v>
      </c>
      <c r="C1457" s="2">
        <f>IFERROR(__xludf.DUMMYFUNCTION("""COMPUTED_VALUE"""),9.0)</f>
        <v>9</v>
      </c>
      <c r="D1457" s="6">
        <f>IFERROR(__xludf.DUMMYFUNCTION("""COMPUTED_VALUE"""),2406.54)</f>
        <v>2406.54</v>
      </c>
      <c r="E1457" s="6">
        <f>IFERROR(__xludf.DUMMYFUNCTION("GOOGLEFINANCE(""Currency:BRLMXN"")*D1457"),8175.016379999999)</f>
        <v>8175.01638</v>
      </c>
      <c r="F1457" s="6">
        <f>IFERROR(__xludf.DUMMYFUNCTION("GOOGLEFINANCE(""Currency:BRLPEN"")*D1457"),1577.7276239999999)</f>
        <v>1577.727624</v>
      </c>
      <c r="G1457" s="2" t="str">
        <f t="array" ref="G1457">_xlfn.XLOOKUP(B1457,Vendedores!$A$2:$A$41,Vendedores!$B$2:$B$41,"No hay datos")</f>
        <v>No hay datos</v>
      </c>
      <c r="H1457" s="2" t="str">
        <f t="array" ref="H1457">_xlfn.XLOOKUP(B1457,Vendedores!$A$2:$A$41,Vendedores!$C$2:$C$41,"No hay datos")</f>
        <v>No hay datos</v>
      </c>
      <c r="I1457" s="2" t="str">
        <f t="array" ref="I1457">_xlfn.XLOOKUP(B1457,Vendedores!$A$2:$A$41,Vendedores!$D$2:$D$41,"No hay datos")</f>
        <v>No hay datos</v>
      </c>
      <c r="J1457" s="2" t="str">
        <f t="array" ref="J1457">_xlfn.XLOOKUP(A1457,Productos!$A$2:$A$61,Productos!$B$2:$F$61)</f>
        <v>#N/A</v>
      </c>
    </row>
    <row r="1458">
      <c r="A1458" s="2" t="str">
        <f>IFERROR(__xludf.DUMMYFUNCTION("""COMPUTED_VALUE"""),"PR054")</f>
        <v>PR054</v>
      </c>
      <c r="B1458" s="2" t="str">
        <f>IFERROR(__xludf.DUMMYFUNCTION("""COMPUTED_VALUE"""),"VD015")</f>
        <v>VD015</v>
      </c>
      <c r="C1458" s="2">
        <f>IFERROR(__xludf.DUMMYFUNCTION("""COMPUTED_VALUE"""),2.0)</f>
        <v>2</v>
      </c>
      <c r="D1458" s="6">
        <f>IFERROR(__xludf.DUMMYFUNCTION("""COMPUTED_VALUE"""),100.8)</f>
        <v>100.8</v>
      </c>
      <c r="E1458" s="6">
        <f>IFERROR(__xludf.DUMMYFUNCTION("GOOGLEFINANCE(""Currency:BRLMXN"")*D1458"),342.4176)</f>
        <v>342.4176</v>
      </c>
      <c r="F1458" s="6">
        <f>IFERROR(__xludf.DUMMYFUNCTION("GOOGLEFINANCE(""Currency:BRLPEN"")*D1458"),66.08448)</f>
        <v>66.08448</v>
      </c>
      <c r="G1458" s="2" t="str">
        <f t="array" ref="G1458">_xlfn.XLOOKUP(B1458,Vendedores!$A$2:$A$41,Vendedores!$B$2:$B$41,"No hay datos")</f>
        <v>No hay datos</v>
      </c>
      <c r="H1458" s="2" t="str">
        <f t="array" ref="H1458">_xlfn.XLOOKUP(B1458,Vendedores!$A$2:$A$41,Vendedores!$C$2:$C$41,"No hay datos")</f>
        <v>No hay datos</v>
      </c>
      <c r="I1458" s="2" t="str">
        <f t="array" ref="I1458">_xlfn.XLOOKUP(B1458,Vendedores!$A$2:$A$41,Vendedores!$D$2:$D$41,"No hay datos")</f>
        <v>No hay datos</v>
      </c>
      <c r="J1458" s="2" t="str">
        <f t="array" ref="J1458">_xlfn.XLOOKUP(A1458,Productos!$A$2:$A$61,Productos!$B$2:$F$61)</f>
        <v>#N/A</v>
      </c>
    </row>
    <row r="1459">
      <c r="A1459" s="2" t="str">
        <f>IFERROR(__xludf.DUMMYFUNCTION("""COMPUTED_VALUE"""),"PR010")</f>
        <v>PR010</v>
      </c>
      <c r="B1459" s="2" t="str">
        <f>IFERROR(__xludf.DUMMYFUNCTION("""COMPUTED_VALUE"""),"VD018")</f>
        <v>VD018</v>
      </c>
      <c r="C1459" s="2">
        <f>IFERROR(__xludf.DUMMYFUNCTION("""COMPUTED_VALUE"""),10.0)</f>
        <v>10</v>
      </c>
      <c r="D1459" s="6">
        <f>IFERROR(__xludf.DUMMYFUNCTION("""COMPUTED_VALUE"""),475.94)</f>
        <v>475.94</v>
      </c>
      <c r="E1459" s="6">
        <f>IFERROR(__xludf.DUMMYFUNCTION("GOOGLEFINANCE(""Currency:BRLMXN"")*D1459"),1616.7681799999998)</f>
        <v>1616.76818</v>
      </c>
      <c r="F1459" s="6">
        <f>IFERROR(__xludf.DUMMYFUNCTION("GOOGLEFINANCE(""Currency:BRLPEN"")*D1459"),312.02626399999997)</f>
        <v>312.026264</v>
      </c>
      <c r="G1459" s="2" t="str">
        <f t="array" ref="G1459">_xlfn.XLOOKUP(B1459,Vendedores!$A$2:$A$41,Vendedores!$B$2:$B$41,"No hay datos")</f>
        <v>No hay datos</v>
      </c>
      <c r="H1459" s="2" t="str">
        <f t="array" ref="H1459">_xlfn.XLOOKUP(B1459,Vendedores!$A$2:$A$41,Vendedores!$C$2:$C$41,"No hay datos")</f>
        <v>No hay datos</v>
      </c>
      <c r="I1459" s="2" t="str">
        <f t="array" ref="I1459">_xlfn.XLOOKUP(B1459,Vendedores!$A$2:$A$41,Vendedores!$D$2:$D$41,"No hay datos")</f>
        <v>No hay datos</v>
      </c>
      <c r="J1459" s="2" t="str">
        <f t="array" ref="J1459">_xlfn.XLOOKUP(A1459,Productos!$A$2:$A$61,Productos!$B$2:$F$61)</f>
        <v>#N/A</v>
      </c>
    </row>
    <row r="1460">
      <c r="A1460" s="2" t="str">
        <f>IFERROR(__xludf.DUMMYFUNCTION("""COMPUTED_VALUE"""),"PR042")</f>
        <v>PR042</v>
      </c>
      <c r="B1460" s="2" t="str">
        <f>IFERROR(__xludf.DUMMYFUNCTION("""COMPUTED_VALUE"""),"VD026")</f>
        <v>VD026</v>
      </c>
      <c r="C1460" s="2">
        <f>IFERROR(__xludf.DUMMYFUNCTION("""COMPUTED_VALUE"""),3.0)</f>
        <v>3</v>
      </c>
      <c r="D1460" s="6">
        <f>IFERROR(__xludf.DUMMYFUNCTION("""COMPUTED_VALUE"""),164.7)</f>
        <v>164.7</v>
      </c>
      <c r="E1460" s="6">
        <f>IFERROR(__xludf.DUMMYFUNCTION("GOOGLEFINANCE(""Currency:BRLMXN"")*D1460"),559.4858999999999)</f>
        <v>559.4859</v>
      </c>
      <c r="F1460" s="6">
        <f>IFERROR(__xludf.DUMMYFUNCTION("GOOGLEFINANCE(""Currency:BRLPEN"")*D1460"),107.97731999999999)</f>
        <v>107.97732</v>
      </c>
      <c r="G1460" s="2" t="str">
        <f t="array" ref="G1460">_xlfn.XLOOKUP(B1460,Vendedores!$A$2:$A$41,Vendedores!$B$2:$B$41,"No hay datos")</f>
        <v>No hay datos</v>
      </c>
      <c r="H1460" s="2" t="str">
        <f t="array" ref="H1460">_xlfn.XLOOKUP(B1460,Vendedores!$A$2:$A$41,Vendedores!$C$2:$C$41,"No hay datos")</f>
        <v>No hay datos</v>
      </c>
      <c r="I1460" s="2" t="str">
        <f t="array" ref="I1460">_xlfn.XLOOKUP(B1460,Vendedores!$A$2:$A$41,Vendedores!$D$2:$D$41,"No hay datos")</f>
        <v>No hay datos</v>
      </c>
      <c r="J1460" s="2" t="str">
        <f t="array" ref="J1460">_xlfn.XLOOKUP(A1460,Productos!$A$2:$A$61,Productos!$B$2:$F$61)</f>
        <v>#N/A</v>
      </c>
    </row>
    <row r="1461">
      <c r="A1461" s="2" t="str">
        <f>IFERROR(__xludf.DUMMYFUNCTION("""COMPUTED_VALUE"""),"PR039")</f>
        <v>PR039</v>
      </c>
      <c r="B1461" s="2" t="str">
        <f>IFERROR(__xludf.DUMMYFUNCTION("""COMPUTED_VALUE"""),"VD044")</f>
        <v>VD044</v>
      </c>
      <c r="C1461" s="2">
        <f>IFERROR(__xludf.DUMMYFUNCTION("""COMPUTED_VALUE"""),2.0)</f>
        <v>2</v>
      </c>
      <c r="D1461" s="6">
        <f>IFERROR(__xludf.DUMMYFUNCTION("""COMPUTED_VALUE"""),312.44)</f>
        <v>312.44</v>
      </c>
      <c r="E1461" s="6">
        <f>IFERROR(__xludf.DUMMYFUNCTION("GOOGLEFINANCE(""Currency:BRLMXN"")*D1461"),1061.3586799999998)</f>
        <v>1061.35868</v>
      </c>
      <c r="F1461" s="6">
        <f>IFERROR(__xludf.DUMMYFUNCTION("GOOGLEFINANCE(""Currency:BRLPEN"")*D1461"),204.83566399999998)</f>
        <v>204.835664</v>
      </c>
      <c r="G1461" s="2" t="str">
        <f t="array" ref="G1461">_xlfn.XLOOKUP(B1461,Vendedores!$A$2:$A$41,Vendedores!$B$2:$B$41,"No hay datos")</f>
        <v>No hay datos</v>
      </c>
      <c r="H1461" s="2" t="str">
        <f t="array" ref="H1461">_xlfn.XLOOKUP(B1461,Vendedores!$A$2:$A$41,Vendedores!$C$2:$C$41,"No hay datos")</f>
        <v>No hay datos</v>
      </c>
      <c r="I1461" s="2" t="str">
        <f t="array" ref="I1461">_xlfn.XLOOKUP(B1461,Vendedores!$A$2:$A$41,Vendedores!$D$2:$D$41,"No hay datos")</f>
        <v>No hay datos</v>
      </c>
      <c r="J1461" s="2" t="str">
        <f t="array" ref="J1461">_xlfn.XLOOKUP(A1461,Productos!$A$2:$A$61,Productos!$B$2:$F$61)</f>
        <v>#N/A</v>
      </c>
    </row>
    <row r="1462">
      <c r="A1462" s="2" t="str">
        <f>IFERROR(__xludf.DUMMYFUNCTION("""COMPUTED_VALUE"""),"PR010")</f>
        <v>PR010</v>
      </c>
      <c r="B1462" s="2" t="str">
        <f>IFERROR(__xludf.DUMMYFUNCTION("""COMPUTED_VALUE"""),"VD047")</f>
        <v>VD047</v>
      </c>
      <c r="C1462" s="2">
        <f>IFERROR(__xludf.DUMMYFUNCTION("""COMPUTED_VALUE"""),2.0)</f>
        <v>2</v>
      </c>
      <c r="D1462" s="6">
        <f>IFERROR(__xludf.DUMMYFUNCTION("""COMPUTED_VALUE"""),91.6)</f>
        <v>91.6</v>
      </c>
      <c r="E1462" s="6">
        <f>IFERROR(__xludf.DUMMYFUNCTION("GOOGLEFINANCE(""Currency:BRLMXN"")*D1462"),311.16519999999997)</f>
        <v>311.1652</v>
      </c>
      <c r="F1462" s="6">
        <f>IFERROR(__xludf.DUMMYFUNCTION("GOOGLEFINANCE(""Currency:BRLPEN"")*D1462"),60.05295999999999)</f>
        <v>60.05296</v>
      </c>
      <c r="G1462" s="2" t="str">
        <f t="array" ref="G1462">_xlfn.XLOOKUP(B1462,Vendedores!$A$2:$A$41,Vendedores!$B$2:$B$41,"No hay datos")</f>
        <v>No hay datos</v>
      </c>
      <c r="H1462" s="2" t="str">
        <f t="array" ref="H1462">_xlfn.XLOOKUP(B1462,Vendedores!$A$2:$A$41,Vendedores!$C$2:$C$41,"No hay datos")</f>
        <v>No hay datos</v>
      </c>
      <c r="I1462" s="2" t="str">
        <f t="array" ref="I1462">_xlfn.XLOOKUP(B1462,Vendedores!$A$2:$A$41,Vendedores!$D$2:$D$41,"No hay datos")</f>
        <v>No hay datos</v>
      </c>
      <c r="J1462" s="2" t="str">
        <f t="array" ref="J1462">_xlfn.XLOOKUP(A1462,Productos!$A$2:$A$61,Productos!$B$2:$F$61)</f>
        <v>#N/A</v>
      </c>
    </row>
    <row r="1463">
      <c r="A1463" s="2" t="str">
        <f>IFERROR(__xludf.DUMMYFUNCTION("""COMPUTED_VALUE"""),"PR046")</f>
        <v>PR046</v>
      </c>
      <c r="B1463" s="2" t="str">
        <f>IFERROR(__xludf.DUMMYFUNCTION("""COMPUTED_VALUE"""),"VD024")</f>
        <v>VD024</v>
      </c>
      <c r="C1463" s="2">
        <f>IFERROR(__xludf.DUMMYFUNCTION("""COMPUTED_VALUE"""),10.0)</f>
        <v>10</v>
      </c>
      <c r="D1463" s="6">
        <f>IFERROR(__xludf.DUMMYFUNCTION("""COMPUTED_VALUE"""),3043.95)</f>
        <v>3043.95</v>
      </c>
      <c r="E1463" s="6">
        <f>IFERROR(__xludf.DUMMYFUNCTION("GOOGLEFINANCE(""Currency:BRLMXN"")*D1463"),10340.298149999999)</f>
        <v>10340.29815</v>
      </c>
      <c r="F1463" s="6">
        <f>IFERROR(__xludf.DUMMYFUNCTION("GOOGLEFINANCE(""Currency:BRLPEN"")*D1463"),1995.6136199999999)</f>
        <v>1995.61362</v>
      </c>
      <c r="G1463" s="2" t="str">
        <f t="array" ref="G1463">_xlfn.XLOOKUP(B1463,Vendedores!$A$2:$A$41,Vendedores!$B$2:$B$41,"No hay datos")</f>
        <v>No hay datos</v>
      </c>
      <c r="H1463" s="2" t="str">
        <f t="array" ref="H1463">_xlfn.XLOOKUP(B1463,Vendedores!$A$2:$A$41,Vendedores!$C$2:$C$41,"No hay datos")</f>
        <v>No hay datos</v>
      </c>
      <c r="I1463" s="2" t="str">
        <f t="array" ref="I1463">_xlfn.XLOOKUP(B1463,Vendedores!$A$2:$A$41,Vendedores!$D$2:$D$41,"No hay datos")</f>
        <v>No hay datos</v>
      </c>
      <c r="J1463" s="2" t="str">
        <f t="array" ref="J1463">_xlfn.XLOOKUP(A1463,Productos!$A$2:$A$61,Productos!$B$2:$F$61)</f>
        <v>#N/A</v>
      </c>
    </row>
    <row r="1464">
      <c r="A1464" s="2" t="str">
        <f>IFERROR(__xludf.DUMMYFUNCTION("""COMPUTED_VALUE"""),"PR059")</f>
        <v>PR059</v>
      </c>
      <c r="B1464" s="2" t="str">
        <f>IFERROR(__xludf.DUMMYFUNCTION("""COMPUTED_VALUE"""),"VD019")</f>
        <v>VD019</v>
      </c>
      <c r="C1464" s="2">
        <f>IFERROR(__xludf.DUMMYFUNCTION("""COMPUTED_VALUE"""),7.0)</f>
        <v>7</v>
      </c>
      <c r="D1464" s="6">
        <f>IFERROR(__xludf.DUMMYFUNCTION("""COMPUTED_VALUE"""),1285.2)</f>
        <v>1285.2</v>
      </c>
      <c r="E1464" s="6">
        <f>IFERROR(__xludf.DUMMYFUNCTION("GOOGLEFINANCE(""Currency:BRLMXN"")*D1464"),4365.8243999999995)</f>
        <v>4365.8244</v>
      </c>
      <c r="F1464" s="6">
        <f>IFERROR(__xludf.DUMMYFUNCTION("GOOGLEFINANCE(""Currency:BRLPEN"")*D1464"),842.5771199999999)</f>
        <v>842.57712</v>
      </c>
      <c r="G1464" s="2" t="str">
        <f t="array" ref="G1464">_xlfn.XLOOKUP(B1464,Vendedores!$A$2:$A$41,Vendedores!$B$2:$B$41,"No hay datos")</f>
        <v>No hay datos</v>
      </c>
      <c r="H1464" s="2" t="str">
        <f t="array" ref="H1464">_xlfn.XLOOKUP(B1464,Vendedores!$A$2:$A$41,Vendedores!$C$2:$C$41,"No hay datos")</f>
        <v>No hay datos</v>
      </c>
      <c r="I1464" s="2" t="str">
        <f t="array" ref="I1464">_xlfn.XLOOKUP(B1464,Vendedores!$A$2:$A$41,Vendedores!$D$2:$D$41,"No hay datos")</f>
        <v>No hay datos</v>
      </c>
      <c r="J1464" s="2" t="str">
        <f t="array" ref="J1464">_xlfn.XLOOKUP(A1464,Productos!$A$2:$A$61,Productos!$B$2:$F$61)</f>
        <v>#N/A</v>
      </c>
    </row>
    <row r="1465">
      <c r="A1465" s="2" t="str">
        <f>IFERROR(__xludf.DUMMYFUNCTION("""COMPUTED_VALUE"""),"PR048")</f>
        <v>PR048</v>
      </c>
      <c r="B1465" s="2" t="str">
        <f>IFERROR(__xludf.DUMMYFUNCTION("""COMPUTED_VALUE"""),"VD034")</f>
        <v>VD034</v>
      </c>
      <c r="C1465" s="2">
        <f>IFERROR(__xludf.DUMMYFUNCTION("""COMPUTED_VALUE"""),20.0)</f>
        <v>20</v>
      </c>
      <c r="D1465" s="6">
        <f>IFERROR(__xludf.DUMMYFUNCTION("""COMPUTED_VALUE"""),6145.88)</f>
        <v>6145.88</v>
      </c>
      <c r="E1465" s="6">
        <f>IFERROR(__xludf.DUMMYFUNCTION("GOOGLEFINANCE(""Currency:BRLMXN"")*D1465"),20877.55436)</f>
        <v>20877.55436</v>
      </c>
      <c r="F1465" s="6">
        <f>IFERROR(__xludf.DUMMYFUNCTION("GOOGLEFINANCE(""Currency:BRLPEN"")*D1465"),4029.2389279999998)</f>
        <v>4029.238928</v>
      </c>
      <c r="G1465" s="2" t="str">
        <f t="array" ref="G1465">_xlfn.XLOOKUP(B1465,Vendedores!$A$2:$A$41,Vendedores!$B$2:$B$41,"No hay datos")</f>
        <v>No hay datos</v>
      </c>
      <c r="H1465" s="2" t="str">
        <f t="array" ref="H1465">_xlfn.XLOOKUP(B1465,Vendedores!$A$2:$A$41,Vendedores!$C$2:$C$41,"No hay datos")</f>
        <v>No hay datos</v>
      </c>
      <c r="I1465" s="2" t="str">
        <f t="array" ref="I1465">_xlfn.XLOOKUP(B1465,Vendedores!$A$2:$A$41,Vendedores!$D$2:$D$41,"No hay datos")</f>
        <v>No hay datos</v>
      </c>
      <c r="J1465" s="2" t="str">
        <f t="array" ref="J1465">_xlfn.XLOOKUP(A1465,Productos!$A$2:$A$61,Productos!$B$2:$F$61)</f>
        <v>#N/A</v>
      </c>
    </row>
    <row r="1466">
      <c r="A1466" s="2" t="str">
        <f>IFERROR(__xludf.DUMMYFUNCTION("""COMPUTED_VALUE"""),"PR047")</f>
        <v>PR047</v>
      </c>
      <c r="B1466" s="2" t="str">
        <f>IFERROR(__xludf.DUMMYFUNCTION("""COMPUTED_VALUE"""),"VD048")</f>
        <v>VD048</v>
      </c>
      <c r="C1466" s="2">
        <f>IFERROR(__xludf.DUMMYFUNCTION("""COMPUTED_VALUE"""),10.0)</f>
        <v>10</v>
      </c>
      <c r="D1466" s="6">
        <f>IFERROR(__xludf.DUMMYFUNCTION("""COMPUTED_VALUE"""),3159.91)</f>
        <v>3159.91</v>
      </c>
      <c r="E1466" s="6">
        <f>IFERROR(__xludf.DUMMYFUNCTION("GOOGLEFINANCE(""Currency:BRLMXN"")*D1466"),10734.214269999999)</f>
        <v>10734.21427</v>
      </c>
      <c r="F1466" s="6">
        <f>IFERROR(__xludf.DUMMYFUNCTION("GOOGLEFINANCE(""Currency:BRLPEN"")*D1466"),2071.6369959999997)</f>
        <v>2071.636996</v>
      </c>
      <c r="G1466" s="2" t="str">
        <f t="array" ref="G1466">_xlfn.XLOOKUP(B1466,Vendedores!$A$2:$A$41,Vendedores!$B$2:$B$41,"No hay datos")</f>
        <v>No hay datos</v>
      </c>
      <c r="H1466" s="2" t="str">
        <f t="array" ref="H1466">_xlfn.XLOOKUP(B1466,Vendedores!$A$2:$A$41,Vendedores!$C$2:$C$41,"No hay datos")</f>
        <v>No hay datos</v>
      </c>
      <c r="I1466" s="2" t="str">
        <f t="array" ref="I1466">_xlfn.XLOOKUP(B1466,Vendedores!$A$2:$A$41,Vendedores!$D$2:$D$41,"No hay datos")</f>
        <v>No hay datos</v>
      </c>
      <c r="J1466" s="2" t="str">
        <f t="array" ref="J1466">_xlfn.XLOOKUP(A1466,Productos!$A$2:$A$61,Productos!$B$2:$F$61)</f>
        <v>#N/A</v>
      </c>
    </row>
    <row r="1467">
      <c r="A1467" s="2" t="str">
        <f>IFERROR(__xludf.DUMMYFUNCTION("""COMPUTED_VALUE"""),"PR029")</f>
        <v>PR029</v>
      </c>
      <c r="B1467" s="2" t="str">
        <f>IFERROR(__xludf.DUMMYFUNCTION("""COMPUTED_VALUE"""),"VD014")</f>
        <v>VD014</v>
      </c>
      <c r="C1467" s="2">
        <f>IFERROR(__xludf.DUMMYFUNCTION("""COMPUTED_VALUE"""),9.0)</f>
        <v>9</v>
      </c>
      <c r="D1467" s="6">
        <f>IFERROR(__xludf.DUMMYFUNCTION("""COMPUTED_VALUE"""),2340.9)</f>
        <v>2340.9</v>
      </c>
      <c r="E1467" s="6">
        <f>IFERROR(__xludf.DUMMYFUNCTION("GOOGLEFINANCE(""Currency:BRLMXN"")*D1467"),7952.0373)</f>
        <v>7952.0373</v>
      </c>
      <c r="F1467" s="6">
        <f>IFERROR(__xludf.DUMMYFUNCTION("GOOGLEFINANCE(""Currency:BRLPEN"")*D1467"),1534.6940399999999)</f>
        <v>1534.69404</v>
      </c>
      <c r="G1467" s="2" t="str">
        <f t="array" ref="G1467">_xlfn.XLOOKUP(B1467,Vendedores!$A$2:$A$41,Vendedores!$B$2:$B$41,"No hay datos")</f>
        <v>No hay datos</v>
      </c>
      <c r="H1467" s="2" t="str">
        <f t="array" ref="H1467">_xlfn.XLOOKUP(B1467,Vendedores!$A$2:$A$41,Vendedores!$C$2:$C$41,"No hay datos")</f>
        <v>No hay datos</v>
      </c>
      <c r="I1467" s="2" t="str">
        <f t="array" ref="I1467">_xlfn.XLOOKUP(B1467,Vendedores!$A$2:$A$41,Vendedores!$D$2:$D$41,"No hay datos")</f>
        <v>No hay datos</v>
      </c>
      <c r="J1467" s="2" t="str">
        <f t="array" ref="J1467">_xlfn.XLOOKUP(A1467,Productos!$A$2:$A$61,Productos!$B$2:$F$61)</f>
        <v>#N/A</v>
      </c>
    </row>
    <row r="1468">
      <c r="A1468" s="2" t="str">
        <f>IFERROR(__xludf.DUMMYFUNCTION("""COMPUTED_VALUE"""),"PR053")</f>
        <v>PR053</v>
      </c>
      <c r="B1468" s="2" t="str">
        <f>IFERROR(__xludf.DUMMYFUNCTION("""COMPUTED_VALUE"""),"VD043")</f>
        <v>VD043</v>
      </c>
      <c r="C1468" s="2">
        <f>IFERROR(__xludf.DUMMYFUNCTION("""COMPUTED_VALUE"""),6.0)</f>
        <v>6</v>
      </c>
      <c r="D1468" s="6">
        <f>IFERROR(__xludf.DUMMYFUNCTION("""COMPUTED_VALUE"""),299.4)</f>
        <v>299.4</v>
      </c>
      <c r="E1468" s="6">
        <f>IFERROR(__xludf.DUMMYFUNCTION("GOOGLEFINANCE(""Currency:BRLMXN"")*D1468"),1017.0617999999998)</f>
        <v>1017.0618</v>
      </c>
      <c r="F1468" s="6">
        <f>IFERROR(__xludf.DUMMYFUNCTION("GOOGLEFINANCE(""Currency:BRLPEN"")*D1468"),196.28663999999998)</f>
        <v>196.28664</v>
      </c>
      <c r="G1468" s="2" t="str">
        <f t="array" ref="G1468">_xlfn.XLOOKUP(B1468,Vendedores!$A$2:$A$41,Vendedores!$B$2:$B$41,"No hay datos")</f>
        <v>No hay datos</v>
      </c>
      <c r="H1468" s="2" t="str">
        <f t="array" ref="H1468">_xlfn.XLOOKUP(B1468,Vendedores!$A$2:$A$41,Vendedores!$C$2:$C$41,"No hay datos")</f>
        <v>No hay datos</v>
      </c>
      <c r="I1468" s="2" t="str">
        <f t="array" ref="I1468">_xlfn.XLOOKUP(B1468,Vendedores!$A$2:$A$41,Vendedores!$D$2:$D$41,"No hay datos")</f>
        <v>No hay datos</v>
      </c>
      <c r="J1468" s="2" t="str">
        <f t="array" ref="J1468">_xlfn.XLOOKUP(A1468,Productos!$A$2:$A$61,Productos!$B$2:$F$61)</f>
        <v>#N/A</v>
      </c>
    </row>
    <row r="1469">
      <c r="A1469" s="2" t="str">
        <f>IFERROR(__xludf.DUMMYFUNCTION("""COMPUTED_VALUE"""),"PR005")</f>
        <v>PR005</v>
      </c>
      <c r="B1469" s="2" t="str">
        <f>IFERROR(__xludf.DUMMYFUNCTION("""COMPUTED_VALUE"""),"VD047")</f>
        <v>VD047</v>
      </c>
      <c r="C1469" s="2">
        <f>IFERROR(__xludf.DUMMYFUNCTION("""COMPUTED_VALUE"""),2.0)</f>
        <v>2</v>
      </c>
      <c r="D1469" s="6">
        <f>IFERROR(__xludf.DUMMYFUNCTION("""COMPUTED_VALUE"""),556.19)</f>
        <v>556.19</v>
      </c>
      <c r="E1469" s="6">
        <f>IFERROR(__xludf.DUMMYFUNCTION("GOOGLEFINANCE(""Currency:BRLMXN"")*D1469"),1889.37743)</f>
        <v>1889.37743</v>
      </c>
      <c r="F1469" s="6">
        <f>IFERROR(__xludf.DUMMYFUNCTION("GOOGLEFINANCE(""Currency:BRLPEN"")*D1469"),364.638164)</f>
        <v>364.638164</v>
      </c>
      <c r="G1469" s="2" t="str">
        <f t="array" ref="G1469">_xlfn.XLOOKUP(B1469,Vendedores!$A$2:$A$41,Vendedores!$B$2:$B$41,"No hay datos")</f>
        <v>No hay datos</v>
      </c>
      <c r="H1469" s="2" t="str">
        <f t="array" ref="H1469">_xlfn.XLOOKUP(B1469,Vendedores!$A$2:$A$41,Vendedores!$C$2:$C$41,"No hay datos")</f>
        <v>No hay datos</v>
      </c>
      <c r="I1469" s="2" t="str">
        <f t="array" ref="I1469">_xlfn.XLOOKUP(B1469,Vendedores!$A$2:$A$41,Vendedores!$D$2:$D$41,"No hay datos")</f>
        <v>No hay datos</v>
      </c>
      <c r="J1469" s="2" t="str">
        <f t="array" ref="J1469">_xlfn.XLOOKUP(A1469,Productos!$A$2:$A$61,Productos!$B$2:$F$61)</f>
        <v>#N/A</v>
      </c>
    </row>
    <row r="1470">
      <c r="A1470" s="2" t="str">
        <f>IFERROR(__xludf.DUMMYFUNCTION("""COMPUTED_VALUE"""),"PR039")</f>
        <v>PR039</v>
      </c>
      <c r="B1470" s="2" t="str">
        <f>IFERROR(__xludf.DUMMYFUNCTION("""COMPUTED_VALUE"""),"VD020")</f>
        <v>VD020</v>
      </c>
      <c r="C1470" s="2">
        <f>IFERROR(__xludf.DUMMYFUNCTION("""COMPUTED_VALUE"""),2.0)</f>
        <v>2</v>
      </c>
      <c r="D1470" s="6">
        <f>IFERROR(__xludf.DUMMYFUNCTION("""COMPUTED_VALUE"""),292.0)</f>
        <v>292</v>
      </c>
      <c r="E1470" s="6">
        <f>IFERROR(__xludf.DUMMYFUNCTION("GOOGLEFINANCE(""Currency:BRLMXN"")*D1470"),991.924)</f>
        <v>991.924</v>
      </c>
      <c r="F1470" s="6">
        <f>IFERROR(__xludf.DUMMYFUNCTION("GOOGLEFINANCE(""Currency:BRLPEN"")*D1470"),191.43519999999998)</f>
        <v>191.4352</v>
      </c>
      <c r="G1470" s="2" t="str">
        <f t="array" ref="G1470">_xlfn.XLOOKUP(B1470,Vendedores!$A$2:$A$41,Vendedores!$B$2:$B$41,"No hay datos")</f>
        <v>No hay datos</v>
      </c>
      <c r="H1470" s="2" t="str">
        <f t="array" ref="H1470">_xlfn.XLOOKUP(B1470,Vendedores!$A$2:$A$41,Vendedores!$C$2:$C$41,"No hay datos")</f>
        <v>No hay datos</v>
      </c>
      <c r="I1470" s="2" t="str">
        <f t="array" ref="I1470">_xlfn.XLOOKUP(B1470,Vendedores!$A$2:$A$41,Vendedores!$D$2:$D$41,"No hay datos")</f>
        <v>No hay datos</v>
      </c>
      <c r="J1470" s="2" t="str">
        <f t="array" ref="J1470">_xlfn.XLOOKUP(A1470,Productos!$A$2:$A$61,Productos!$B$2:$F$61)</f>
        <v>#N/A</v>
      </c>
    </row>
    <row r="1471">
      <c r="A1471" s="2" t="str">
        <f>IFERROR(__xludf.DUMMYFUNCTION("""COMPUTED_VALUE"""),"PR031")</f>
        <v>PR031</v>
      </c>
      <c r="B1471" s="2" t="str">
        <f>IFERROR(__xludf.DUMMYFUNCTION("""COMPUTED_VALUE"""),"VD031")</f>
        <v>VD031</v>
      </c>
      <c r="C1471" s="2">
        <f>IFERROR(__xludf.DUMMYFUNCTION("""COMPUTED_VALUE"""),8.0)</f>
        <v>8</v>
      </c>
      <c r="D1471" s="6">
        <f>IFERROR(__xludf.DUMMYFUNCTION("""COMPUTED_VALUE"""),2097.2)</f>
        <v>2097.2</v>
      </c>
      <c r="E1471" s="6">
        <f>IFERROR(__xludf.DUMMYFUNCTION("GOOGLEFINANCE(""Currency:BRLMXN"")*D1471"),7124.188399999999)</f>
        <v>7124.1884</v>
      </c>
      <c r="F1471" s="6">
        <f>IFERROR(__xludf.DUMMYFUNCTION("GOOGLEFINANCE(""Currency:BRLPEN"")*D1471"),1374.9243199999999)</f>
        <v>1374.92432</v>
      </c>
      <c r="G1471" s="2" t="str">
        <f t="array" ref="G1471">_xlfn.XLOOKUP(B1471,Vendedores!$A$2:$A$41,Vendedores!$B$2:$B$41,"No hay datos")</f>
        <v>No hay datos</v>
      </c>
      <c r="H1471" s="2" t="str">
        <f t="array" ref="H1471">_xlfn.XLOOKUP(B1471,Vendedores!$A$2:$A$41,Vendedores!$C$2:$C$41,"No hay datos")</f>
        <v>No hay datos</v>
      </c>
      <c r="I1471" s="2" t="str">
        <f t="array" ref="I1471">_xlfn.XLOOKUP(B1471,Vendedores!$A$2:$A$41,Vendedores!$D$2:$D$41,"No hay datos")</f>
        <v>No hay datos</v>
      </c>
      <c r="J1471" s="2" t="str">
        <f t="array" ref="J1471">_xlfn.XLOOKUP(A1471,Productos!$A$2:$A$61,Productos!$B$2:$F$61)</f>
        <v>#N/A</v>
      </c>
    </row>
    <row r="1472">
      <c r="A1472" s="2" t="str">
        <f>IFERROR(__xludf.DUMMYFUNCTION("""COMPUTED_VALUE"""),"PR056")</f>
        <v>PR056</v>
      </c>
      <c r="B1472" s="2" t="str">
        <f>IFERROR(__xludf.DUMMYFUNCTION("""COMPUTED_VALUE"""),"VD022")</f>
        <v>VD022</v>
      </c>
      <c r="C1472" s="2">
        <f>IFERROR(__xludf.DUMMYFUNCTION("""COMPUTED_VALUE"""),10.0)</f>
        <v>10</v>
      </c>
      <c r="D1472" s="6">
        <f>IFERROR(__xludf.DUMMYFUNCTION("""COMPUTED_VALUE"""),961.93)</f>
        <v>961.93</v>
      </c>
      <c r="E1472" s="6">
        <f>IFERROR(__xludf.DUMMYFUNCTION("GOOGLEFINANCE(""Currency:BRLMXN"")*D1472"),3267.6762099999996)</f>
        <v>3267.67621</v>
      </c>
      <c r="F1472" s="6">
        <f>IFERROR(__xludf.DUMMYFUNCTION("GOOGLEFINANCE(""Currency:BRLPEN"")*D1472"),630.641308)</f>
        <v>630.641308</v>
      </c>
      <c r="G1472" s="2" t="str">
        <f t="array" ref="G1472">_xlfn.XLOOKUP(B1472,Vendedores!$A$2:$A$41,Vendedores!$B$2:$B$41,"No hay datos")</f>
        <v>No hay datos</v>
      </c>
      <c r="H1472" s="2" t="str">
        <f t="array" ref="H1472">_xlfn.XLOOKUP(B1472,Vendedores!$A$2:$A$41,Vendedores!$C$2:$C$41,"No hay datos")</f>
        <v>No hay datos</v>
      </c>
      <c r="I1472" s="2" t="str">
        <f t="array" ref="I1472">_xlfn.XLOOKUP(B1472,Vendedores!$A$2:$A$41,Vendedores!$D$2:$D$41,"No hay datos")</f>
        <v>No hay datos</v>
      </c>
      <c r="J1472" s="2" t="str">
        <f t="array" ref="J1472">_xlfn.XLOOKUP(A1472,Productos!$A$2:$A$61,Productos!$B$2:$F$61)</f>
        <v>#N/A</v>
      </c>
    </row>
    <row r="1473">
      <c r="A1473" s="2" t="str">
        <f>IFERROR(__xludf.DUMMYFUNCTION("""COMPUTED_VALUE"""),"PR018")</f>
        <v>PR018</v>
      </c>
      <c r="B1473" s="2" t="str">
        <f>IFERROR(__xludf.DUMMYFUNCTION("""COMPUTED_VALUE"""),"VD025")</f>
        <v>VD025</v>
      </c>
      <c r="C1473" s="2">
        <f>IFERROR(__xludf.DUMMYFUNCTION("""COMPUTED_VALUE"""),2.0)</f>
        <v>2</v>
      </c>
      <c r="D1473" s="6">
        <f>IFERROR(__xludf.DUMMYFUNCTION("""COMPUTED_VALUE"""),70.41)</f>
        <v>70.41</v>
      </c>
      <c r="E1473" s="6">
        <f>IFERROR(__xludf.DUMMYFUNCTION("GOOGLEFINANCE(""Currency:BRLMXN"")*D1473"),239.18276999999998)</f>
        <v>239.18277</v>
      </c>
      <c r="F1473" s="6">
        <f>IFERROR(__xludf.DUMMYFUNCTION("GOOGLEFINANCE(""Currency:BRLPEN"")*D1473"),46.160796)</f>
        <v>46.160796</v>
      </c>
      <c r="G1473" s="2" t="str">
        <f t="array" ref="G1473">_xlfn.XLOOKUP(B1473,Vendedores!$A$2:$A$41,Vendedores!$B$2:$B$41,"No hay datos")</f>
        <v>No hay datos</v>
      </c>
      <c r="H1473" s="2" t="str">
        <f t="array" ref="H1473">_xlfn.XLOOKUP(B1473,Vendedores!$A$2:$A$41,Vendedores!$C$2:$C$41,"No hay datos")</f>
        <v>No hay datos</v>
      </c>
      <c r="I1473" s="2" t="str">
        <f t="array" ref="I1473">_xlfn.XLOOKUP(B1473,Vendedores!$A$2:$A$41,Vendedores!$D$2:$D$41,"No hay datos")</f>
        <v>No hay datos</v>
      </c>
      <c r="J1473" s="2" t="str">
        <f t="array" ref="J1473">_xlfn.XLOOKUP(A1473,Productos!$A$2:$A$61,Productos!$B$2:$F$61)</f>
        <v>#N/A</v>
      </c>
    </row>
    <row r="1474">
      <c r="A1474" s="2" t="str">
        <f>IFERROR(__xludf.DUMMYFUNCTION("""COMPUTED_VALUE"""),"PR055")</f>
        <v>PR055</v>
      </c>
      <c r="B1474" s="2" t="str">
        <f>IFERROR(__xludf.DUMMYFUNCTION("""COMPUTED_VALUE"""),"VD020")</f>
        <v>VD020</v>
      </c>
      <c r="C1474" s="2">
        <f>IFERROR(__xludf.DUMMYFUNCTION("""COMPUTED_VALUE"""),10.0)</f>
        <v>10</v>
      </c>
      <c r="D1474" s="6">
        <f>IFERROR(__xludf.DUMMYFUNCTION("""COMPUTED_VALUE"""),925.97)</f>
        <v>925.97</v>
      </c>
      <c r="E1474" s="6">
        <f>IFERROR(__xludf.DUMMYFUNCTION("GOOGLEFINANCE(""Currency:BRLMXN"")*D1474"),3145.52009)</f>
        <v>3145.52009</v>
      </c>
      <c r="F1474" s="6">
        <f>IFERROR(__xludf.DUMMYFUNCTION("GOOGLEFINANCE(""Currency:BRLPEN"")*D1474"),607.065932)</f>
        <v>607.065932</v>
      </c>
      <c r="G1474" s="2" t="str">
        <f t="array" ref="G1474">_xlfn.XLOOKUP(B1474,Vendedores!$A$2:$A$41,Vendedores!$B$2:$B$41,"No hay datos")</f>
        <v>No hay datos</v>
      </c>
      <c r="H1474" s="2" t="str">
        <f t="array" ref="H1474">_xlfn.XLOOKUP(B1474,Vendedores!$A$2:$A$41,Vendedores!$C$2:$C$41,"No hay datos")</f>
        <v>No hay datos</v>
      </c>
      <c r="I1474" s="2" t="str">
        <f t="array" ref="I1474">_xlfn.XLOOKUP(B1474,Vendedores!$A$2:$A$41,Vendedores!$D$2:$D$41,"No hay datos")</f>
        <v>No hay datos</v>
      </c>
      <c r="J1474" s="2" t="str">
        <f t="array" ref="J1474">_xlfn.XLOOKUP(A1474,Productos!$A$2:$A$61,Productos!$B$2:$F$61)</f>
        <v>#N/A</v>
      </c>
    </row>
    <row r="1475">
      <c r="A1475" s="2" t="str">
        <f>IFERROR(__xludf.DUMMYFUNCTION("""COMPUTED_VALUE"""),"PR047")</f>
        <v>PR047</v>
      </c>
      <c r="B1475" s="2" t="str">
        <f>IFERROR(__xludf.DUMMYFUNCTION("""COMPUTED_VALUE"""),"VD046")</f>
        <v>VD046</v>
      </c>
      <c r="C1475" s="2">
        <f>IFERROR(__xludf.DUMMYFUNCTION("""COMPUTED_VALUE"""),2.0)</f>
        <v>2</v>
      </c>
      <c r="D1475" s="6">
        <f>IFERROR(__xludf.DUMMYFUNCTION("""COMPUTED_VALUE"""),585.6)</f>
        <v>585.6</v>
      </c>
      <c r="E1475" s="6">
        <f>IFERROR(__xludf.DUMMYFUNCTION("GOOGLEFINANCE(""Currency:BRLMXN"")*D1475"),1989.2831999999999)</f>
        <v>1989.2832</v>
      </c>
      <c r="F1475" s="6">
        <f>IFERROR(__xludf.DUMMYFUNCTION("GOOGLEFINANCE(""Currency:BRLPEN"")*D1475"),383.91936)</f>
        <v>383.91936</v>
      </c>
      <c r="G1475" s="2" t="str">
        <f t="array" ref="G1475">_xlfn.XLOOKUP(B1475,Vendedores!$A$2:$A$41,Vendedores!$B$2:$B$41,"No hay datos")</f>
        <v>No hay datos</v>
      </c>
      <c r="H1475" s="2" t="str">
        <f t="array" ref="H1475">_xlfn.XLOOKUP(B1475,Vendedores!$A$2:$A$41,Vendedores!$C$2:$C$41,"No hay datos")</f>
        <v>No hay datos</v>
      </c>
      <c r="I1475" s="2" t="str">
        <f t="array" ref="I1475">_xlfn.XLOOKUP(B1475,Vendedores!$A$2:$A$41,Vendedores!$D$2:$D$41,"No hay datos")</f>
        <v>No hay datos</v>
      </c>
      <c r="J1475" s="2" t="str">
        <f t="array" ref="J1475">_xlfn.XLOOKUP(A1475,Productos!$A$2:$A$61,Productos!$B$2:$F$61)</f>
        <v>#N/A</v>
      </c>
    </row>
    <row r="1476">
      <c r="A1476" s="2" t="str">
        <f>IFERROR(__xludf.DUMMYFUNCTION("""COMPUTED_VALUE"""),"PR027")</f>
        <v>PR027</v>
      </c>
      <c r="B1476" s="2" t="str">
        <f>IFERROR(__xludf.DUMMYFUNCTION("""COMPUTED_VALUE"""),"VD044")</f>
        <v>VD044</v>
      </c>
      <c r="C1476" s="2">
        <f>IFERROR(__xludf.DUMMYFUNCTION("""COMPUTED_VALUE"""),8.0)</f>
        <v>8</v>
      </c>
      <c r="D1476" s="6">
        <f>IFERROR(__xludf.DUMMYFUNCTION("""COMPUTED_VALUE"""),998.4)</f>
        <v>998.4</v>
      </c>
      <c r="E1476" s="6">
        <f>IFERROR(__xludf.DUMMYFUNCTION("GOOGLEFINANCE(""Currency:BRLMXN"")*D1476"),3391.5647999999997)</f>
        <v>3391.5648</v>
      </c>
      <c r="F1476" s="6">
        <f>IFERROR(__xludf.DUMMYFUNCTION("GOOGLEFINANCE(""Currency:BRLPEN"")*D1476"),654.55104)</f>
        <v>654.55104</v>
      </c>
      <c r="G1476" s="2" t="str">
        <f t="array" ref="G1476">_xlfn.XLOOKUP(B1476,Vendedores!$A$2:$A$41,Vendedores!$B$2:$B$41,"No hay datos")</f>
        <v>No hay datos</v>
      </c>
      <c r="H1476" s="2" t="str">
        <f t="array" ref="H1476">_xlfn.XLOOKUP(B1476,Vendedores!$A$2:$A$41,Vendedores!$C$2:$C$41,"No hay datos")</f>
        <v>No hay datos</v>
      </c>
      <c r="I1476" s="2" t="str">
        <f t="array" ref="I1476">_xlfn.XLOOKUP(B1476,Vendedores!$A$2:$A$41,Vendedores!$D$2:$D$41,"No hay datos")</f>
        <v>No hay datos</v>
      </c>
      <c r="J1476" s="2" t="str">
        <f t="array" ref="J1476">_xlfn.XLOOKUP(A1476,Productos!$A$2:$A$61,Productos!$B$2:$F$61)</f>
        <v>#N/A</v>
      </c>
    </row>
    <row r="1477">
      <c r="A1477" s="2" t="str">
        <f>IFERROR(__xludf.DUMMYFUNCTION("""COMPUTED_VALUE"""),"PR047")</f>
        <v>PR047</v>
      </c>
      <c r="B1477" s="2" t="str">
        <f>IFERROR(__xludf.DUMMYFUNCTION("""COMPUTED_VALUE"""),"VD029")</f>
        <v>VD029</v>
      </c>
      <c r="C1477" s="2">
        <f>IFERROR(__xludf.DUMMYFUNCTION("""COMPUTED_VALUE"""),5.0)</f>
        <v>5</v>
      </c>
      <c r="D1477" s="6">
        <f>IFERROR(__xludf.DUMMYFUNCTION("""COMPUTED_VALUE"""),1492.99)</f>
        <v>1492.99</v>
      </c>
      <c r="E1477" s="6">
        <f>IFERROR(__xludf.DUMMYFUNCTION("GOOGLEFINANCE(""Currency:BRLMXN"")*D1477"),5071.68703)</f>
        <v>5071.68703</v>
      </c>
      <c r="F1477" s="6">
        <f>IFERROR(__xludf.DUMMYFUNCTION("GOOGLEFINANCE(""Currency:BRLPEN"")*D1477"),978.8042439999999)</f>
        <v>978.804244</v>
      </c>
      <c r="G1477" s="2" t="str">
        <f t="array" ref="G1477">_xlfn.XLOOKUP(B1477,Vendedores!$A$2:$A$41,Vendedores!$B$2:$B$41,"No hay datos")</f>
        <v>No hay datos</v>
      </c>
      <c r="H1477" s="2" t="str">
        <f t="array" ref="H1477">_xlfn.XLOOKUP(B1477,Vendedores!$A$2:$A$41,Vendedores!$C$2:$C$41,"No hay datos")</f>
        <v>No hay datos</v>
      </c>
      <c r="I1477" s="2" t="str">
        <f t="array" ref="I1477">_xlfn.XLOOKUP(B1477,Vendedores!$A$2:$A$41,Vendedores!$D$2:$D$41,"No hay datos")</f>
        <v>No hay datos</v>
      </c>
      <c r="J1477" s="2" t="str">
        <f t="array" ref="J1477">_xlfn.XLOOKUP(A1477,Productos!$A$2:$A$61,Productos!$B$2:$F$61)</f>
        <v>#N/A</v>
      </c>
    </row>
    <row r="1478">
      <c r="A1478" s="2" t="str">
        <f>IFERROR(__xludf.DUMMYFUNCTION("""COMPUTED_VALUE"""),"PR022")</f>
        <v>PR022</v>
      </c>
      <c r="B1478" s="2" t="str">
        <f>IFERROR(__xludf.DUMMYFUNCTION("""COMPUTED_VALUE"""),"VD021")</f>
        <v>VD021</v>
      </c>
      <c r="C1478" s="2">
        <f>IFERROR(__xludf.DUMMYFUNCTION("""COMPUTED_VALUE"""),2.0)</f>
        <v>2</v>
      </c>
      <c r="D1478" s="6">
        <f>IFERROR(__xludf.DUMMYFUNCTION("""COMPUTED_VALUE"""),636.0)</f>
        <v>636</v>
      </c>
      <c r="E1478" s="6">
        <f>IFERROR(__xludf.DUMMYFUNCTION("GOOGLEFINANCE(""Currency:BRLMXN"")*D1478"),2160.4919999999997)</f>
        <v>2160.492</v>
      </c>
      <c r="F1478" s="6">
        <f>IFERROR(__xludf.DUMMYFUNCTION("GOOGLEFINANCE(""Currency:BRLPEN"")*D1478"),416.9616)</f>
        <v>416.9616</v>
      </c>
      <c r="G1478" s="2" t="str">
        <f t="array" ref="G1478">_xlfn.XLOOKUP(B1478,Vendedores!$A$2:$A$41,Vendedores!$B$2:$B$41,"No hay datos")</f>
        <v>No hay datos</v>
      </c>
      <c r="H1478" s="2" t="str">
        <f t="array" ref="H1478">_xlfn.XLOOKUP(B1478,Vendedores!$A$2:$A$41,Vendedores!$C$2:$C$41,"No hay datos")</f>
        <v>No hay datos</v>
      </c>
      <c r="I1478" s="2" t="str">
        <f t="array" ref="I1478">_xlfn.XLOOKUP(B1478,Vendedores!$A$2:$A$41,Vendedores!$D$2:$D$41,"No hay datos")</f>
        <v>No hay datos</v>
      </c>
      <c r="J1478" s="2" t="str">
        <f t="array" ref="J1478">_xlfn.XLOOKUP(A1478,Productos!$A$2:$A$61,Productos!$B$2:$F$61)</f>
        <v>#N/A</v>
      </c>
    </row>
    <row r="1479">
      <c r="A1479" s="2" t="str">
        <f>IFERROR(__xludf.DUMMYFUNCTION("""COMPUTED_VALUE"""),"PR050")</f>
        <v>PR050</v>
      </c>
      <c r="B1479" s="2" t="str">
        <f>IFERROR(__xludf.DUMMYFUNCTION("""COMPUTED_VALUE"""),"VD010")</f>
        <v>VD010</v>
      </c>
      <c r="C1479" s="2">
        <f>IFERROR(__xludf.DUMMYFUNCTION("""COMPUTED_VALUE"""),16.0)</f>
        <v>16</v>
      </c>
      <c r="D1479" s="6">
        <f>IFERROR(__xludf.DUMMYFUNCTION("""COMPUTED_VALUE"""),573.78)</f>
        <v>573.78</v>
      </c>
      <c r="E1479" s="6">
        <f>IFERROR(__xludf.DUMMYFUNCTION("GOOGLEFINANCE(""Currency:BRLMXN"")*D1479"),1949.1306599999998)</f>
        <v>1949.13066</v>
      </c>
      <c r="F1479" s="6">
        <f>IFERROR(__xludf.DUMMYFUNCTION("GOOGLEFINANCE(""Currency:BRLPEN"")*D1479"),376.17016799999993)</f>
        <v>376.170168</v>
      </c>
      <c r="G1479" s="2" t="str">
        <f t="array" ref="G1479">_xlfn.XLOOKUP(B1479,Vendedores!$A$2:$A$41,Vendedores!$B$2:$B$41,"No hay datos")</f>
        <v>No hay datos</v>
      </c>
      <c r="H1479" s="2" t="str">
        <f t="array" ref="H1479">_xlfn.XLOOKUP(B1479,Vendedores!$A$2:$A$41,Vendedores!$C$2:$C$41,"No hay datos")</f>
        <v>No hay datos</v>
      </c>
      <c r="I1479" s="2" t="str">
        <f t="array" ref="I1479">_xlfn.XLOOKUP(B1479,Vendedores!$A$2:$A$41,Vendedores!$D$2:$D$41,"No hay datos")</f>
        <v>No hay datos</v>
      </c>
      <c r="J1479" s="2" t="str">
        <f t="array" ref="J1479">_xlfn.XLOOKUP(A1479,Productos!$A$2:$A$61,Productos!$B$2:$F$61)</f>
        <v>#N/A</v>
      </c>
    </row>
    <row r="1480">
      <c r="A1480" s="2" t="str">
        <f>IFERROR(__xludf.DUMMYFUNCTION("""COMPUTED_VALUE"""),"PR019")</f>
        <v>PR019</v>
      </c>
      <c r="B1480" s="2" t="str">
        <f>IFERROR(__xludf.DUMMYFUNCTION("""COMPUTED_VALUE"""),"VD030")</f>
        <v>VD030</v>
      </c>
      <c r="C1480" s="2">
        <f>IFERROR(__xludf.DUMMYFUNCTION("""COMPUTED_VALUE"""),18.0)</f>
        <v>18</v>
      </c>
      <c r="D1480" s="6">
        <f>IFERROR(__xludf.DUMMYFUNCTION("""COMPUTED_VALUE"""),934.13)</f>
        <v>934.13</v>
      </c>
      <c r="E1480" s="6">
        <f>IFERROR(__xludf.DUMMYFUNCTION("GOOGLEFINANCE(""Currency:BRLMXN"")*D1480"),3173.2396099999996)</f>
        <v>3173.23961</v>
      </c>
      <c r="F1480" s="6">
        <f>IFERROR(__xludf.DUMMYFUNCTION("GOOGLEFINANCE(""Currency:BRLPEN"")*D1480"),612.415628)</f>
        <v>612.415628</v>
      </c>
      <c r="G1480" s="2" t="str">
        <f t="array" ref="G1480">_xlfn.XLOOKUP(B1480,Vendedores!$A$2:$A$41,Vendedores!$B$2:$B$41,"No hay datos")</f>
        <v>No hay datos</v>
      </c>
      <c r="H1480" s="2" t="str">
        <f t="array" ref="H1480">_xlfn.XLOOKUP(B1480,Vendedores!$A$2:$A$41,Vendedores!$C$2:$C$41,"No hay datos")</f>
        <v>No hay datos</v>
      </c>
      <c r="I1480" s="2" t="str">
        <f t="array" ref="I1480">_xlfn.XLOOKUP(B1480,Vendedores!$A$2:$A$41,Vendedores!$D$2:$D$41,"No hay datos")</f>
        <v>No hay datos</v>
      </c>
      <c r="J1480" s="2" t="str">
        <f t="array" ref="J1480">_xlfn.XLOOKUP(A1480,Productos!$A$2:$A$61,Productos!$B$2:$F$61)</f>
        <v>#N/A</v>
      </c>
    </row>
    <row r="1481">
      <c r="A1481" s="2" t="str">
        <f>IFERROR(__xludf.DUMMYFUNCTION("""COMPUTED_VALUE"""),"PR030")</f>
        <v>PR030</v>
      </c>
      <c r="B1481" s="2" t="str">
        <f>IFERROR(__xludf.DUMMYFUNCTION("""COMPUTED_VALUE"""),"VD043")</f>
        <v>VD043</v>
      </c>
      <c r="C1481" s="2">
        <f>IFERROR(__xludf.DUMMYFUNCTION("""COMPUTED_VALUE"""),18.0)</f>
        <v>18</v>
      </c>
      <c r="D1481" s="6">
        <f>IFERROR(__xludf.DUMMYFUNCTION("""COMPUTED_VALUE"""),4912.11)</f>
        <v>4912.11</v>
      </c>
      <c r="E1481" s="6">
        <f>IFERROR(__xludf.DUMMYFUNCTION("GOOGLEFINANCE(""Currency:BRLMXN"")*D1481"),16686.43767)</f>
        <v>16686.43767</v>
      </c>
      <c r="F1481" s="6">
        <f>IFERROR(__xludf.DUMMYFUNCTION("GOOGLEFINANCE(""Currency:BRLPEN"")*D1481"),3220.3793159999996)</f>
        <v>3220.379316</v>
      </c>
      <c r="G1481" s="2" t="str">
        <f t="array" ref="G1481">_xlfn.XLOOKUP(B1481,Vendedores!$A$2:$A$41,Vendedores!$B$2:$B$41,"No hay datos")</f>
        <v>No hay datos</v>
      </c>
      <c r="H1481" s="2" t="str">
        <f t="array" ref="H1481">_xlfn.XLOOKUP(B1481,Vendedores!$A$2:$A$41,Vendedores!$C$2:$C$41,"No hay datos")</f>
        <v>No hay datos</v>
      </c>
      <c r="I1481" s="2" t="str">
        <f t="array" ref="I1481">_xlfn.XLOOKUP(B1481,Vendedores!$A$2:$A$41,Vendedores!$D$2:$D$41,"No hay datos")</f>
        <v>No hay datos</v>
      </c>
      <c r="J1481" s="2" t="str">
        <f t="array" ref="J1481">_xlfn.XLOOKUP(A1481,Productos!$A$2:$A$61,Productos!$B$2:$F$61)</f>
        <v>#N/A</v>
      </c>
    </row>
    <row r="1482">
      <c r="A1482" s="2" t="str">
        <f>IFERROR(__xludf.DUMMYFUNCTION("""COMPUTED_VALUE"""),"PR030")</f>
        <v>PR030</v>
      </c>
      <c r="B1482" s="2" t="str">
        <f>IFERROR(__xludf.DUMMYFUNCTION("""COMPUTED_VALUE"""),"VD021")</f>
        <v>VD021</v>
      </c>
      <c r="C1482" s="2">
        <f>IFERROR(__xludf.DUMMYFUNCTION("""COMPUTED_VALUE"""),12.0)</f>
        <v>12</v>
      </c>
      <c r="D1482" s="6">
        <f>IFERROR(__xludf.DUMMYFUNCTION("""COMPUTED_VALUE"""),3181.18)</f>
        <v>3181.18</v>
      </c>
      <c r="E1482" s="6">
        <f>IFERROR(__xludf.DUMMYFUNCTION("GOOGLEFINANCE(""Currency:BRLMXN"")*D1482"),10806.468459999998)</f>
        <v>10806.46846</v>
      </c>
      <c r="F1482" s="6">
        <f>IFERROR(__xludf.DUMMYFUNCTION("GOOGLEFINANCE(""Currency:BRLPEN"")*D1482"),2085.581608)</f>
        <v>2085.581608</v>
      </c>
      <c r="G1482" s="2" t="str">
        <f t="array" ref="G1482">_xlfn.XLOOKUP(B1482,Vendedores!$A$2:$A$41,Vendedores!$B$2:$B$41,"No hay datos")</f>
        <v>No hay datos</v>
      </c>
      <c r="H1482" s="2" t="str">
        <f t="array" ref="H1482">_xlfn.XLOOKUP(B1482,Vendedores!$A$2:$A$41,Vendedores!$C$2:$C$41,"No hay datos")</f>
        <v>No hay datos</v>
      </c>
      <c r="I1482" s="2" t="str">
        <f t="array" ref="I1482">_xlfn.XLOOKUP(B1482,Vendedores!$A$2:$A$41,Vendedores!$D$2:$D$41,"No hay datos")</f>
        <v>No hay datos</v>
      </c>
      <c r="J1482" s="2" t="str">
        <f t="array" ref="J1482">_xlfn.XLOOKUP(A1482,Productos!$A$2:$A$61,Productos!$B$2:$F$61)</f>
        <v>#N/A</v>
      </c>
    </row>
    <row r="1483">
      <c r="A1483" s="2" t="str">
        <f>IFERROR(__xludf.DUMMYFUNCTION("""COMPUTED_VALUE"""),"PR026")</f>
        <v>PR026</v>
      </c>
      <c r="B1483" s="2" t="str">
        <f>IFERROR(__xludf.DUMMYFUNCTION("""COMPUTED_VALUE"""),"VD043")</f>
        <v>VD043</v>
      </c>
      <c r="C1483" s="2">
        <f>IFERROR(__xludf.DUMMYFUNCTION("""COMPUTED_VALUE"""),10.0)</f>
        <v>10</v>
      </c>
      <c r="D1483" s="6">
        <f>IFERROR(__xludf.DUMMYFUNCTION("""COMPUTED_VALUE"""),3743.93)</f>
        <v>3743.93</v>
      </c>
      <c r="E1483" s="6">
        <f>IFERROR(__xludf.DUMMYFUNCTION("GOOGLEFINANCE(""Currency:BRLMXN"")*D1483"),12718.13021)</f>
        <v>12718.13021</v>
      </c>
      <c r="F1483" s="6">
        <f>IFERROR(__xludf.DUMMYFUNCTION("GOOGLEFINANCE(""Currency:BRLPEN"")*D1483"),2454.5205079999996)</f>
        <v>2454.520508</v>
      </c>
      <c r="G1483" s="2" t="str">
        <f t="array" ref="G1483">_xlfn.XLOOKUP(B1483,Vendedores!$A$2:$A$41,Vendedores!$B$2:$B$41,"No hay datos")</f>
        <v>No hay datos</v>
      </c>
      <c r="H1483" s="2" t="str">
        <f t="array" ref="H1483">_xlfn.XLOOKUP(B1483,Vendedores!$A$2:$A$41,Vendedores!$C$2:$C$41,"No hay datos")</f>
        <v>No hay datos</v>
      </c>
      <c r="I1483" s="2" t="str">
        <f t="array" ref="I1483">_xlfn.XLOOKUP(B1483,Vendedores!$A$2:$A$41,Vendedores!$D$2:$D$41,"No hay datos")</f>
        <v>No hay datos</v>
      </c>
      <c r="J1483" s="2" t="str">
        <f t="array" ref="J1483">_xlfn.XLOOKUP(A1483,Productos!$A$2:$A$61,Productos!$B$2:$F$61)</f>
        <v>#N/A</v>
      </c>
    </row>
    <row r="1484">
      <c r="A1484" s="2" t="str">
        <f>IFERROR(__xludf.DUMMYFUNCTION("""COMPUTED_VALUE"""),"PR025")</f>
        <v>PR025</v>
      </c>
      <c r="B1484" s="2" t="str">
        <f>IFERROR(__xludf.DUMMYFUNCTION("""COMPUTED_VALUE"""),"VD021")</f>
        <v>VD021</v>
      </c>
      <c r="C1484" s="2">
        <f>IFERROR(__xludf.DUMMYFUNCTION("""COMPUTED_VALUE"""),16.0)</f>
        <v>16</v>
      </c>
      <c r="D1484" s="6">
        <f>IFERROR(__xludf.DUMMYFUNCTION("""COMPUTED_VALUE"""),5182.27)</f>
        <v>5182.27</v>
      </c>
      <c r="E1484" s="6">
        <f>IFERROR(__xludf.DUMMYFUNCTION("GOOGLEFINANCE(""Currency:BRLMXN"")*D1484"),17604.17119)</f>
        <v>17604.17119</v>
      </c>
      <c r="F1484" s="6">
        <f>IFERROR(__xludf.DUMMYFUNCTION("GOOGLEFINANCE(""Currency:BRLPEN"")*D1484"),3397.496212)</f>
        <v>3397.496212</v>
      </c>
      <c r="G1484" s="2" t="str">
        <f t="array" ref="G1484">_xlfn.XLOOKUP(B1484,Vendedores!$A$2:$A$41,Vendedores!$B$2:$B$41,"No hay datos")</f>
        <v>No hay datos</v>
      </c>
      <c r="H1484" s="2" t="str">
        <f t="array" ref="H1484">_xlfn.XLOOKUP(B1484,Vendedores!$A$2:$A$41,Vendedores!$C$2:$C$41,"No hay datos")</f>
        <v>No hay datos</v>
      </c>
      <c r="I1484" s="2" t="str">
        <f t="array" ref="I1484">_xlfn.XLOOKUP(B1484,Vendedores!$A$2:$A$41,Vendedores!$D$2:$D$41,"No hay datos")</f>
        <v>No hay datos</v>
      </c>
      <c r="J1484" s="2" t="str">
        <f t="array" ref="J1484">_xlfn.XLOOKUP(A1484,Productos!$A$2:$A$61,Productos!$B$2:$F$61)</f>
        <v>#N/A</v>
      </c>
    </row>
    <row r="1485">
      <c r="A1485" s="2" t="str">
        <f>IFERROR(__xludf.DUMMYFUNCTION("""COMPUTED_VALUE"""),"PR039")</f>
        <v>PR039</v>
      </c>
      <c r="B1485" s="2" t="str">
        <f>IFERROR(__xludf.DUMMYFUNCTION("""COMPUTED_VALUE"""),"VD019")</f>
        <v>VD019</v>
      </c>
      <c r="C1485" s="2">
        <f>IFERROR(__xludf.DUMMYFUNCTION("""COMPUTED_VALUE"""),20.0)</f>
        <v>20</v>
      </c>
      <c r="D1485" s="6">
        <f>IFERROR(__xludf.DUMMYFUNCTION("""COMPUTED_VALUE"""),3036.8)</f>
        <v>3036.8</v>
      </c>
      <c r="E1485" s="6">
        <f>IFERROR(__xludf.DUMMYFUNCTION("GOOGLEFINANCE(""Currency:BRLMXN"")*D1485"),10316.0096)</f>
        <v>10316.0096</v>
      </c>
      <c r="F1485" s="6">
        <f>IFERROR(__xludf.DUMMYFUNCTION("GOOGLEFINANCE(""Currency:BRLPEN"")*D1485"),1990.92608)</f>
        <v>1990.92608</v>
      </c>
      <c r="G1485" s="2" t="str">
        <f t="array" ref="G1485">_xlfn.XLOOKUP(B1485,Vendedores!$A$2:$A$41,Vendedores!$B$2:$B$41,"No hay datos")</f>
        <v>No hay datos</v>
      </c>
      <c r="H1485" s="2" t="str">
        <f t="array" ref="H1485">_xlfn.XLOOKUP(B1485,Vendedores!$A$2:$A$41,Vendedores!$C$2:$C$41,"No hay datos")</f>
        <v>No hay datos</v>
      </c>
      <c r="I1485" s="2" t="str">
        <f t="array" ref="I1485">_xlfn.XLOOKUP(B1485,Vendedores!$A$2:$A$41,Vendedores!$D$2:$D$41,"No hay datos")</f>
        <v>No hay datos</v>
      </c>
      <c r="J1485" s="2" t="str">
        <f t="array" ref="J1485">_xlfn.XLOOKUP(A1485,Productos!$A$2:$A$61,Productos!$B$2:$F$61)</f>
        <v>#N/A</v>
      </c>
    </row>
    <row r="1486">
      <c r="A1486" s="2" t="str">
        <f>IFERROR(__xludf.DUMMYFUNCTION("""COMPUTED_VALUE"""),"PR046")</f>
        <v>PR046</v>
      </c>
      <c r="B1486" s="2" t="str">
        <f>IFERROR(__xludf.DUMMYFUNCTION("""COMPUTED_VALUE"""),"VD022")</f>
        <v>VD022</v>
      </c>
      <c r="C1486" s="2">
        <f>IFERROR(__xludf.DUMMYFUNCTION("""COMPUTED_VALUE"""),4.0)</f>
        <v>4</v>
      </c>
      <c r="D1486" s="6">
        <f>IFERROR(__xludf.DUMMYFUNCTION("""COMPUTED_VALUE"""),1171.2)</f>
        <v>1171.2</v>
      </c>
      <c r="E1486" s="6">
        <f>IFERROR(__xludf.DUMMYFUNCTION("GOOGLEFINANCE(""Currency:BRLMXN"")*D1486"),3978.5663999999997)</f>
        <v>3978.5664</v>
      </c>
      <c r="F1486" s="6">
        <f>IFERROR(__xludf.DUMMYFUNCTION("GOOGLEFINANCE(""Currency:BRLPEN"")*D1486"),767.83872)</f>
        <v>767.83872</v>
      </c>
      <c r="G1486" s="2" t="str">
        <f t="array" ref="G1486">_xlfn.XLOOKUP(B1486,Vendedores!$A$2:$A$41,Vendedores!$B$2:$B$41,"No hay datos")</f>
        <v>No hay datos</v>
      </c>
      <c r="H1486" s="2" t="str">
        <f t="array" ref="H1486">_xlfn.XLOOKUP(B1486,Vendedores!$A$2:$A$41,Vendedores!$C$2:$C$41,"No hay datos")</f>
        <v>No hay datos</v>
      </c>
      <c r="I1486" s="2" t="str">
        <f t="array" ref="I1486">_xlfn.XLOOKUP(B1486,Vendedores!$A$2:$A$41,Vendedores!$D$2:$D$41,"No hay datos")</f>
        <v>No hay datos</v>
      </c>
      <c r="J1486" s="2" t="str">
        <f t="array" ref="J1486">_xlfn.XLOOKUP(A1486,Productos!$A$2:$A$61,Productos!$B$2:$F$61)</f>
        <v>#N/A</v>
      </c>
    </row>
    <row r="1487">
      <c r="A1487" s="2" t="str">
        <f>IFERROR(__xludf.DUMMYFUNCTION("""COMPUTED_VALUE"""),"PR043")</f>
        <v>PR043</v>
      </c>
      <c r="B1487" s="2" t="str">
        <f>IFERROR(__xludf.DUMMYFUNCTION("""COMPUTED_VALUE"""),"VD016")</f>
        <v>VD016</v>
      </c>
      <c r="C1487" s="2">
        <f>IFERROR(__xludf.DUMMYFUNCTION("""COMPUTED_VALUE"""),20.0)</f>
        <v>20</v>
      </c>
      <c r="D1487" s="6">
        <f>IFERROR(__xludf.DUMMYFUNCTION("""COMPUTED_VALUE"""),1595.0)</f>
        <v>1595</v>
      </c>
      <c r="E1487" s="6">
        <f>IFERROR(__xludf.DUMMYFUNCTION("GOOGLEFINANCE(""Currency:BRLMXN"")*D1487"),5418.214999999999)</f>
        <v>5418.215</v>
      </c>
      <c r="F1487" s="6">
        <f>IFERROR(__xludf.DUMMYFUNCTION("GOOGLEFINANCE(""Currency:BRLPEN"")*D1487"),1045.682)</f>
        <v>1045.682</v>
      </c>
      <c r="G1487" s="2" t="str">
        <f t="array" ref="G1487">_xlfn.XLOOKUP(B1487,Vendedores!$A$2:$A$41,Vendedores!$B$2:$B$41,"No hay datos")</f>
        <v>No hay datos</v>
      </c>
      <c r="H1487" s="2" t="str">
        <f t="array" ref="H1487">_xlfn.XLOOKUP(B1487,Vendedores!$A$2:$A$41,Vendedores!$C$2:$C$41,"No hay datos")</f>
        <v>No hay datos</v>
      </c>
      <c r="I1487" s="2" t="str">
        <f t="array" ref="I1487">_xlfn.XLOOKUP(B1487,Vendedores!$A$2:$A$41,Vendedores!$D$2:$D$41,"No hay datos")</f>
        <v>No hay datos</v>
      </c>
      <c r="J1487" s="2" t="str">
        <f t="array" ref="J1487">_xlfn.XLOOKUP(A1487,Productos!$A$2:$A$61,Productos!$B$2:$F$61)</f>
        <v>#N/A</v>
      </c>
    </row>
    <row r="1488">
      <c r="A1488" s="2" t="str">
        <f>IFERROR(__xludf.DUMMYFUNCTION("""COMPUTED_VALUE"""),"PR048")</f>
        <v>PR048</v>
      </c>
      <c r="B1488" s="2" t="str">
        <f>IFERROR(__xludf.DUMMYFUNCTION("""COMPUTED_VALUE"""),"VD023")</f>
        <v>VD023</v>
      </c>
      <c r="C1488" s="2">
        <f>IFERROR(__xludf.DUMMYFUNCTION("""COMPUTED_VALUE"""),3.0)</f>
        <v>3</v>
      </c>
      <c r="D1488" s="6">
        <f>IFERROR(__xludf.DUMMYFUNCTION("""COMPUTED_VALUE"""),887.09)</f>
        <v>887.09</v>
      </c>
      <c r="E1488" s="6">
        <f>IFERROR(__xludf.DUMMYFUNCTION("GOOGLEFINANCE(""Currency:BRLMXN"")*D1488"),3013.4447299999997)</f>
        <v>3013.44473</v>
      </c>
      <c r="F1488" s="6">
        <f>IFERROR(__xludf.DUMMYFUNCTION("GOOGLEFINANCE(""Currency:BRLPEN"")*D1488"),581.576204)</f>
        <v>581.576204</v>
      </c>
      <c r="G1488" s="2" t="str">
        <f t="array" ref="G1488">_xlfn.XLOOKUP(B1488,Vendedores!$A$2:$A$41,Vendedores!$B$2:$B$41,"No hay datos")</f>
        <v>No hay datos</v>
      </c>
      <c r="H1488" s="2" t="str">
        <f t="array" ref="H1488">_xlfn.XLOOKUP(B1488,Vendedores!$A$2:$A$41,Vendedores!$C$2:$C$41,"No hay datos")</f>
        <v>No hay datos</v>
      </c>
      <c r="I1488" s="2" t="str">
        <f t="array" ref="I1488">_xlfn.XLOOKUP(B1488,Vendedores!$A$2:$A$41,Vendedores!$D$2:$D$41,"No hay datos")</f>
        <v>No hay datos</v>
      </c>
      <c r="J1488" s="2" t="str">
        <f t="array" ref="J1488">_xlfn.XLOOKUP(A1488,Productos!$A$2:$A$61,Productos!$B$2:$F$61)</f>
        <v>#N/A</v>
      </c>
    </row>
    <row r="1489">
      <c r="A1489" s="2" t="str">
        <f>IFERROR(__xludf.DUMMYFUNCTION("""COMPUTED_VALUE"""),"PR039")</f>
        <v>PR039</v>
      </c>
      <c r="B1489" s="2" t="str">
        <f>IFERROR(__xludf.DUMMYFUNCTION("""COMPUTED_VALUE"""),"VD025")</f>
        <v>VD025</v>
      </c>
      <c r="C1489" s="2">
        <f>IFERROR(__xludf.DUMMYFUNCTION("""COMPUTED_VALUE"""),10.0)</f>
        <v>10</v>
      </c>
      <c r="D1489" s="6">
        <f>IFERROR(__xludf.DUMMYFUNCTION("""COMPUTED_VALUE"""),1533.0)</f>
        <v>1533</v>
      </c>
      <c r="E1489" s="6">
        <f>IFERROR(__xludf.DUMMYFUNCTION("GOOGLEFINANCE(""Currency:BRLMXN"")*D1489"),5207.601)</f>
        <v>5207.601</v>
      </c>
      <c r="F1489" s="6">
        <f>IFERROR(__xludf.DUMMYFUNCTION("GOOGLEFINANCE(""Currency:BRLPEN"")*D1489"),1005.0347999999999)</f>
        <v>1005.0348</v>
      </c>
      <c r="G1489" s="2" t="str">
        <f t="array" ref="G1489">_xlfn.XLOOKUP(B1489,Vendedores!$A$2:$A$41,Vendedores!$B$2:$B$41,"No hay datos")</f>
        <v>No hay datos</v>
      </c>
      <c r="H1489" s="2" t="str">
        <f t="array" ref="H1489">_xlfn.XLOOKUP(B1489,Vendedores!$A$2:$A$41,Vendedores!$C$2:$C$41,"No hay datos")</f>
        <v>No hay datos</v>
      </c>
      <c r="I1489" s="2" t="str">
        <f t="array" ref="I1489">_xlfn.XLOOKUP(B1489,Vendedores!$A$2:$A$41,Vendedores!$D$2:$D$41,"No hay datos")</f>
        <v>No hay datos</v>
      </c>
      <c r="J1489" s="2" t="str">
        <f t="array" ref="J1489">_xlfn.XLOOKUP(A1489,Productos!$A$2:$A$61,Productos!$B$2:$F$61)</f>
        <v>#N/A</v>
      </c>
    </row>
    <row r="1490">
      <c r="A1490" s="2" t="str">
        <f>IFERROR(__xludf.DUMMYFUNCTION("""COMPUTED_VALUE"""),"PR060")</f>
        <v>PR060</v>
      </c>
      <c r="B1490" s="2" t="str">
        <f>IFERROR(__xludf.DUMMYFUNCTION("""COMPUTED_VALUE"""),"VD030")</f>
        <v>VD030</v>
      </c>
      <c r="C1490" s="2">
        <f>IFERROR(__xludf.DUMMYFUNCTION("""COMPUTED_VALUE"""),9.0)</f>
        <v>9</v>
      </c>
      <c r="D1490" s="6">
        <f>IFERROR(__xludf.DUMMYFUNCTION("""COMPUTED_VALUE"""),1717.2)</f>
        <v>1717.2</v>
      </c>
      <c r="E1490" s="6">
        <f>IFERROR(__xludf.DUMMYFUNCTION("GOOGLEFINANCE(""Currency:BRLMXN"")*D1490"),5833.328399999999)</f>
        <v>5833.3284</v>
      </c>
      <c r="F1490" s="6">
        <f>IFERROR(__xludf.DUMMYFUNCTION("GOOGLEFINANCE(""Currency:BRLPEN"")*D1490"),1125.79632)</f>
        <v>1125.79632</v>
      </c>
      <c r="G1490" s="2" t="str">
        <f t="array" ref="G1490">_xlfn.XLOOKUP(B1490,Vendedores!$A$2:$A$41,Vendedores!$B$2:$B$41,"No hay datos")</f>
        <v>No hay datos</v>
      </c>
      <c r="H1490" s="2" t="str">
        <f t="array" ref="H1490">_xlfn.XLOOKUP(B1490,Vendedores!$A$2:$A$41,Vendedores!$C$2:$C$41,"No hay datos")</f>
        <v>No hay datos</v>
      </c>
      <c r="I1490" s="2" t="str">
        <f t="array" ref="I1490">_xlfn.XLOOKUP(B1490,Vendedores!$A$2:$A$41,Vendedores!$D$2:$D$41,"No hay datos")</f>
        <v>No hay datos</v>
      </c>
      <c r="J1490" s="2" t="str">
        <f t="array" ref="J1490">_xlfn.XLOOKUP(A1490,Productos!$A$2:$A$61,Productos!$B$2:$F$61)</f>
        <v>#N/A</v>
      </c>
    </row>
    <row r="1491">
      <c r="A1491" s="2" t="str">
        <f>IFERROR(__xludf.DUMMYFUNCTION("""COMPUTED_VALUE"""),"PR053")</f>
        <v>PR053</v>
      </c>
      <c r="B1491" s="2" t="str">
        <f>IFERROR(__xludf.DUMMYFUNCTION("""COMPUTED_VALUE"""),"VD043")</f>
        <v>VD043</v>
      </c>
      <c r="C1491" s="2">
        <f>IFERROR(__xludf.DUMMYFUNCTION("""COMPUTED_VALUE"""),5.0)</f>
        <v>5</v>
      </c>
      <c r="D1491" s="6">
        <f>IFERROR(__xludf.DUMMYFUNCTION("""COMPUTED_VALUE"""),254.49)</f>
        <v>254.49</v>
      </c>
      <c r="E1491" s="6">
        <f>IFERROR(__xludf.DUMMYFUNCTION("GOOGLEFINANCE(""Currency:BRLMXN"")*D1491"),864.50253)</f>
        <v>864.50253</v>
      </c>
      <c r="F1491" s="6">
        <f>IFERROR(__xludf.DUMMYFUNCTION("GOOGLEFINANCE(""Currency:BRLPEN"")*D1491"),166.84364399999998)</f>
        <v>166.843644</v>
      </c>
      <c r="G1491" s="2" t="str">
        <f t="array" ref="G1491">_xlfn.XLOOKUP(B1491,Vendedores!$A$2:$A$41,Vendedores!$B$2:$B$41,"No hay datos")</f>
        <v>No hay datos</v>
      </c>
      <c r="H1491" s="2" t="str">
        <f t="array" ref="H1491">_xlfn.XLOOKUP(B1491,Vendedores!$A$2:$A$41,Vendedores!$C$2:$C$41,"No hay datos")</f>
        <v>No hay datos</v>
      </c>
      <c r="I1491" s="2" t="str">
        <f t="array" ref="I1491">_xlfn.XLOOKUP(B1491,Vendedores!$A$2:$A$41,Vendedores!$D$2:$D$41,"No hay datos")</f>
        <v>No hay datos</v>
      </c>
      <c r="J1491" s="2" t="str">
        <f t="array" ref="J1491">_xlfn.XLOOKUP(A1491,Productos!$A$2:$A$61,Productos!$B$2:$F$61)</f>
        <v>#N/A</v>
      </c>
    </row>
    <row r="1492">
      <c r="A1492" s="2" t="str">
        <f>IFERROR(__xludf.DUMMYFUNCTION("""COMPUTED_VALUE"""),"PR057")</f>
        <v>PR057</v>
      </c>
      <c r="B1492" s="2" t="str">
        <f>IFERROR(__xludf.DUMMYFUNCTION("""COMPUTED_VALUE"""),"VD034")</f>
        <v>VD034</v>
      </c>
      <c r="C1492" s="2">
        <f>IFERROR(__xludf.DUMMYFUNCTION("""COMPUTED_VALUE"""),2.0)</f>
        <v>2</v>
      </c>
      <c r="D1492" s="6">
        <f>IFERROR(__xludf.DUMMYFUNCTION("""COMPUTED_VALUE"""),194.18)</f>
        <v>194.18</v>
      </c>
      <c r="E1492" s="6">
        <f>IFERROR(__xludf.DUMMYFUNCTION("GOOGLEFINANCE(""Currency:BRLMXN"")*D1492"),659.62946)</f>
        <v>659.62946</v>
      </c>
      <c r="F1492" s="6">
        <f>IFERROR(__xludf.DUMMYFUNCTION("GOOGLEFINANCE(""Currency:BRLPEN"")*D1492"),127.304408)</f>
        <v>127.304408</v>
      </c>
      <c r="G1492" s="2" t="str">
        <f t="array" ref="G1492">_xlfn.XLOOKUP(B1492,Vendedores!$A$2:$A$41,Vendedores!$B$2:$B$41,"No hay datos")</f>
        <v>No hay datos</v>
      </c>
      <c r="H1492" s="2" t="str">
        <f t="array" ref="H1492">_xlfn.XLOOKUP(B1492,Vendedores!$A$2:$A$41,Vendedores!$C$2:$C$41,"No hay datos")</f>
        <v>No hay datos</v>
      </c>
      <c r="I1492" s="2" t="str">
        <f t="array" ref="I1492">_xlfn.XLOOKUP(B1492,Vendedores!$A$2:$A$41,Vendedores!$D$2:$D$41,"No hay datos")</f>
        <v>No hay datos</v>
      </c>
      <c r="J1492" s="2" t="str">
        <f t="array" ref="J1492">_xlfn.XLOOKUP(A1492,Productos!$A$2:$A$61,Productos!$B$2:$F$61)</f>
        <v>#N/A</v>
      </c>
    </row>
    <row r="1493">
      <c r="A1493" s="2" t="str">
        <f>IFERROR(__xludf.DUMMYFUNCTION("""COMPUTED_VALUE"""),"PR031")</f>
        <v>PR031</v>
      </c>
      <c r="B1493" s="2" t="str">
        <f>IFERROR(__xludf.DUMMYFUNCTION("""COMPUTED_VALUE"""),"VD046")</f>
        <v>VD046</v>
      </c>
      <c r="C1493" s="2">
        <f>IFERROR(__xludf.DUMMYFUNCTION("""COMPUTED_VALUE"""),5.0)</f>
        <v>5</v>
      </c>
      <c r="D1493" s="6">
        <f>IFERROR(__xludf.DUMMYFUNCTION("""COMPUTED_VALUE"""),1323.0)</f>
        <v>1323</v>
      </c>
      <c r="E1493" s="6">
        <f>IFERROR(__xludf.DUMMYFUNCTION("GOOGLEFINANCE(""Currency:BRLMXN"")*D1493"),4494.231)</f>
        <v>4494.231</v>
      </c>
      <c r="F1493" s="6">
        <f>IFERROR(__xludf.DUMMYFUNCTION("GOOGLEFINANCE(""Currency:BRLPEN"")*D1493"),867.3588)</f>
        <v>867.3588</v>
      </c>
      <c r="G1493" s="2" t="str">
        <f t="array" ref="G1493">_xlfn.XLOOKUP(B1493,Vendedores!$A$2:$A$41,Vendedores!$B$2:$B$41,"No hay datos")</f>
        <v>No hay datos</v>
      </c>
      <c r="H1493" s="2" t="str">
        <f t="array" ref="H1493">_xlfn.XLOOKUP(B1493,Vendedores!$A$2:$A$41,Vendedores!$C$2:$C$41,"No hay datos")</f>
        <v>No hay datos</v>
      </c>
      <c r="I1493" s="2" t="str">
        <f t="array" ref="I1493">_xlfn.XLOOKUP(B1493,Vendedores!$A$2:$A$41,Vendedores!$D$2:$D$41,"No hay datos")</f>
        <v>No hay datos</v>
      </c>
      <c r="J1493" s="2" t="str">
        <f t="array" ref="J1493">_xlfn.XLOOKUP(A1493,Productos!$A$2:$A$61,Productos!$B$2:$F$61)</f>
        <v>#N/A</v>
      </c>
    </row>
    <row r="1494">
      <c r="A1494" s="2" t="str">
        <f>IFERROR(__xludf.DUMMYFUNCTION("""COMPUTED_VALUE"""),"PR025")</f>
        <v>PR025</v>
      </c>
      <c r="B1494" s="2" t="str">
        <f>IFERROR(__xludf.DUMMYFUNCTION("""COMPUTED_VALUE"""),"VD033")</f>
        <v>VD033</v>
      </c>
      <c r="C1494" s="2">
        <f>IFERROR(__xludf.DUMMYFUNCTION("""COMPUTED_VALUE"""),10.0)</f>
        <v>10</v>
      </c>
      <c r="D1494" s="6">
        <f>IFERROR(__xludf.DUMMYFUNCTION("""COMPUTED_VALUE"""),3088.97)</f>
        <v>3088.97</v>
      </c>
      <c r="E1494" s="6">
        <f>IFERROR(__xludf.DUMMYFUNCTION("GOOGLEFINANCE(""Currency:BRLMXN"")*D1494"),10493.23109)</f>
        <v>10493.23109</v>
      </c>
      <c r="F1494" s="6">
        <f>IFERROR(__xludf.DUMMYFUNCTION("GOOGLEFINANCE(""Currency:BRLPEN"")*D1494"),2025.1287319999997)</f>
        <v>2025.128732</v>
      </c>
      <c r="G1494" s="2" t="str">
        <f t="array" ref="G1494">_xlfn.XLOOKUP(B1494,Vendedores!$A$2:$A$41,Vendedores!$B$2:$B$41,"No hay datos")</f>
        <v>No hay datos</v>
      </c>
      <c r="H1494" s="2" t="str">
        <f t="array" ref="H1494">_xlfn.XLOOKUP(B1494,Vendedores!$A$2:$A$41,Vendedores!$C$2:$C$41,"No hay datos")</f>
        <v>No hay datos</v>
      </c>
      <c r="I1494" s="2" t="str">
        <f t="array" ref="I1494">_xlfn.XLOOKUP(B1494,Vendedores!$A$2:$A$41,Vendedores!$D$2:$D$41,"No hay datos")</f>
        <v>No hay datos</v>
      </c>
      <c r="J1494" s="2" t="str">
        <f t="array" ref="J1494">_xlfn.XLOOKUP(A1494,Productos!$A$2:$A$61,Productos!$B$2:$F$61)</f>
        <v>#N/A</v>
      </c>
    </row>
    <row r="1495">
      <c r="A1495" s="2" t="str">
        <f>IFERROR(__xludf.DUMMYFUNCTION("""COMPUTED_VALUE"""),"PR052")</f>
        <v>PR052</v>
      </c>
      <c r="B1495" s="2" t="str">
        <f>IFERROR(__xludf.DUMMYFUNCTION("""COMPUTED_VALUE"""),"VD011")</f>
        <v>VD011</v>
      </c>
      <c r="C1495" s="2">
        <f>IFERROR(__xludf.DUMMYFUNCTION("""COMPUTED_VALUE"""),4.0)</f>
        <v>4</v>
      </c>
      <c r="D1495" s="6">
        <f>IFERROR(__xludf.DUMMYFUNCTION("""COMPUTED_VALUE"""),213.57)</f>
        <v>213.57</v>
      </c>
      <c r="E1495" s="6">
        <f>IFERROR(__xludf.DUMMYFUNCTION("GOOGLEFINANCE(""Currency:BRLMXN"")*D1495"),725.4972899999999)</f>
        <v>725.49729</v>
      </c>
      <c r="F1495" s="6">
        <f>IFERROR(__xludf.DUMMYFUNCTION("GOOGLEFINANCE(""Currency:BRLPEN"")*D1495"),140.016492)</f>
        <v>140.016492</v>
      </c>
      <c r="G1495" s="2" t="str">
        <f t="array" ref="G1495">_xlfn.XLOOKUP(B1495,Vendedores!$A$2:$A$41,Vendedores!$B$2:$B$41,"No hay datos")</f>
        <v>No hay datos</v>
      </c>
      <c r="H1495" s="2" t="str">
        <f t="array" ref="H1495">_xlfn.XLOOKUP(B1495,Vendedores!$A$2:$A$41,Vendedores!$C$2:$C$41,"No hay datos")</f>
        <v>No hay datos</v>
      </c>
      <c r="I1495" s="2" t="str">
        <f t="array" ref="I1495">_xlfn.XLOOKUP(B1495,Vendedores!$A$2:$A$41,Vendedores!$D$2:$D$41,"No hay datos")</f>
        <v>No hay datos</v>
      </c>
      <c r="J1495" s="2" t="str">
        <f t="array" ref="J1495">_xlfn.XLOOKUP(A1495,Productos!$A$2:$A$61,Productos!$B$2:$F$61)</f>
        <v>#N/A</v>
      </c>
    </row>
    <row r="1496">
      <c r="A1496" s="2" t="str">
        <f>IFERROR(__xludf.DUMMYFUNCTION("""COMPUTED_VALUE"""),"PR001")</f>
        <v>PR001</v>
      </c>
      <c r="B1496" s="2" t="str">
        <f>IFERROR(__xludf.DUMMYFUNCTION("""COMPUTED_VALUE"""),"VD037")</f>
        <v>VD037</v>
      </c>
      <c r="C1496" s="2">
        <f>IFERROR(__xludf.DUMMYFUNCTION("""COMPUTED_VALUE"""),6.0)</f>
        <v>6</v>
      </c>
      <c r="D1496" s="6">
        <f>IFERROR(__xludf.DUMMYFUNCTION("""COMPUTED_VALUE"""),399.35)</f>
        <v>399.35</v>
      </c>
      <c r="E1496" s="6">
        <f>IFERROR(__xludf.DUMMYFUNCTION("GOOGLEFINANCE(""Currency:BRLMXN"")*D1496"),1356.59195)</f>
        <v>1356.59195</v>
      </c>
      <c r="F1496" s="6">
        <f>IFERROR(__xludf.DUMMYFUNCTION("GOOGLEFINANCE(""Currency:BRLPEN"")*D1496"),261.81386)</f>
        <v>261.81386</v>
      </c>
      <c r="G1496" s="2" t="str">
        <f t="array" ref="G1496">_xlfn.XLOOKUP(B1496,Vendedores!$A$2:$A$41,Vendedores!$B$2:$B$41,"No hay datos")</f>
        <v>No hay datos</v>
      </c>
      <c r="H1496" s="2" t="str">
        <f t="array" ref="H1496">_xlfn.XLOOKUP(B1496,Vendedores!$A$2:$A$41,Vendedores!$C$2:$C$41,"No hay datos")</f>
        <v>No hay datos</v>
      </c>
      <c r="I1496" s="2" t="str">
        <f t="array" ref="I1496">_xlfn.XLOOKUP(B1496,Vendedores!$A$2:$A$41,Vendedores!$D$2:$D$41,"No hay datos")</f>
        <v>No hay datos</v>
      </c>
      <c r="J1496" s="2" t="str">
        <f t="array" ref="J1496">_xlfn.XLOOKUP(A1496,Productos!$A$2:$A$61,Productos!$B$2:$F$61)</f>
        <v>#N/A</v>
      </c>
    </row>
    <row r="1497">
      <c r="A1497" s="2" t="str">
        <f>IFERROR(__xludf.DUMMYFUNCTION("""COMPUTED_VALUE"""),"PR004")</f>
        <v>PR004</v>
      </c>
      <c r="B1497" s="2" t="str">
        <f>IFERROR(__xludf.DUMMYFUNCTION("""COMPUTED_VALUE"""),"VD041")</f>
        <v>VD041</v>
      </c>
      <c r="C1497" s="2">
        <f>IFERROR(__xludf.DUMMYFUNCTION("""COMPUTED_VALUE"""),18.0)</f>
        <v>18</v>
      </c>
      <c r="D1497" s="6">
        <f>IFERROR(__xludf.DUMMYFUNCTION("""COMPUTED_VALUE"""),2871.0)</f>
        <v>2871</v>
      </c>
      <c r="E1497" s="6">
        <f>IFERROR(__xludf.DUMMYFUNCTION("GOOGLEFINANCE(""Currency:BRLMXN"")*D1497"),9752.787)</f>
        <v>9752.787</v>
      </c>
      <c r="F1497" s="6">
        <f>IFERROR(__xludf.DUMMYFUNCTION("GOOGLEFINANCE(""Currency:BRLPEN"")*D1497"),1882.2276)</f>
        <v>1882.2276</v>
      </c>
      <c r="G1497" s="2" t="str">
        <f t="array" ref="G1497">_xlfn.XLOOKUP(B1497,Vendedores!$A$2:$A$41,Vendedores!$B$2:$B$41,"No hay datos")</f>
        <v>No hay datos</v>
      </c>
      <c r="H1497" s="2" t="str">
        <f t="array" ref="H1497">_xlfn.XLOOKUP(B1497,Vendedores!$A$2:$A$41,Vendedores!$C$2:$C$41,"No hay datos")</f>
        <v>No hay datos</v>
      </c>
      <c r="I1497" s="2" t="str">
        <f t="array" ref="I1497">_xlfn.XLOOKUP(B1497,Vendedores!$A$2:$A$41,Vendedores!$D$2:$D$41,"No hay datos")</f>
        <v>No hay datos</v>
      </c>
      <c r="J1497" s="2" t="str">
        <f t="array" ref="J1497">_xlfn.XLOOKUP(A1497,Productos!$A$2:$A$61,Productos!$B$2:$F$61)</f>
        <v>#N/A</v>
      </c>
    </row>
    <row r="1498">
      <c r="A1498" s="2" t="str">
        <f>IFERROR(__xludf.DUMMYFUNCTION("""COMPUTED_VALUE"""),"PR038")</f>
        <v>PR038</v>
      </c>
      <c r="B1498" s="2" t="str">
        <f>IFERROR(__xludf.DUMMYFUNCTION("""COMPUTED_VALUE"""),"VD010")</f>
        <v>VD010</v>
      </c>
      <c r="C1498" s="2">
        <f>IFERROR(__xludf.DUMMYFUNCTION("""COMPUTED_VALUE"""),5.0)</f>
        <v>5</v>
      </c>
      <c r="D1498" s="6">
        <f>IFERROR(__xludf.DUMMYFUNCTION("""COMPUTED_VALUE"""),714.5)</f>
        <v>714.5</v>
      </c>
      <c r="E1498" s="6">
        <f>IFERROR(__xludf.DUMMYFUNCTION("GOOGLEFINANCE(""Currency:BRLMXN"")*D1498"),2427.1565)</f>
        <v>2427.1565</v>
      </c>
      <c r="F1498" s="6">
        <f>IFERROR(__xludf.DUMMYFUNCTION("GOOGLEFINANCE(""Currency:BRLPEN"")*D1498"),468.4262)</f>
        <v>468.4262</v>
      </c>
      <c r="G1498" s="2" t="str">
        <f t="array" ref="G1498">_xlfn.XLOOKUP(B1498,Vendedores!$A$2:$A$41,Vendedores!$B$2:$B$41,"No hay datos")</f>
        <v>No hay datos</v>
      </c>
      <c r="H1498" s="2" t="str">
        <f t="array" ref="H1498">_xlfn.XLOOKUP(B1498,Vendedores!$A$2:$A$41,Vendedores!$C$2:$C$41,"No hay datos")</f>
        <v>No hay datos</v>
      </c>
      <c r="I1498" s="2" t="str">
        <f t="array" ref="I1498">_xlfn.XLOOKUP(B1498,Vendedores!$A$2:$A$41,Vendedores!$D$2:$D$41,"No hay datos")</f>
        <v>No hay datos</v>
      </c>
      <c r="J1498" s="2" t="str">
        <f t="array" ref="J1498">_xlfn.XLOOKUP(A1498,Productos!$A$2:$A$61,Productos!$B$2:$F$61)</f>
        <v>#N/A</v>
      </c>
    </row>
    <row r="1499">
      <c r="A1499" s="2" t="str">
        <f>IFERROR(__xludf.DUMMYFUNCTION("""COMPUTED_VALUE"""),"PR007")</f>
        <v>PR007</v>
      </c>
      <c r="B1499" s="2" t="str">
        <f>IFERROR(__xludf.DUMMYFUNCTION("""COMPUTED_VALUE"""),"VD011")</f>
        <v>VD011</v>
      </c>
      <c r="C1499" s="2">
        <f>IFERROR(__xludf.DUMMYFUNCTION("""COMPUTED_VALUE"""),2.0)</f>
        <v>2</v>
      </c>
      <c r="D1499" s="6">
        <f>IFERROR(__xludf.DUMMYFUNCTION("""COMPUTED_VALUE"""),180.39)</f>
        <v>180.39</v>
      </c>
      <c r="E1499" s="6">
        <f>IFERROR(__xludf.DUMMYFUNCTION("GOOGLEFINANCE(""Currency:BRLMXN"")*D1499"),612.7848299999999)</f>
        <v>612.78483</v>
      </c>
      <c r="F1499" s="6">
        <f>IFERROR(__xludf.DUMMYFUNCTION("GOOGLEFINANCE(""Currency:BRLPEN"")*D1499"),118.26368399999998)</f>
        <v>118.263684</v>
      </c>
      <c r="G1499" s="2" t="str">
        <f t="array" ref="G1499">_xlfn.XLOOKUP(B1499,Vendedores!$A$2:$A$41,Vendedores!$B$2:$B$41,"No hay datos")</f>
        <v>No hay datos</v>
      </c>
      <c r="H1499" s="2" t="str">
        <f t="array" ref="H1499">_xlfn.XLOOKUP(B1499,Vendedores!$A$2:$A$41,Vendedores!$C$2:$C$41,"No hay datos")</f>
        <v>No hay datos</v>
      </c>
      <c r="I1499" s="2" t="str">
        <f t="array" ref="I1499">_xlfn.XLOOKUP(B1499,Vendedores!$A$2:$A$41,Vendedores!$D$2:$D$41,"No hay datos")</f>
        <v>No hay datos</v>
      </c>
      <c r="J1499" s="2" t="str">
        <f t="array" ref="J1499">_xlfn.XLOOKUP(A1499,Productos!$A$2:$A$61,Productos!$B$2:$F$61)</f>
        <v>#N/A</v>
      </c>
    </row>
    <row r="1500">
      <c r="A1500" s="2" t="str">
        <f>IFERROR(__xludf.DUMMYFUNCTION("""COMPUTED_VALUE"""),"PR018")</f>
        <v>PR018</v>
      </c>
      <c r="B1500" s="2" t="str">
        <f>IFERROR(__xludf.DUMMYFUNCTION("""COMPUTED_VALUE"""),"VD036")</f>
        <v>VD036</v>
      </c>
      <c r="C1500" s="2">
        <f>IFERROR(__xludf.DUMMYFUNCTION("""COMPUTED_VALUE"""),10.0)</f>
        <v>10</v>
      </c>
      <c r="D1500" s="6">
        <f>IFERROR(__xludf.DUMMYFUNCTION("""COMPUTED_VALUE"""),355.32)</f>
        <v>355.32</v>
      </c>
      <c r="E1500" s="6">
        <f>IFERROR(__xludf.DUMMYFUNCTION("GOOGLEFINANCE(""Currency:BRLMXN"")*D1500"),1207.0220399999998)</f>
        <v>1207.02204</v>
      </c>
      <c r="F1500" s="6">
        <f>IFERROR(__xludf.DUMMYFUNCTION("GOOGLEFINANCE(""Currency:BRLPEN"")*D1500"),232.947792)</f>
        <v>232.947792</v>
      </c>
      <c r="G1500" s="2" t="str">
        <f t="array" ref="G1500">_xlfn.XLOOKUP(B1500,Vendedores!$A$2:$A$41,Vendedores!$B$2:$B$41,"No hay datos")</f>
        <v>No hay datos</v>
      </c>
      <c r="H1500" s="2" t="str">
        <f t="array" ref="H1500">_xlfn.XLOOKUP(B1500,Vendedores!$A$2:$A$41,Vendedores!$C$2:$C$41,"No hay datos")</f>
        <v>No hay datos</v>
      </c>
      <c r="I1500" s="2" t="str">
        <f t="array" ref="I1500">_xlfn.XLOOKUP(B1500,Vendedores!$A$2:$A$41,Vendedores!$D$2:$D$41,"No hay datos")</f>
        <v>No hay datos</v>
      </c>
      <c r="J1500" s="2" t="str">
        <f t="array" ref="J1500">_xlfn.XLOOKUP(A1500,Productos!$A$2:$A$61,Productos!$B$2:$F$61)</f>
        <v>#N/A</v>
      </c>
    </row>
    <row r="1501">
      <c r="A1501" s="2" t="str">
        <f>IFERROR(__xludf.DUMMYFUNCTION("""COMPUTED_VALUE"""),"PR039")</f>
        <v>PR039</v>
      </c>
      <c r="B1501" s="2" t="str">
        <f>IFERROR(__xludf.DUMMYFUNCTION("""COMPUTED_VALUE"""),"VD026")</f>
        <v>VD026</v>
      </c>
      <c r="C1501" s="2">
        <f>IFERROR(__xludf.DUMMYFUNCTION("""COMPUTED_VALUE"""),10.0)</f>
        <v>10</v>
      </c>
      <c r="D1501" s="6">
        <f>IFERROR(__xludf.DUMMYFUNCTION("""COMPUTED_VALUE"""),1518.4)</f>
        <v>1518.4</v>
      </c>
      <c r="E1501" s="6">
        <f>IFERROR(__xludf.DUMMYFUNCTION("GOOGLEFINANCE(""Currency:BRLMXN"")*D1501"),5158.0048)</f>
        <v>5158.0048</v>
      </c>
      <c r="F1501" s="6">
        <f>IFERROR(__xludf.DUMMYFUNCTION("GOOGLEFINANCE(""Currency:BRLPEN"")*D1501"),995.46304)</f>
        <v>995.46304</v>
      </c>
      <c r="G1501" s="2" t="str">
        <f t="array" ref="G1501">_xlfn.XLOOKUP(B1501,Vendedores!$A$2:$A$41,Vendedores!$B$2:$B$41,"No hay datos")</f>
        <v>No hay datos</v>
      </c>
      <c r="H1501" s="2" t="str">
        <f t="array" ref="H1501">_xlfn.XLOOKUP(B1501,Vendedores!$A$2:$A$41,Vendedores!$C$2:$C$41,"No hay datos")</f>
        <v>No hay datos</v>
      </c>
      <c r="I1501" s="2" t="str">
        <f t="array" ref="I1501">_xlfn.XLOOKUP(B1501,Vendedores!$A$2:$A$41,Vendedores!$D$2:$D$41,"No hay datos")</f>
        <v>No hay datos</v>
      </c>
      <c r="J1501" s="2" t="str">
        <f t="array" ref="J1501">_xlfn.XLOOKUP(A1501,Productos!$A$2:$A$61,Productos!$B$2:$F$61)</f>
        <v>#N/A</v>
      </c>
    </row>
    <row r="1502">
      <c r="A1502" s="2" t="str">
        <f>IFERROR(__xludf.DUMMYFUNCTION("""COMPUTED_VALUE"""),"PR022")</f>
        <v>PR022</v>
      </c>
      <c r="B1502" s="2" t="str">
        <f>IFERROR(__xludf.DUMMYFUNCTION("""COMPUTED_VALUE"""),"VD041")</f>
        <v>VD041</v>
      </c>
      <c r="C1502" s="2">
        <f>IFERROR(__xludf.DUMMYFUNCTION("""COMPUTED_VALUE"""),9.0)</f>
        <v>9</v>
      </c>
      <c r="D1502" s="6">
        <f>IFERROR(__xludf.DUMMYFUNCTION("""COMPUTED_VALUE"""),2808.0)</f>
        <v>2808</v>
      </c>
      <c r="E1502" s="6">
        <f>IFERROR(__xludf.DUMMYFUNCTION("GOOGLEFINANCE(""Currency:BRLMXN"")*D1502"),9538.776)</f>
        <v>9538.776</v>
      </c>
      <c r="F1502" s="6">
        <f>IFERROR(__xludf.DUMMYFUNCTION("GOOGLEFINANCE(""Currency:BRLPEN"")*D1502"),1840.9247999999998)</f>
        <v>1840.9248</v>
      </c>
      <c r="G1502" s="2" t="str">
        <f t="array" ref="G1502">_xlfn.XLOOKUP(B1502,Vendedores!$A$2:$A$41,Vendedores!$B$2:$B$41,"No hay datos")</f>
        <v>No hay datos</v>
      </c>
      <c r="H1502" s="2" t="str">
        <f t="array" ref="H1502">_xlfn.XLOOKUP(B1502,Vendedores!$A$2:$A$41,Vendedores!$C$2:$C$41,"No hay datos")</f>
        <v>No hay datos</v>
      </c>
      <c r="I1502" s="2" t="str">
        <f t="array" ref="I1502">_xlfn.XLOOKUP(B1502,Vendedores!$A$2:$A$41,Vendedores!$D$2:$D$41,"No hay datos")</f>
        <v>No hay datos</v>
      </c>
      <c r="J1502" s="2" t="str">
        <f t="array" ref="J1502">_xlfn.XLOOKUP(A1502,Productos!$A$2:$A$61,Productos!$B$2:$F$61)</f>
        <v>#N/A</v>
      </c>
    </row>
    <row r="1503">
      <c r="A1503" s="2" t="str">
        <f>IFERROR(__xludf.DUMMYFUNCTION("""COMPUTED_VALUE"""),"PR007")</f>
        <v>PR007</v>
      </c>
      <c r="B1503" s="2" t="str">
        <f>IFERROR(__xludf.DUMMYFUNCTION("""COMPUTED_VALUE"""),"VD020")</f>
        <v>VD020</v>
      </c>
      <c r="C1503" s="2">
        <f>IFERROR(__xludf.DUMMYFUNCTION("""COMPUTED_VALUE"""),18.0)</f>
        <v>18</v>
      </c>
      <c r="D1503" s="6">
        <f>IFERROR(__xludf.DUMMYFUNCTION("""COMPUTED_VALUE"""),1623.51)</f>
        <v>1623.51</v>
      </c>
      <c r="E1503" s="6">
        <f>IFERROR(__xludf.DUMMYFUNCTION("GOOGLEFINANCE(""Currency:BRLMXN"")*D1503"),5515.06347)</f>
        <v>5515.06347</v>
      </c>
      <c r="F1503" s="6">
        <f>IFERROR(__xludf.DUMMYFUNCTION("GOOGLEFINANCE(""Currency:BRLPEN"")*D1503"),1064.3731559999999)</f>
        <v>1064.373156</v>
      </c>
      <c r="G1503" s="2" t="str">
        <f t="array" ref="G1503">_xlfn.XLOOKUP(B1503,Vendedores!$A$2:$A$41,Vendedores!$B$2:$B$41,"No hay datos")</f>
        <v>No hay datos</v>
      </c>
      <c r="H1503" s="2" t="str">
        <f t="array" ref="H1503">_xlfn.XLOOKUP(B1503,Vendedores!$A$2:$A$41,Vendedores!$C$2:$C$41,"No hay datos")</f>
        <v>No hay datos</v>
      </c>
      <c r="I1503" s="2" t="str">
        <f t="array" ref="I1503">_xlfn.XLOOKUP(B1503,Vendedores!$A$2:$A$41,Vendedores!$D$2:$D$41,"No hay datos")</f>
        <v>No hay datos</v>
      </c>
      <c r="J1503" s="2" t="str">
        <f t="array" ref="J1503">_xlfn.XLOOKUP(A1503,Productos!$A$2:$A$61,Productos!$B$2:$F$61)</f>
        <v>#N/A</v>
      </c>
    </row>
    <row r="1504">
      <c r="A1504" s="2" t="str">
        <f>IFERROR(__xludf.DUMMYFUNCTION("""COMPUTED_VALUE"""),"PR059")</f>
        <v>PR059</v>
      </c>
      <c r="B1504" s="2" t="str">
        <f>IFERROR(__xludf.DUMMYFUNCTION("""COMPUTED_VALUE"""),"VD036")</f>
        <v>VD036</v>
      </c>
      <c r="C1504" s="2">
        <f>IFERROR(__xludf.DUMMYFUNCTION("""COMPUTED_VALUE"""),8.0)</f>
        <v>8</v>
      </c>
      <c r="D1504" s="6">
        <f>IFERROR(__xludf.DUMMYFUNCTION("""COMPUTED_VALUE"""),1512.0)</f>
        <v>1512</v>
      </c>
      <c r="E1504" s="6">
        <f>IFERROR(__xludf.DUMMYFUNCTION("GOOGLEFINANCE(""Currency:BRLMXN"")*D1504"),5136.264)</f>
        <v>5136.264</v>
      </c>
      <c r="F1504" s="6">
        <f>IFERROR(__xludf.DUMMYFUNCTION("GOOGLEFINANCE(""Currency:BRLPEN"")*D1504"),991.2671999999999)</f>
        <v>991.2672</v>
      </c>
      <c r="G1504" s="2" t="str">
        <f t="array" ref="G1504">_xlfn.XLOOKUP(B1504,Vendedores!$A$2:$A$41,Vendedores!$B$2:$B$41,"No hay datos")</f>
        <v>No hay datos</v>
      </c>
      <c r="H1504" s="2" t="str">
        <f t="array" ref="H1504">_xlfn.XLOOKUP(B1504,Vendedores!$A$2:$A$41,Vendedores!$C$2:$C$41,"No hay datos")</f>
        <v>No hay datos</v>
      </c>
      <c r="I1504" s="2" t="str">
        <f t="array" ref="I1504">_xlfn.XLOOKUP(B1504,Vendedores!$A$2:$A$41,Vendedores!$D$2:$D$41,"No hay datos")</f>
        <v>No hay datos</v>
      </c>
      <c r="J1504" s="2" t="str">
        <f t="array" ref="J1504">_xlfn.XLOOKUP(A1504,Productos!$A$2:$A$61,Productos!$B$2:$F$61)</f>
        <v>#N/A</v>
      </c>
    </row>
    <row r="1505">
      <c r="A1505" s="2" t="str">
        <f>IFERROR(__xludf.DUMMYFUNCTION("""COMPUTED_VALUE"""),"PR006")</f>
        <v>PR006</v>
      </c>
      <c r="B1505" s="2" t="str">
        <f>IFERROR(__xludf.DUMMYFUNCTION("""COMPUTED_VALUE"""),"VD038")</f>
        <v>VD038</v>
      </c>
      <c r="C1505" s="2">
        <f>IFERROR(__xludf.DUMMYFUNCTION("""COMPUTED_VALUE"""),12.0)</f>
        <v>12</v>
      </c>
      <c r="D1505" s="6">
        <f>IFERROR(__xludf.DUMMYFUNCTION("""COMPUTED_VALUE"""),526.68)</f>
        <v>526.68</v>
      </c>
      <c r="E1505" s="6">
        <f>IFERROR(__xludf.DUMMYFUNCTION("GOOGLEFINANCE(""Currency:BRLMXN"")*D1505"),1789.1319599999997)</f>
        <v>1789.13196</v>
      </c>
      <c r="F1505" s="6">
        <f>IFERROR(__xludf.DUMMYFUNCTION("GOOGLEFINANCE(""Currency:BRLPEN"")*D1505"),345.29140799999993)</f>
        <v>345.291408</v>
      </c>
      <c r="G1505" s="2" t="str">
        <f t="array" ref="G1505">_xlfn.XLOOKUP(B1505,Vendedores!$A$2:$A$41,Vendedores!$B$2:$B$41,"No hay datos")</f>
        <v>No hay datos</v>
      </c>
      <c r="H1505" s="2" t="str">
        <f t="array" ref="H1505">_xlfn.XLOOKUP(B1505,Vendedores!$A$2:$A$41,Vendedores!$C$2:$C$41,"No hay datos")</f>
        <v>No hay datos</v>
      </c>
      <c r="I1505" s="2" t="str">
        <f t="array" ref="I1505">_xlfn.XLOOKUP(B1505,Vendedores!$A$2:$A$41,Vendedores!$D$2:$D$41,"No hay datos")</f>
        <v>No hay datos</v>
      </c>
      <c r="J1505" s="2" t="str">
        <f t="array" ref="J1505">_xlfn.XLOOKUP(A1505,Productos!$A$2:$A$61,Productos!$B$2:$F$61)</f>
        <v>#N/A</v>
      </c>
    </row>
    <row r="1506">
      <c r="A1506" s="2" t="str">
        <f>IFERROR(__xludf.DUMMYFUNCTION("""COMPUTED_VALUE"""),"PR017")</f>
        <v>PR017</v>
      </c>
      <c r="B1506" s="2" t="str">
        <f>IFERROR(__xludf.DUMMYFUNCTION("""COMPUTED_VALUE"""),"VD013")</f>
        <v>VD013</v>
      </c>
      <c r="C1506" s="2">
        <f>IFERROR(__xludf.DUMMYFUNCTION("""COMPUTED_VALUE"""),9.0)</f>
        <v>9</v>
      </c>
      <c r="D1506" s="6">
        <f>IFERROR(__xludf.DUMMYFUNCTION("""COMPUTED_VALUE"""),285.25)</f>
        <v>285.25</v>
      </c>
      <c r="E1506" s="6">
        <f>IFERROR(__xludf.DUMMYFUNCTION("GOOGLEFINANCE(""Currency:BRLMXN"")*D1506"),968.99425)</f>
        <v>968.99425</v>
      </c>
      <c r="F1506" s="6">
        <f>IFERROR(__xludf.DUMMYFUNCTION("GOOGLEFINANCE(""Currency:BRLPEN"")*D1506"),187.0099)</f>
        <v>187.0099</v>
      </c>
      <c r="G1506" s="2" t="str">
        <f t="array" ref="G1506">_xlfn.XLOOKUP(B1506,Vendedores!$A$2:$A$41,Vendedores!$B$2:$B$41,"No hay datos")</f>
        <v>No hay datos</v>
      </c>
      <c r="H1506" s="2" t="str">
        <f t="array" ref="H1506">_xlfn.XLOOKUP(B1506,Vendedores!$A$2:$A$41,Vendedores!$C$2:$C$41,"No hay datos")</f>
        <v>No hay datos</v>
      </c>
      <c r="I1506" s="2" t="str">
        <f t="array" ref="I1506">_xlfn.XLOOKUP(B1506,Vendedores!$A$2:$A$41,Vendedores!$D$2:$D$41,"No hay datos")</f>
        <v>No hay datos</v>
      </c>
      <c r="J1506" s="2" t="str">
        <f t="array" ref="J1506">_xlfn.XLOOKUP(A1506,Productos!$A$2:$A$61,Productos!$B$2:$F$61)</f>
        <v>#N/A</v>
      </c>
    </row>
    <row r="1507">
      <c r="A1507" s="2" t="str">
        <f>IFERROR(__xludf.DUMMYFUNCTION("""COMPUTED_VALUE"""),"PR015")</f>
        <v>PR015</v>
      </c>
      <c r="B1507" s="2" t="str">
        <f>IFERROR(__xludf.DUMMYFUNCTION("""COMPUTED_VALUE"""),"VD032")</f>
        <v>VD032</v>
      </c>
      <c r="C1507" s="2">
        <f>IFERROR(__xludf.DUMMYFUNCTION("""COMPUTED_VALUE"""),3.0)</f>
        <v>3</v>
      </c>
      <c r="D1507" s="6">
        <f>IFERROR(__xludf.DUMMYFUNCTION("""COMPUTED_VALUE"""),140.25)</f>
        <v>140.25</v>
      </c>
      <c r="E1507" s="6">
        <f>IFERROR(__xludf.DUMMYFUNCTION("GOOGLEFINANCE(""Currency:BRLMXN"")*D1507"),476.42924999999997)</f>
        <v>476.42925</v>
      </c>
      <c r="F1507" s="6">
        <f>IFERROR(__xludf.DUMMYFUNCTION("GOOGLEFINANCE(""Currency:BRLPEN"")*D1507"),91.94789999999999)</f>
        <v>91.9479</v>
      </c>
      <c r="G1507" s="2" t="str">
        <f t="array" ref="G1507">_xlfn.XLOOKUP(B1507,Vendedores!$A$2:$A$41,Vendedores!$B$2:$B$41,"No hay datos")</f>
        <v>No hay datos</v>
      </c>
      <c r="H1507" s="2" t="str">
        <f t="array" ref="H1507">_xlfn.XLOOKUP(B1507,Vendedores!$A$2:$A$41,Vendedores!$C$2:$C$41,"No hay datos")</f>
        <v>No hay datos</v>
      </c>
      <c r="I1507" s="2" t="str">
        <f t="array" ref="I1507">_xlfn.XLOOKUP(B1507,Vendedores!$A$2:$A$41,Vendedores!$D$2:$D$41,"No hay datos")</f>
        <v>No hay datos</v>
      </c>
      <c r="J1507" s="2" t="str">
        <f t="array" ref="J1507">_xlfn.XLOOKUP(A1507,Productos!$A$2:$A$61,Productos!$B$2:$F$61)</f>
        <v>#N/A</v>
      </c>
    </row>
    <row r="1508">
      <c r="A1508" s="2" t="str">
        <f>IFERROR(__xludf.DUMMYFUNCTION("""COMPUTED_VALUE"""),"PR051")</f>
        <v>PR051</v>
      </c>
      <c r="B1508" s="2" t="str">
        <f>IFERROR(__xludf.DUMMYFUNCTION("""COMPUTED_VALUE"""),"VD041")</f>
        <v>VD041</v>
      </c>
      <c r="C1508" s="2">
        <f>IFERROR(__xludf.DUMMYFUNCTION("""COMPUTED_VALUE"""),12.0)</f>
        <v>12</v>
      </c>
      <c r="D1508" s="6">
        <f>IFERROR(__xludf.DUMMYFUNCTION("""COMPUTED_VALUE"""),418.49)</f>
        <v>418.49</v>
      </c>
      <c r="E1508" s="6">
        <f>IFERROR(__xludf.DUMMYFUNCTION("GOOGLEFINANCE(""Currency:BRLMXN"")*D1508"),1421.61053)</f>
        <v>1421.61053</v>
      </c>
      <c r="F1508" s="6">
        <f>IFERROR(__xludf.DUMMYFUNCTION("GOOGLEFINANCE(""Currency:BRLPEN"")*D1508"),274.36204399999997)</f>
        <v>274.362044</v>
      </c>
      <c r="G1508" s="2" t="str">
        <f t="array" ref="G1508">_xlfn.XLOOKUP(B1508,Vendedores!$A$2:$A$41,Vendedores!$B$2:$B$41,"No hay datos")</f>
        <v>No hay datos</v>
      </c>
      <c r="H1508" s="2" t="str">
        <f t="array" ref="H1508">_xlfn.XLOOKUP(B1508,Vendedores!$A$2:$A$41,Vendedores!$C$2:$C$41,"No hay datos")</f>
        <v>No hay datos</v>
      </c>
      <c r="I1508" s="2" t="str">
        <f t="array" ref="I1508">_xlfn.XLOOKUP(B1508,Vendedores!$A$2:$A$41,Vendedores!$D$2:$D$41,"No hay datos")</f>
        <v>No hay datos</v>
      </c>
      <c r="J1508" s="2" t="str">
        <f t="array" ref="J1508">_xlfn.XLOOKUP(A1508,Productos!$A$2:$A$61,Productos!$B$2:$F$61)</f>
        <v>#N/A</v>
      </c>
    </row>
    <row r="1509">
      <c r="A1509" s="2" t="str">
        <f>IFERROR(__xludf.DUMMYFUNCTION("""COMPUTED_VALUE"""),"PR028")</f>
        <v>PR028</v>
      </c>
      <c r="B1509" s="2" t="str">
        <f>IFERROR(__xludf.DUMMYFUNCTION("""COMPUTED_VALUE"""),"VD011")</f>
        <v>VD011</v>
      </c>
      <c r="C1509" s="2">
        <f>IFERROR(__xludf.DUMMYFUNCTION("""COMPUTED_VALUE"""),16.0)</f>
        <v>16</v>
      </c>
      <c r="D1509" s="6">
        <f>IFERROR(__xludf.DUMMYFUNCTION("""COMPUTED_VALUE"""),4238.3)</f>
        <v>4238.3</v>
      </c>
      <c r="E1509" s="6">
        <f>IFERROR(__xludf.DUMMYFUNCTION("GOOGLEFINANCE(""Currency:BRLMXN"")*D1509"),14397.5051)</f>
        <v>14397.5051</v>
      </c>
      <c r="F1509" s="6">
        <f>IFERROR(__xludf.DUMMYFUNCTION("GOOGLEFINANCE(""Currency:BRLPEN"")*D1509"),2778.62948)</f>
        <v>2778.62948</v>
      </c>
      <c r="G1509" s="2" t="str">
        <f t="array" ref="G1509">_xlfn.XLOOKUP(B1509,Vendedores!$A$2:$A$41,Vendedores!$B$2:$B$41,"No hay datos")</f>
        <v>No hay datos</v>
      </c>
      <c r="H1509" s="2" t="str">
        <f t="array" ref="H1509">_xlfn.XLOOKUP(B1509,Vendedores!$A$2:$A$41,Vendedores!$C$2:$C$41,"No hay datos")</f>
        <v>No hay datos</v>
      </c>
      <c r="I1509" s="2" t="str">
        <f t="array" ref="I1509">_xlfn.XLOOKUP(B1509,Vendedores!$A$2:$A$41,Vendedores!$D$2:$D$41,"No hay datos")</f>
        <v>No hay datos</v>
      </c>
      <c r="J1509" s="2" t="str">
        <f t="array" ref="J1509">_xlfn.XLOOKUP(A1509,Productos!$A$2:$A$61,Productos!$B$2:$F$61)</f>
        <v>#N/A</v>
      </c>
    </row>
    <row r="1510">
      <c r="A1510" s="2" t="str">
        <f>IFERROR(__xludf.DUMMYFUNCTION("""COMPUTED_VALUE"""),"PR052")</f>
        <v>PR052</v>
      </c>
      <c r="B1510" s="2" t="str">
        <f>IFERROR(__xludf.DUMMYFUNCTION("""COMPUTED_VALUE"""),"VD043")</f>
        <v>VD043</v>
      </c>
      <c r="C1510" s="2">
        <f>IFERROR(__xludf.DUMMYFUNCTION("""COMPUTED_VALUE"""),6.0)</f>
        <v>6</v>
      </c>
      <c r="D1510" s="6">
        <f>IFERROR(__xludf.DUMMYFUNCTION("""COMPUTED_VALUE"""),329.34)</f>
        <v>329.34</v>
      </c>
      <c r="E1510" s="6">
        <f>IFERROR(__xludf.DUMMYFUNCTION("GOOGLEFINANCE(""Currency:BRLMXN"")*D1510"),1118.7679799999999)</f>
        <v>1118.76798</v>
      </c>
      <c r="F1510" s="6">
        <f>IFERROR(__xludf.DUMMYFUNCTION("GOOGLEFINANCE(""Currency:BRLPEN"")*D1510"),215.91530399999996)</f>
        <v>215.915304</v>
      </c>
      <c r="G1510" s="2" t="str">
        <f t="array" ref="G1510">_xlfn.XLOOKUP(B1510,Vendedores!$A$2:$A$41,Vendedores!$B$2:$B$41,"No hay datos")</f>
        <v>No hay datos</v>
      </c>
      <c r="H1510" s="2" t="str">
        <f t="array" ref="H1510">_xlfn.XLOOKUP(B1510,Vendedores!$A$2:$A$41,Vendedores!$C$2:$C$41,"No hay datos")</f>
        <v>No hay datos</v>
      </c>
      <c r="I1510" s="2" t="str">
        <f t="array" ref="I1510">_xlfn.XLOOKUP(B1510,Vendedores!$A$2:$A$41,Vendedores!$D$2:$D$41,"No hay datos")</f>
        <v>No hay datos</v>
      </c>
      <c r="J1510" s="2" t="str">
        <f t="array" ref="J1510">_xlfn.XLOOKUP(A1510,Productos!$A$2:$A$61,Productos!$B$2:$F$61)</f>
        <v>#N/A</v>
      </c>
    </row>
    <row r="1511">
      <c r="A1511" s="2" t="str">
        <f>IFERROR(__xludf.DUMMYFUNCTION("""COMPUTED_VALUE"""),"PR026")</f>
        <v>PR026</v>
      </c>
      <c r="B1511" s="2" t="str">
        <f>IFERROR(__xludf.DUMMYFUNCTION("""COMPUTED_VALUE"""),"VD045")</f>
        <v>VD045</v>
      </c>
      <c r="C1511" s="2">
        <f>IFERROR(__xludf.DUMMYFUNCTION("""COMPUTED_VALUE"""),4.0)</f>
        <v>4</v>
      </c>
      <c r="D1511" s="6">
        <f>IFERROR(__xludf.DUMMYFUNCTION("""COMPUTED_VALUE"""),1511.57)</f>
        <v>1511.57</v>
      </c>
      <c r="E1511" s="6">
        <f>IFERROR(__xludf.DUMMYFUNCTION("GOOGLEFINANCE(""Currency:BRLMXN"")*D1511"),5134.80329)</f>
        <v>5134.80329</v>
      </c>
      <c r="F1511" s="6">
        <f>IFERROR(__xludf.DUMMYFUNCTION("GOOGLEFINANCE(""Currency:BRLPEN"")*D1511"),990.9852919999998)</f>
        <v>990.985292</v>
      </c>
      <c r="G1511" s="2" t="str">
        <f t="array" ref="G1511">_xlfn.XLOOKUP(B1511,Vendedores!$A$2:$A$41,Vendedores!$B$2:$B$41,"No hay datos")</f>
        <v>No hay datos</v>
      </c>
      <c r="H1511" s="2" t="str">
        <f t="array" ref="H1511">_xlfn.XLOOKUP(B1511,Vendedores!$A$2:$A$41,Vendedores!$C$2:$C$41,"No hay datos")</f>
        <v>No hay datos</v>
      </c>
      <c r="I1511" s="2" t="str">
        <f t="array" ref="I1511">_xlfn.XLOOKUP(B1511,Vendedores!$A$2:$A$41,Vendedores!$D$2:$D$41,"No hay datos")</f>
        <v>No hay datos</v>
      </c>
      <c r="J1511" s="2" t="str">
        <f t="array" ref="J1511">_xlfn.XLOOKUP(A1511,Productos!$A$2:$A$61,Productos!$B$2:$F$61)</f>
        <v>#N/A</v>
      </c>
    </row>
    <row r="1512">
      <c r="A1512" s="2" t="str">
        <f>IFERROR(__xludf.DUMMYFUNCTION("""COMPUTED_VALUE"""),"PR007")</f>
        <v>PR007</v>
      </c>
      <c r="B1512" s="2" t="str">
        <f>IFERROR(__xludf.DUMMYFUNCTION("""COMPUTED_VALUE"""),"VD043")</f>
        <v>VD043</v>
      </c>
      <c r="C1512" s="2">
        <f>IFERROR(__xludf.DUMMYFUNCTION("""COMPUTED_VALUE"""),20.0)</f>
        <v>20</v>
      </c>
      <c r="D1512" s="6">
        <f>IFERROR(__xludf.DUMMYFUNCTION("""COMPUTED_VALUE"""),1735.18)</f>
        <v>1735.18</v>
      </c>
      <c r="E1512" s="6">
        <f>IFERROR(__xludf.DUMMYFUNCTION("GOOGLEFINANCE(""Currency:BRLMXN"")*D1512"),5894.40646)</f>
        <v>5894.40646</v>
      </c>
      <c r="F1512" s="6">
        <f>IFERROR(__xludf.DUMMYFUNCTION("GOOGLEFINANCE(""Currency:BRLPEN"")*D1512"),1137.584008)</f>
        <v>1137.584008</v>
      </c>
      <c r="G1512" s="2" t="str">
        <f t="array" ref="G1512">_xlfn.XLOOKUP(B1512,Vendedores!$A$2:$A$41,Vendedores!$B$2:$B$41,"No hay datos")</f>
        <v>No hay datos</v>
      </c>
      <c r="H1512" s="2" t="str">
        <f t="array" ref="H1512">_xlfn.XLOOKUP(B1512,Vendedores!$A$2:$A$41,Vendedores!$C$2:$C$41,"No hay datos")</f>
        <v>No hay datos</v>
      </c>
      <c r="I1512" s="2" t="str">
        <f t="array" ref="I1512">_xlfn.XLOOKUP(B1512,Vendedores!$A$2:$A$41,Vendedores!$D$2:$D$41,"No hay datos")</f>
        <v>No hay datos</v>
      </c>
      <c r="J1512" s="2" t="str">
        <f t="array" ref="J1512">_xlfn.XLOOKUP(A1512,Productos!$A$2:$A$61,Productos!$B$2:$F$61)</f>
        <v>#N/A</v>
      </c>
    </row>
    <row r="1513">
      <c r="A1513" s="2" t="str">
        <f>IFERROR(__xludf.DUMMYFUNCTION("""COMPUTED_VALUE"""),"PR031")</f>
        <v>PR031</v>
      </c>
      <c r="B1513" s="2" t="str">
        <f>IFERROR(__xludf.DUMMYFUNCTION("""COMPUTED_VALUE"""),"VD026")</f>
        <v>VD026</v>
      </c>
      <c r="C1513" s="2">
        <f>IFERROR(__xludf.DUMMYFUNCTION("""COMPUTED_VALUE"""),16.0)</f>
        <v>16</v>
      </c>
      <c r="D1513" s="6">
        <f>IFERROR(__xludf.DUMMYFUNCTION("""COMPUTED_VALUE"""),4194.4)</f>
        <v>4194.4</v>
      </c>
      <c r="E1513" s="6">
        <f>IFERROR(__xludf.DUMMYFUNCTION("GOOGLEFINANCE(""Currency:BRLMXN"")*D1513"),14248.376799999998)</f>
        <v>14248.3768</v>
      </c>
      <c r="F1513" s="6">
        <f>IFERROR(__xludf.DUMMYFUNCTION("GOOGLEFINANCE(""Currency:BRLPEN"")*D1513"),2749.8486399999997)</f>
        <v>2749.84864</v>
      </c>
      <c r="G1513" s="2" t="str">
        <f t="array" ref="G1513">_xlfn.XLOOKUP(B1513,Vendedores!$A$2:$A$41,Vendedores!$B$2:$B$41,"No hay datos")</f>
        <v>No hay datos</v>
      </c>
      <c r="H1513" s="2" t="str">
        <f t="array" ref="H1513">_xlfn.XLOOKUP(B1513,Vendedores!$A$2:$A$41,Vendedores!$C$2:$C$41,"No hay datos")</f>
        <v>No hay datos</v>
      </c>
      <c r="I1513" s="2" t="str">
        <f t="array" ref="I1513">_xlfn.XLOOKUP(B1513,Vendedores!$A$2:$A$41,Vendedores!$D$2:$D$41,"No hay datos")</f>
        <v>No hay datos</v>
      </c>
      <c r="J1513" s="2" t="str">
        <f t="array" ref="J1513">_xlfn.XLOOKUP(A1513,Productos!$A$2:$A$61,Productos!$B$2:$F$61)</f>
        <v>#N/A</v>
      </c>
    </row>
    <row r="1514">
      <c r="A1514" s="2" t="str">
        <f>IFERROR(__xludf.DUMMYFUNCTION("""COMPUTED_VALUE"""),"PR002")</f>
        <v>PR002</v>
      </c>
      <c r="B1514" s="2" t="str">
        <f>IFERROR(__xludf.DUMMYFUNCTION("""COMPUTED_VALUE"""),"VD030")</f>
        <v>VD030</v>
      </c>
      <c r="C1514" s="2">
        <f>IFERROR(__xludf.DUMMYFUNCTION("""COMPUTED_VALUE"""),16.0)</f>
        <v>16</v>
      </c>
      <c r="D1514" s="6">
        <f>IFERROR(__xludf.DUMMYFUNCTION("""COMPUTED_VALUE"""),1118.4)</f>
        <v>1118.4</v>
      </c>
      <c r="E1514" s="6">
        <f>IFERROR(__xludf.DUMMYFUNCTION("GOOGLEFINANCE(""Currency:BRLMXN"")*D1514"),3799.2048)</f>
        <v>3799.2048</v>
      </c>
      <c r="F1514" s="6">
        <f>IFERROR(__xludf.DUMMYFUNCTION("GOOGLEFINANCE(""Currency:BRLPEN"")*D1514"),733.22304)</f>
        <v>733.22304</v>
      </c>
      <c r="G1514" s="2" t="str">
        <f t="array" ref="G1514">_xlfn.XLOOKUP(B1514,Vendedores!$A$2:$A$41,Vendedores!$B$2:$B$41,"No hay datos")</f>
        <v>No hay datos</v>
      </c>
      <c r="H1514" s="2" t="str">
        <f t="array" ref="H1514">_xlfn.XLOOKUP(B1514,Vendedores!$A$2:$A$41,Vendedores!$C$2:$C$41,"No hay datos")</f>
        <v>No hay datos</v>
      </c>
      <c r="I1514" s="2" t="str">
        <f t="array" ref="I1514">_xlfn.XLOOKUP(B1514,Vendedores!$A$2:$A$41,Vendedores!$D$2:$D$41,"No hay datos")</f>
        <v>No hay datos</v>
      </c>
      <c r="J1514" s="2" t="str">
        <f t="array" ref="J1514">_xlfn.XLOOKUP(A1514,Productos!$A$2:$A$61,Productos!$B$2:$F$61)</f>
        <v>#N/A</v>
      </c>
    </row>
    <row r="1515">
      <c r="A1515" s="2" t="str">
        <f>IFERROR(__xludf.DUMMYFUNCTION("""COMPUTED_VALUE"""),"PR028")</f>
        <v>PR028</v>
      </c>
      <c r="B1515" s="2" t="str">
        <f>IFERROR(__xludf.DUMMYFUNCTION("""COMPUTED_VALUE"""),"VD023")</f>
        <v>VD023</v>
      </c>
      <c r="C1515" s="2">
        <f>IFERROR(__xludf.DUMMYFUNCTION("""COMPUTED_VALUE"""),7.0)</f>
        <v>7</v>
      </c>
      <c r="D1515" s="6">
        <f>IFERROR(__xludf.DUMMYFUNCTION("""COMPUTED_VALUE"""),1819.27)</f>
        <v>1819.27</v>
      </c>
      <c r="E1515" s="6">
        <f>IFERROR(__xludf.DUMMYFUNCTION("GOOGLEFINANCE(""Currency:BRLMXN"")*D1515"),6180.060189999999)</f>
        <v>6180.06019</v>
      </c>
      <c r="F1515" s="6">
        <f>IFERROR(__xludf.DUMMYFUNCTION("GOOGLEFINANCE(""Currency:BRLPEN"")*D1515"),1192.7134119999998)</f>
        <v>1192.713412</v>
      </c>
      <c r="G1515" s="2" t="str">
        <f t="array" ref="G1515">_xlfn.XLOOKUP(B1515,Vendedores!$A$2:$A$41,Vendedores!$B$2:$B$41,"No hay datos")</f>
        <v>No hay datos</v>
      </c>
      <c r="H1515" s="2" t="str">
        <f t="array" ref="H1515">_xlfn.XLOOKUP(B1515,Vendedores!$A$2:$A$41,Vendedores!$C$2:$C$41,"No hay datos")</f>
        <v>No hay datos</v>
      </c>
      <c r="I1515" s="2" t="str">
        <f t="array" ref="I1515">_xlfn.XLOOKUP(B1515,Vendedores!$A$2:$A$41,Vendedores!$D$2:$D$41,"No hay datos")</f>
        <v>No hay datos</v>
      </c>
      <c r="J1515" s="2" t="str">
        <f t="array" ref="J1515">_xlfn.XLOOKUP(A1515,Productos!$A$2:$A$61,Productos!$B$2:$F$61)</f>
        <v>#N/A</v>
      </c>
    </row>
    <row r="1516">
      <c r="A1516" s="2" t="str">
        <f>IFERROR(__xludf.DUMMYFUNCTION("""COMPUTED_VALUE"""),"PR042")</f>
        <v>PR042</v>
      </c>
      <c r="B1516" s="2" t="str">
        <f>IFERROR(__xludf.DUMMYFUNCTION("""COMPUTED_VALUE"""),"VD042")</f>
        <v>VD042</v>
      </c>
      <c r="C1516" s="2">
        <f>IFERROR(__xludf.DUMMYFUNCTION("""COMPUTED_VALUE"""),3.0)</f>
        <v>3</v>
      </c>
      <c r="D1516" s="6">
        <f>IFERROR(__xludf.DUMMYFUNCTION("""COMPUTED_VALUE"""),179.52)</f>
        <v>179.52</v>
      </c>
      <c r="E1516" s="6">
        <f>IFERROR(__xludf.DUMMYFUNCTION("GOOGLEFINANCE(""Currency:BRLMXN"")*D1516"),609.82944)</f>
        <v>609.82944</v>
      </c>
      <c r="F1516" s="6">
        <f>IFERROR(__xludf.DUMMYFUNCTION("GOOGLEFINANCE(""Currency:BRLPEN"")*D1516"),117.693312)</f>
        <v>117.693312</v>
      </c>
      <c r="G1516" s="2" t="str">
        <f t="array" ref="G1516">_xlfn.XLOOKUP(B1516,Vendedores!$A$2:$A$41,Vendedores!$B$2:$B$41,"No hay datos")</f>
        <v>No hay datos</v>
      </c>
      <c r="H1516" s="2" t="str">
        <f t="array" ref="H1516">_xlfn.XLOOKUP(B1516,Vendedores!$A$2:$A$41,Vendedores!$C$2:$C$41,"No hay datos")</f>
        <v>No hay datos</v>
      </c>
      <c r="I1516" s="2" t="str">
        <f t="array" ref="I1516">_xlfn.XLOOKUP(B1516,Vendedores!$A$2:$A$41,Vendedores!$D$2:$D$41,"No hay datos")</f>
        <v>No hay datos</v>
      </c>
      <c r="J1516" s="2" t="str">
        <f t="array" ref="J1516">_xlfn.XLOOKUP(A1516,Productos!$A$2:$A$61,Productos!$B$2:$F$61)</f>
        <v>#N/A</v>
      </c>
    </row>
    <row r="1517">
      <c r="A1517" s="2" t="str">
        <f>IFERROR(__xludf.DUMMYFUNCTION("""COMPUTED_VALUE"""),"PR016")</f>
        <v>PR016</v>
      </c>
      <c r="B1517" s="2" t="str">
        <f>IFERROR(__xludf.DUMMYFUNCTION("""COMPUTED_VALUE"""),"VD028")</f>
        <v>VD028</v>
      </c>
      <c r="C1517" s="2">
        <f>IFERROR(__xludf.DUMMYFUNCTION("""COMPUTED_VALUE"""),20.0)</f>
        <v>20</v>
      </c>
      <c r="D1517" s="6">
        <f>IFERROR(__xludf.DUMMYFUNCTION("""COMPUTED_VALUE"""),554.26)</f>
        <v>554.26</v>
      </c>
      <c r="E1517" s="6">
        <f>IFERROR(__xludf.DUMMYFUNCTION("GOOGLEFINANCE(""Currency:BRLMXN"")*D1517"),1882.8212199999998)</f>
        <v>1882.82122</v>
      </c>
      <c r="F1517" s="6">
        <f>IFERROR(__xludf.DUMMYFUNCTION("GOOGLEFINANCE(""Currency:BRLPEN"")*D1517"),363.37285599999996)</f>
        <v>363.372856</v>
      </c>
      <c r="G1517" s="2" t="str">
        <f t="array" ref="G1517">_xlfn.XLOOKUP(B1517,Vendedores!$A$2:$A$41,Vendedores!$B$2:$B$41,"No hay datos")</f>
        <v>No hay datos</v>
      </c>
      <c r="H1517" s="2" t="str">
        <f t="array" ref="H1517">_xlfn.XLOOKUP(B1517,Vendedores!$A$2:$A$41,Vendedores!$C$2:$C$41,"No hay datos")</f>
        <v>No hay datos</v>
      </c>
      <c r="I1517" s="2" t="str">
        <f t="array" ref="I1517">_xlfn.XLOOKUP(B1517,Vendedores!$A$2:$A$41,Vendedores!$D$2:$D$41,"No hay datos")</f>
        <v>No hay datos</v>
      </c>
      <c r="J1517" s="2" t="str">
        <f t="array" ref="J1517">_xlfn.XLOOKUP(A1517,Productos!$A$2:$A$61,Productos!$B$2:$F$61)</f>
        <v>#N/A</v>
      </c>
    </row>
    <row r="1518">
      <c r="A1518" s="2" t="str">
        <f>IFERROR(__xludf.DUMMYFUNCTION("""COMPUTED_VALUE"""),"PR029")</f>
        <v>PR029</v>
      </c>
      <c r="B1518" s="2" t="str">
        <f>IFERROR(__xludf.DUMMYFUNCTION("""COMPUTED_VALUE"""),"VD032")</f>
        <v>VD032</v>
      </c>
      <c r="C1518" s="2">
        <f>IFERROR(__xludf.DUMMYFUNCTION("""COMPUTED_VALUE"""),14.0)</f>
        <v>14</v>
      </c>
      <c r="D1518" s="6">
        <f>IFERROR(__xludf.DUMMYFUNCTION("""COMPUTED_VALUE"""),3677.1)</f>
        <v>3677.1</v>
      </c>
      <c r="E1518" s="6">
        <f>IFERROR(__xludf.DUMMYFUNCTION("GOOGLEFINANCE(""Currency:BRLMXN"")*D1518"),12491.108699999999)</f>
        <v>12491.1087</v>
      </c>
      <c r="F1518" s="6">
        <f>IFERROR(__xludf.DUMMYFUNCTION("GOOGLEFINANCE(""Currency:BRLPEN"")*D1518"),2410.7067599999996)</f>
        <v>2410.70676</v>
      </c>
      <c r="G1518" s="2" t="str">
        <f t="array" ref="G1518">_xlfn.XLOOKUP(B1518,Vendedores!$A$2:$A$41,Vendedores!$B$2:$B$41,"No hay datos")</f>
        <v>No hay datos</v>
      </c>
      <c r="H1518" s="2" t="str">
        <f t="array" ref="H1518">_xlfn.XLOOKUP(B1518,Vendedores!$A$2:$A$41,Vendedores!$C$2:$C$41,"No hay datos")</f>
        <v>No hay datos</v>
      </c>
      <c r="I1518" s="2" t="str">
        <f t="array" ref="I1518">_xlfn.XLOOKUP(B1518,Vendedores!$A$2:$A$41,Vendedores!$D$2:$D$41,"No hay datos")</f>
        <v>No hay datos</v>
      </c>
      <c r="J1518" s="2" t="str">
        <f t="array" ref="J1518">_xlfn.XLOOKUP(A1518,Productos!$A$2:$A$61,Productos!$B$2:$F$61)</f>
        <v>#N/A</v>
      </c>
    </row>
    <row r="1519">
      <c r="A1519" s="2" t="str">
        <f>IFERROR(__xludf.DUMMYFUNCTION("""COMPUTED_VALUE"""),"PR005")</f>
        <v>PR005</v>
      </c>
      <c r="B1519" s="2" t="str">
        <f>IFERROR(__xludf.DUMMYFUNCTION("""COMPUTED_VALUE"""),"VD043")</f>
        <v>VD043</v>
      </c>
      <c r="C1519" s="2">
        <f>IFERROR(__xludf.DUMMYFUNCTION("""COMPUTED_VALUE"""),6.0)</f>
        <v>6</v>
      </c>
      <c r="D1519" s="6">
        <f>IFERROR(__xludf.DUMMYFUNCTION("""COMPUTED_VALUE"""),1590.59)</f>
        <v>1590.59</v>
      </c>
      <c r="E1519" s="6">
        <f>IFERROR(__xludf.DUMMYFUNCTION("GOOGLEFINANCE(""Currency:BRLMXN"")*D1519"),5403.234229999999)</f>
        <v>5403.23423</v>
      </c>
      <c r="F1519" s="6">
        <f>IFERROR(__xludf.DUMMYFUNCTION("GOOGLEFINANCE(""Currency:BRLPEN"")*D1519"),1042.790804)</f>
        <v>1042.790804</v>
      </c>
      <c r="G1519" s="2" t="str">
        <f t="array" ref="G1519">_xlfn.XLOOKUP(B1519,Vendedores!$A$2:$A$41,Vendedores!$B$2:$B$41,"No hay datos")</f>
        <v>No hay datos</v>
      </c>
      <c r="H1519" s="2" t="str">
        <f t="array" ref="H1519">_xlfn.XLOOKUP(B1519,Vendedores!$A$2:$A$41,Vendedores!$C$2:$C$41,"No hay datos")</f>
        <v>No hay datos</v>
      </c>
      <c r="I1519" s="2" t="str">
        <f t="array" ref="I1519">_xlfn.XLOOKUP(B1519,Vendedores!$A$2:$A$41,Vendedores!$D$2:$D$41,"No hay datos")</f>
        <v>No hay datos</v>
      </c>
      <c r="J1519" s="2" t="str">
        <f t="array" ref="J1519">_xlfn.XLOOKUP(A1519,Productos!$A$2:$A$61,Productos!$B$2:$F$61)</f>
        <v>#N/A</v>
      </c>
    </row>
    <row r="1520">
      <c r="A1520" s="2" t="str">
        <f>IFERROR(__xludf.DUMMYFUNCTION("""COMPUTED_VALUE"""),"PR036")</f>
        <v>PR036</v>
      </c>
      <c r="B1520" s="2" t="str">
        <f>IFERROR(__xludf.DUMMYFUNCTION("""COMPUTED_VALUE"""),"VD016")</f>
        <v>VD016</v>
      </c>
      <c r="C1520" s="2">
        <f>IFERROR(__xludf.DUMMYFUNCTION("""COMPUTED_VALUE"""),9.0)</f>
        <v>9</v>
      </c>
      <c r="D1520" s="6">
        <f>IFERROR(__xludf.DUMMYFUNCTION("""COMPUTED_VALUE"""),866.75)</f>
        <v>866.75</v>
      </c>
      <c r="E1520" s="6">
        <f>IFERROR(__xludf.DUMMYFUNCTION("GOOGLEFINANCE(""Currency:BRLMXN"")*D1520"),2944.34975)</f>
        <v>2944.34975</v>
      </c>
      <c r="F1520" s="6">
        <f>IFERROR(__xludf.DUMMYFUNCTION("GOOGLEFINANCE(""Currency:BRLPEN"")*D1520"),568.2412999999999)</f>
        <v>568.2413</v>
      </c>
      <c r="G1520" s="2" t="str">
        <f t="array" ref="G1520">_xlfn.XLOOKUP(B1520,Vendedores!$A$2:$A$41,Vendedores!$B$2:$B$41,"No hay datos")</f>
        <v>No hay datos</v>
      </c>
      <c r="H1520" s="2" t="str">
        <f t="array" ref="H1520">_xlfn.XLOOKUP(B1520,Vendedores!$A$2:$A$41,Vendedores!$C$2:$C$41,"No hay datos")</f>
        <v>No hay datos</v>
      </c>
      <c r="I1520" s="2" t="str">
        <f t="array" ref="I1520">_xlfn.XLOOKUP(B1520,Vendedores!$A$2:$A$41,Vendedores!$D$2:$D$41,"No hay datos")</f>
        <v>No hay datos</v>
      </c>
      <c r="J1520" s="2" t="str">
        <f t="array" ref="J1520">_xlfn.XLOOKUP(A1520,Productos!$A$2:$A$61,Productos!$B$2:$F$61)</f>
        <v>#N/A</v>
      </c>
    </row>
    <row r="1521">
      <c r="A1521" s="2" t="str">
        <f>IFERROR(__xludf.DUMMYFUNCTION("""COMPUTED_VALUE"""),"PR011")</f>
        <v>PR011</v>
      </c>
      <c r="B1521" s="2" t="str">
        <f>IFERROR(__xludf.DUMMYFUNCTION("""COMPUTED_VALUE"""),"VD024")</f>
        <v>VD024</v>
      </c>
      <c r="C1521" s="2">
        <f>IFERROR(__xludf.DUMMYFUNCTION("""COMPUTED_VALUE"""),8.0)</f>
        <v>8</v>
      </c>
      <c r="D1521" s="6">
        <f>IFERROR(__xludf.DUMMYFUNCTION("""COMPUTED_VALUE"""),390.21)</f>
        <v>390.21</v>
      </c>
      <c r="E1521" s="6">
        <f>IFERROR(__xludf.DUMMYFUNCTION("GOOGLEFINANCE(""Currency:BRLMXN"")*D1521"),1325.5433699999999)</f>
        <v>1325.54337</v>
      </c>
      <c r="F1521" s="6">
        <f>IFERROR(__xludf.DUMMYFUNCTION("GOOGLEFINANCE(""Currency:BRLPEN"")*D1521"),255.82167599999997)</f>
        <v>255.821676</v>
      </c>
      <c r="G1521" s="2" t="str">
        <f t="array" ref="G1521">_xlfn.XLOOKUP(B1521,Vendedores!$A$2:$A$41,Vendedores!$B$2:$B$41,"No hay datos")</f>
        <v>No hay datos</v>
      </c>
      <c r="H1521" s="2" t="str">
        <f t="array" ref="H1521">_xlfn.XLOOKUP(B1521,Vendedores!$A$2:$A$41,Vendedores!$C$2:$C$41,"No hay datos")</f>
        <v>No hay datos</v>
      </c>
      <c r="I1521" s="2" t="str">
        <f t="array" ref="I1521">_xlfn.XLOOKUP(B1521,Vendedores!$A$2:$A$41,Vendedores!$D$2:$D$41,"No hay datos")</f>
        <v>No hay datos</v>
      </c>
      <c r="J1521" s="2" t="str">
        <f t="array" ref="J1521">_xlfn.XLOOKUP(A1521,Productos!$A$2:$A$61,Productos!$B$2:$F$61)</f>
        <v>#N/A</v>
      </c>
    </row>
    <row r="1522">
      <c r="A1522" s="2" t="str">
        <f>IFERROR(__xludf.DUMMYFUNCTION("""COMPUTED_VALUE"""),"PR042")</f>
        <v>PR042</v>
      </c>
      <c r="B1522" s="2" t="str">
        <f>IFERROR(__xludf.DUMMYFUNCTION("""COMPUTED_VALUE"""),"VD029")</f>
        <v>VD029</v>
      </c>
      <c r="C1522" s="2">
        <f>IFERROR(__xludf.DUMMYFUNCTION("""COMPUTED_VALUE"""),7.0)</f>
        <v>7</v>
      </c>
      <c r="D1522" s="6">
        <f>IFERROR(__xludf.DUMMYFUNCTION("""COMPUTED_VALUE"""),391.99)</f>
        <v>391.99</v>
      </c>
      <c r="E1522" s="6">
        <f>IFERROR(__xludf.DUMMYFUNCTION("GOOGLEFINANCE(""Currency:BRLMXN"")*D1522"),1331.5900299999998)</f>
        <v>1331.59003</v>
      </c>
      <c r="F1522" s="6">
        <f>IFERROR(__xludf.DUMMYFUNCTION("GOOGLEFINANCE(""Currency:BRLPEN"")*D1522"),256.98864399999997)</f>
        <v>256.988644</v>
      </c>
      <c r="G1522" s="2" t="str">
        <f t="array" ref="G1522">_xlfn.XLOOKUP(B1522,Vendedores!$A$2:$A$41,Vendedores!$B$2:$B$41,"No hay datos")</f>
        <v>No hay datos</v>
      </c>
      <c r="H1522" s="2" t="str">
        <f t="array" ref="H1522">_xlfn.XLOOKUP(B1522,Vendedores!$A$2:$A$41,Vendedores!$C$2:$C$41,"No hay datos")</f>
        <v>No hay datos</v>
      </c>
      <c r="I1522" s="2" t="str">
        <f t="array" ref="I1522">_xlfn.XLOOKUP(B1522,Vendedores!$A$2:$A$41,Vendedores!$D$2:$D$41,"No hay datos")</f>
        <v>No hay datos</v>
      </c>
      <c r="J1522" s="2" t="str">
        <f t="array" ref="J1522">_xlfn.XLOOKUP(A1522,Productos!$A$2:$A$61,Productos!$B$2:$F$61)</f>
        <v>#N/A</v>
      </c>
    </row>
    <row r="1523">
      <c r="A1523" s="2" t="str">
        <f>IFERROR(__xludf.DUMMYFUNCTION("""COMPUTED_VALUE"""),"PR024")</f>
        <v>PR024</v>
      </c>
      <c r="B1523" s="2" t="str">
        <f>IFERROR(__xludf.DUMMYFUNCTION("""COMPUTED_VALUE"""),"VD036")</f>
        <v>VD036</v>
      </c>
      <c r="C1523" s="2">
        <f>IFERROR(__xludf.DUMMYFUNCTION("""COMPUTED_VALUE"""),5.0)</f>
        <v>5</v>
      </c>
      <c r="D1523" s="6">
        <f>IFERROR(__xludf.DUMMYFUNCTION("""COMPUTED_VALUE"""),1377.47)</f>
        <v>1377.47</v>
      </c>
      <c r="E1523" s="6">
        <f>IFERROR(__xludf.DUMMYFUNCTION("GOOGLEFINANCE(""Currency:BRLMXN"")*D1523"),4679.26559)</f>
        <v>4679.26559</v>
      </c>
      <c r="F1523" s="6">
        <f>IFERROR(__xludf.DUMMYFUNCTION("GOOGLEFINANCE(""Currency:BRLPEN"")*D1523"),903.0693319999999)</f>
        <v>903.069332</v>
      </c>
      <c r="G1523" s="2" t="str">
        <f t="array" ref="G1523">_xlfn.XLOOKUP(B1523,Vendedores!$A$2:$A$41,Vendedores!$B$2:$B$41,"No hay datos")</f>
        <v>No hay datos</v>
      </c>
      <c r="H1523" s="2" t="str">
        <f t="array" ref="H1523">_xlfn.XLOOKUP(B1523,Vendedores!$A$2:$A$41,Vendedores!$C$2:$C$41,"No hay datos")</f>
        <v>No hay datos</v>
      </c>
      <c r="I1523" s="2" t="str">
        <f t="array" ref="I1523">_xlfn.XLOOKUP(B1523,Vendedores!$A$2:$A$41,Vendedores!$D$2:$D$41,"No hay datos")</f>
        <v>No hay datos</v>
      </c>
      <c r="J1523" s="2" t="str">
        <f t="array" ref="J1523">_xlfn.XLOOKUP(A1523,Productos!$A$2:$A$61,Productos!$B$2:$F$61)</f>
        <v>#N/A</v>
      </c>
    </row>
    <row r="1524">
      <c r="A1524" s="2" t="str">
        <f>IFERROR(__xludf.DUMMYFUNCTION("""COMPUTED_VALUE"""),"PR055")</f>
        <v>PR055</v>
      </c>
      <c r="B1524" s="2" t="str">
        <f>IFERROR(__xludf.DUMMYFUNCTION("""COMPUTED_VALUE"""),"VD042")</f>
        <v>VD042</v>
      </c>
      <c r="C1524" s="2">
        <f>IFERROR(__xludf.DUMMYFUNCTION("""COMPUTED_VALUE"""),10.0)</f>
        <v>10</v>
      </c>
      <c r="D1524" s="6">
        <f>IFERROR(__xludf.DUMMYFUNCTION("""COMPUTED_VALUE"""),899.0)</f>
        <v>899</v>
      </c>
      <c r="E1524" s="6">
        <f>IFERROR(__xludf.DUMMYFUNCTION("GOOGLEFINANCE(""Currency:BRLMXN"")*D1524"),3053.903)</f>
        <v>3053.903</v>
      </c>
      <c r="F1524" s="6">
        <f>IFERROR(__xludf.DUMMYFUNCTION("GOOGLEFINANCE(""Currency:BRLPEN"")*D1524"),589.3843999999999)</f>
        <v>589.3844</v>
      </c>
      <c r="G1524" s="2" t="str">
        <f t="array" ref="G1524">_xlfn.XLOOKUP(B1524,Vendedores!$A$2:$A$41,Vendedores!$B$2:$B$41,"No hay datos")</f>
        <v>No hay datos</v>
      </c>
      <c r="H1524" s="2" t="str">
        <f t="array" ref="H1524">_xlfn.XLOOKUP(B1524,Vendedores!$A$2:$A$41,Vendedores!$C$2:$C$41,"No hay datos")</f>
        <v>No hay datos</v>
      </c>
      <c r="I1524" s="2" t="str">
        <f t="array" ref="I1524">_xlfn.XLOOKUP(B1524,Vendedores!$A$2:$A$41,Vendedores!$D$2:$D$41,"No hay datos")</f>
        <v>No hay datos</v>
      </c>
      <c r="J1524" s="2" t="str">
        <f t="array" ref="J1524">_xlfn.XLOOKUP(A1524,Productos!$A$2:$A$61,Productos!$B$2:$F$61)</f>
        <v>#N/A</v>
      </c>
    </row>
    <row r="1525">
      <c r="A1525" s="2" t="str">
        <f>IFERROR(__xludf.DUMMYFUNCTION("""COMPUTED_VALUE"""),"PR031")</f>
        <v>PR031</v>
      </c>
      <c r="B1525" s="2" t="str">
        <f>IFERROR(__xludf.DUMMYFUNCTION("""COMPUTED_VALUE"""),"VD039")</f>
        <v>VD039</v>
      </c>
      <c r="C1525" s="2">
        <f>IFERROR(__xludf.DUMMYFUNCTION("""COMPUTED_VALUE"""),7.0)</f>
        <v>7</v>
      </c>
      <c r="D1525" s="6">
        <f>IFERROR(__xludf.DUMMYFUNCTION("""COMPUTED_VALUE"""),1835.05)</f>
        <v>1835.05</v>
      </c>
      <c r="E1525" s="6">
        <f>IFERROR(__xludf.DUMMYFUNCTION("GOOGLEFINANCE(""Currency:BRLMXN"")*D1525"),6233.664849999999)</f>
        <v>6233.66485</v>
      </c>
      <c r="F1525" s="6">
        <f>IFERROR(__xludf.DUMMYFUNCTION("GOOGLEFINANCE(""Currency:BRLPEN"")*D1525"),1203.0587799999998)</f>
        <v>1203.05878</v>
      </c>
      <c r="G1525" s="2" t="str">
        <f t="array" ref="G1525">_xlfn.XLOOKUP(B1525,Vendedores!$A$2:$A$41,Vendedores!$B$2:$B$41,"No hay datos")</f>
        <v>No hay datos</v>
      </c>
      <c r="H1525" s="2" t="str">
        <f t="array" ref="H1525">_xlfn.XLOOKUP(B1525,Vendedores!$A$2:$A$41,Vendedores!$C$2:$C$41,"No hay datos")</f>
        <v>No hay datos</v>
      </c>
      <c r="I1525" s="2" t="str">
        <f t="array" ref="I1525">_xlfn.XLOOKUP(B1525,Vendedores!$A$2:$A$41,Vendedores!$D$2:$D$41,"No hay datos")</f>
        <v>No hay datos</v>
      </c>
      <c r="J1525" s="2" t="str">
        <f t="array" ref="J1525">_xlfn.XLOOKUP(A1525,Productos!$A$2:$A$61,Productos!$B$2:$F$61)</f>
        <v>#N/A</v>
      </c>
    </row>
    <row r="1526">
      <c r="A1526" s="2" t="str">
        <f>IFERROR(__xludf.DUMMYFUNCTION("""COMPUTED_VALUE"""),"PR051")</f>
        <v>PR051</v>
      </c>
      <c r="B1526" s="2" t="str">
        <f>IFERROR(__xludf.DUMMYFUNCTION("""COMPUTED_VALUE"""),"VD011")</f>
        <v>VD011</v>
      </c>
      <c r="C1526" s="2">
        <f>IFERROR(__xludf.DUMMYFUNCTION("""COMPUTED_VALUE"""),4.0)</f>
        <v>4</v>
      </c>
      <c r="D1526" s="6">
        <f>IFERROR(__xludf.DUMMYFUNCTION("""COMPUTED_VALUE"""),131.6)</f>
        <v>131.6</v>
      </c>
      <c r="E1526" s="6">
        <f>IFERROR(__xludf.DUMMYFUNCTION("GOOGLEFINANCE(""Currency:BRLMXN"")*D1526"),447.04519999999997)</f>
        <v>447.0452</v>
      </c>
      <c r="F1526" s="6">
        <f>IFERROR(__xludf.DUMMYFUNCTION("GOOGLEFINANCE(""Currency:BRLPEN"")*D1526"),86.27695999999999)</f>
        <v>86.27696</v>
      </c>
      <c r="G1526" s="2" t="str">
        <f t="array" ref="G1526">_xlfn.XLOOKUP(B1526,Vendedores!$A$2:$A$41,Vendedores!$B$2:$B$41,"No hay datos")</f>
        <v>No hay datos</v>
      </c>
      <c r="H1526" s="2" t="str">
        <f t="array" ref="H1526">_xlfn.XLOOKUP(B1526,Vendedores!$A$2:$A$41,Vendedores!$C$2:$C$41,"No hay datos")</f>
        <v>No hay datos</v>
      </c>
      <c r="I1526" s="2" t="str">
        <f t="array" ref="I1526">_xlfn.XLOOKUP(B1526,Vendedores!$A$2:$A$41,Vendedores!$D$2:$D$41,"No hay datos")</f>
        <v>No hay datos</v>
      </c>
      <c r="J1526" s="2" t="str">
        <f t="array" ref="J1526">_xlfn.XLOOKUP(A1526,Productos!$A$2:$A$61,Productos!$B$2:$F$61)</f>
        <v>#N/A</v>
      </c>
    </row>
    <row r="1527">
      <c r="A1527" s="2" t="str">
        <f>IFERROR(__xludf.DUMMYFUNCTION("""COMPUTED_VALUE"""),"PR007")</f>
        <v>PR007</v>
      </c>
      <c r="B1527" s="2" t="str">
        <f>IFERROR(__xludf.DUMMYFUNCTION("""COMPUTED_VALUE"""),"VD021")</f>
        <v>VD021</v>
      </c>
      <c r="C1527" s="2">
        <f>IFERROR(__xludf.DUMMYFUNCTION("""COMPUTED_VALUE"""),2.0)</f>
        <v>2</v>
      </c>
      <c r="D1527" s="6">
        <f>IFERROR(__xludf.DUMMYFUNCTION("""COMPUTED_VALUE"""),171.8)</f>
        <v>171.8</v>
      </c>
      <c r="E1527" s="6">
        <f>IFERROR(__xludf.DUMMYFUNCTION("GOOGLEFINANCE(""Currency:BRLMXN"")*D1527"),583.6046)</f>
        <v>583.6046</v>
      </c>
      <c r="F1527" s="6">
        <f>IFERROR(__xludf.DUMMYFUNCTION("GOOGLEFINANCE(""Currency:BRLPEN"")*D1527"),112.63208)</f>
        <v>112.63208</v>
      </c>
      <c r="G1527" s="2" t="str">
        <f t="array" ref="G1527">_xlfn.XLOOKUP(B1527,Vendedores!$A$2:$A$41,Vendedores!$B$2:$B$41,"No hay datos")</f>
        <v>No hay datos</v>
      </c>
      <c r="H1527" s="2" t="str">
        <f t="array" ref="H1527">_xlfn.XLOOKUP(B1527,Vendedores!$A$2:$A$41,Vendedores!$C$2:$C$41,"No hay datos")</f>
        <v>No hay datos</v>
      </c>
      <c r="I1527" s="2" t="str">
        <f t="array" ref="I1527">_xlfn.XLOOKUP(B1527,Vendedores!$A$2:$A$41,Vendedores!$D$2:$D$41,"No hay datos")</f>
        <v>No hay datos</v>
      </c>
      <c r="J1527" s="2" t="str">
        <f t="array" ref="J1527">_xlfn.XLOOKUP(A1527,Productos!$A$2:$A$61,Productos!$B$2:$F$61)</f>
        <v>#N/A</v>
      </c>
    </row>
    <row r="1528">
      <c r="A1528" s="2" t="str">
        <f>IFERROR(__xludf.DUMMYFUNCTION("""COMPUTED_VALUE"""),"PR018")</f>
        <v>PR018</v>
      </c>
      <c r="B1528" s="2" t="str">
        <f>IFERROR(__xludf.DUMMYFUNCTION("""COMPUTED_VALUE"""),"VD016")</f>
        <v>VD016</v>
      </c>
      <c r="C1528" s="2">
        <f>IFERROR(__xludf.DUMMYFUNCTION("""COMPUTED_VALUE"""),8.0)</f>
        <v>8</v>
      </c>
      <c r="D1528" s="6">
        <f>IFERROR(__xludf.DUMMYFUNCTION("""COMPUTED_VALUE"""),286.89)</f>
        <v>286.89</v>
      </c>
      <c r="E1528" s="6">
        <f>IFERROR(__xludf.DUMMYFUNCTION("GOOGLEFINANCE(""Currency:BRLMXN"")*D1528"),974.5653299999999)</f>
        <v>974.56533</v>
      </c>
      <c r="F1528" s="6">
        <f>IFERROR(__xludf.DUMMYFUNCTION("GOOGLEFINANCE(""Currency:BRLPEN"")*D1528"),188.08508399999997)</f>
        <v>188.085084</v>
      </c>
      <c r="G1528" s="2" t="str">
        <f t="array" ref="G1528">_xlfn.XLOOKUP(B1528,Vendedores!$A$2:$A$41,Vendedores!$B$2:$B$41,"No hay datos")</f>
        <v>No hay datos</v>
      </c>
      <c r="H1528" s="2" t="str">
        <f t="array" ref="H1528">_xlfn.XLOOKUP(B1528,Vendedores!$A$2:$A$41,Vendedores!$C$2:$C$41,"No hay datos")</f>
        <v>No hay datos</v>
      </c>
      <c r="I1528" s="2" t="str">
        <f t="array" ref="I1528">_xlfn.XLOOKUP(B1528,Vendedores!$A$2:$A$41,Vendedores!$D$2:$D$41,"No hay datos")</f>
        <v>No hay datos</v>
      </c>
      <c r="J1528" s="2" t="str">
        <f t="array" ref="J1528">_xlfn.XLOOKUP(A1528,Productos!$A$2:$A$61,Productos!$B$2:$F$61)</f>
        <v>#N/A</v>
      </c>
    </row>
    <row r="1529">
      <c r="A1529" s="2" t="str">
        <f>IFERROR(__xludf.DUMMYFUNCTION("""COMPUTED_VALUE"""),"PR014")</f>
        <v>PR014</v>
      </c>
      <c r="B1529" s="2" t="str">
        <f>IFERROR(__xludf.DUMMYFUNCTION("""COMPUTED_VALUE"""),"VD045")</f>
        <v>VD045</v>
      </c>
      <c r="C1529" s="2">
        <f>IFERROR(__xludf.DUMMYFUNCTION("""COMPUTED_VALUE"""),3.0)</f>
        <v>3</v>
      </c>
      <c r="D1529" s="6">
        <f>IFERROR(__xludf.DUMMYFUNCTION("""COMPUTED_VALUE"""),129.28)</f>
        <v>129.28</v>
      </c>
      <c r="E1529" s="6">
        <f>IFERROR(__xludf.DUMMYFUNCTION("GOOGLEFINANCE(""Currency:BRLMXN"")*D1529"),439.16416)</f>
        <v>439.16416</v>
      </c>
      <c r="F1529" s="6">
        <f>IFERROR(__xludf.DUMMYFUNCTION("GOOGLEFINANCE(""Currency:BRLPEN"")*D1529"),84.755968)</f>
        <v>84.755968</v>
      </c>
      <c r="G1529" s="2" t="str">
        <f t="array" ref="G1529">_xlfn.XLOOKUP(B1529,Vendedores!$A$2:$A$41,Vendedores!$B$2:$B$41,"No hay datos")</f>
        <v>No hay datos</v>
      </c>
      <c r="H1529" s="2" t="str">
        <f t="array" ref="H1529">_xlfn.XLOOKUP(B1529,Vendedores!$A$2:$A$41,Vendedores!$C$2:$C$41,"No hay datos")</f>
        <v>No hay datos</v>
      </c>
      <c r="I1529" s="2" t="str">
        <f t="array" ref="I1529">_xlfn.XLOOKUP(B1529,Vendedores!$A$2:$A$41,Vendedores!$D$2:$D$41,"No hay datos")</f>
        <v>No hay datos</v>
      </c>
      <c r="J1529" s="2" t="str">
        <f t="array" ref="J1529">_xlfn.XLOOKUP(A1529,Productos!$A$2:$A$61,Productos!$B$2:$F$61)</f>
        <v>#N/A</v>
      </c>
    </row>
    <row r="1530">
      <c r="A1530" s="2" t="str">
        <f>IFERROR(__xludf.DUMMYFUNCTION("""COMPUTED_VALUE"""),"PR024")</f>
        <v>PR024</v>
      </c>
      <c r="B1530" s="2" t="str">
        <f>IFERROR(__xludf.DUMMYFUNCTION("""COMPUTED_VALUE"""),"VD041")</f>
        <v>VD041</v>
      </c>
      <c r="C1530" s="2">
        <f>IFERROR(__xludf.DUMMYFUNCTION("""COMPUTED_VALUE"""),10.0)</f>
        <v>10</v>
      </c>
      <c r="D1530" s="6">
        <f>IFERROR(__xludf.DUMMYFUNCTION("""COMPUTED_VALUE"""),2754.94)</f>
        <v>2754.94</v>
      </c>
      <c r="E1530" s="6">
        <f>IFERROR(__xludf.DUMMYFUNCTION("GOOGLEFINANCE(""Currency:BRLMXN"")*D1530"),9358.53118)</f>
        <v>9358.53118</v>
      </c>
      <c r="F1530" s="6">
        <f>IFERROR(__xludf.DUMMYFUNCTION("GOOGLEFINANCE(""Currency:BRLPEN"")*D1530"),1806.1386639999998)</f>
        <v>1806.138664</v>
      </c>
      <c r="G1530" s="2" t="str">
        <f t="array" ref="G1530">_xlfn.XLOOKUP(B1530,Vendedores!$A$2:$A$41,Vendedores!$B$2:$B$41,"No hay datos")</f>
        <v>No hay datos</v>
      </c>
      <c r="H1530" s="2" t="str">
        <f t="array" ref="H1530">_xlfn.XLOOKUP(B1530,Vendedores!$A$2:$A$41,Vendedores!$C$2:$C$41,"No hay datos")</f>
        <v>No hay datos</v>
      </c>
      <c r="I1530" s="2" t="str">
        <f t="array" ref="I1530">_xlfn.XLOOKUP(B1530,Vendedores!$A$2:$A$41,Vendedores!$D$2:$D$41,"No hay datos")</f>
        <v>No hay datos</v>
      </c>
      <c r="J1530" s="2" t="str">
        <f t="array" ref="J1530">_xlfn.XLOOKUP(A1530,Productos!$A$2:$A$61,Productos!$B$2:$F$61)</f>
        <v>#N/A</v>
      </c>
    </row>
    <row r="1531">
      <c r="A1531" s="2" t="str">
        <f>IFERROR(__xludf.DUMMYFUNCTION("""COMPUTED_VALUE"""),"PR031")</f>
        <v>PR031</v>
      </c>
      <c r="B1531" s="2" t="str">
        <f>IFERROR(__xludf.DUMMYFUNCTION("""COMPUTED_VALUE"""),"VD049")</f>
        <v>VD049</v>
      </c>
      <c r="C1531" s="2">
        <f>IFERROR(__xludf.DUMMYFUNCTION("""COMPUTED_VALUE"""),10.0)</f>
        <v>10</v>
      </c>
      <c r="D1531" s="6">
        <f>IFERROR(__xludf.DUMMYFUNCTION("""COMPUTED_VALUE"""),2646.0)</f>
        <v>2646</v>
      </c>
      <c r="E1531" s="6">
        <f>IFERROR(__xludf.DUMMYFUNCTION("GOOGLEFINANCE(""Currency:BRLMXN"")*D1531"),8988.462)</f>
        <v>8988.462</v>
      </c>
      <c r="F1531" s="6">
        <f>IFERROR(__xludf.DUMMYFUNCTION("GOOGLEFINANCE(""Currency:BRLPEN"")*D1531"),1734.7176)</f>
        <v>1734.7176</v>
      </c>
      <c r="G1531" s="2" t="str">
        <f t="array" ref="G1531">_xlfn.XLOOKUP(B1531,Vendedores!$A$2:$A$41,Vendedores!$B$2:$B$41,"No hay datos")</f>
        <v>No hay datos</v>
      </c>
      <c r="H1531" s="2" t="str">
        <f t="array" ref="H1531">_xlfn.XLOOKUP(B1531,Vendedores!$A$2:$A$41,Vendedores!$C$2:$C$41,"No hay datos")</f>
        <v>No hay datos</v>
      </c>
      <c r="I1531" s="2" t="str">
        <f t="array" ref="I1531">_xlfn.XLOOKUP(B1531,Vendedores!$A$2:$A$41,Vendedores!$D$2:$D$41,"No hay datos")</f>
        <v>No hay datos</v>
      </c>
      <c r="J1531" s="2" t="str">
        <f t="array" ref="J1531">_xlfn.XLOOKUP(A1531,Productos!$A$2:$A$61,Productos!$B$2:$F$61)</f>
        <v>#N/A</v>
      </c>
    </row>
    <row r="1532">
      <c r="A1532" s="2" t="str">
        <f>IFERROR(__xludf.DUMMYFUNCTION("""COMPUTED_VALUE"""),"PR021")</f>
        <v>PR021</v>
      </c>
      <c r="B1532" s="2" t="str">
        <f>IFERROR(__xludf.DUMMYFUNCTION("""COMPUTED_VALUE"""),"VD021")</f>
        <v>VD021</v>
      </c>
      <c r="C1532" s="2">
        <f>IFERROR(__xludf.DUMMYFUNCTION("""COMPUTED_VALUE"""),2.0)</f>
        <v>2</v>
      </c>
      <c r="D1532" s="6">
        <f>IFERROR(__xludf.DUMMYFUNCTION("""COMPUTED_VALUE"""),623.97)</f>
        <v>623.97</v>
      </c>
      <c r="E1532" s="6">
        <f>IFERROR(__xludf.DUMMYFUNCTION("GOOGLEFINANCE(""Currency:BRLMXN"")*D1532"),2119.6260899999997)</f>
        <v>2119.62609</v>
      </c>
      <c r="F1532" s="6">
        <f>IFERROR(__xludf.DUMMYFUNCTION("GOOGLEFINANCE(""Currency:BRLPEN"")*D1532"),409.074732)</f>
        <v>409.074732</v>
      </c>
      <c r="G1532" s="2" t="str">
        <f t="array" ref="G1532">_xlfn.XLOOKUP(B1532,Vendedores!$A$2:$A$41,Vendedores!$B$2:$B$41,"No hay datos")</f>
        <v>No hay datos</v>
      </c>
      <c r="H1532" s="2" t="str">
        <f t="array" ref="H1532">_xlfn.XLOOKUP(B1532,Vendedores!$A$2:$A$41,Vendedores!$C$2:$C$41,"No hay datos")</f>
        <v>No hay datos</v>
      </c>
      <c r="I1532" s="2" t="str">
        <f t="array" ref="I1532">_xlfn.XLOOKUP(B1532,Vendedores!$A$2:$A$41,Vendedores!$D$2:$D$41,"No hay datos")</f>
        <v>No hay datos</v>
      </c>
      <c r="J1532" s="2" t="str">
        <f t="array" ref="J1532">_xlfn.XLOOKUP(A1532,Productos!$A$2:$A$61,Productos!$B$2:$F$61)</f>
        <v>#N/A</v>
      </c>
    </row>
    <row r="1533">
      <c r="A1533" s="2" t="str">
        <f>IFERROR(__xludf.DUMMYFUNCTION("""COMPUTED_VALUE"""),"PR012")</f>
        <v>PR012</v>
      </c>
      <c r="B1533" s="2" t="str">
        <f>IFERROR(__xludf.DUMMYFUNCTION("""COMPUTED_VALUE"""),"VD046")</f>
        <v>VD046</v>
      </c>
      <c r="C1533" s="2">
        <f>IFERROR(__xludf.DUMMYFUNCTION("""COMPUTED_VALUE"""),4.0)</f>
        <v>4</v>
      </c>
      <c r="D1533" s="6">
        <f>IFERROR(__xludf.DUMMYFUNCTION("""COMPUTED_VALUE"""),215.16)</f>
        <v>215.16</v>
      </c>
      <c r="E1533" s="6">
        <f>IFERROR(__xludf.DUMMYFUNCTION("GOOGLEFINANCE(""Currency:BRLMXN"")*D1533"),730.89852)</f>
        <v>730.89852</v>
      </c>
      <c r="F1533" s="6">
        <f>IFERROR(__xludf.DUMMYFUNCTION("GOOGLEFINANCE(""Currency:BRLPEN"")*D1533"),141.05889599999998)</f>
        <v>141.058896</v>
      </c>
      <c r="G1533" s="2" t="str">
        <f t="array" ref="G1533">_xlfn.XLOOKUP(B1533,Vendedores!$A$2:$A$41,Vendedores!$B$2:$B$41,"No hay datos")</f>
        <v>No hay datos</v>
      </c>
      <c r="H1533" s="2" t="str">
        <f t="array" ref="H1533">_xlfn.XLOOKUP(B1533,Vendedores!$A$2:$A$41,Vendedores!$C$2:$C$41,"No hay datos")</f>
        <v>No hay datos</v>
      </c>
      <c r="I1533" s="2" t="str">
        <f t="array" ref="I1533">_xlfn.XLOOKUP(B1533,Vendedores!$A$2:$A$41,Vendedores!$D$2:$D$41,"No hay datos")</f>
        <v>No hay datos</v>
      </c>
      <c r="J1533" s="2" t="str">
        <f t="array" ref="J1533">_xlfn.XLOOKUP(A1533,Productos!$A$2:$A$61,Productos!$B$2:$F$61)</f>
        <v>#N/A</v>
      </c>
    </row>
    <row r="1534">
      <c r="A1534" s="2" t="str">
        <f>IFERROR(__xludf.DUMMYFUNCTION("""COMPUTED_VALUE"""),"PR037")</f>
        <v>PR037</v>
      </c>
      <c r="B1534" s="2" t="str">
        <f>IFERROR(__xludf.DUMMYFUNCTION("""COMPUTED_VALUE"""),"VD027")</f>
        <v>VD027</v>
      </c>
      <c r="C1534" s="2">
        <f>IFERROR(__xludf.DUMMYFUNCTION("""COMPUTED_VALUE"""),10.0)</f>
        <v>10</v>
      </c>
      <c r="D1534" s="6">
        <f>IFERROR(__xludf.DUMMYFUNCTION("""COMPUTED_VALUE"""),1442.0)</f>
        <v>1442</v>
      </c>
      <c r="E1534" s="6">
        <f>IFERROR(__xludf.DUMMYFUNCTION("GOOGLEFINANCE(""Currency:BRLMXN"")*D1534"),4898.474)</f>
        <v>4898.474</v>
      </c>
      <c r="F1534" s="6">
        <f>IFERROR(__xludf.DUMMYFUNCTION("GOOGLEFINANCE(""Currency:BRLPEN"")*D1534"),945.3752)</f>
        <v>945.3752</v>
      </c>
      <c r="G1534" s="2" t="str">
        <f t="array" ref="G1534">_xlfn.XLOOKUP(B1534,Vendedores!$A$2:$A$41,Vendedores!$B$2:$B$41,"No hay datos")</f>
        <v>No hay datos</v>
      </c>
      <c r="H1534" s="2" t="str">
        <f t="array" ref="H1534">_xlfn.XLOOKUP(B1534,Vendedores!$A$2:$A$41,Vendedores!$C$2:$C$41,"No hay datos")</f>
        <v>No hay datos</v>
      </c>
      <c r="I1534" s="2" t="str">
        <f t="array" ref="I1534">_xlfn.XLOOKUP(B1534,Vendedores!$A$2:$A$41,Vendedores!$D$2:$D$41,"No hay datos")</f>
        <v>No hay datos</v>
      </c>
      <c r="J1534" s="2" t="str">
        <f t="array" ref="J1534">_xlfn.XLOOKUP(A1534,Productos!$A$2:$A$61,Productos!$B$2:$F$61)</f>
        <v>#N/A</v>
      </c>
    </row>
    <row r="1535">
      <c r="A1535" s="2" t="str">
        <f>IFERROR(__xludf.DUMMYFUNCTION("""COMPUTED_VALUE"""),"PR051")</f>
        <v>PR051</v>
      </c>
      <c r="B1535" s="2" t="str">
        <f>IFERROR(__xludf.DUMMYFUNCTION("""COMPUTED_VALUE"""),"VD017")</f>
        <v>VD017</v>
      </c>
      <c r="C1535" s="2">
        <f>IFERROR(__xludf.DUMMYFUNCTION("""COMPUTED_VALUE"""),8.0)</f>
        <v>8</v>
      </c>
      <c r="D1535" s="6">
        <f>IFERROR(__xludf.DUMMYFUNCTION("""COMPUTED_VALUE"""),276.36)</f>
        <v>276.36</v>
      </c>
      <c r="E1535" s="6">
        <f>IFERROR(__xludf.DUMMYFUNCTION("GOOGLEFINANCE(""Currency:BRLMXN"")*D1535"),938.7949199999999)</f>
        <v>938.79492</v>
      </c>
      <c r="F1535" s="6">
        <f>IFERROR(__xludf.DUMMYFUNCTION("GOOGLEFINANCE(""Currency:BRLPEN"")*D1535"),181.181616)</f>
        <v>181.181616</v>
      </c>
      <c r="G1535" s="2" t="str">
        <f t="array" ref="G1535">_xlfn.XLOOKUP(B1535,Vendedores!$A$2:$A$41,Vendedores!$B$2:$B$41,"No hay datos")</f>
        <v>No hay datos</v>
      </c>
      <c r="H1535" s="2" t="str">
        <f t="array" ref="H1535">_xlfn.XLOOKUP(B1535,Vendedores!$A$2:$A$41,Vendedores!$C$2:$C$41,"No hay datos")</f>
        <v>No hay datos</v>
      </c>
      <c r="I1535" s="2" t="str">
        <f t="array" ref="I1535">_xlfn.XLOOKUP(B1535,Vendedores!$A$2:$A$41,Vendedores!$D$2:$D$41,"No hay datos")</f>
        <v>No hay datos</v>
      </c>
      <c r="J1535" s="2" t="str">
        <f t="array" ref="J1535">_xlfn.XLOOKUP(A1535,Productos!$A$2:$A$61,Productos!$B$2:$F$61)</f>
        <v>#N/A</v>
      </c>
    </row>
    <row r="1536">
      <c r="A1536" s="2" t="str">
        <f>IFERROR(__xludf.DUMMYFUNCTION("""COMPUTED_VALUE"""),"PR016")</f>
        <v>PR016</v>
      </c>
      <c r="B1536" s="2" t="str">
        <f>IFERROR(__xludf.DUMMYFUNCTION("""COMPUTED_VALUE"""),"VD033")</f>
        <v>VD033</v>
      </c>
      <c r="C1536" s="2">
        <f>IFERROR(__xludf.DUMMYFUNCTION("""COMPUTED_VALUE"""),14.0)</f>
        <v>14</v>
      </c>
      <c r="D1536" s="6">
        <f>IFERROR(__xludf.DUMMYFUNCTION("""COMPUTED_VALUE"""),362.6)</f>
        <v>362.6</v>
      </c>
      <c r="E1536" s="6">
        <f>IFERROR(__xludf.DUMMYFUNCTION("GOOGLEFINANCE(""Currency:BRLMXN"")*D1536"),1231.7522)</f>
        <v>1231.7522</v>
      </c>
      <c r="F1536" s="6">
        <f>IFERROR(__xludf.DUMMYFUNCTION("GOOGLEFINANCE(""Currency:BRLPEN"")*D1536"),237.72056)</f>
        <v>237.72056</v>
      </c>
      <c r="G1536" s="2" t="str">
        <f t="array" ref="G1536">_xlfn.XLOOKUP(B1536,Vendedores!$A$2:$A$41,Vendedores!$B$2:$B$41,"No hay datos")</f>
        <v>No hay datos</v>
      </c>
      <c r="H1536" s="2" t="str">
        <f t="array" ref="H1536">_xlfn.XLOOKUP(B1536,Vendedores!$A$2:$A$41,Vendedores!$C$2:$C$41,"No hay datos")</f>
        <v>No hay datos</v>
      </c>
      <c r="I1536" s="2" t="str">
        <f t="array" ref="I1536">_xlfn.XLOOKUP(B1536,Vendedores!$A$2:$A$41,Vendedores!$D$2:$D$41,"No hay datos")</f>
        <v>No hay datos</v>
      </c>
      <c r="J1536" s="2" t="str">
        <f t="array" ref="J1536">_xlfn.XLOOKUP(A1536,Productos!$A$2:$A$61,Productos!$B$2:$F$61)</f>
        <v>#N/A</v>
      </c>
    </row>
    <row r="1537">
      <c r="A1537" s="2" t="str">
        <f>IFERROR(__xludf.DUMMYFUNCTION("""COMPUTED_VALUE"""),"PR019")</f>
        <v>PR019</v>
      </c>
      <c r="B1537" s="2" t="str">
        <f>IFERROR(__xludf.DUMMYFUNCTION("""COMPUTED_VALUE"""),"VD031")</f>
        <v>VD031</v>
      </c>
      <c r="C1537" s="2">
        <f>IFERROR(__xludf.DUMMYFUNCTION("""COMPUTED_VALUE"""),20.0)</f>
        <v>20</v>
      </c>
      <c r="D1537" s="6">
        <f>IFERROR(__xludf.DUMMYFUNCTION("""COMPUTED_VALUE"""),1097.8)</f>
        <v>1097.8</v>
      </c>
      <c r="E1537" s="6">
        <f>IFERROR(__xludf.DUMMYFUNCTION("GOOGLEFINANCE(""Currency:BRLMXN"")*D1537"),3729.2265999999995)</f>
        <v>3729.2266</v>
      </c>
      <c r="F1537" s="6">
        <f>IFERROR(__xludf.DUMMYFUNCTION("GOOGLEFINANCE(""Currency:BRLPEN"")*D1537"),719.71768)</f>
        <v>719.71768</v>
      </c>
      <c r="G1537" s="2" t="str">
        <f t="array" ref="G1537">_xlfn.XLOOKUP(B1537,Vendedores!$A$2:$A$41,Vendedores!$B$2:$B$41,"No hay datos")</f>
        <v>No hay datos</v>
      </c>
      <c r="H1537" s="2" t="str">
        <f t="array" ref="H1537">_xlfn.XLOOKUP(B1537,Vendedores!$A$2:$A$41,Vendedores!$C$2:$C$41,"No hay datos")</f>
        <v>No hay datos</v>
      </c>
      <c r="I1537" s="2" t="str">
        <f t="array" ref="I1537">_xlfn.XLOOKUP(B1537,Vendedores!$A$2:$A$41,Vendedores!$D$2:$D$41,"No hay datos")</f>
        <v>No hay datos</v>
      </c>
      <c r="J1537" s="2" t="str">
        <f t="array" ref="J1537">_xlfn.XLOOKUP(A1537,Productos!$A$2:$A$61,Productos!$B$2:$F$61)</f>
        <v>#N/A</v>
      </c>
    </row>
    <row r="1538">
      <c r="A1538" s="2" t="str">
        <f>IFERROR(__xludf.DUMMYFUNCTION("""COMPUTED_VALUE"""),"PR018")</f>
        <v>PR018</v>
      </c>
      <c r="B1538" s="2" t="str">
        <f>IFERROR(__xludf.DUMMYFUNCTION("""COMPUTED_VALUE"""),"VD029")</f>
        <v>VD029</v>
      </c>
      <c r="C1538" s="2">
        <f>IFERROR(__xludf.DUMMYFUNCTION("""COMPUTED_VALUE"""),6.0)</f>
        <v>6</v>
      </c>
      <c r="D1538" s="6">
        <f>IFERROR(__xludf.DUMMYFUNCTION("""COMPUTED_VALUE"""),217.14)</f>
        <v>217.14</v>
      </c>
      <c r="E1538" s="6">
        <f>IFERROR(__xludf.DUMMYFUNCTION("GOOGLEFINANCE(""Currency:BRLMXN"")*D1538"),737.6245799999999)</f>
        <v>737.62458</v>
      </c>
      <c r="F1538" s="6">
        <f>IFERROR(__xludf.DUMMYFUNCTION("GOOGLEFINANCE(""Currency:BRLPEN"")*D1538"),142.35698399999998)</f>
        <v>142.356984</v>
      </c>
      <c r="G1538" s="2" t="str">
        <f t="array" ref="G1538">_xlfn.XLOOKUP(B1538,Vendedores!$A$2:$A$41,Vendedores!$B$2:$B$41,"No hay datos")</f>
        <v>No hay datos</v>
      </c>
      <c r="H1538" s="2" t="str">
        <f t="array" ref="H1538">_xlfn.XLOOKUP(B1538,Vendedores!$A$2:$A$41,Vendedores!$C$2:$C$41,"No hay datos")</f>
        <v>No hay datos</v>
      </c>
      <c r="I1538" s="2" t="str">
        <f t="array" ref="I1538">_xlfn.XLOOKUP(B1538,Vendedores!$A$2:$A$41,Vendedores!$D$2:$D$41,"No hay datos")</f>
        <v>No hay datos</v>
      </c>
      <c r="J1538" s="2" t="str">
        <f t="array" ref="J1538">_xlfn.XLOOKUP(A1538,Productos!$A$2:$A$61,Productos!$B$2:$F$61)</f>
        <v>#N/A</v>
      </c>
    </row>
    <row r="1539">
      <c r="A1539" s="2" t="str">
        <f>IFERROR(__xludf.DUMMYFUNCTION("""COMPUTED_VALUE"""),"PR045")</f>
        <v>PR045</v>
      </c>
      <c r="B1539" s="2" t="str">
        <f>IFERROR(__xludf.DUMMYFUNCTION("""COMPUTED_VALUE"""),"VD021")</f>
        <v>VD021</v>
      </c>
      <c r="C1539" s="2">
        <f>IFERROR(__xludf.DUMMYFUNCTION("""COMPUTED_VALUE"""),20.0)</f>
        <v>20</v>
      </c>
      <c r="D1539" s="6">
        <f>IFERROR(__xludf.DUMMYFUNCTION("""COMPUTED_VALUE"""),1479.0)</f>
        <v>1479</v>
      </c>
      <c r="E1539" s="6">
        <f>IFERROR(__xludf.DUMMYFUNCTION("GOOGLEFINANCE(""Currency:BRLMXN"")*D1539"),5024.163)</f>
        <v>5024.163</v>
      </c>
      <c r="F1539" s="6">
        <f>IFERROR(__xludf.DUMMYFUNCTION("GOOGLEFINANCE(""Currency:BRLPEN"")*D1539"),969.6324)</f>
        <v>969.6324</v>
      </c>
      <c r="G1539" s="2" t="str">
        <f t="array" ref="G1539">_xlfn.XLOOKUP(B1539,Vendedores!$A$2:$A$41,Vendedores!$B$2:$B$41,"No hay datos")</f>
        <v>No hay datos</v>
      </c>
      <c r="H1539" s="2" t="str">
        <f t="array" ref="H1539">_xlfn.XLOOKUP(B1539,Vendedores!$A$2:$A$41,Vendedores!$C$2:$C$41,"No hay datos")</f>
        <v>No hay datos</v>
      </c>
      <c r="I1539" s="2" t="str">
        <f t="array" ref="I1539">_xlfn.XLOOKUP(B1539,Vendedores!$A$2:$A$41,Vendedores!$D$2:$D$41,"No hay datos")</f>
        <v>No hay datos</v>
      </c>
      <c r="J1539" s="2" t="str">
        <f t="array" ref="J1539">_xlfn.XLOOKUP(A1539,Productos!$A$2:$A$61,Productos!$B$2:$F$61)</f>
        <v>#N/A</v>
      </c>
    </row>
    <row r="1540">
      <c r="A1540" s="2" t="str">
        <f>IFERROR(__xludf.DUMMYFUNCTION("""COMPUTED_VALUE"""),"PR020")</f>
        <v>PR020</v>
      </c>
      <c r="B1540" s="2" t="str">
        <f>IFERROR(__xludf.DUMMYFUNCTION("""COMPUTED_VALUE"""),"VD013")</f>
        <v>VD013</v>
      </c>
      <c r="C1540" s="2">
        <f>IFERROR(__xludf.DUMMYFUNCTION("""COMPUTED_VALUE"""),12.0)</f>
        <v>12</v>
      </c>
      <c r="D1540" s="6">
        <f>IFERROR(__xludf.DUMMYFUNCTION("""COMPUTED_VALUE"""),3598.8)</f>
        <v>3598.8</v>
      </c>
      <c r="E1540" s="6">
        <f>IFERROR(__xludf.DUMMYFUNCTION("GOOGLEFINANCE(""Currency:BRLMXN"")*D1540"),12225.123599999999)</f>
        <v>12225.1236</v>
      </c>
      <c r="F1540" s="6">
        <f>IFERROR(__xludf.DUMMYFUNCTION("GOOGLEFINANCE(""Currency:BRLPEN"")*D1540"),2359.37328)</f>
        <v>2359.37328</v>
      </c>
      <c r="G1540" s="2" t="str">
        <f t="array" ref="G1540">_xlfn.XLOOKUP(B1540,Vendedores!$A$2:$A$41,Vendedores!$B$2:$B$41,"No hay datos")</f>
        <v>No hay datos</v>
      </c>
      <c r="H1540" s="2" t="str">
        <f t="array" ref="H1540">_xlfn.XLOOKUP(B1540,Vendedores!$A$2:$A$41,Vendedores!$C$2:$C$41,"No hay datos")</f>
        <v>No hay datos</v>
      </c>
      <c r="I1540" s="2" t="str">
        <f t="array" ref="I1540">_xlfn.XLOOKUP(B1540,Vendedores!$A$2:$A$41,Vendedores!$D$2:$D$41,"No hay datos")</f>
        <v>No hay datos</v>
      </c>
      <c r="J1540" s="2" t="str">
        <f t="array" ref="J1540">_xlfn.XLOOKUP(A1540,Productos!$A$2:$A$61,Productos!$B$2:$F$61)</f>
        <v>#N/A</v>
      </c>
    </row>
    <row r="1541">
      <c r="A1541" s="2" t="str">
        <f>IFERROR(__xludf.DUMMYFUNCTION("""COMPUTED_VALUE"""),"PR049")</f>
        <v>PR049</v>
      </c>
      <c r="B1541" s="2" t="str">
        <f>IFERROR(__xludf.DUMMYFUNCTION("""COMPUTED_VALUE"""),"VD022")</f>
        <v>VD022</v>
      </c>
      <c r="C1541" s="2">
        <f>IFERROR(__xludf.DUMMYFUNCTION("""COMPUTED_VALUE"""),14.0)</f>
        <v>14</v>
      </c>
      <c r="D1541" s="6">
        <f>IFERROR(__xludf.DUMMYFUNCTION("""COMPUTED_VALUE"""),483.63)</f>
        <v>483.63</v>
      </c>
      <c r="E1541" s="6">
        <f>IFERROR(__xludf.DUMMYFUNCTION("GOOGLEFINANCE(""Currency:BRLMXN"")*D1541"),1642.8911099999998)</f>
        <v>1642.89111</v>
      </c>
      <c r="F1541" s="6">
        <f>IFERROR(__xludf.DUMMYFUNCTION("GOOGLEFINANCE(""Currency:BRLPEN"")*D1541"),317.06782799999996)</f>
        <v>317.067828</v>
      </c>
      <c r="G1541" s="2" t="str">
        <f t="array" ref="G1541">_xlfn.XLOOKUP(B1541,Vendedores!$A$2:$A$41,Vendedores!$B$2:$B$41,"No hay datos")</f>
        <v>No hay datos</v>
      </c>
      <c r="H1541" s="2" t="str">
        <f t="array" ref="H1541">_xlfn.XLOOKUP(B1541,Vendedores!$A$2:$A$41,Vendedores!$C$2:$C$41,"No hay datos")</f>
        <v>No hay datos</v>
      </c>
      <c r="I1541" s="2" t="str">
        <f t="array" ref="I1541">_xlfn.XLOOKUP(B1541,Vendedores!$A$2:$A$41,Vendedores!$D$2:$D$41,"No hay datos")</f>
        <v>No hay datos</v>
      </c>
      <c r="J1541" s="2" t="str">
        <f t="array" ref="J1541">_xlfn.XLOOKUP(A1541,Productos!$A$2:$A$61,Productos!$B$2:$F$61)</f>
        <v>#N/A</v>
      </c>
    </row>
    <row r="1542">
      <c r="A1542" s="2" t="str">
        <f>IFERROR(__xludf.DUMMYFUNCTION("""COMPUTED_VALUE"""),"PR048")</f>
        <v>PR048</v>
      </c>
      <c r="B1542" s="2" t="str">
        <f>IFERROR(__xludf.DUMMYFUNCTION("""COMPUTED_VALUE"""),"VD026")</f>
        <v>VD026</v>
      </c>
      <c r="C1542" s="2">
        <f>IFERROR(__xludf.DUMMYFUNCTION("""COMPUTED_VALUE"""),1.0)</f>
        <v>1</v>
      </c>
      <c r="D1542" s="6">
        <f>IFERROR(__xludf.DUMMYFUNCTION("""COMPUTED_VALUE"""),304.4)</f>
        <v>304.4</v>
      </c>
      <c r="E1542" s="6">
        <f>IFERROR(__xludf.DUMMYFUNCTION("GOOGLEFINANCE(""Currency:BRLMXN"")*D1542"),1034.0467999999998)</f>
        <v>1034.0468</v>
      </c>
      <c r="F1542" s="6">
        <f>IFERROR(__xludf.DUMMYFUNCTION("GOOGLEFINANCE(""Currency:BRLPEN"")*D1542"),199.56463999999997)</f>
        <v>199.56464</v>
      </c>
      <c r="G1542" s="2" t="str">
        <f t="array" ref="G1542">_xlfn.XLOOKUP(B1542,Vendedores!$A$2:$A$41,Vendedores!$B$2:$B$41,"No hay datos")</f>
        <v>No hay datos</v>
      </c>
      <c r="H1542" s="2" t="str">
        <f t="array" ref="H1542">_xlfn.XLOOKUP(B1542,Vendedores!$A$2:$A$41,Vendedores!$C$2:$C$41,"No hay datos")</f>
        <v>No hay datos</v>
      </c>
      <c r="I1542" s="2" t="str">
        <f t="array" ref="I1542">_xlfn.XLOOKUP(B1542,Vendedores!$A$2:$A$41,Vendedores!$D$2:$D$41,"No hay datos")</f>
        <v>No hay datos</v>
      </c>
      <c r="J1542" s="2" t="str">
        <f t="array" ref="J1542">_xlfn.XLOOKUP(A1542,Productos!$A$2:$A$61,Productos!$B$2:$F$61)</f>
        <v>#N/A</v>
      </c>
    </row>
    <row r="1543">
      <c r="A1543" s="2" t="str">
        <f>IFERROR(__xludf.DUMMYFUNCTION("""COMPUTED_VALUE"""),"PR060")</f>
        <v>PR060</v>
      </c>
      <c r="B1543" s="2" t="str">
        <f>IFERROR(__xludf.DUMMYFUNCTION("""COMPUTED_VALUE"""),"VD033")</f>
        <v>VD033</v>
      </c>
      <c r="C1543" s="2">
        <f>IFERROR(__xludf.DUMMYFUNCTION("""COMPUTED_VALUE"""),8.0)</f>
        <v>8</v>
      </c>
      <c r="D1543" s="6">
        <f>IFERROR(__xludf.DUMMYFUNCTION("""COMPUTED_VALUE"""),1526.4)</f>
        <v>1526.4</v>
      </c>
      <c r="E1543" s="6">
        <f>IFERROR(__xludf.DUMMYFUNCTION("GOOGLEFINANCE(""Currency:BRLMXN"")*D1543"),5185.1808)</f>
        <v>5185.1808</v>
      </c>
      <c r="F1543" s="6">
        <f>IFERROR(__xludf.DUMMYFUNCTION("GOOGLEFINANCE(""Currency:BRLPEN"")*D1543"),1000.70784)</f>
        <v>1000.70784</v>
      </c>
      <c r="G1543" s="2" t="str">
        <f t="array" ref="G1543">_xlfn.XLOOKUP(B1543,Vendedores!$A$2:$A$41,Vendedores!$B$2:$B$41,"No hay datos")</f>
        <v>No hay datos</v>
      </c>
      <c r="H1543" s="2" t="str">
        <f t="array" ref="H1543">_xlfn.XLOOKUP(B1543,Vendedores!$A$2:$A$41,Vendedores!$C$2:$C$41,"No hay datos")</f>
        <v>No hay datos</v>
      </c>
      <c r="I1543" s="2" t="str">
        <f t="array" ref="I1543">_xlfn.XLOOKUP(B1543,Vendedores!$A$2:$A$41,Vendedores!$D$2:$D$41,"No hay datos")</f>
        <v>No hay datos</v>
      </c>
      <c r="J1543" s="2" t="str">
        <f t="array" ref="J1543">_xlfn.XLOOKUP(A1543,Productos!$A$2:$A$61,Productos!$B$2:$F$61)</f>
        <v>#N/A</v>
      </c>
    </row>
    <row r="1544">
      <c r="A1544" s="2" t="str">
        <f>IFERROR(__xludf.DUMMYFUNCTION("""COMPUTED_VALUE"""),"PR021")</f>
        <v>PR021</v>
      </c>
      <c r="B1544" s="2" t="str">
        <f>IFERROR(__xludf.DUMMYFUNCTION("""COMPUTED_VALUE"""),"VD016")</f>
        <v>VD016</v>
      </c>
      <c r="C1544" s="2">
        <f>IFERROR(__xludf.DUMMYFUNCTION("""COMPUTED_VALUE"""),18.0)</f>
        <v>18</v>
      </c>
      <c r="D1544" s="6">
        <f>IFERROR(__xludf.DUMMYFUNCTION("""COMPUTED_VALUE"""),5561.24)</f>
        <v>5561.24</v>
      </c>
      <c r="E1544" s="6">
        <f>IFERROR(__xludf.DUMMYFUNCTION("GOOGLEFINANCE(""Currency:BRLMXN"")*D1544"),18891.53228)</f>
        <v>18891.53228</v>
      </c>
      <c r="F1544" s="6">
        <f>IFERROR(__xludf.DUMMYFUNCTION("GOOGLEFINANCE(""Currency:BRLPEN"")*D1544"),3645.9489439999998)</f>
        <v>3645.948944</v>
      </c>
      <c r="G1544" s="2" t="str">
        <f t="array" ref="G1544">_xlfn.XLOOKUP(B1544,Vendedores!$A$2:$A$41,Vendedores!$B$2:$B$41,"No hay datos")</f>
        <v>No hay datos</v>
      </c>
      <c r="H1544" s="2" t="str">
        <f t="array" ref="H1544">_xlfn.XLOOKUP(B1544,Vendedores!$A$2:$A$41,Vendedores!$C$2:$C$41,"No hay datos")</f>
        <v>No hay datos</v>
      </c>
      <c r="I1544" s="2" t="str">
        <f t="array" ref="I1544">_xlfn.XLOOKUP(B1544,Vendedores!$A$2:$A$41,Vendedores!$D$2:$D$41,"No hay datos")</f>
        <v>No hay datos</v>
      </c>
      <c r="J1544" s="2" t="str">
        <f t="array" ref="J1544">_xlfn.XLOOKUP(A1544,Productos!$A$2:$A$61,Productos!$B$2:$F$61)</f>
        <v>#N/A</v>
      </c>
    </row>
    <row r="1545">
      <c r="A1545" s="2" t="str">
        <f>IFERROR(__xludf.DUMMYFUNCTION("""COMPUTED_VALUE"""),"PR035")</f>
        <v>PR035</v>
      </c>
      <c r="B1545" s="2" t="str">
        <f>IFERROR(__xludf.DUMMYFUNCTION("""COMPUTED_VALUE"""),"VD049")</f>
        <v>VD049</v>
      </c>
      <c r="C1545" s="2">
        <f>IFERROR(__xludf.DUMMYFUNCTION("""COMPUTED_VALUE"""),16.0)</f>
        <v>16</v>
      </c>
      <c r="D1545" s="6">
        <f>IFERROR(__xludf.DUMMYFUNCTION("""COMPUTED_VALUE"""),1564.77)</f>
        <v>1564.77</v>
      </c>
      <c r="E1545" s="6">
        <f>IFERROR(__xludf.DUMMYFUNCTION("GOOGLEFINANCE(""Currency:BRLMXN"")*D1545"),5315.52369)</f>
        <v>5315.52369</v>
      </c>
      <c r="F1545" s="6">
        <f>IFERROR(__xludf.DUMMYFUNCTION("GOOGLEFINANCE(""Currency:BRLPEN"")*D1545"),1025.863212)</f>
        <v>1025.863212</v>
      </c>
      <c r="G1545" s="2" t="str">
        <f t="array" ref="G1545">_xlfn.XLOOKUP(B1545,Vendedores!$A$2:$A$41,Vendedores!$B$2:$B$41,"No hay datos")</f>
        <v>No hay datos</v>
      </c>
      <c r="H1545" s="2" t="str">
        <f t="array" ref="H1545">_xlfn.XLOOKUP(B1545,Vendedores!$A$2:$A$41,Vendedores!$C$2:$C$41,"No hay datos")</f>
        <v>No hay datos</v>
      </c>
      <c r="I1545" s="2" t="str">
        <f t="array" ref="I1545">_xlfn.XLOOKUP(B1545,Vendedores!$A$2:$A$41,Vendedores!$D$2:$D$41,"No hay datos")</f>
        <v>No hay datos</v>
      </c>
      <c r="J1545" s="2" t="str">
        <f t="array" ref="J1545">_xlfn.XLOOKUP(A1545,Productos!$A$2:$A$61,Productos!$B$2:$F$61)</f>
        <v>#N/A</v>
      </c>
    </row>
    <row r="1546">
      <c r="A1546" s="2" t="str">
        <f>IFERROR(__xludf.DUMMYFUNCTION("""COMPUTED_VALUE"""),"PR012")</f>
        <v>PR012</v>
      </c>
      <c r="B1546" s="2" t="str">
        <f>IFERROR(__xludf.DUMMYFUNCTION("""COMPUTED_VALUE"""),"VD036")</f>
        <v>VD036</v>
      </c>
      <c r="C1546" s="2">
        <f>IFERROR(__xludf.DUMMYFUNCTION("""COMPUTED_VALUE"""),2.0)</f>
        <v>2</v>
      </c>
      <c r="D1546" s="6">
        <f>IFERROR(__xludf.DUMMYFUNCTION("""COMPUTED_VALUE"""),98.78)</f>
        <v>98.78</v>
      </c>
      <c r="E1546" s="6">
        <f>IFERROR(__xludf.DUMMYFUNCTION("GOOGLEFINANCE(""Currency:BRLMXN"")*D1546"),335.55566)</f>
        <v>335.55566</v>
      </c>
      <c r="F1546" s="6">
        <f>IFERROR(__xludf.DUMMYFUNCTION("GOOGLEFINANCE(""Currency:BRLPEN"")*D1546"),64.760168)</f>
        <v>64.760168</v>
      </c>
      <c r="G1546" s="2" t="str">
        <f t="array" ref="G1546">_xlfn.XLOOKUP(B1546,Vendedores!$A$2:$A$41,Vendedores!$B$2:$B$41,"No hay datos")</f>
        <v>No hay datos</v>
      </c>
      <c r="H1546" s="2" t="str">
        <f t="array" ref="H1546">_xlfn.XLOOKUP(B1546,Vendedores!$A$2:$A$41,Vendedores!$C$2:$C$41,"No hay datos")</f>
        <v>No hay datos</v>
      </c>
      <c r="I1546" s="2" t="str">
        <f t="array" ref="I1546">_xlfn.XLOOKUP(B1546,Vendedores!$A$2:$A$41,Vendedores!$D$2:$D$41,"No hay datos")</f>
        <v>No hay datos</v>
      </c>
      <c r="J1546" s="2" t="str">
        <f t="array" ref="J1546">_xlfn.XLOOKUP(A1546,Productos!$A$2:$A$61,Productos!$B$2:$F$61)</f>
        <v>#N/A</v>
      </c>
    </row>
    <row r="1547">
      <c r="A1547" s="2" t="str">
        <f>IFERROR(__xludf.DUMMYFUNCTION("""COMPUTED_VALUE"""),"PR018")</f>
        <v>PR018</v>
      </c>
      <c r="B1547" s="2" t="str">
        <f>IFERROR(__xludf.DUMMYFUNCTION("""COMPUTED_VALUE"""),"VD046")</f>
        <v>VD046</v>
      </c>
      <c r="C1547" s="2">
        <f>IFERROR(__xludf.DUMMYFUNCTION("""COMPUTED_VALUE"""),2.0)</f>
        <v>2</v>
      </c>
      <c r="D1547" s="6">
        <f>IFERROR(__xludf.DUMMYFUNCTION("""COMPUTED_VALUE"""),66.46)</f>
        <v>66.46</v>
      </c>
      <c r="E1547" s="6">
        <f>IFERROR(__xludf.DUMMYFUNCTION("GOOGLEFINANCE(""Currency:BRLMXN"")*D1547"),225.76461999999998)</f>
        <v>225.76462</v>
      </c>
      <c r="F1547" s="6">
        <f>IFERROR(__xludf.DUMMYFUNCTION("GOOGLEFINANCE(""Currency:BRLPEN"")*D1547"),43.571175999999994)</f>
        <v>43.571176</v>
      </c>
      <c r="G1547" s="2" t="str">
        <f t="array" ref="G1547">_xlfn.XLOOKUP(B1547,Vendedores!$A$2:$A$41,Vendedores!$B$2:$B$41,"No hay datos")</f>
        <v>No hay datos</v>
      </c>
      <c r="H1547" s="2" t="str">
        <f t="array" ref="H1547">_xlfn.XLOOKUP(B1547,Vendedores!$A$2:$A$41,Vendedores!$C$2:$C$41,"No hay datos")</f>
        <v>No hay datos</v>
      </c>
      <c r="I1547" s="2" t="str">
        <f t="array" ref="I1547">_xlfn.XLOOKUP(B1547,Vendedores!$A$2:$A$41,Vendedores!$D$2:$D$41,"No hay datos")</f>
        <v>No hay datos</v>
      </c>
      <c r="J1547" s="2" t="str">
        <f t="array" ref="J1547">_xlfn.XLOOKUP(A1547,Productos!$A$2:$A$61,Productos!$B$2:$F$61)</f>
        <v>#N/A</v>
      </c>
    </row>
    <row r="1548">
      <c r="A1548" s="2" t="str">
        <f>IFERROR(__xludf.DUMMYFUNCTION("""COMPUTED_VALUE"""),"PR057")</f>
        <v>PR057</v>
      </c>
      <c r="B1548" s="2" t="str">
        <f>IFERROR(__xludf.DUMMYFUNCTION("""COMPUTED_VALUE"""),"VD042")</f>
        <v>VD042</v>
      </c>
      <c r="C1548" s="2">
        <f>IFERROR(__xludf.DUMMYFUNCTION("""COMPUTED_VALUE"""),6.0)</f>
        <v>6</v>
      </c>
      <c r="D1548" s="6">
        <f>IFERROR(__xludf.DUMMYFUNCTION("""COMPUTED_VALUE"""),577.16)</f>
        <v>577.16</v>
      </c>
      <c r="E1548" s="6">
        <f>IFERROR(__xludf.DUMMYFUNCTION("GOOGLEFINANCE(""Currency:BRLMXN"")*D1548"),1960.6125199999997)</f>
        <v>1960.61252</v>
      </c>
      <c r="F1548" s="6">
        <f>IFERROR(__xludf.DUMMYFUNCTION("GOOGLEFINANCE(""Currency:BRLPEN"")*D1548"),378.38609599999995)</f>
        <v>378.386096</v>
      </c>
      <c r="G1548" s="2" t="str">
        <f t="array" ref="G1548">_xlfn.XLOOKUP(B1548,Vendedores!$A$2:$A$41,Vendedores!$B$2:$B$41,"No hay datos")</f>
        <v>No hay datos</v>
      </c>
      <c r="H1548" s="2" t="str">
        <f t="array" ref="H1548">_xlfn.XLOOKUP(B1548,Vendedores!$A$2:$A$41,Vendedores!$C$2:$C$41,"No hay datos")</f>
        <v>No hay datos</v>
      </c>
      <c r="I1548" s="2" t="str">
        <f t="array" ref="I1548">_xlfn.XLOOKUP(B1548,Vendedores!$A$2:$A$41,Vendedores!$D$2:$D$41,"No hay datos")</f>
        <v>No hay datos</v>
      </c>
      <c r="J1548" s="2" t="str">
        <f t="array" ref="J1548">_xlfn.XLOOKUP(A1548,Productos!$A$2:$A$61,Productos!$B$2:$F$61)</f>
        <v>#N/A</v>
      </c>
    </row>
    <row r="1549">
      <c r="A1549" s="2" t="str">
        <f>IFERROR(__xludf.DUMMYFUNCTION("""COMPUTED_VALUE"""),"PR018")</f>
        <v>PR018</v>
      </c>
      <c r="B1549" s="2" t="str">
        <f>IFERROR(__xludf.DUMMYFUNCTION("""COMPUTED_VALUE"""),"VD046")</f>
        <v>VD046</v>
      </c>
      <c r="C1549" s="2">
        <f>IFERROR(__xludf.DUMMYFUNCTION("""COMPUTED_VALUE"""),2.0)</f>
        <v>2</v>
      </c>
      <c r="D1549" s="6">
        <f>IFERROR(__xludf.DUMMYFUNCTION("""COMPUTED_VALUE"""),71.06)</f>
        <v>71.06</v>
      </c>
      <c r="E1549" s="6">
        <f>IFERROR(__xludf.DUMMYFUNCTION("GOOGLEFINANCE(""Currency:BRLMXN"")*D1549"),241.39082)</f>
        <v>241.39082</v>
      </c>
      <c r="F1549" s="6">
        <f>IFERROR(__xludf.DUMMYFUNCTION("GOOGLEFINANCE(""Currency:BRLPEN"")*D1549"),46.586936)</f>
        <v>46.586936</v>
      </c>
      <c r="G1549" s="2" t="str">
        <f t="array" ref="G1549">_xlfn.XLOOKUP(B1549,Vendedores!$A$2:$A$41,Vendedores!$B$2:$B$41,"No hay datos")</f>
        <v>No hay datos</v>
      </c>
      <c r="H1549" s="2" t="str">
        <f t="array" ref="H1549">_xlfn.XLOOKUP(B1549,Vendedores!$A$2:$A$41,Vendedores!$C$2:$C$41,"No hay datos")</f>
        <v>No hay datos</v>
      </c>
      <c r="I1549" s="2" t="str">
        <f t="array" ref="I1549">_xlfn.XLOOKUP(B1549,Vendedores!$A$2:$A$41,Vendedores!$D$2:$D$41,"No hay datos")</f>
        <v>No hay datos</v>
      </c>
      <c r="J1549" s="2" t="str">
        <f t="array" ref="J1549">_xlfn.XLOOKUP(A1549,Productos!$A$2:$A$61,Productos!$B$2:$F$61)</f>
        <v>#N/A</v>
      </c>
    </row>
    <row r="1550">
      <c r="A1550" s="2" t="str">
        <f>IFERROR(__xludf.DUMMYFUNCTION("""COMPUTED_VALUE"""),"PR053")</f>
        <v>PR053</v>
      </c>
      <c r="B1550" s="2" t="str">
        <f>IFERROR(__xludf.DUMMYFUNCTION("""COMPUTED_VALUE"""),"VD039")</f>
        <v>VD039</v>
      </c>
      <c r="C1550" s="2">
        <f>IFERROR(__xludf.DUMMYFUNCTION("""COMPUTED_VALUE"""),14.0)</f>
        <v>14</v>
      </c>
      <c r="D1550" s="6">
        <f>IFERROR(__xludf.DUMMYFUNCTION("""COMPUTED_VALUE"""),761.47)</f>
        <v>761.47</v>
      </c>
      <c r="E1550" s="6">
        <f>IFERROR(__xludf.DUMMYFUNCTION("GOOGLEFINANCE(""Currency:BRLMXN"")*D1550"),2586.71359)</f>
        <v>2586.71359</v>
      </c>
      <c r="F1550" s="6">
        <f>IFERROR(__xludf.DUMMYFUNCTION("GOOGLEFINANCE(""Currency:BRLPEN"")*D1550"),499.21973199999996)</f>
        <v>499.219732</v>
      </c>
      <c r="G1550" s="2" t="str">
        <f t="array" ref="G1550">_xlfn.XLOOKUP(B1550,Vendedores!$A$2:$A$41,Vendedores!$B$2:$B$41,"No hay datos")</f>
        <v>No hay datos</v>
      </c>
      <c r="H1550" s="2" t="str">
        <f t="array" ref="H1550">_xlfn.XLOOKUP(B1550,Vendedores!$A$2:$A$41,Vendedores!$C$2:$C$41,"No hay datos")</f>
        <v>No hay datos</v>
      </c>
      <c r="I1550" s="2" t="str">
        <f t="array" ref="I1550">_xlfn.XLOOKUP(B1550,Vendedores!$A$2:$A$41,Vendedores!$D$2:$D$41,"No hay datos")</f>
        <v>No hay datos</v>
      </c>
      <c r="J1550" s="2" t="str">
        <f t="array" ref="J1550">_xlfn.XLOOKUP(A1550,Productos!$A$2:$A$61,Productos!$B$2:$F$61)</f>
        <v>#N/A</v>
      </c>
    </row>
    <row r="1551">
      <c r="A1551" s="2" t="str">
        <f>IFERROR(__xludf.DUMMYFUNCTION("""COMPUTED_VALUE"""),"PR053")</f>
        <v>PR053</v>
      </c>
      <c r="B1551" s="2" t="str">
        <f>IFERROR(__xludf.DUMMYFUNCTION("""COMPUTED_VALUE"""),"VD029")</f>
        <v>VD029</v>
      </c>
      <c r="C1551" s="2">
        <f>IFERROR(__xludf.DUMMYFUNCTION("""COMPUTED_VALUE"""),9.0)</f>
        <v>9</v>
      </c>
      <c r="D1551" s="6">
        <f>IFERROR(__xludf.DUMMYFUNCTION("""COMPUTED_VALUE"""),480.54)</f>
        <v>480.54</v>
      </c>
      <c r="E1551" s="6">
        <f>IFERROR(__xludf.DUMMYFUNCTION("GOOGLEFINANCE(""Currency:BRLMXN"")*D1551"),1632.39438)</f>
        <v>1632.39438</v>
      </c>
      <c r="F1551" s="6">
        <f>IFERROR(__xludf.DUMMYFUNCTION("GOOGLEFINANCE(""Currency:BRLPEN"")*D1551"),315.04202399999997)</f>
        <v>315.042024</v>
      </c>
      <c r="G1551" s="2" t="str">
        <f t="array" ref="G1551">_xlfn.XLOOKUP(B1551,Vendedores!$A$2:$A$41,Vendedores!$B$2:$B$41,"No hay datos")</f>
        <v>No hay datos</v>
      </c>
      <c r="H1551" s="2" t="str">
        <f t="array" ref="H1551">_xlfn.XLOOKUP(B1551,Vendedores!$A$2:$A$41,Vendedores!$C$2:$C$41,"No hay datos")</f>
        <v>No hay datos</v>
      </c>
      <c r="I1551" s="2" t="str">
        <f t="array" ref="I1551">_xlfn.XLOOKUP(B1551,Vendedores!$A$2:$A$41,Vendedores!$D$2:$D$41,"No hay datos")</f>
        <v>No hay datos</v>
      </c>
      <c r="J1551" s="2" t="str">
        <f t="array" ref="J1551">_xlfn.XLOOKUP(A1551,Productos!$A$2:$A$61,Productos!$B$2:$F$61)</f>
        <v>#N/A</v>
      </c>
    </row>
    <row r="1552">
      <c r="A1552" s="2" t="str">
        <f>IFERROR(__xludf.DUMMYFUNCTION("""COMPUTED_VALUE"""),"PR004")</f>
        <v>PR004</v>
      </c>
      <c r="B1552" s="2" t="str">
        <f>IFERROR(__xludf.DUMMYFUNCTION("""COMPUTED_VALUE"""),"VD049")</f>
        <v>VD049</v>
      </c>
      <c r="C1552" s="2">
        <f>IFERROR(__xludf.DUMMYFUNCTION("""COMPUTED_VALUE"""),2.0)</f>
        <v>2</v>
      </c>
      <c r="D1552" s="6">
        <f>IFERROR(__xludf.DUMMYFUNCTION("""COMPUTED_VALUE"""),307.4)</f>
        <v>307.4</v>
      </c>
      <c r="E1552" s="6">
        <f>IFERROR(__xludf.DUMMYFUNCTION("GOOGLEFINANCE(""Currency:BRLMXN"")*D1552"),1044.2377999999999)</f>
        <v>1044.2378</v>
      </c>
      <c r="F1552" s="6">
        <f>IFERROR(__xludf.DUMMYFUNCTION("GOOGLEFINANCE(""Currency:BRLPEN"")*D1552"),201.53143999999998)</f>
        <v>201.53144</v>
      </c>
      <c r="G1552" s="2" t="str">
        <f t="array" ref="G1552">_xlfn.XLOOKUP(B1552,Vendedores!$A$2:$A$41,Vendedores!$B$2:$B$41,"No hay datos")</f>
        <v>No hay datos</v>
      </c>
      <c r="H1552" s="2" t="str">
        <f t="array" ref="H1552">_xlfn.XLOOKUP(B1552,Vendedores!$A$2:$A$41,Vendedores!$C$2:$C$41,"No hay datos")</f>
        <v>No hay datos</v>
      </c>
      <c r="I1552" s="2" t="str">
        <f t="array" ref="I1552">_xlfn.XLOOKUP(B1552,Vendedores!$A$2:$A$41,Vendedores!$D$2:$D$41,"No hay datos")</f>
        <v>No hay datos</v>
      </c>
      <c r="J1552" s="2" t="str">
        <f t="array" ref="J1552">_xlfn.XLOOKUP(A1552,Productos!$A$2:$A$61,Productos!$B$2:$F$61)</f>
        <v>#N/A</v>
      </c>
    </row>
    <row r="1553">
      <c r="A1553" s="2" t="str">
        <f>IFERROR(__xludf.DUMMYFUNCTION("""COMPUTED_VALUE"""),"PR005")</f>
        <v>PR005</v>
      </c>
      <c r="B1553" s="2" t="str">
        <f>IFERROR(__xludf.DUMMYFUNCTION("""COMPUTED_VALUE"""),"VD036")</f>
        <v>VD036</v>
      </c>
      <c r="C1553" s="2">
        <f>IFERROR(__xludf.DUMMYFUNCTION("""COMPUTED_VALUE"""),4.0)</f>
        <v>4</v>
      </c>
      <c r="D1553" s="6">
        <f>IFERROR(__xludf.DUMMYFUNCTION("""COMPUTED_VALUE"""),1050.0)</f>
        <v>1050</v>
      </c>
      <c r="E1553" s="6">
        <f>IFERROR(__xludf.DUMMYFUNCTION("GOOGLEFINANCE(""Currency:BRLMXN"")*D1553"),3566.85)</f>
        <v>3566.85</v>
      </c>
      <c r="F1553" s="6">
        <f>IFERROR(__xludf.DUMMYFUNCTION("GOOGLEFINANCE(""Currency:BRLPEN"")*D1553"),688.38)</f>
        <v>688.38</v>
      </c>
      <c r="G1553" s="2" t="str">
        <f t="array" ref="G1553">_xlfn.XLOOKUP(B1553,Vendedores!$A$2:$A$41,Vendedores!$B$2:$B$41,"No hay datos")</f>
        <v>No hay datos</v>
      </c>
      <c r="H1553" s="2" t="str">
        <f t="array" ref="H1553">_xlfn.XLOOKUP(B1553,Vendedores!$A$2:$A$41,Vendedores!$C$2:$C$41,"No hay datos")</f>
        <v>No hay datos</v>
      </c>
      <c r="I1553" s="2" t="str">
        <f t="array" ref="I1553">_xlfn.XLOOKUP(B1553,Vendedores!$A$2:$A$41,Vendedores!$D$2:$D$41,"No hay datos")</f>
        <v>No hay datos</v>
      </c>
      <c r="J1553" s="2" t="str">
        <f t="array" ref="J1553">_xlfn.XLOOKUP(A1553,Productos!$A$2:$A$61,Productos!$B$2:$F$61)</f>
        <v>#N/A</v>
      </c>
    </row>
    <row r="1554">
      <c r="A1554" s="2" t="str">
        <f>IFERROR(__xludf.DUMMYFUNCTION("""COMPUTED_VALUE"""),"PR030")</f>
        <v>PR030</v>
      </c>
      <c r="B1554" s="2" t="str">
        <f>IFERROR(__xludf.DUMMYFUNCTION("""COMPUTED_VALUE"""),"VD018")</f>
        <v>VD018</v>
      </c>
      <c r="C1554" s="2">
        <f>IFERROR(__xludf.DUMMYFUNCTION("""COMPUTED_VALUE"""),5.0)</f>
        <v>5</v>
      </c>
      <c r="D1554" s="6">
        <f>IFERROR(__xludf.DUMMYFUNCTION("""COMPUTED_VALUE"""),1403.46)</f>
        <v>1403.46</v>
      </c>
      <c r="E1554" s="6">
        <f>IFERROR(__xludf.DUMMYFUNCTION("GOOGLEFINANCE(""Currency:BRLMXN"")*D1554"),4767.55362)</f>
        <v>4767.55362</v>
      </c>
      <c r="F1554" s="6">
        <f>IFERROR(__xludf.DUMMYFUNCTION("GOOGLEFINANCE(""Currency:BRLPEN"")*D1554"),920.108376)</f>
        <v>920.108376</v>
      </c>
      <c r="G1554" s="2" t="str">
        <f t="array" ref="G1554">_xlfn.XLOOKUP(B1554,Vendedores!$A$2:$A$41,Vendedores!$B$2:$B$41,"No hay datos")</f>
        <v>No hay datos</v>
      </c>
      <c r="H1554" s="2" t="str">
        <f t="array" ref="H1554">_xlfn.XLOOKUP(B1554,Vendedores!$A$2:$A$41,Vendedores!$C$2:$C$41,"No hay datos")</f>
        <v>No hay datos</v>
      </c>
      <c r="I1554" s="2" t="str">
        <f t="array" ref="I1554">_xlfn.XLOOKUP(B1554,Vendedores!$A$2:$A$41,Vendedores!$D$2:$D$41,"No hay datos")</f>
        <v>No hay datos</v>
      </c>
      <c r="J1554" s="2" t="str">
        <f t="array" ref="J1554">_xlfn.XLOOKUP(A1554,Productos!$A$2:$A$61,Productos!$B$2:$F$61)</f>
        <v>#N/A</v>
      </c>
    </row>
    <row r="1555">
      <c r="A1555" s="2" t="str">
        <f>IFERROR(__xludf.DUMMYFUNCTION("""COMPUTED_VALUE"""),"PR013")</f>
        <v>PR013</v>
      </c>
      <c r="B1555" s="2" t="str">
        <f>IFERROR(__xludf.DUMMYFUNCTION("""COMPUTED_VALUE"""),"VD015")</f>
        <v>VD015</v>
      </c>
      <c r="C1555" s="2">
        <f>IFERROR(__xludf.DUMMYFUNCTION("""COMPUTED_VALUE"""),6.0)</f>
        <v>6</v>
      </c>
      <c r="D1555" s="6">
        <f>IFERROR(__xludf.DUMMYFUNCTION("""COMPUTED_VALUE"""),258.55)</f>
        <v>258.55</v>
      </c>
      <c r="E1555" s="6">
        <f>IFERROR(__xludf.DUMMYFUNCTION("GOOGLEFINANCE(""Currency:BRLMXN"")*D1555"),878.29435)</f>
        <v>878.29435</v>
      </c>
      <c r="F1555" s="6">
        <f>IFERROR(__xludf.DUMMYFUNCTION("GOOGLEFINANCE(""Currency:BRLPEN"")*D1555"),169.50538)</f>
        <v>169.50538</v>
      </c>
      <c r="G1555" s="2" t="str">
        <f t="array" ref="G1555">_xlfn.XLOOKUP(B1555,Vendedores!$A$2:$A$41,Vendedores!$B$2:$B$41,"No hay datos")</f>
        <v>No hay datos</v>
      </c>
      <c r="H1555" s="2" t="str">
        <f t="array" ref="H1555">_xlfn.XLOOKUP(B1555,Vendedores!$A$2:$A$41,Vendedores!$C$2:$C$41,"No hay datos")</f>
        <v>No hay datos</v>
      </c>
      <c r="I1555" s="2" t="str">
        <f t="array" ref="I1555">_xlfn.XLOOKUP(B1555,Vendedores!$A$2:$A$41,Vendedores!$D$2:$D$41,"No hay datos")</f>
        <v>No hay datos</v>
      </c>
      <c r="J1555" s="2" t="str">
        <f t="array" ref="J1555">_xlfn.XLOOKUP(A1555,Productos!$A$2:$A$61,Productos!$B$2:$F$61)</f>
        <v>#N/A</v>
      </c>
    </row>
    <row r="1556">
      <c r="A1556" s="2" t="str">
        <f>IFERROR(__xludf.DUMMYFUNCTION("""COMPUTED_VALUE"""),"PR007")</f>
        <v>PR007</v>
      </c>
      <c r="B1556" s="2" t="str">
        <f>IFERROR(__xludf.DUMMYFUNCTION("""COMPUTED_VALUE"""),"VD029")</f>
        <v>VD029</v>
      </c>
      <c r="C1556" s="2">
        <f>IFERROR(__xludf.DUMMYFUNCTION("""COMPUTED_VALUE"""),9.0)</f>
        <v>9</v>
      </c>
      <c r="D1556" s="6">
        <f>IFERROR(__xludf.DUMMYFUNCTION("""COMPUTED_VALUE"""),811.76)</f>
        <v>811.76</v>
      </c>
      <c r="E1556" s="6">
        <f>IFERROR(__xludf.DUMMYFUNCTION("GOOGLEFINANCE(""Currency:BRLMXN"")*D1556"),2757.54872)</f>
        <v>2757.54872</v>
      </c>
      <c r="F1556" s="6">
        <f>IFERROR(__xludf.DUMMYFUNCTION("GOOGLEFINANCE(""Currency:BRLPEN"")*D1556"),532.189856)</f>
        <v>532.189856</v>
      </c>
      <c r="G1556" s="2" t="str">
        <f t="array" ref="G1556">_xlfn.XLOOKUP(B1556,Vendedores!$A$2:$A$41,Vendedores!$B$2:$B$41,"No hay datos")</f>
        <v>No hay datos</v>
      </c>
      <c r="H1556" s="2" t="str">
        <f t="array" ref="H1556">_xlfn.XLOOKUP(B1556,Vendedores!$A$2:$A$41,Vendedores!$C$2:$C$41,"No hay datos")</f>
        <v>No hay datos</v>
      </c>
      <c r="I1556" s="2" t="str">
        <f t="array" ref="I1556">_xlfn.XLOOKUP(B1556,Vendedores!$A$2:$A$41,Vendedores!$D$2:$D$41,"No hay datos")</f>
        <v>No hay datos</v>
      </c>
      <c r="J1556" s="2" t="str">
        <f t="array" ref="J1556">_xlfn.XLOOKUP(A1556,Productos!$A$2:$A$61,Productos!$B$2:$F$61)</f>
        <v>#N/A</v>
      </c>
    </row>
    <row r="1557">
      <c r="A1557" s="2" t="str">
        <f>IFERROR(__xludf.DUMMYFUNCTION("""COMPUTED_VALUE"""),"PR035")</f>
        <v>PR035</v>
      </c>
      <c r="B1557" s="2" t="str">
        <f>IFERROR(__xludf.DUMMYFUNCTION("""COMPUTED_VALUE"""),"VD040")</f>
        <v>VD040</v>
      </c>
      <c r="C1557" s="2">
        <f>IFERROR(__xludf.DUMMYFUNCTION("""COMPUTED_VALUE"""),3.0)</f>
        <v>3</v>
      </c>
      <c r="D1557" s="6">
        <f>IFERROR(__xludf.DUMMYFUNCTION("""COMPUTED_VALUE"""),279.68)</f>
        <v>279.68</v>
      </c>
      <c r="E1557" s="6">
        <f>IFERROR(__xludf.DUMMYFUNCTION("GOOGLEFINANCE(""Currency:BRLMXN"")*D1557"),950.07296)</f>
        <v>950.07296</v>
      </c>
      <c r="F1557" s="6">
        <f>IFERROR(__xludf.DUMMYFUNCTION("GOOGLEFINANCE(""Currency:BRLPEN"")*D1557"),183.358208)</f>
        <v>183.358208</v>
      </c>
      <c r="G1557" s="2" t="str">
        <f t="array" ref="G1557">_xlfn.XLOOKUP(B1557,Vendedores!$A$2:$A$41,Vendedores!$B$2:$B$41,"No hay datos")</f>
        <v>No hay datos</v>
      </c>
      <c r="H1557" s="2" t="str">
        <f t="array" ref="H1557">_xlfn.XLOOKUP(B1557,Vendedores!$A$2:$A$41,Vendedores!$C$2:$C$41,"No hay datos")</f>
        <v>No hay datos</v>
      </c>
      <c r="I1557" s="2" t="str">
        <f t="array" ref="I1557">_xlfn.XLOOKUP(B1557,Vendedores!$A$2:$A$41,Vendedores!$D$2:$D$41,"No hay datos")</f>
        <v>No hay datos</v>
      </c>
      <c r="J1557" s="2" t="str">
        <f t="array" ref="J1557">_xlfn.XLOOKUP(A1557,Productos!$A$2:$A$61,Productos!$B$2:$F$61)</f>
        <v>#N/A</v>
      </c>
    </row>
    <row r="1558">
      <c r="A1558" s="2" t="str">
        <f>IFERROR(__xludf.DUMMYFUNCTION("""COMPUTED_VALUE"""),"PR030")</f>
        <v>PR030</v>
      </c>
      <c r="B1558" s="2" t="str">
        <f>IFERROR(__xludf.DUMMYFUNCTION("""COMPUTED_VALUE"""),"VD010")</f>
        <v>VD010</v>
      </c>
      <c r="C1558" s="2">
        <f>IFERROR(__xludf.DUMMYFUNCTION("""COMPUTED_VALUE"""),20.0)</f>
        <v>20</v>
      </c>
      <c r="D1558" s="6">
        <f>IFERROR(__xludf.DUMMYFUNCTION("""COMPUTED_VALUE"""),5301.96)</f>
        <v>5301.96</v>
      </c>
      <c r="E1558" s="6">
        <f>IFERROR(__xludf.DUMMYFUNCTION("GOOGLEFINANCE(""Currency:BRLMXN"")*D1558"),18010.75812)</f>
        <v>18010.75812</v>
      </c>
      <c r="F1558" s="6">
        <f>IFERROR(__xludf.DUMMYFUNCTION("GOOGLEFINANCE(""Currency:BRLPEN"")*D1558"),3475.9649759999998)</f>
        <v>3475.964976</v>
      </c>
      <c r="G1558" s="2" t="str">
        <f t="array" ref="G1558">_xlfn.XLOOKUP(B1558,Vendedores!$A$2:$A$41,Vendedores!$B$2:$B$41,"No hay datos")</f>
        <v>No hay datos</v>
      </c>
      <c r="H1558" s="2" t="str">
        <f t="array" ref="H1558">_xlfn.XLOOKUP(B1558,Vendedores!$A$2:$A$41,Vendedores!$C$2:$C$41,"No hay datos")</f>
        <v>No hay datos</v>
      </c>
      <c r="I1558" s="2" t="str">
        <f t="array" ref="I1558">_xlfn.XLOOKUP(B1558,Vendedores!$A$2:$A$41,Vendedores!$D$2:$D$41,"No hay datos")</f>
        <v>No hay datos</v>
      </c>
      <c r="J1558" s="2" t="str">
        <f t="array" ref="J1558">_xlfn.XLOOKUP(A1558,Productos!$A$2:$A$61,Productos!$B$2:$F$61)</f>
        <v>#N/A</v>
      </c>
    </row>
    <row r="1559">
      <c r="A1559" s="2" t="str">
        <f>IFERROR(__xludf.DUMMYFUNCTION("""COMPUTED_VALUE"""),"PR018")</f>
        <v>PR018</v>
      </c>
      <c r="B1559" s="2" t="str">
        <f>IFERROR(__xludf.DUMMYFUNCTION("""COMPUTED_VALUE"""),"VD046")</f>
        <v>VD046</v>
      </c>
      <c r="C1559" s="2">
        <f>IFERROR(__xludf.DUMMYFUNCTION("""COMPUTED_VALUE"""),14.0)</f>
        <v>14</v>
      </c>
      <c r="D1559" s="6">
        <f>IFERROR(__xludf.DUMMYFUNCTION("""COMPUTED_VALUE"""),474.42)</f>
        <v>474.42</v>
      </c>
      <c r="E1559" s="6">
        <f>IFERROR(__xludf.DUMMYFUNCTION("GOOGLEFINANCE(""Currency:BRLMXN"")*D1559"),1611.60474)</f>
        <v>1611.60474</v>
      </c>
      <c r="F1559" s="6">
        <f>IFERROR(__xludf.DUMMYFUNCTION("GOOGLEFINANCE(""Currency:BRLPEN"")*D1559"),311.029752)</f>
        <v>311.029752</v>
      </c>
      <c r="G1559" s="2" t="str">
        <f t="array" ref="G1559">_xlfn.XLOOKUP(B1559,Vendedores!$A$2:$A$41,Vendedores!$B$2:$B$41,"No hay datos")</f>
        <v>No hay datos</v>
      </c>
      <c r="H1559" s="2" t="str">
        <f t="array" ref="H1559">_xlfn.XLOOKUP(B1559,Vendedores!$A$2:$A$41,Vendedores!$C$2:$C$41,"No hay datos")</f>
        <v>No hay datos</v>
      </c>
      <c r="I1559" s="2" t="str">
        <f t="array" ref="I1559">_xlfn.XLOOKUP(B1559,Vendedores!$A$2:$A$41,Vendedores!$D$2:$D$41,"No hay datos")</f>
        <v>No hay datos</v>
      </c>
      <c r="J1559" s="2" t="str">
        <f t="array" ref="J1559">_xlfn.XLOOKUP(A1559,Productos!$A$2:$A$61,Productos!$B$2:$F$61)</f>
        <v>#N/A</v>
      </c>
    </row>
    <row r="1560">
      <c r="A1560" s="2" t="str">
        <f>IFERROR(__xludf.DUMMYFUNCTION("""COMPUTED_VALUE"""),"PR016")</f>
        <v>PR016</v>
      </c>
      <c r="B1560" s="2" t="str">
        <f>IFERROR(__xludf.DUMMYFUNCTION("""COMPUTED_VALUE"""),"VD044")</f>
        <v>VD044</v>
      </c>
      <c r="C1560" s="2">
        <f>IFERROR(__xludf.DUMMYFUNCTION("""COMPUTED_VALUE"""),16.0)</f>
        <v>16</v>
      </c>
      <c r="D1560" s="6">
        <f>IFERROR(__xludf.DUMMYFUNCTION("""COMPUTED_VALUE"""),430.98)</f>
        <v>430.98</v>
      </c>
      <c r="E1560" s="6">
        <f>IFERROR(__xludf.DUMMYFUNCTION("GOOGLEFINANCE(""Currency:BRLMXN"")*D1560"),1464.03906)</f>
        <v>1464.03906</v>
      </c>
      <c r="F1560" s="6">
        <f>IFERROR(__xludf.DUMMYFUNCTION("GOOGLEFINANCE(""Currency:BRLPEN"")*D1560"),282.550488)</f>
        <v>282.550488</v>
      </c>
      <c r="G1560" s="2" t="str">
        <f t="array" ref="G1560">_xlfn.XLOOKUP(B1560,Vendedores!$A$2:$A$41,Vendedores!$B$2:$B$41,"No hay datos")</f>
        <v>No hay datos</v>
      </c>
      <c r="H1560" s="2" t="str">
        <f t="array" ref="H1560">_xlfn.XLOOKUP(B1560,Vendedores!$A$2:$A$41,Vendedores!$C$2:$C$41,"No hay datos")</f>
        <v>No hay datos</v>
      </c>
      <c r="I1560" s="2" t="str">
        <f t="array" ref="I1560">_xlfn.XLOOKUP(B1560,Vendedores!$A$2:$A$41,Vendedores!$D$2:$D$41,"No hay datos")</f>
        <v>No hay datos</v>
      </c>
      <c r="J1560" s="2" t="str">
        <f t="array" ref="J1560">_xlfn.XLOOKUP(A1560,Productos!$A$2:$A$61,Productos!$B$2:$F$61)</f>
        <v>#N/A</v>
      </c>
    </row>
    <row r="1561">
      <c r="A1561" s="2" t="str">
        <f>IFERROR(__xludf.DUMMYFUNCTION("""COMPUTED_VALUE"""),"PR030")</f>
        <v>PR030</v>
      </c>
      <c r="B1561" s="2" t="str">
        <f>IFERROR(__xludf.DUMMYFUNCTION("""COMPUTED_VALUE"""),"VD032")</f>
        <v>VD032</v>
      </c>
      <c r="C1561" s="2">
        <f>IFERROR(__xludf.DUMMYFUNCTION("""COMPUTED_VALUE"""),16.0)</f>
        <v>16</v>
      </c>
      <c r="D1561" s="6">
        <f>IFERROR(__xludf.DUMMYFUNCTION("""COMPUTED_VALUE"""),4574.24)</f>
        <v>4574.24</v>
      </c>
      <c r="E1561" s="6">
        <f>IFERROR(__xludf.DUMMYFUNCTION("GOOGLEFINANCE(""Currency:BRLMXN"")*D1561"),15538.693279999998)</f>
        <v>15538.69328</v>
      </c>
      <c r="F1561" s="6">
        <f>IFERROR(__xludf.DUMMYFUNCTION("GOOGLEFINANCE(""Currency:BRLPEN"")*D1561"),2998.8717439999996)</f>
        <v>2998.871744</v>
      </c>
      <c r="G1561" s="2" t="str">
        <f t="array" ref="G1561">_xlfn.XLOOKUP(B1561,Vendedores!$A$2:$A$41,Vendedores!$B$2:$B$41,"No hay datos")</f>
        <v>No hay datos</v>
      </c>
      <c r="H1561" s="2" t="str">
        <f t="array" ref="H1561">_xlfn.XLOOKUP(B1561,Vendedores!$A$2:$A$41,Vendedores!$C$2:$C$41,"No hay datos")</f>
        <v>No hay datos</v>
      </c>
      <c r="I1561" s="2" t="str">
        <f t="array" ref="I1561">_xlfn.XLOOKUP(B1561,Vendedores!$A$2:$A$41,Vendedores!$D$2:$D$41,"No hay datos")</f>
        <v>No hay datos</v>
      </c>
      <c r="J1561" s="2" t="str">
        <f t="array" ref="J1561">_xlfn.XLOOKUP(A1561,Productos!$A$2:$A$61,Productos!$B$2:$F$61)</f>
        <v>#N/A</v>
      </c>
    </row>
    <row r="1562">
      <c r="A1562" s="2" t="str">
        <f>IFERROR(__xludf.DUMMYFUNCTION("""COMPUTED_VALUE"""),"PR056")</f>
        <v>PR056</v>
      </c>
      <c r="B1562" s="2" t="str">
        <f>IFERROR(__xludf.DUMMYFUNCTION("""COMPUTED_VALUE"""),"VD018")</f>
        <v>VD018</v>
      </c>
      <c r="C1562" s="2">
        <f>IFERROR(__xludf.DUMMYFUNCTION("""COMPUTED_VALUE"""),20.0)</f>
        <v>20</v>
      </c>
      <c r="D1562" s="6">
        <f>IFERROR(__xludf.DUMMYFUNCTION("""COMPUTED_VALUE"""),1833.96)</f>
        <v>1833.96</v>
      </c>
      <c r="E1562" s="6">
        <f>IFERROR(__xludf.DUMMYFUNCTION("GOOGLEFINANCE(""Currency:BRLMXN"")*D1562"),6229.96212)</f>
        <v>6229.96212</v>
      </c>
      <c r="F1562" s="6">
        <f>IFERROR(__xludf.DUMMYFUNCTION("GOOGLEFINANCE(""Currency:BRLPEN"")*D1562"),1202.344176)</f>
        <v>1202.344176</v>
      </c>
      <c r="G1562" s="2" t="str">
        <f t="array" ref="G1562">_xlfn.XLOOKUP(B1562,Vendedores!$A$2:$A$41,Vendedores!$B$2:$B$41,"No hay datos")</f>
        <v>No hay datos</v>
      </c>
      <c r="H1562" s="2" t="str">
        <f t="array" ref="H1562">_xlfn.XLOOKUP(B1562,Vendedores!$A$2:$A$41,Vendedores!$C$2:$C$41,"No hay datos")</f>
        <v>No hay datos</v>
      </c>
      <c r="I1562" s="2" t="str">
        <f t="array" ref="I1562">_xlfn.XLOOKUP(B1562,Vendedores!$A$2:$A$41,Vendedores!$D$2:$D$41,"No hay datos")</f>
        <v>No hay datos</v>
      </c>
      <c r="J1562" s="2" t="str">
        <f t="array" ref="J1562">_xlfn.XLOOKUP(A1562,Productos!$A$2:$A$61,Productos!$B$2:$F$61)</f>
        <v>#N/A</v>
      </c>
    </row>
    <row r="1563">
      <c r="A1563" s="2" t="str">
        <f>IFERROR(__xludf.DUMMYFUNCTION("""COMPUTED_VALUE"""),"PR037")</f>
        <v>PR037</v>
      </c>
      <c r="B1563" s="2" t="str">
        <f>IFERROR(__xludf.DUMMYFUNCTION("""COMPUTED_VALUE"""),"VD048")</f>
        <v>VD048</v>
      </c>
      <c r="C1563" s="2">
        <f>IFERROR(__xludf.DUMMYFUNCTION("""COMPUTED_VALUE"""),12.0)</f>
        <v>12</v>
      </c>
      <c r="D1563" s="6">
        <f>IFERROR(__xludf.DUMMYFUNCTION("""COMPUTED_VALUE"""),1764.0)</f>
        <v>1764</v>
      </c>
      <c r="E1563" s="6">
        <f>IFERROR(__xludf.DUMMYFUNCTION("GOOGLEFINANCE(""Currency:BRLMXN"")*D1563"),5992.308)</f>
        <v>5992.308</v>
      </c>
      <c r="F1563" s="6">
        <f>IFERROR(__xludf.DUMMYFUNCTION("GOOGLEFINANCE(""Currency:BRLPEN"")*D1563"),1156.4784)</f>
        <v>1156.4784</v>
      </c>
      <c r="G1563" s="2" t="str">
        <f t="array" ref="G1563">_xlfn.XLOOKUP(B1563,Vendedores!$A$2:$A$41,Vendedores!$B$2:$B$41,"No hay datos")</f>
        <v>No hay datos</v>
      </c>
      <c r="H1563" s="2" t="str">
        <f t="array" ref="H1563">_xlfn.XLOOKUP(B1563,Vendedores!$A$2:$A$41,Vendedores!$C$2:$C$41,"No hay datos")</f>
        <v>No hay datos</v>
      </c>
      <c r="I1563" s="2" t="str">
        <f t="array" ref="I1563">_xlfn.XLOOKUP(B1563,Vendedores!$A$2:$A$41,Vendedores!$D$2:$D$41,"No hay datos")</f>
        <v>No hay datos</v>
      </c>
      <c r="J1563" s="2" t="str">
        <f t="array" ref="J1563">_xlfn.XLOOKUP(A1563,Productos!$A$2:$A$61,Productos!$B$2:$F$61)</f>
        <v>#N/A</v>
      </c>
    </row>
    <row r="1564">
      <c r="A1564" s="2" t="str">
        <f>IFERROR(__xludf.DUMMYFUNCTION("""COMPUTED_VALUE"""),"PR031")</f>
        <v>PR031</v>
      </c>
      <c r="B1564" s="2" t="str">
        <f>IFERROR(__xludf.DUMMYFUNCTION("""COMPUTED_VALUE"""),"VD032")</f>
        <v>VD032</v>
      </c>
      <c r="C1564" s="2">
        <f>IFERROR(__xludf.DUMMYFUNCTION("""COMPUTED_VALUE"""),14.0)</f>
        <v>14</v>
      </c>
      <c r="D1564" s="6">
        <f>IFERROR(__xludf.DUMMYFUNCTION("""COMPUTED_VALUE"""),3430.0)</f>
        <v>3430</v>
      </c>
      <c r="E1564" s="6">
        <f>IFERROR(__xludf.DUMMYFUNCTION("GOOGLEFINANCE(""Currency:BRLMXN"")*D1564"),11651.71)</f>
        <v>11651.71</v>
      </c>
      <c r="F1564" s="6">
        <f>IFERROR(__xludf.DUMMYFUNCTION("GOOGLEFINANCE(""Currency:BRLPEN"")*D1564"),2248.708)</f>
        <v>2248.708</v>
      </c>
      <c r="G1564" s="2" t="str">
        <f t="array" ref="G1564">_xlfn.XLOOKUP(B1564,Vendedores!$A$2:$A$41,Vendedores!$B$2:$B$41,"No hay datos")</f>
        <v>No hay datos</v>
      </c>
      <c r="H1564" s="2" t="str">
        <f t="array" ref="H1564">_xlfn.XLOOKUP(B1564,Vendedores!$A$2:$A$41,Vendedores!$C$2:$C$41,"No hay datos")</f>
        <v>No hay datos</v>
      </c>
      <c r="I1564" s="2" t="str">
        <f t="array" ref="I1564">_xlfn.XLOOKUP(B1564,Vendedores!$A$2:$A$41,Vendedores!$D$2:$D$41,"No hay datos")</f>
        <v>No hay datos</v>
      </c>
      <c r="J1564" s="2" t="str">
        <f t="array" ref="J1564">_xlfn.XLOOKUP(A1564,Productos!$A$2:$A$61,Productos!$B$2:$F$61)</f>
        <v>#N/A</v>
      </c>
    </row>
    <row r="1565">
      <c r="A1565" s="2" t="str">
        <f>IFERROR(__xludf.DUMMYFUNCTION("""COMPUTED_VALUE"""),"PR016")</f>
        <v>PR016</v>
      </c>
      <c r="B1565" s="2" t="str">
        <f>IFERROR(__xludf.DUMMYFUNCTION("""COMPUTED_VALUE"""),"VD027")</f>
        <v>VD027</v>
      </c>
      <c r="C1565" s="2">
        <f>IFERROR(__xludf.DUMMYFUNCTION("""COMPUTED_VALUE"""),6.0)</f>
        <v>6</v>
      </c>
      <c r="D1565" s="6">
        <f>IFERROR(__xludf.DUMMYFUNCTION("""COMPUTED_VALUE"""),170.94)</f>
        <v>170.94</v>
      </c>
      <c r="E1565" s="6">
        <f>IFERROR(__xludf.DUMMYFUNCTION("GOOGLEFINANCE(""Currency:BRLMXN"")*D1565"),580.68318)</f>
        <v>580.68318</v>
      </c>
      <c r="F1565" s="6">
        <f>IFERROR(__xludf.DUMMYFUNCTION("GOOGLEFINANCE(""Currency:BRLPEN"")*D1565"),112.06826399999999)</f>
        <v>112.068264</v>
      </c>
      <c r="G1565" s="2" t="str">
        <f t="array" ref="G1565">_xlfn.XLOOKUP(B1565,Vendedores!$A$2:$A$41,Vendedores!$B$2:$B$41,"No hay datos")</f>
        <v>No hay datos</v>
      </c>
      <c r="H1565" s="2" t="str">
        <f t="array" ref="H1565">_xlfn.XLOOKUP(B1565,Vendedores!$A$2:$A$41,Vendedores!$C$2:$C$41,"No hay datos")</f>
        <v>No hay datos</v>
      </c>
      <c r="I1565" s="2" t="str">
        <f t="array" ref="I1565">_xlfn.XLOOKUP(B1565,Vendedores!$A$2:$A$41,Vendedores!$D$2:$D$41,"No hay datos")</f>
        <v>No hay datos</v>
      </c>
      <c r="J1565" s="2" t="str">
        <f t="array" ref="J1565">_xlfn.XLOOKUP(A1565,Productos!$A$2:$A$61,Productos!$B$2:$F$61)</f>
        <v>#N/A</v>
      </c>
    </row>
    <row r="1566">
      <c r="A1566" s="2" t="str">
        <f>IFERROR(__xludf.DUMMYFUNCTION("""COMPUTED_VALUE"""),"PR054")</f>
        <v>PR054</v>
      </c>
      <c r="B1566" s="2" t="str">
        <f>IFERROR(__xludf.DUMMYFUNCTION("""COMPUTED_VALUE"""),"VD032")</f>
        <v>VD032</v>
      </c>
      <c r="C1566" s="2">
        <f>IFERROR(__xludf.DUMMYFUNCTION("""COMPUTED_VALUE"""),6.0)</f>
        <v>6</v>
      </c>
      <c r="D1566" s="6">
        <f>IFERROR(__xludf.DUMMYFUNCTION("""COMPUTED_VALUE"""),329.34)</f>
        <v>329.34</v>
      </c>
      <c r="E1566" s="6">
        <f>IFERROR(__xludf.DUMMYFUNCTION("GOOGLEFINANCE(""Currency:BRLMXN"")*D1566"),1118.7679799999999)</f>
        <v>1118.76798</v>
      </c>
      <c r="F1566" s="6">
        <f>IFERROR(__xludf.DUMMYFUNCTION("GOOGLEFINANCE(""Currency:BRLPEN"")*D1566"),215.91530399999996)</f>
        <v>215.915304</v>
      </c>
      <c r="G1566" s="2" t="str">
        <f t="array" ref="G1566">_xlfn.XLOOKUP(B1566,Vendedores!$A$2:$A$41,Vendedores!$B$2:$B$41,"No hay datos")</f>
        <v>No hay datos</v>
      </c>
      <c r="H1566" s="2" t="str">
        <f t="array" ref="H1566">_xlfn.XLOOKUP(B1566,Vendedores!$A$2:$A$41,Vendedores!$C$2:$C$41,"No hay datos")</f>
        <v>No hay datos</v>
      </c>
      <c r="I1566" s="2" t="str">
        <f t="array" ref="I1566">_xlfn.XLOOKUP(B1566,Vendedores!$A$2:$A$41,Vendedores!$D$2:$D$41,"No hay datos")</f>
        <v>No hay datos</v>
      </c>
      <c r="J1566" s="2" t="str">
        <f t="array" ref="J1566">_xlfn.XLOOKUP(A1566,Productos!$A$2:$A$61,Productos!$B$2:$F$61)</f>
        <v>#N/A</v>
      </c>
    </row>
    <row r="1567">
      <c r="A1567" s="2" t="str">
        <f>IFERROR(__xludf.DUMMYFUNCTION("""COMPUTED_VALUE"""),"PR035")</f>
        <v>PR035</v>
      </c>
      <c r="B1567" s="2" t="str">
        <f>IFERROR(__xludf.DUMMYFUNCTION("""COMPUTED_VALUE"""),"VD038")</f>
        <v>VD038</v>
      </c>
      <c r="C1567" s="2">
        <f>IFERROR(__xludf.DUMMYFUNCTION("""COMPUTED_VALUE"""),2.0)</f>
        <v>2</v>
      </c>
      <c r="D1567" s="6">
        <f>IFERROR(__xludf.DUMMYFUNCTION("""COMPUTED_VALUE"""),190.11)</f>
        <v>190.11</v>
      </c>
      <c r="E1567" s="6">
        <f>IFERROR(__xludf.DUMMYFUNCTION("GOOGLEFINANCE(""Currency:BRLMXN"")*D1567"),645.80367)</f>
        <v>645.80367</v>
      </c>
      <c r="F1567" s="6">
        <f>IFERROR(__xludf.DUMMYFUNCTION("GOOGLEFINANCE(""Currency:BRLPEN"")*D1567"),124.636116)</f>
        <v>124.636116</v>
      </c>
      <c r="G1567" s="2" t="str">
        <f t="array" ref="G1567">_xlfn.XLOOKUP(B1567,Vendedores!$A$2:$A$41,Vendedores!$B$2:$B$41,"No hay datos")</f>
        <v>No hay datos</v>
      </c>
      <c r="H1567" s="2" t="str">
        <f t="array" ref="H1567">_xlfn.XLOOKUP(B1567,Vendedores!$A$2:$A$41,Vendedores!$C$2:$C$41,"No hay datos")</f>
        <v>No hay datos</v>
      </c>
      <c r="I1567" s="2" t="str">
        <f t="array" ref="I1567">_xlfn.XLOOKUP(B1567,Vendedores!$A$2:$A$41,Vendedores!$D$2:$D$41,"No hay datos")</f>
        <v>No hay datos</v>
      </c>
      <c r="J1567" s="2" t="str">
        <f t="array" ref="J1567">_xlfn.XLOOKUP(A1567,Productos!$A$2:$A$61,Productos!$B$2:$F$61)</f>
        <v>#N/A</v>
      </c>
    </row>
    <row r="1568">
      <c r="A1568" s="2" t="str">
        <f>IFERROR(__xludf.DUMMYFUNCTION("""COMPUTED_VALUE"""),"PR014")</f>
        <v>PR014</v>
      </c>
      <c r="B1568" s="2" t="str">
        <f>IFERROR(__xludf.DUMMYFUNCTION("""COMPUTED_VALUE"""),"VD016")</f>
        <v>VD016</v>
      </c>
      <c r="C1568" s="2">
        <f>IFERROR(__xludf.DUMMYFUNCTION("""COMPUTED_VALUE"""),1.0)</f>
        <v>1</v>
      </c>
      <c r="D1568" s="6">
        <f>IFERROR(__xludf.DUMMYFUNCTION("""COMPUTED_VALUE"""),42.29)</f>
        <v>42.29</v>
      </c>
      <c r="E1568" s="6">
        <f>IFERROR(__xludf.DUMMYFUNCTION("GOOGLEFINANCE(""Currency:BRLMXN"")*D1568"),143.65912999999998)</f>
        <v>143.65913</v>
      </c>
      <c r="F1568" s="6">
        <f>IFERROR(__xludf.DUMMYFUNCTION("GOOGLEFINANCE(""Currency:BRLPEN"")*D1568"),27.725323999999997)</f>
        <v>27.725324</v>
      </c>
      <c r="G1568" s="2" t="str">
        <f t="array" ref="G1568">_xlfn.XLOOKUP(B1568,Vendedores!$A$2:$A$41,Vendedores!$B$2:$B$41,"No hay datos")</f>
        <v>No hay datos</v>
      </c>
      <c r="H1568" s="2" t="str">
        <f t="array" ref="H1568">_xlfn.XLOOKUP(B1568,Vendedores!$A$2:$A$41,Vendedores!$C$2:$C$41,"No hay datos")</f>
        <v>No hay datos</v>
      </c>
      <c r="I1568" s="2" t="str">
        <f t="array" ref="I1568">_xlfn.XLOOKUP(B1568,Vendedores!$A$2:$A$41,Vendedores!$D$2:$D$41,"No hay datos")</f>
        <v>No hay datos</v>
      </c>
      <c r="J1568" s="2" t="str">
        <f t="array" ref="J1568">_xlfn.XLOOKUP(A1568,Productos!$A$2:$A$61,Productos!$B$2:$F$61)</f>
        <v>#N/A</v>
      </c>
    </row>
    <row r="1569">
      <c r="A1569" s="2" t="str">
        <f>IFERROR(__xludf.DUMMYFUNCTION("""COMPUTED_VALUE"""),"PR009")</f>
        <v>PR009</v>
      </c>
      <c r="B1569" s="2" t="str">
        <f>IFERROR(__xludf.DUMMYFUNCTION("""COMPUTED_VALUE"""),"VD031")</f>
        <v>VD031</v>
      </c>
      <c r="C1569" s="2">
        <f>IFERROR(__xludf.DUMMYFUNCTION("""COMPUTED_VALUE"""),16.0)</f>
        <v>16</v>
      </c>
      <c r="D1569" s="6">
        <f>IFERROR(__xludf.DUMMYFUNCTION("""COMPUTED_VALUE"""),1516.13)</f>
        <v>1516.13</v>
      </c>
      <c r="E1569" s="6">
        <f>IFERROR(__xludf.DUMMYFUNCTION("GOOGLEFINANCE(""Currency:BRLMXN"")*D1569"),5150.29361)</f>
        <v>5150.29361</v>
      </c>
      <c r="F1569" s="6">
        <f>IFERROR(__xludf.DUMMYFUNCTION("GOOGLEFINANCE(""Currency:BRLPEN"")*D1569"),993.974828)</f>
        <v>993.974828</v>
      </c>
      <c r="G1569" s="2" t="str">
        <f t="array" ref="G1569">_xlfn.XLOOKUP(B1569,Vendedores!$A$2:$A$41,Vendedores!$B$2:$B$41,"No hay datos")</f>
        <v>No hay datos</v>
      </c>
      <c r="H1569" s="2" t="str">
        <f t="array" ref="H1569">_xlfn.XLOOKUP(B1569,Vendedores!$A$2:$A$41,Vendedores!$C$2:$C$41,"No hay datos")</f>
        <v>No hay datos</v>
      </c>
      <c r="I1569" s="2" t="str">
        <f t="array" ref="I1569">_xlfn.XLOOKUP(B1569,Vendedores!$A$2:$A$41,Vendedores!$D$2:$D$41,"No hay datos")</f>
        <v>No hay datos</v>
      </c>
      <c r="J1569" s="2" t="str">
        <f t="array" ref="J1569">_xlfn.XLOOKUP(A1569,Productos!$A$2:$A$61,Productos!$B$2:$F$61)</f>
        <v>#N/A</v>
      </c>
    </row>
    <row r="1570">
      <c r="A1570" s="2" t="str">
        <f>IFERROR(__xludf.DUMMYFUNCTION("""COMPUTED_VALUE"""),"PR053")</f>
        <v>PR053</v>
      </c>
      <c r="B1570" s="2" t="str">
        <f>IFERROR(__xludf.DUMMYFUNCTION("""COMPUTED_VALUE"""),"VD036")</f>
        <v>VD036</v>
      </c>
      <c r="C1570" s="2">
        <f>IFERROR(__xludf.DUMMYFUNCTION("""COMPUTED_VALUE"""),18.0)</f>
        <v>18</v>
      </c>
      <c r="D1570" s="6">
        <f>IFERROR(__xludf.DUMMYFUNCTION("""COMPUTED_VALUE"""),961.07)</f>
        <v>961.07</v>
      </c>
      <c r="E1570" s="6">
        <f>IFERROR(__xludf.DUMMYFUNCTION("GOOGLEFINANCE(""Currency:BRLMXN"")*D1570"),3264.75479)</f>
        <v>3264.75479</v>
      </c>
      <c r="F1570" s="6">
        <f>IFERROR(__xludf.DUMMYFUNCTION("GOOGLEFINANCE(""Currency:BRLPEN"")*D1570"),630.077492)</f>
        <v>630.077492</v>
      </c>
      <c r="G1570" s="2" t="str">
        <f t="array" ref="G1570">_xlfn.XLOOKUP(B1570,Vendedores!$A$2:$A$41,Vendedores!$B$2:$B$41,"No hay datos")</f>
        <v>No hay datos</v>
      </c>
      <c r="H1570" s="2" t="str">
        <f t="array" ref="H1570">_xlfn.XLOOKUP(B1570,Vendedores!$A$2:$A$41,Vendedores!$C$2:$C$41,"No hay datos")</f>
        <v>No hay datos</v>
      </c>
      <c r="I1570" s="2" t="str">
        <f t="array" ref="I1570">_xlfn.XLOOKUP(B1570,Vendedores!$A$2:$A$41,Vendedores!$D$2:$D$41,"No hay datos")</f>
        <v>No hay datos</v>
      </c>
      <c r="J1570" s="2" t="str">
        <f t="array" ref="J1570">_xlfn.XLOOKUP(A1570,Productos!$A$2:$A$61,Productos!$B$2:$F$61)</f>
        <v>#N/A</v>
      </c>
    </row>
    <row r="1571">
      <c r="A1571" s="2" t="str">
        <f>IFERROR(__xludf.DUMMYFUNCTION("""COMPUTED_VALUE"""),"PR051")</f>
        <v>PR051</v>
      </c>
      <c r="B1571" s="2" t="str">
        <f>IFERROR(__xludf.DUMMYFUNCTION("""COMPUTED_VALUE"""),"VD038")</f>
        <v>VD038</v>
      </c>
      <c r="C1571" s="2">
        <f>IFERROR(__xludf.DUMMYFUNCTION("""COMPUTED_VALUE"""),8.0)</f>
        <v>8</v>
      </c>
      <c r="D1571" s="6">
        <f>IFERROR(__xludf.DUMMYFUNCTION("""COMPUTED_VALUE"""),271.1)</f>
        <v>271.1</v>
      </c>
      <c r="E1571" s="6">
        <f>IFERROR(__xludf.DUMMYFUNCTION("GOOGLEFINANCE(""Currency:BRLMXN"")*D1571"),920.9267)</f>
        <v>920.9267</v>
      </c>
      <c r="F1571" s="6">
        <f>IFERROR(__xludf.DUMMYFUNCTION("GOOGLEFINANCE(""Currency:BRLPEN"")*D1571"),177.73316)</f>
        <v>177.73316</v>
      </c>
      <c r="G1571" s="2" t="str">
        <f t="array" ref="G1571">_xlfn.XLOOKUP(B1571,Vendedores!$A$2:$A$41,Vendedores!$B$2:$B$41,"No hay datos")</f>
        <v>No hay datos</v>
      </c>
      <c r="H1571" s="2" t="str">
        <f t="array" ref="H1571">_xlfn.XLOOKUP(B1571,Vendedores!$A$2:$A$41,Vendedores!$C$2:$C$41,"No hay datos")</f>
        <v>No hay datos</v>
      </c>
      <c r="I1571" s="2" t="str">
        <f t="array" ref="I1571">_xlfn.XLOOKUP(B1571,Vendedores!$A$2:$A$41,Vendedores!$D$2:$D$41,"No hay datos")</f>
        <v>No hay datos</v>
      </c>
      <c r="J1571" s="2" t="str">
        <f t="array" ref="J1571">_xlfn.XLOOKUP(A1571,Productos!$A$2:$A$61,Productos!$B$2:$F$61)</f>
        <v>#N/A</v>
      </c>
    </row>
    <row r="1572">
      <c r="A1572" s="2" t="str">
        <f>IFERROR(__xludf.DUMMYFUNCTION("""COMPUTED_VALUE"""),"PR006")</f>
        <v>PR006</v>
      </c>
      <c r="B1572" s="2" t="str">
        <f>IFERROR(__xludf.DUMMYFUNCTION("""COMPUTED_VALUE"""),"VD035")</f>
        <v>VD035</v>
      </c>
      <c r="C1572" s="2">
        <f>IFERROR(__xludf.DUMMYFUNCTION("""COMPUTED_VALUE"""),5.0)</f>
        <v>5</v>
      </c>
      <c r="D1572" s="6">
        <f>IFERROR(__xludf.DUMMYFUNCTION("""COMPUTED_VALUE"""),215.46)</f>
        <v>215.46</v>
      </c>
      <c r="E1572" s="6">
        <f>IFERROR(__xludf.DUMMYFUNCTION("GOOGLEFINANCE(""Currency:BRLMXN"")*D1572"),731.9176199999999)</f>
        <v>731.91762</v>
      </c>
      <c r="F1572" s="6">
        <f>IFERROR(__xludf.DUMMYFUNCTION("GOOGLEFINANCE(""Currency:BRLPEN"")*D1572"),141.255576)</f>
        <v>141.255576</v>
      </c>
      <c r="G1572" s="2" t="str">
        <f t="array" ref="G1572">_xlfn.XLOOKUP(B1572,Vendedores!$A$2:$A$41,Vendedores!$B$2:$B$41,"No hay datos")</f>
        <v>No hay datos</v>
      </c>
      <c r="H1572" s="2" t="str">
        <f t="array" ref="H1572">_xlfn.XLOOKUP(B1572,Vendedores!$A$2:$A$41,Vendedores!$C$2:$C$41,"No hay datos")</f>
        <v>No hay datos</v>
      </c>
      <c r="I1572" s="2" t="str">
        <f t="array" ref="I1572">_xlfn.XLOOKUP(B1572,Vendedores!$A$2:$A$41,Vendedores!$D$2:$D$41,"No hay datos")</f>
        <v>No hay datos</v>
      </c>
      <c r="J1572" s="2" t="str">
        <f t="array" ref="J1572">_xlfn.XLOOKUP(A1572,Productos!$A$2:$A$61,Productos!$B$2:$F$61)</f>
        <v>#N/A</v>
      </c>
    </row>
    <row r="1573">
      <c r="A1573" s="2" t="str">
        <f>IFERROR(__xludf.DUMMYFUNCTION("""COMPUTED_VALUE"""),"PR046")</f>
        <v>PR046</v>
      </c>
      <c r="B1573" s="2" t="str">
        <f>IFERROR(__xludf.DUMMYFUNCTION("""COMPUTED_VALUE"""),"VD040")</f>
        <v>VD040</v>
      </c>
      <c r="C1573" s="2">
        <f>IFERROR(__xludf.DUMMYFUNCTION("""COMPUTED_VALUE"""),2.0)</f>
        <v>2</v>
      </c>
      <c r="D1573" s="6">
        <f>IFERROR(__xludf.DUMMYFUNCTION("""COMPUTED_VALUE"""),614.59)</f>
        <v>614.59</v>
      </c>
      <c r="E1573" s="6">
        <f>IFERROR(__xludf.DUMMYFUNCTION("GOOGLEFINANCE(""Currency:BRLMXN"")*D1573"),2087.76223)</f>
        <v>2087.76223</v>
      </c>
      <c r="F1573" s="6">
        <f>IFERROR(__xludf.DUMMYFUNCTION("GOOGLEFINANCE(""Currency:BRLPEN"")*D1573"),402.925204)</f>
        <v>402.925204</v>
      </c>
      <c r="G1573" s="2" t="str">
        <f t="array" ref="G1573">_xlfn.XLOOKUP(B1573,Vendedores!$A$2:$A$41,Vendedores!$B$2:$B$41,"No hay datos")</f>
        <v>No hay datos</v>
      </c>
      <c r="H1573" s="2" t="str">
        <f t="array" ref="H1573">_xlfn.XLOOKUP(B1573,Vendedores!$A$2:$A$41,Vendedores!$C$2:$C$41,"No hay datos")</f>
        <v>No hay datos</v>
      </c>
      <c r="I1573" s="2" t="str">
        <f t="array" ref="I1573">_xlfn.XLOOKUP(B1573,Vendedores!$A$2:$A$41,Vendedores!$D$2:$D$41,"No hay datos")</f>
        <v>No hay datos</v>
      </c>
      <c r="J1573" s="2" t="str">
        <f t="array" ref="J1573">_xlfn.XLOOKUP(A1573,Productos!$A$2:$A$61,Productos!$B$2:$F$61)</f>
        <v>#N/A</v>
      </c>
    </row>
    <row r="1574">
      <c r="A1574" s="2" t="str">
        <f>IFERROR(__xludf.DUMMYFUNCTION("""COMPUTED_VALUE"""),"PR001")</f>
        <v>PR001</v>
      </c>
      <c r="B1574" s="2" t="str">
        <f>IFERROR(__xludf.DUMMYFUNCTION("""COMPUTED_VALUE"""),"VD020")</f>
        <v>VD020</v>
      </c>
      <c r="C1574" s="2">
        <f>IFERROR(__xludf.DUMMYFUNCTION("""COMPUTED_VALUE"""),12.0)</f>
        <v>12</v>
      </c>
      <c r="D1574" s="6">
        <f>IFERROR(__xludf.DUMMYFUNCTION("""COMPUTED_VALUE"""),806.62)</f>
        <v>806.62</v>
      </c>
      <c r="E1574" s="6">
        <f>IFERROR(__xludf.DUMMYFUNCTION("GOOGLEFINANCE(""Currency:BRLMXN"")*D1574"),2740.08814)</f>
        <v>2740.08814</v>
      </c>
      <c r="F1574" s="6">
        <f>IFERROR(__xludf.DUMMYFUNCTION("GOOGLEFINANCE(""Currency:BRLPEN"")*D1574"),528.820072)</f>
        <v>528.820072</v>
      </c>
      <c r="G1574" s="2" t="str">
        <f t="array" ref="G1574">_xlfn.XLOOKUP(B1574,Vendedores!$A$2:$A$41,Vendedores!$B$2:$B$41,"No hay datos")</f>
        <v>No hay datos</v>
      </c>
      <c r="H1574" s="2" t="str">
        <f t="array" ref="H1574">_xlfn.XLOOKUP(B1574,Vendedores!$A$2:$A$41,Vendedores!$C$2:$C$41,"No hay datos")</f>
        <v>No hay datos</v>
      </c>
      <c r="I1574" s="2" t="str">
        <f t="array" ref="I1574">_xlfn.XLOOKUP(B1574,Vendedores!$A$2:$A$41,Vendedores!$D$2:$D$41,"No hay datos")</f>
        <v>No hay datos</v>
      </c>
      <c r="J1574" s="2" t="str">
        <f t="array" ref="J1574">_xlfn.XLOOKUP(A1574,Productos!$A$2:$A$61,Productos!$B$2:$F$61)</f>
        <v>#N/A</v>
      </c>
    </row>
    <row r="1575">
      <c r="A1575" s="2" t="str">
        <f>IFERROR(__xludf.DUMMYFUNCTION("""COMPUTED_VALUE"""),"PR022")</f>
        <v>PR022</v>
      </c>
      <c r="B1575" s="2" t="str">
        <f>IFERROR(__xludf.DUMMYFUNCTION("""COMPUTED_VALUE"""),"VD036")</f>
        <v>VD036</v>
      </c>
      <c r="C1575" s="2">
        <f>IFERROR(__xludf.DUMMYFUNCTION("""COMPUTED_VALUE"""),4.0)</f>
        <v>4</v>
      </c>
      <c r="D1575" s="6">
        <f>IFERROR(__xludf.DUMMYFUNCTION("""COMPUTED_VALUE"""),1212.0)</f>
        <v>1212</v>
      </c>
      <c r="E1575" s="6">
        <f>IFERROR(__xludf.DUMMYFUNCTION("GOOGLEFINANCE(""Currency:BRLMXN"")*D1575"),4117.164)</f>
        <v>4117.164</v>
      </c>
      <c r="F1575" s="6">
        <f>IFERROR(__xludf.DUMMYFUNCTION("GOOGLEFINANCE(""Currency:BRLPEN"")*D1575"),794.5871999999999)</f>
        <v>794.5872</v>
      </c>
      <c r="G1575" s="2" t="str">
        <f t="array" ref="G1575">_xlfn.XLOOKUP(B1575,Vendedores!$A$2:$A$41,Vendedores!$B$2:$B$41,"No hay datos")</f>
        <v>No hay datos</v>
      </c>
      <c r="H1575" s="2" t="str">
        <f t="array" ref="H1575">_xlfn.XLOOKUP(B1575,Vendedores!$A$2:$A$41,Vendedores!$C$2:$C$41,"No hay datos")</f>
        <v>No hay datos</v>
      </c>
      <c r="I1575" s="2" t="str">
        <f t="array" ref="I1575">_xlfn.XLOOKUP(B1575,Vendedores!$A$2:$A$41,Vendedores!$D$2:$D$41,"No hay datos")</f>
        <v>No hay datos</v>
      </c>
      <c r="J1575" s="2" t="str">
        <f t="array" ref="J1575">_xlfn.XLOOKUP(A1575,Productos!$A$2:$A$61,Productos!$B$2:$F$61)</f>
        <v>#N/A</v>
      </c>
    </row>
    <row r="1576">
      <c r="A1576" s="2" t="str">
        <f>IFERROR(__xludf.DUMMYFUNCTION("""COMPUTED_VALUE"""),"PR012")</f>
        <v>PR012</v>
      </c>
      <c r="B1576" s="2" t="str">
        <f>IFERROR(__xludf.DUMMYFUNCTION("""COMPUTED_VALUE"""),"VD036")</f>
        <v>VD036</v>
      </c>
      <c r="C1576" s="2">
        <f>IFERROR(__xludf.DUMMYFUNCTION("""COMPUTED_VALUE"""),20.0)</f>
        <v>20</v>
      </c>
      <c r="D1576" s="6">
        <f>IFERROR(__xludf.DUMMYFUNCTION("""COMPUTED_VALUE"""),987.78)</f>
        <v>987.78</v>
      </c>
      <c r="E1576" s="6">
        <f>IFERROR(__xludf.DUMMYFUNCTION("GOOGLEFINANCE(""Currency:BRLMXN"")*D1576"),3355.4886599999995)</f>
        <v>3355.48866</v>
      </c>
      <c r="F1576" s="6">
        <f>IFERROR(__xludf.DUMMYFUNCTION("GOOGLEFINANCE(""Currency:BRLPEN"")*D1576"),647.5885679999999)</f>
        <v>647.588568</v>
      </c>
      <c r="G1576" s="2" t="str">
        <f t="array" ref="G1576">_xlfn.XLOOKUP(B1576,Vendedores!$A$2:$A$41,Vendedores!$B$2:$B$41,"No hay datos")</f>
        <v>No hay datos</v>
      </c>
      <c r="H1576" s="2" t="str">
        <f t="array" ref="H1576">_xlfn.XLOOKUP(B1576,Vendedores!$A$2:$A$41,Vendedores!$C$2:$C$41,"No hay datos")</f>
        <v>No hay datos</v>
      </c>
      <c r="I1576" s="2" t="str">
        <f t="array" ref="I1576">_xlfn.XLOOKUP(B1576,Vendedores!$A$2:$A$41,Vendedores!$D$2:$D$41,"No hay datos")</f>
        <v>No hay datos</v>
      </c>
      <c r="J1576" s="2" t="str">
        <f t="array" ref="J1576">_xlfn.XLOOKUP(A1576,Productos!$A$2:$A$61,Productos!$B$2:$F$61)</f>
        <v>#N/A</v>
      </c>
    </row>
    <row r="1577">
      <c r="A1577" s="2" t="str">
        <f>IFERROR(__xludf.DUMMYFUNCTION("""COMPUTED_VALUE"""),"PR031")</f>
        <v>PR031</v>
      </c>
      <c r="B1577" s="2" t="str">
        <f>IFERROR(__xludf.DUMMYFUNCTION("""COMPUTED_VALUE"""),"VD044")</f>
        <v>VD044</v>
      </c>
      <c r="C1577" s="2">
        <f>IFERROR(__xludf.DUMMYFUNCTION("""COMPUTED_VALUE"""),4.0)</f>
        <v>4</v>
      </c>
      <c r="D1577" s="6">
        <f>IFERROR(__xludf.DUMMYFUNCTION("""COMPUTED_VALUE"""),1038.8)</f>
        <v>1038.8</v>
      </c>
      <c r="E1577" s="6">
        <f>IFERROR(__xludf.DUMMYFUNCTION("GOOGLEFINANCE(""Currency:BRLMXN"")*D1577"),3528.8035999999997)</f>
        <v>3528.8036</v>
      </c>
      <c r="F1577" s="6">
        <f>IFERROR(__xludf.DUMMYFUNCTION("GOOGLEFINANCE(""Currency:BRLPEN"")*D1577"),681.0372799999999)</f>
        <v>681.03728</v>
      </c>
      <c r="G1577" s="2" t="str">
        <f t="array" ref="G1577">_xlfn.XLOOKUP(B1577,Vendedores!$A$2:$A$41,Vendedores!$B$2:$B$41,"No hay datos")</f>
        <v>No hay datos</v>
      </c>
      <c r="H1577" s="2" t="str">
        <f t="array" ref="H1577">_xlfn.XLOOKUP(B1577,Vendedores!$A$2:$A$41,Vendedores!$C$2:$C$41,"No hay datos")</f>
        <v>No hay datos</v>
      </c>
      <c r="I1577" s="2" t="str">
        <f t="array" ref="I1577">_xlfn.XLOOKUP(B1577,Vendedores!$A$2:$A$41,Vendedores!$D$2:$D$41,"No hay datos")</f>
        <v>No hay datos</v>
      </c>
      <c r="J1577" s="2" t="str">
        <f t="array" ref="J1577">_xlfn.XLOOKUP(A1577,Productos!$A$2:$A$61,Productos!$B$2:$F$61)</f>
        <v>#N/A</v>
      </c>
    </row>
    <row r="1578">
      <c r="A1578" s="2" t="str">
        <f>IFERROR(__xludf.DUMMYFUNCTION("""COMPUTED_VALUE"""),"PR052")</f>
        <v>PR052</v>
      </c>
      <c r="B1578" s="2" t="str">
        <f>IFERROR(__xludf.DUMMYFUNCTION("""COMPUTED_VALUE"""),"VD044")</f>
        <v>VD044</v>
      </c>
      <c r="C1578" s="2">
        <f>IFERROR(__xludf.DUMMYFUNCTION("""COMPUTED_VALUE"""),16.0)</f>
        <v>16</v>
      </c>
      <c r="D1578" s="6">
        <f>IFERROR(__xludf.DUMMYFUNCTION("""COMPUTED_VALUE"""),814.37)</f>
        <v>814.37</v>
      </c>
      <c r="E1578" s="6">
        <f>IFERROR(__xludf.DUMMYFUNCTION("GOOGLEFINANCE(""Currency:BRLMXN"")*D1578"),2766.41489)</f>
        <v>2766.41489</v>
      </c>
      <c r="F1578" s="6">
        <f>IFERROR(__xludf.DUMMYFUNCTION("GOOGLEFINANCE(""Currency:BRLPEN"")*D1578"),533.900972)</f>
        <v>533.900972</v>
      </c>
      <c r="G1578" s="2" t="str">
        <f t="array" ref="G1578">_xlfn.XLOOKUP(B1578,Vendedores!$A$2:$A$41,Vendedores!$B$2:$B$41,"No hay datos")</f>
        <v>No hay datos</v>
      </c>
      <c r="H1578" s="2" t="str">
        <f t="array" ref="H1578">_xlfn.XLOOKUP(B1578,Vendedores!$A$2:$A$41,Vendedores!$C$2:$C$41,"No hay datos")</f>
        <v>No hay datos</v>
      </c>
      <c r="I1578" s="2" t="str">
        <f t="array" ref="I1578">_xlfn.XLOOKUP(B1578,Vendedores!$A$2:$A$41,Vendedores!$D$2:$D$41,"No hay datos")</f>
        <v>No hay datos</v>
      </c>
      <c r="J1578" s="2" t="str">
        <f t="array" ref="J1578">_xlfn.XLOOKUP(A1578,Productos!$A$2:$A$61,Productos!$B$2:$F$61)</f>
        <v>#N/A</v>
      </c>
    </row>
    <row r="1579">
      <c r="A1579" s="2" t="str">
        <f>IFERROR(__xludf.DUMMYFUNCTION("""COMPUTED_VALUE"""),"PR005")</f>
        <v>PR005</v>
      </c>
      <c r="B1579" s="2" t="str">
        <f>IFERROR(__xludf.DUMMYFUNCTION("""COMPUTED_VALUE"""),"VD027")</f>
        <v>VD027</v>
      </c>
      <c r="C1579" s="2">
        <f>IFERROR(__xludf.DUMMYFUNCTION("""COMPUTED_VALUE"""),3.0)</f>
        <v>3</v>
      </c>
      <c r="D1579" s="6">
        <f>IFERROR(__xludf.DUMMYFUNCTION("""COMPUTED_VALUE"""),810.89)</f>
        <v>810.89</v>
      </c>
      <c r="E1579" s="6">
        <f>IFERROR(__xludf.DUMMYFUNCTION("GOOGLEFINANCE(""Currency:BRLMXN"")*D1579"),2754.5933299999997)</f>
        <v>2754.59333</v>
      </c>
      <c r="F1579" s="6">
        <f>IFERROR(__xludf.DUMMYFUNCTION("GOOGLEFINANCE(""Currency:BRLPEN"")*D1579"),531.6194839999999)</f>
        <v>531.619484</v>
      </c>
      <c r="G1579" s="2" t="str">
        <f t="array" ref="G1579">_xlfn.XLOOKUP(B1579,Vendedores!$A$2:$A$41,Vendedores!$B$2:$B$41,"No hay datos")</f>
        <v>No hay datos</v>
      </c>
      <c r="H1579" s="2" t="str">
        <f t="array" ref="H1579">_xlfn.XLOOKUP(B1579,Vendedores!$A$2:$A$41,Vendedores!$C$2:$C$41,"No hay datos")</f>
        <v>No hay datos</v>
      </c>
      <c r="I1579" s="2" t="str">
        <f t="array" ref="I1579">_xlfn.XLOOKUP(B1579,Vendedores!$A$2:$A$41,Vendedores!$D$2:$D$41,"No hay datos")</f>
        <v>No hay datos</v>
      </c>
      <c r="J1579" s="2" t="str">
        <f t="array" ref="J1579">_xlfn.XLOOKUP(A1579,Productos!$A$2:$A$61,Productos!$B$2:$F$61)</f>
        <v>#N/A</v>
      </c>
    </row>
    <row r="1580">
      <c r="A1580" s="2" t="str">
        <f>IFERROR(__xludf.DUMMYFUNCTION("""COMPUTED_VALUE"""),"PR037")</f>
        <v>PR037</v>
      </c>
      <c r="B1580" s="2" t="str">
        <f>IFERROR(__xludf.DUMMYFUNCTION("""COMPUTED_VALUE"""),"VD045")</f>
        <v>VD045</v>
      </c>
      <c r="C1580" s="2">
        <f>IFERROR(__xludf.DUMMYFUNCTION("""COMPUTED_VALUE"""),9.0)</f>
        <v>9</v>
      </c>
      <c r="D1580" s="6">
        <f>IFERROR(__xludf.DUMMYFUNCTION("""COMPUTED_VALUE"""),1386.0)</f>
        <v>1386</v>
      </c>
      <c r="E1580" s="6">
        <f>IFERROR(__xludf.DUMMYFUNCTION("GOOGLEFINANCE(""Currency:BRLMXN"")*D1580"),4708.241999999999)</f>
        <v>4708.242</v>
      </c>
      <c r="F1580" s="6">
        <f>IFERROR(__xludf.DUMMYFUNCTION("GOOGLEFINANCE(""Currency:BRLPEN"")*D1580"),908.6615999999999)</f>
        <v>908.6616</v>
      </c>
      <c r="G1580" s="2" t="str">
        <f t="array" ref="G1580">_xlfn.XLOOKUP(B1580,Vendedores!$A$2:$A$41,Vendedores!$B$2:$B$41,"No hay datos")</f>
        <v>No hay datos</v>
      </c>
      <c r="H1580" s="2" t="str">
        <f t="array" ref="H1580">_xlfn.XLOOKUP(B1580,Vendedores!$A$2:$A$41,Vendedores!$C$2:$C$41,"No hay datos")</f>
        <v>No hay datos</v>
      </c>
      <c r="I1580" s="2" t="str">
        <f t="array" ref="I1580">_xlfn.XLOOKUP(B1580,Vendedores!$A$2:$A$41,Vendedores!$D$2:$D$41,"No hay datos")</f>
        <v>No hay datos</v>
      </c>
      <c r="J1580" s="2" t="str">
        <f t="array" ref="J1580">_xlfn.XLOOKUP(A1580,Productos!$A$2:$A$61,Productos!$B$2:$F$61)</f>
        <v>#N/A</v>
      </c>
    </row>
    <row r="1581">
      <c r="A1581" s="2" t="str">
        <f>IFERROR(__xludf.DUMMYFUNCTION("""COMPUTED_VALUE"""),"PR014")</f>
        <v>PR014</v>
      </c>
      <c r="B1581" s="2" t="str">
        <f>IFERROR(__xludf.DUMMYFUNCTION("""COMPUTED_VALUE"""),"VD036")</f>
        <v>VD036</v>
      </c>
      <c r="C1581" s="2">
        <f>IFERROR(__xludf.DUMMYFUNCTION("""COMPUTED_VALUE"""),10.0)</f>
        <v>10</v>
      </c>
      <c r="D1581" s="6">
        <f>IFERROR(__xludf.DUMMYFUNCTION("""COMPUTED_VALUE"""),414.96)</f>
        <v>414.96</v>
      </c>
      <c r="E1581" s="6">
        <f>IFERROR(__xludf.DUMMYFUNCTION("GOOGLEFINANCE(""Currency:BRLMXN"")*D1581"),1409.6191199999998)</f>
        <v>1409.61912</v>
      </c>
      <c r="F1581" s="6">
        <f>IFERROR(__xludf.DUMMYFUNCTION("GOOGLEFINANCE(""Currency:BRLPEN"")*D1581"),272.04777599999994)</f>
        <v>272.047776</v>
      </c>
      <c r="G1581" s="2" t="str">
        <f t="array" ref="G1581">_xlfn.XLOOKUP(B1581,Vendedores!$A$2:$A$41,Vendedores!$B$2:$B$41,"No hay datos")</f>
        <v>No hay datos</v>
      </c>
      <c r="H1581" s="2" t="str">
        <f t="array" ref="H1581">_xlfn.XLOOKUP(B1581,Vendedores!$A$2:$A$41,Vendedores!$C$2:$C$41,"No hay datos")</f>
        <v>No hay datos</v>
      </c>
      <c r="I1581" s="2" t="str">
        <f t="array" ref="I1581">_xlfn.XLOOKUP(B1581,Vendedores!$A$2:$A$41,Vendedores!$D$2:$D$41,"No hay datos")</f>
        <v>No hay datos</v>
      </c>
      <c r="J1581" s="2" t="str">
        <f t="array" ref="J1581">_xlfn.XLOOKUP(A1581,Productos!$A$2:$A$61,Productos!$B$2:$F$61)</f>
        <v>#N/A</v>
      </c>
    </row>
    <row r="1582">
      <c r="A1582" s="2" t="str">
        <f>IFERROR(__xludf.DUMMYFUNCTION("""COMPUTED_VALUE"""),"PR013")</f>
        <v>PR013</v>
      </c>
      <c r="B1582" s="2" t="str">
        <f>IFERROR(__xludf.DUMMYFUNCTION("""COMPUTED_VALUE"""),"VD036")</f>
        <v>VD036</v>
      </c>
      <c r="C1582" s="2">
        <f>IFERROR(__xludf.DUMMYFUNCTION("""COMPUTED_VALUE"""),16.0)</f>
        <v>16</v>
      </c>
      <c r="D1582" s="6">
        <f>IFERROR(__xludf.DUMMYFUNCTION("""COMPUTED_VALUE"""),670.32)</f>
        <v>670.32</v>
      </c>
      <c r="E1582" s="6">
        <f>IFERROR(__xludf.DUMMYFUNCTION("GOOGLEFINANCE(""Currency:BRLMXN"")*D1582"),2277.07704)</f>
        <v>2277.07704</v>
      </c>
      <c r="F1582" s="6">
        <f>IFERROR(__xludf.DUMMYFUNCTION("GOOGLEFINANCE(""Currency:BRLPEN"")*D1582"),439.461792)</f>
        <v>439.461792</v>
      </c>
      <c r="G1582" s="2" t="str">
        <f t="array" ref="G1582">_xlfn.XLOOKUP(B1582,Vendedores!$A$2:$A$41,Vendedores!$B$2:$B$41,"No hay datos")</f>
        <v>No hay datos</v>
      </c>
      <c r="H1582" s="2" t="str">
        <f t="array" ref="H1582">_xlfn.XLOOKUP(B1582,Vendedores!$A$2:$A$41,Vendedores!$C$2:$C$41,"No hay datos")</f>
        <v>No hay datos</v>
      </c>
      <c r="I1582" s="2" t="str">
        <f t="array" ref="I1582">_xlfn.XLOOKUP(B1582,Vendedores!$A$2:$A$41,Vendedores!$D$2:$D$41,"No hay datos")</f>
        <v>No hay datos</v>
      </c>
      <c r="J1582" s="2" t="str">
        <f t="array" ref="J1582">_xlfn.XLOOKUP(A1582,Productos!$A$2:$A$61,Productos!$B$2:$F$61)</f>
        <v>#N/A</v>
      </c>
    </row>
    <row r="1583">
      <c r="A1583" s="2" t="str">
        <f>IFERROR(__xludf.DUMMYFUNCTION("""COMPUTED_VALUE"""),"PR001")</f>
        <v>PR001</v>
      </c>
      <c r="B1583" s="2" t="str">
        <f>IFERROR(__xludf.DUMMYFUNCTION("""COMPUTED_VALUE"""),"VD030")</f>
        <v>VD030</v>
      </c>
      <c r="C1583" s="2">
        <f>IFERROR(__xludf.DUMMYFUNCTION("""COMPUTED_VALUE"""),20.0)</f>
        <v>20</v>
      </c>
      <c r="D1583" s="6">
        <f>IFERROR(__xludf.DUMMYFUNCTION("""COMPUTED_VALUE"""),1423.44)</f>
        <v>1423.44</v>
      </c>
      <c r="E1583" s="6">
        <f>IFERROR(__xludf.DUMMYFUNCTION("GOOGLEFINANCE(""Currency:BRLMXN"")*D1583"),4835.42568)</f>
        <v>4835.42568</v>
      </c>
      <c r="F1583" s="6">
        <f>IFERROR(__xludf.DUMMYFUNCTION("GOOGLEFINANCE(""Currency:BRLPEN"")*D1583"),933.207264)</f>
        <v>933.207264</v>
      </c>
      <c r="G1583" s="2" t="str">
        <f t="array" ref="G1583">_xlfn.XLOOKUP(B1583,Vendedores!$A$2:$A$41,Vendedores!$B$2:$B$41,"No hay datos")</f>
        <v>No hay datos</v>
      </c>
      <c r="H1583" s="2" t="str">
        <f t="array" ref="H1583">_xlfn.XLOOKUP(B1583,Vendedores!$A$2:$A$41,Vendedores!$C$2:$C$41,"No hay datos")</f>
        <v>No hay datos</v>
      </c>
      <c r="I1583" s="2" t="str">
        <f t="array" ref="I1583">_xlfn.XLOOKUP(B1583,Vendedores!$A$2:$A$41,Vendedores!$D$2:$D$41,"No hay datos")</f>
        <v>No hay datos</v>
      </c>
      <c r="J1583" s="2" t="str">
        <f t="array" ref="J1583">_xlfn.XLOOKUP(A1583,Productos!$A$2:$A$61,Productos!$B$2:$F$61)</f>
        <v>#N/A</v>
      </c>
    </row>
    <row r="1584">
      <c r="A1584" s="2" t="str">
        <f>IFERROR(__xludf.DUMMYFUNCTION("""COMPUTED_VALUE"""),"PR029")</f>
        <v>PR029</v>
      </c>
      <c r="B1584" s="2" t="str">
        <f>IFERROR(__xludf.DUMMYFUNCTION("""COMPUTED_VALUE"""),"VD024")</f>
        <v>VD024</v>
      </c>
      <c r="C1584" s="2">
        <f>IFERROR(__xludf.DUMMYFUNCTION("""COMPUTED_VALUE"""),4.0)</f>
        <v>4</v>
      </c>
      <c r="D1584" s="6">
        <f>IFERROR(__xludf.DUMMYFUNCTION("""COMPUTED_VALUE"""),1060.8)</f>
        <v>1060.8</v>
      </c>
      <c r="E1584" s="6">
        <f>IFERROR(__xludf.DUMMYFUNCTION("GOOGLEFINANCE(""Currency:BRLMXN"")*D1584"),3603.5375999999997)</f>
        <v>3603.5376</v>
      </c>
      <c r="F1584" s="6">
        <f>IFERROR(__xludf.DUMMYFUNCTION("GOOGLEFINANCE(""Currency:BRLPEN"")*D1584"),695.46048)</f>
        <v>695.46048</v>
      </c>
      <c r="G1584" s="2" t="str">
        <f t="array" ref="G1584">_xlfn.XLOOKUP(B1584,Vendedores!$A$2:$A$41,Vendedores!$B$2:$B$41,"No hay datos")</f>
        <v>No hay datos</v>
      </c>
      <c r="H1584" s="2" t="str">
        <f t="array" ref="H1584">_xlfn.XLOOKUP(B1584,Vendedores!$A$2:$A$41,Vendedores!$C$2:$C$41,"No hay datos")</f>
        <v>No hay datos</v>
      </c>
      <c r="I1584" s="2" t="str">
        <f t="array" ref="I1584">_xlfn.XLOOKUP(B1584,Vendedores!$A$2:$A$41,Vendedores!$D$2:$D$41,"No hay datos")</f>
        <v>No hay datos</v>
      </c>
      <c r="J1584" s="2" t="str">
        <f t="array" ref="J1584">_xlfn.XLOOKUP(A1584,Productos!$A$2:$A$61,Productos!$B$2:$F$61)</f>
        <v>#N/A</v>
      </c>
    </row>
    <row r="1585">
      <c r="A1585" s="2" t="str">
        <f>IFERROR(__xludf.DUMMYFUNCTION("""COMPUTED_VALUE"""),"PR008")</f>
        <v>PR008</v>
      </c>
      <c r="B1585" s="2" t="str">
        <f>IFERROR(__xludf.DUMMYFUNCTION("""COMPUTED_VALUE"""),"VD014")</f>
        <v>VD014</v>
      </c>
      <c r="C1585" s="2">
        <f>IFERROR(__xludf.DUMMYFUNCTION("""COMPUTED_VALUE"""),10.0)</f>
        <v>10</v>
      </c>
      <c r="D1585" s="6">
        <f>IFERROR(__xludf.DUMMYFUNCTION("""COMPUTED_VALUE"""),899.0)</f>
        <v>899</v>
      </c>
      <c r="E1585" s="6">
        <f>IFERROR(__xludf.DUMMYFUNCTION("GOOGLEFINANCE(""Currency:BRLMXN"")*D1585"),3053.903)</f>
        <v>3053.903</v>
      </c>
      <c r="F1585" s="6">
        <f>IFERROR(__xludf.DUMMYFUNCTION("GOOGLEFINANCE(""Currency:BRLPEN"")*D1585"),589.3843999999999)</f>
        <v>589.3844</v>
      </c>
      <c r="G1585" s="2" t="str">
        <f t="array" ref="G1585">_xlfn.XLOOKUP(B1585,Vendedores!$A$2:$A$41,Vendedores!$B$2:$B$41,"No hay datos")</f>
        <v>No hay datos</v>
      </c>
      <c r="H1585" s="2" t="str">
        <f t="array" ref="H1585">_xlfn.XLOOKUP(B1585,Vendedores!$A$2:$A$41,Vendedores!$C$2:$C$41,"No hay datos")</f>
        <v>No hay datos</v>
      </c>
      <c r="I1585" s="2" t="str">
        <f t="array" ref="I1585">_xlfn.XLOOKUP(B1585,Vendedores!$A$2:$A$41,Vendedores!$D$2:$D$41,"No hay datos")</f>
        <v>No hay datos</v>
      </c>
      <c r="J1585" s="2" t="str">
        <f t="array" ref="J1585">_xlfn.XLOOKUP(A1585,Productos!$A$2:$A$61,Productos!$B$2:$F$61)</f>
        <v>#N/A</v>
      </c>
    </row>
    <row r="1586">
      <c r="A1586" s="2" t="str">
        <f>IFERROR(__xludf.DUMMYFUNCTION("""COMPUTED_VALUE"""),"PR004")</f>
        <v>PR004</v>
      </c>
      <c r="B1586" s="2" t="str">
        <f>IFERROR(__xludf.DUMMYFUNCTION("""COMPUTED_VALUE"""),"VD042")</f>
        <v>VD042</v>
      </c>
      <c r="C1586" s="2">
        <f>IFERROR(__xludf.DUMMYFUNCTION("""COMPUTED_VALUE"""),2.0)</f>
        <v>2</v>
      </c>
      <c r="D1586" s="6">
        <f>IFERROR(__xludf.DUMMYFUNCTION("""COMPUTED_VALUE"""),301.6)</f>
        <v>301.6</v>
      </c>
      <c r="E1586" s="6">
        <f>IFERROR(__xludf.DUMMYFUNCTION("GOOGLEFINANCE(""Currency:BRLMXN"")*D1586"),1024.5352)</f>
        <v>1024.5352</v>
      </c>
      <c r="F1586" s="6">
        <f>IFERROR(__xludf.DUMMYFUNCTION("GOOGLEFINANCE(""Currency:BRLPEN"")*D1586"),197.72896)</f>
        <v>197.72896</v>
      </c>
      <c r="G1586" s="2" t="str">
        <f t="array" ref="G1586">_xlfn.XLOOKUP(B1586,Vendedores!$A$2:$A$41,Vendedores!$B$2:$B$41,"No hay datos")</f>
        <v>No hay datos</v>
      </c>
      <c r="H1586" s="2" t="str">
        <f t="array" ref="H1586">_xlfn.XLOOKUP(B1586,Vendedores!$A$2:$A$41,Vendedores!$C$2:$C$41,"No hay datos")</f>
        <v>No hay datos</v>
      </c>
      <c r="I1586" s="2" t="str">
        <f t="array" ref="I1586">_xlfn.XLOOKUP(B1586,Vendedores!$A$2:$A$41,Vendedores!$D$2:$D$41,"No hay datos")</f>
        <v>No hay datos</v>
      </c>
      <c r="J1586" s="2" t="str">
        <f t="array" ref="J1586">_xlfn.XLOOKUP(A1586,Productos!$A$2:$A$61,Productos!$B$2:$F$61)</f>
        <v>#N/A</v>
      </c>
    </row>
    <row r="1587">
      <c r="A1587" s="2" t="str">
        <f>IFERROR(__xludf.DUMMYFUNCTION("""COMPUTED_VALUE"""),"PR007")</f>
        <v>PR007</v>
      </c>
      <c r="B1587" s="2" t="str">
        <f>IFERROR(__xludf.DUMMYFUNCTION("""COMPUTED_VALUE"""),"VD045")</f>
        <v>VD045</v>
      </c>
      <c r="C1587" s="2">
        <f>IFERROR(__xludf.DUMMYFUNCTION("""COMPUTED_VALUE"""),14.0)</f>
        <v>14</v>
      </c>
      <c r="D1587" s="6">
        <f>IFERROR(__xludf.DUMMYFUNCTION("""COMPUTED_VALUE"""),1226.65)</f>
        <v>1226.65</v>
      </c>
      <c r="E1587" s="6">
        <f>IFERROR(__xludf.DUMMYFUNCTION("GOOGLEFINANCE(""Currency:BRLMXN"")*D1587"),4166.93005)</f>
        <v>4166.93005</v>
      </c>
      <c r="F1587" s="6">
        <f>IFERROR(__xludf.DUMMYFUNCTION("GOOGLEFINANCE(""Currency:BRLPEN"")*D1587"),804.19174)</f>
        <v>804.19174</v>
      </c>
      <c r="G1587" s="2" t="str">
        <f t="array" ref="G1587">_xlfn.XLOOKUP(B1587,Vendedores!$A$2:$A$41,Vendedores!$B$2:$B$41,"No hay datos")</f>
        <v>No hay datos</v>
      </c>
      <c r="H1587" s="2" t="str">
        <f t="array" ref="H1587">_xlfn.XLOOKUP(B1587,Vendedores!$A$2:$A$41,Vendedores!$C$2:$C$41,"No hay datos")</f>
        <v>No hay datos</v>
      </c>
      <c r="I1587" s="2" t="str">
        <f t="array" ref="I1587">_xlfn.XLOOKUP(B1587,Vendedores!$A$2:$A$41,Vendedores!$D$2:$D$41,"No hay datos")</f>
        <v>No hay datos</v>
      </c>
      <c r="J1587" s="2" t="str">
        <f t="array" ref="J1587">_xlfn.XLOOKUP(A1587,Productos!$A$2:$A$61,Productos!$B$2:$F$61)</f>
        <v>#N/A</v>
      </c>
    </row>
    <row r="1588">
      <c r="A1588" s="2" t="str">
        <f>IFERROR(__xludf.DUMMYFUNCTION("""COMPUTED_VALUE"""),"PR060")</f>
        <v>PR060</v>
      </c>
      <c r="B1588" s="2" t="str">
        <f>IFERROR(__xludf.DUMMYFUNCTION("""COMPUTED_VALUE"""),"VD011")</f>
        <v>VD011</v>
      </c>
      <c r="C1588" s="2">
        <f>IFERROR(__xludf.DUMMYFUNCTION("""COMPUTED_VALUE"""),10.0)</f>
        <v>10</v>
      </c>
      <c r="D1588" s="6">
        <f>IFERROR(__xludf.DUMMYFUNCTION("""COMPUTED_VALUE"""),1926.0)</f>
        <v>1926</v>
      </c>
      <c r="E1588" s="6">
        <f>IFERROR(__xludf.DUMMYFUNCTION("GOOGLEFINANCE(""Currency:BRLMXN"")*D1588"),6542.621999999999)</f>
        <v>6542.622</v>
      </c>
      <c r="F1588" s="6">
        <f>IFERROR(__xludf.DUMMYFUNCTION("GOOGLEFINANCE(""Currency:BRLPEN"")*D1588"),1262.6856)</f>
        <v>1262.6856</v>
      </c>
      <c r="G1588" s="2" t="str">
        <f t="array" ref="G1588">_xlfn.XLOOKUP(B1588,Vendedores!$A$2:$A$41,Vendedores!$B$2:$B$41,"No hay datos")</f>
        <v>No hay datos</v>
      </c>
      <c r="H1588" s="2" t="str">
        <f t="array" ref="H1588">_xlfn.XLOOKUP(B1588,Vendedores!$A$2:$A$41,Vendedores!$C$2:$C$41,"No hay datos")</f>
        <v>No hay datos</v>
      </c>
      <c r="I1588" s="2" t="str">
        <f t="array" ref="I1588">_xlfn.XLOOKUP(B1588,Vendedores!$A$2:$A$41,Vendedores!$D$2:$D$41,"No hay datos")</f>
        <v>No hay datos</v>
      </c>
      <c r="J1588" s="2" t="str">
        <f t="array" ref="J1588">_xlfn.XLOOKUP(A1588,Productos!$A$2:$A$61,Productos!$B$2:$F$61)</f>
        <v>#N/A</v>
      </c>
    </row>
    <row r="1589">
      <c r="A1589" s="2" t="str">
        <f>IFERROR(__xludf.DUMMYFUNCTION("""COMPUTED_VALUE"""),"PR057")</f>
        <v>PR057</v>
      </c>
      <c r="B1589" s="2" t="str">
        <f>IFERROR(__xludf.DUMMYFUNCTION("""COMPUTED_VALUE"""),"VD036")</f>
        <v>VD036</v>
      </c>
      <c r="C1589" s="2">
        <f>IFERROR(__xludf.DUMMYFUNCTION("""COMPUTED_VALUE"""),10.0)</f>
        <v>10</v>
      </c>
      <c r="D1589" s="6">
        <f>IFERROR(__xludf.DUMMYFUNCTION("""COMPUTED_VALUE"""),979.91)</f>
        <v>979.91</v>
      </c>
      <c r="E1589" s="6">
        <f>IFERROR(__xludf.DUMMYFUNCTION("GOOGLEFINANCE(""Currency:BRLMXN"")*D1589"),3328.75427)</f>
        <v>3328.75427</v>
      </c>
      <c r="F1589" s="6">
        <f>IFERROR(__xludf.DUMMYFUNCTION("GOOGLEFINANCE(""Currency:BRLPEN"")*D1589"),642.428996)</f>
        <v>642.428996</v>
      </c>
      <c r="G1589" s="2" t="str">
        <f t="array" ref="G1589">_xlfn.XLOOKUP(B1589,Vendedores!$A$2:$A$41,Vendedores!$B$2:$B$41,"No hay datos")</f>
        <v>No hay datos</v>
      </c>
      <c r="H1589" s="2" t="str">
        <f t="array" ref="H1589">_xlfn.XLOOKUP(B1589,Vendedores!$A$2:$A$41,Vendedores!$C$2:$C$41,"No hay datos")</f>
        <v>No hay datos</v>
      </c>
      <c r="I1589" s="2" t="str">
        <f t="array" ref="I1589">_xlfn.XLOOKUP(B1589,Vendedores!$A$2:$A$41,Vendedores!$D$2:$D$41,"No hay datos")</f>
        <v>No hay datos</v>
      </c>
      <c r="J1589" s="2" t="str">
        <f t="array" ref="J1589">_xlfn.XLOOKUP(A1589,Productos!$A$2:$A$61,Productos!$B$2:$F$61)</f>
        <v>#N/A</v>
      </c>
    </row>
    <row r="1590">
      <c r="A1590" s="2" t="str">
        <f>IFERROR(__xludf.DUMMYFUNCTION("""COMPUTED_VALUE"""),"PR036")</f>
        <v>PR036</v>
      </c>
      <c r="B1590" s="2" t="str">
        <f>IFERROR(__xludf.DUMMYFUNCTION("""COMPUTED_VALUE"""),"VD017")</f>
        <v>VD017</v>
      </c>
      <c r="C1590" s="2">
        <f>IFERROR(__xludf.DUMMYFUNCTION("""COMPUTED_VALUE"""),10.0)</f>
        <v>10</v>
      </c>
      <c r="D1590" s="6">
        <f>IFERROR(__xludf.DUMMYFUNCTION("""COMPUTED_VALUE"""),981.75)</f>
        <v>981.75</v>
      </c>
      <c r="E1590" s="6">
        <f>IFERROR(__xludf.DUMMYFUNCTION("GOOGLEFINANCE(""Currency:BRLMXN"")*D1590"),3335.0047499999996)</f>
        <v>3335.00475</v>
      </c>
      <c r="F1590" s="6">
        <f>IFERROR(__xludf.DUMMYFUNCTION("GOOGLEFINANCE(""Currency:BRLPEN"")*D1590"),643.6352999999999)</f>
        <v>643.6353</v>
      </c>
      <c r="G1590" s="2" t="str">
        <f t="array" ref="G1590">_xlfn.XLOOKUP(B1590,Vendedores!$A$2:$A$41,Vendedores!$B$2:$B$41,"No hay datos")</f>
        <v>No hay datos</v>
      </c>
      <c r="H1590" s="2" t="str">
        <f t="array" ref="H1590">_xlfn.XLOOKUP(B1590,Vendedores!$A$2:$A$41,Vendedores!$C$2:$C$41,"No hay datos")</f>
        <v>No hay datos</v>
      </c>
      <c r="I1590" s="2" t="str">
        <f t="array" ref="I1590">_xlfn.XLOOKUP(B1590,Vendedores!$A$2:$A$41,Vendedores!$D$2:$D$41,"No hay datos")</f>
        <v>No hay datos</v>
      </c>
      <c r="J1590" s="2" t="str">
        <f t="array" ref="J1590">_xlfn.XLOOKUP(A1590,Productos!$A$2:$A$61,Productos!$B$2:$F$61)</f>
        <v>#N/A</v>
      </c>
    </row>
    <row r="1591">
      <c r="A1591" s="2" t="str">
        <f>IFERROR(__xludf.DUMMYFUNCTION("""COMPUTED_VALUE"""),"PR045")</f>
        <v>PR045</v>
      </c>
      <c r="B1591" s="2" t="str">
        <f>IFERROR(__xludf.DUMMYFUNCTION("""COMPUTED_VALUE"""),"VD019")</f>
        <v>VD019</v>
      </c>
      <c r="C1591" s="2">
        <f>IFERROR(__xludf.DUMMYFUNCTION("""COMPUTED_VALUE"""),4.0)</f>
        <v>4</v>
      </c>
      <c r="D1591" s="6">
        <f>IFERROR(__xludf.DUMMYFUNCTION("""COMPUTED_VALUE"""),292.9)</f>
        <v>292.9</v>
      </c>
      <c r="E1591" s="6">
        <f>IFERROR(__xludf.DUMMYFUNCTION("GOOGLEFINANCE(""Currency:BRLMXN"")*D1591"),994.9812999999999)</f>
        <v>994.9813</v>
      </c>
      <c r="F1591" s="6">
        <f>IFERROR(__xludf.DUMMYFUNCTION("GOOGLEFINANCE(""Currency:BRLPEN"")*D1591"),192.02523999999997)</f>
        <v>192.02524</v>
      </c>
      <c r="G1591" s="2" t="str">
        <f t="array" ref="G1591">_xlfn.XLOOKUP(B1591,Vendedores!$A$2:$A$41,Vendedores!$B$2:$B$41,"No hay datos")</f>
        <v>No hay datos</v>
      </c>
      <c r="H1591" s="2" t="str">
        <f t="array" ref="H1591">_xlfn.XLOOKUP(B1591,Vendedores!$A$2:$A$41,Vendedores!$C$2:$C$41,"No hay datos")</f>
        <v>No hay datos</v>
      </c>
      <c r="I1591" s="2" t="str">
        <f t="array" ref="I1591">_xlfn.XLOOKUP(B1591,Vendedores!$A$2:$A$41,Vendedores!$D$2:$D$41,"No hay datos")</f>
        <v>No hay datos</v>
      </c>
      <c r="J1591" s="2" t="str">
        <f t="array" ref="J1591">_xlfn.XLOOKUP(A1591,Productos!$A$2:$A$61,Productos!$B$2:$F$61)</f>
        <v>#N/A</v>
      </c>
    </row>
    <row r="1592">
      <c r="A1592" s="2" t="str">
        <f>IFERROR(__xludf.DUMMYFUNCTION("""COMPUTED_VALUE"""),"PR058")</f>
        <v>PR058</v>
      </c>
      <c r="B1592" s="2" t="str">
        <f>IFERROR(__xludf.DUMMYFUNCTION("""COMPUTED_VALUE"""),"VD029")</f>
        <v>VD029</v>
      </c>
      <c r="C1592" s="2">
        <f>IFERROR(__xludf.DUMMYFUNCTION("""COMPUTED_VALUE"""),18.0)</f>
        <v>18</v>
      </c>
      <c r="D1592" s="6">
        <f>IFERROR(__xludf.DUMMYFUNCTION("""COMPUTED_VALUE"""),3434.4)</f>
        <v>3434.4</v>
      </c>
      <c r="E1592" s="6">
        <f>IFERROR(__xludf.DUMMYFUNCTION("GOOGLEFINANCE(""Currency:BRLMXN"")*D1592"),11666.656799999999)</f>
        <v>11666.6568</v>
      </c>
      <c r="F1592" s="6">
        <f>IFERROR(__xludf.DUMMYFUNCTION("GOOGLEFINANCE(""Currency:BRLPEN"")*D1592"),2251.59264)</f>
        <v>2251.59264</v>
      </c>
      <c r="G1592" s="2" t="str">
        <f t="array" ref="G1592">_xlfn.XLOOKUP(B1592,Vendedores!$A$2:$A$41,Vendedores!$B$2:$B$41,"No hay datos")</f>
        <v>No hay datos</v>
      </c>
      <c r="H1592" s="2" t="str">
        <f t="array" ref="H1592">_xlfn.XLOOKUP(B1592,Vendedores!$A$2:$A$41,Vendedores!$C$2:$C$41,"No hay datos")</f>
        <v>No hay datos</v>
      </c>
      <c r="I1592" s="2" t="str">
        <f t="array" ref="I1592">_xlfn.XLOOKUP(B1592,Vendedores!$A$2:$A$41,Vendedores!$D$2:$D$41,"No hay datos")</f>
        <v>No hay datos</v>
      </c>
      <c r="J1592" s="2" t="str">
        <f t="array" ref="J1592">_xlfn.XLOOKUP(A1592,Productos!$A$2:$A$61,Productos!$B$2:$F$61)</f>
        <v>#N/A</v>
      </c>
    </row>
    <row r="1593">
      <c r="A1593" s="2" t="str">
        <f>IFERROR(__xludf.DUMMYFUNCTION("""COMPUTED_VALUE"""),"PR010")</f>
        <v>PR010</v>
      </c>
      <c r="B1593" s="2" t="str">
        <f>IFERROR(__xludf.DUMMYFUNCTION("""COMPUTED_VALUE"""),"VD046")</f>
        <v>VD046</v>
      </c>
      <c r="C1593" s="2">
        <f>IFERROR(__xludf.DUMMYFUNCTION("""COMPUTED_VALUE"""),14.0)</f>
        <v>14</v>
      </c>
      <c r="D1593" s="6">
        <f>IFERROR(__xludf.DUMMYFUNCTION("""COMPUTED_VALUE"""),666.32)</f>
        <v>666.32</v>
      </c>
      <c r="E1593" s="6">
        <f>IFERROR(__xludf.DUMMYFUNCTION("GOOGLEFINANCE(""Currency:BRLMXN"")*D1593"),2263.48904)</f>
        <v>2263.48904</v>
      </c>
      <c r="F1593" s="6">
        <f>IFERROR(__xludf.DUMMYFUNCTION("GOOGLEFINANCE(""Currency:BRLPEN"")*D1593"),436.83939200000003)</f>
        <v>436.839392</v>
      </c>
      <c r="G1593" s="2" t="str">
        <f t="array" ref="G1593">_xlfn.XLOOKUP(B1593,Vendedores!$A$2:$A$41,Vendedores!$B$2:$B$41,"No hay datos")</f>
        <v>No hay datos</v>
      </c>
      <c r="H1593" s="2" t="str">
        <f t="array" ref="H1593">_xlfn.XLOOKUP(B1593,Vendedores!$A$2:$A$41,Vendedores!$C$2:$C$41,"No hay datos")</f>
        <v>No hay datos</v>
      </c>
      <c r="I1593" s="2" t="str">
        <f t="array" ref="I1593">_xlfn.XLOOKUP(B1593,Vendedores!$A$2:$A$41,Vendedores!$D$2:$D$41,"No hay datos")</f>
        <v>No hay datos</v>
      </c>
      <c r="J1593" s="2" t="str">
        <f t="array" ref="J1593">_xlfn.XLOOKUP(A1593,Productos!$A$2:$A$61,Productos!$B$2:$F$61)</f>
        <v>#N/A</v>
      </c>
    </row>
    <row r="1594">
      <c r="A1594" s="2" t="str">
        <f>IFERROR(__xludf.DUMMYFUNCTION("""COMPUTED_VALUE"""),"PR036")</f>
        <v>PR036</v>
      </c>
      <c r="B1594" s="2" t="str">
        <f>IFERROR(__xludf.DUMMYFUNCTION("""COMPUTED_VALUE"""),"VD017")</f>
        <v>VD017</v>
      </c>
      <c r="C1594" s="2">
        <f>IFERROR(__xludf.DUMMYFUNCTION("""COMPUTED_VALUE"""),5.0)</f>
        <v>5</v>
      </c>
      <c r="D1594" s="6">
        <f>IFERROR(__xludf.DUMMYFUNCTION("""COMPUTED_VALUE"""),486.2)</f>
        <v>486.2</v>
      </c>
      <c r="E1594" s="6">
        <f>IFERROR(__xludf.DUMMYFUNCTION("GOOGLEFINANCE(""Currency:BRLMXN"")*D1594"),1651.6213999999998)</f>
        <v>1651.6214</v>
      </c>
      <c r="F1594" s="6">
        <f>IFERROR(__xludf.DUMMYFUNCTION("GOOGLEFINANCE(""Currency:BRLPEN"")*D1594"),318.75271999999995)</f>
        <v>318.75272</v>
      </c>
      <c r="G1594" s="2" t="str">
        <f t="array" ref="G1594">_xlfn.XLOOKUP(B1594,Vendedores!$A$2:$A$41,Vendedores!$B$2:$B$41,"No hay datos")</f>
        <v>No hay datos</v>
      </c>
      <c r="H1594" s="2" t="str">
        <f t="array" ref="H1594">_xlfn.XLOOKUP(B1594,Vendedores!$A$2:$A$41,Vendedores!$C$2:$C$41,"No hay datos")</f>
        <v>No hay datos</v>
      </c>
      <c r="I1594" s="2" t="str">
        <f t="array" ref="I1594">_xlfn.XLOOKUP(B1594,Vendedores!$A$2:$A$41,Vendedores!$D$2:$D$41,"No hay datos")</f>
        <v>No hay datos</v>
      </c>
      <c r="J1594" s="2" t="str">
        <f t="array" ref="J1594">_xlfn.XLOOKUP(A1594,Productos!$A$2:$A$61,Productos!$B$2:$F$61)</f>
        <v>#N/A</v>
      </c>
    </row>
    <row r="1595">
      <c r="A1595" s="2" t="str">
        <f>IFERROR(__xludf.DUMMYFUNCTION("""COMPUTED_VALUE"""),"PR014")</f>
        <v>PR014</v>
      </c>
      <c r="B1595" s="2" t="str">
        <f>IFERROR(__xludf.DUMMYFUNCTION("""COMPUTED_VALUE"""),"VD048")</f>
        <v>VD048</v>
      </c>
      <c r="C1595" s="2">
        <f>IFERROR(__xludf.DUMMYFUNCTION("""COMPUTED_VALUE"""),4.0)</f>
        <v>4</v>
      </c>
      <c r="D1595" s="6">
        <f>IFERROR(__xludf.DUMMYFUNCTION("""COMPUTED_VALUE"""),172.37)</f>
        <v>172.37</v>
      </c>
      <c r="E1595" s="6">
        <f>IFERROR(__xludf.DUMMYFUNCTION("GOOGLEFINANCE(""Currency:BRLMXN"")*D1595"),585.54089)</f>
        <v>585.54089</v>
      </c>
      <c r="F1595" s="6">
        <f>IFERROR(__xludf.DUMMYFUNCTION("GOOGLEFINANCE(""Currency:BRLPEN"")*D1595"),113.005772)</f>
        <v>113.005772</v>
      </c>
      <c r="G1595" s="2" t="str">
        <f t="array" ref="G1595">_xlfn.XLOOKUP(B1595,Vendedores!$A$2:$A$41,Vendedores!$B$2:$B$41,"No hay datos")</f>
        <v>No hay datos</v>
      </c>
      <c r="H1595" s="2" t="str">
        <f t="array" ref="H1595">_xlfn.XLOOKUP(B1595,Vendedores!$A$2:$A$41,Vendedores!$C$2:$C$41,"No hay datos")</f>
        <v>No hay datos</v>
      </c>
      <c r="I1595" s="2" t="str">
        <f t="array" ref="I1595">_xlfn.XLOOKUP(B1595,Vendedores!$A$2:$A$41,Vendedores!$D$2:$D$41,"No hay datos")</f>
        <v>No hay datos</v>
      </c>
      <c r="J1595" s="2" t="str">
        <f t="array" ref="J1595">_xlfn.XLOOKUP(A1595,Productos!$A$2:$A$61,Productos!$B$2:$F$61)</f>
        <v>#N/A</v>
      </c>
    </row>
    <row r="1596">
      <c r="A1596" s="2" t="str">
        <f>IFERROR(__xludf.DUMMYFUNCTION("""COMPUTED_VALUE"""),"PR041")</f>
        <v>PR041</v>
      </c>
      <c r="B1596" s="2" t="str">
        <f>IFERROR(__xludf.DUMMYFUNCTION("""COMPUTED_VALUE"""),"VD042")</f>
        <v>VD042</v>
      </c>
      <c r="C1596" s="2">
        <f>IFERROR(__xludf.DUMMYFUNCTION("""COMPUTED_VALUE"""),2.0)</f>
        <v>2</v>
      </c>
      <c r="D1596" s="6">
        <f>IFERROR(__xludf.DUMMYFUNCTION("""COMPUTED_VALUE"""),120.78)</f>
        <v>120.78</v>
      </c>
      <c r="E1596" s="6">
        <f>IFERROR(__xludf.DUMMYFUNCTION("GOOGLEFINANCE(""Currency:BRLMXN"")*D1596"),410.28965999999997)</f>
        <v>410.28966</v>
      </c>
      <c r="F1596" s="6">
        <f>IFERROR(__xludf.DUMMYFUNCTION("GOOGLEFINANCE(""Currency:BRLPEN"")*D1596"),79.183368)</f>
        <v>79.183368</v>
      </c>
      <c r="G1596" s="2" t="str">
        <f t="array" ref="G1596">_xlfn.XLOOKUP(B1596,Vendedores!$A$2:$A$41,Vendedores!$B$2:$B$41,"No hay datos")</f>
        <v>No hay datos</v>
      </c>
      <c r="H1596" s="2" t="str">
        <f t="array" ref="H1596">_xlfn.XLOOKUP(B1596,Vendedores!$A$2:$A$41,Vendedores!$C$2:$C$41,"No hay datos")</f>
        <v>No hay datos</v>
      </c>
      <c r="I1596" s="2" t="str">
        <f t="array" ref="I1596">_xlfn.XLOOKUP(B1596,Vendedores!$A$2:$A$41,Vendedores!$D$2:$D$41,"No hay datos")</f>
        <v>No hay datos</v>
      </c>
      <c r="J1596" s="2" t="str">
        <f t="array" ref="J1596">_xlfn.XLOOKUP(A1596,Productos!$A$2:$A$61,Productos!$B$2:$F$61)</f>
        <v>#N/A</v>
      </c>
    </row>
    <row r="1597">
      <c r="A1597" s="2" t="str">
        <f>IFERROR(__xludf.DUMMYFUNCTION("""COMPUTED_VALUE"""),"PR019")</f>
        <v>PR019</v>
      </c>
      <c r="B1597" s="2" t="str">
        <f>IFERROR(__xludf.DUMMYFUNCTION("""COMPUTED_VALUE"""),"VD034")</f>
        <v>VD034</v>
      </c>
      <c r="C1597" s="2">
        <f>IFERROR(__xludf.DUMMYFUNCTION("""COMPUTED_VALUE"""),7.0)</f>
        <v>7</v>
      </c>
      <c r="D1597" s="6">
        <f>IFERROR(__xludf.DUMMYFUNCTION("""COMPUTED_VALUE"""),373.75)</f>
        <v>373.75</v>
      </c>
      <c r="E1597" s="6">
        <f>IFERROR(__xludf.DUMMYFUNCTION("GOOGLEFINANCE(""Currency:BRLMXN"")*D1597"),1269.6287499999999)</f>
        <v>1269.62875</v>
      </c>
      <c r="F1597" s="6">
        <f>IFERROR(__xludf.DUMMYFUNCTION("GOOGLEFINANCE(""Currency:BRLPEN"")*D1597"),245.0305)</f>
        <v>245.0305</v>
      </c>
      <c r="G1597" s="2" t="str">
        <f t="array" ref="G1597">_xlfn.XLOOKUP(B1597,Vendedores!$A$2:$A$41,Vendedores!$B$2:$B$41,"No hay datos")</f>
        <v>No hay datos</v>
      </c>
      <c r="H1597" s="2" t="str">
        <f t="array" ref="H1597">_xlfn.XLOOKUP(B1597,Vendedores!$A$2:$A$41,Vendedores!$C$2:$C$41,"No hay datos")</f>
        <v>No hay datos</v>
      </c>
      <c r="I1597" s="2" t="str">
        <f t="array" ref="I1597">_xlfn.XLOOKUP(B1597,Vendedores!$A$2:$A$41,Vendedores!$D$2:$D$41,"No hay datos")</f>
        <v>No hay datos</v>
      </c>
      <c r="J1597" s="2" t="str">
        <f t="array" ref="J1597">_xlfn.XLOOKUP(A1597,Productos!$A$2:$A$61,Productos!$B$2:$F$61)</f>
        <v>#N/A</v>
      </c>
    </row>
    <row r="1598">
      <c r="A1598" s="2" t="str">
        <f>IFERROR(__xludf.DUMMYFUNCTION("""COMPUTED_VALUE"""),"PR024")</f>
        <v>PR024</v>
      </c>
      <c r="B1598" s="2" t="str">
        <f>IFERROR(__xludf.DUMMYFUNCTION("""COMPUTED_VALUE"""),"VD048")</f>
        <v>VD048</v>
      </c>
      <c r="C1598" s="2">
        <f>IFERROR(__xludf.DUMMYFUNCTION("""COMPUTED_VALUE"""),3.0)</f>
        <v>3</v>
      </c>
      <c r="D1598" s="6">
        <f>IFERROR(__xludf.DUMMYFUNCTION("""COMPUTED_VALUE"""),795.29)</f>
        <v>795.29</v>
      </c>
      <c r="E1598" s="6">
        <f>IFERROR(__xludf.DUMMYFUNCTION("GOOGLEFINANCE(""Currency:BRLMXN"")*D1598"),2701.60013)</f>
        <v>2701.60013</v>
      </c>
      <c r="F1598" s="6">
        <f>IFERROR(__xludf.DUMMYFUNCTION("GOOGLEFINANCE(""Currency:BRLPEN"")*D1598"),521.392124)</f>
        <v>521.392124</v>
      </c>
      <c r="G1598" s="2" t="str">
        <f t="array" ref="G1598">_xlfn.XLOOKUP(B1598,Vendedores!$A$2:$A$41,Vendedores!$B$2:$B$41,"No hay datos")</f>
        <v>No hay datos</v>
      </c>
      <c r="H1598" s="2" t="str">
        <f t="array" ref="H1598">_xlfn.XLOOKUP(B1598,Vendedores!$A$2:$A$41,Vendedores!$C$2:$C$41,"No hay datos")</f>
        <v>No hay datos</v>
      </c>
      <c r="I1598" s="2" t="str">
        <f t="array" ref="I1598">_xlfn.XLOOKUP(B1598,Vendedores!$A$2:$A$41,Vendedores!$D$2:$D$41,"No hay datos")</f>
        <v>No hay datos</v>
      </c>
      <c r="J1598" s="2" t="str">
        <f t="array" ref="J1598">_xlfn.XLOOKUP(A1598,Productos!$A$2:$A$61,Productos!$B$2:$F$61)</f>
        <v>#N/A</v>
      </c>
    </row>
    <row r="1599">
      <c r="A1599" s="2" t="str">
        <f>IFERROR(__xludf.DUMMYFUNCTION("""COMPUTED_VALUE"""),"PR044")</f>
        <v>PR044</v>
      </c>
      <c r="B1599" s="2" t="str">
        <f>IFERROR(__xludf.DUMMYFUNCTION("""COMPUTED_VALUE"""),"VD046")</f>
        <v>VD046</v>
      </c>
      <c r="C1599" s="2">
        <f>IFERROR(__xludf.DUMMYFUNCTION("""COMPUTED_VALUE"""),14.0)</f>
        <v>14</v>
      </c>
      <c r="D1599" s="6">
        <f>IFERROR(__xludf.DUMMYFUNCTION("""COMPUTED_VALUE"""),1055.6)</f>
        <v>1055.6</v>
      </c>
      <c r="E1599" s="6">
        <f>IFERROR(__xludf.DUMMYFUNCTION("GOOGLEFINANCE(""Currency:BRLMXN"")*D1599"),3585.8731999999995)</f>
        <v>3585.8732</v>
      </c>
      <c r="F1599" s="6">
        <f>IFERROR(__xludf.DUMMYFUNCTION("GOOGLEFINANCE(""Currency:BRLPEN"")*D1599"),692.0513599999999)</f>
        <v>692.05136</v>
      </c>
      <c r="G1599" s="2" t="str">
        <f t="array" ref="G1599">_xlfn.XLOOKUP(B1599,Vendedores!$A$2:$A$41,Vendedores!$B$2:$B$41,"No hay datos")</f>
        <v>No hay datos</v>
      </c>
      <c r="H1599" s="2" t="str">
        <f t="array" ref="H1599">_xlfn.XLOOKUP(B1599,Vendedores!$A$2:$A$41,Vendedores!$C$2:$C$41,"No hay datos")</f>
        <v>No hay datos</v>
      </c>
      <c r="I1599" s="2" t="str">
        <f t="array" ref="I1599">_xlfn.XLOOKUP(B1599,Vendedores!$A$2:$A$41,Vendedores!$D$2:$D$41,"No hay datos")</f>
        <v>No hay datos</v>
      </c>
      <c r="J1599" s="2" t="str">
        <f t="array" ref="J1599">_xlfn.XLOOKUP(A1599,Productos!$A$2:$A$61,Productos!$B$2:$F$61)</f>
        <v>#N/A</v>
      </c>
    </row>
    <row r="1600">
      <c r="A1600" s="2" t="str">
        <f>IFERROR(__xludf.DUMMYFUNCTION("""COMPUTED_VALUE"""),"PR042")</f>
        <v>PR042</v>
      </c>
      <c r="B1600" s="2" t="str">
        <f>IFERROR(__xludf.DUMMYFUNCTION("""COMPUTED_VALUE"""),"VD048")</f>
        <v>VD048</v>
      </c>
      <c r="C1600" s="2">
        <f>IFERROR(__xludf.DUMMYFUNCTION("""COMPUTED_VALUE"""),7.0)</f>
        <v>7</v>
      </c>
      <c r="D1600" s="6">
        <f>IFERROR(__xludf.DUMMYFUNCTION("""COMPUTED_VALUE"""),399.67)</f>
        <v>399.67</v>
      </c>
      <c r="E1600" s="6">
        <f>IFERROR(__xludf.DUMMYFUNCTION("GOOGLEFINANCE(""Currency:BRLMXN"")*D1600"),1357.6789899999999)</f>
        <v>1357.67899</v>
      </c>
      <c r="F1600" s="6">
        <f>IFERROR(__xludf.DUMMYFUNCTION("GOOGLEFINANCE(""Currency:BRLPEN"")*D1600"),262.02365199999997)</f>
        <v>262.023652</v>
      </c>
      <c r="G1600" s="2" t="str">
        <f t="array" ref="G1600">_xlfn.XLOOKUP(B1600,Vendedores!$A$2:$A$41,Vendedores!$B$2:$B$41,"No hay datos")</f>
        <v>No hay datos</v>
      </c>
      <c r="H1600" s="2" t="str">
        <f t="array" ref="H1600">_xlfn.XLOOKUP(B1600,Vendedores!$A$2:$A$41,Vendedores!$C$2:$C$41,"No hay datos")</f>
        <v>No hay datos</v>
      </c>
      <c r="I1600" s="2" t="str">
        <f t="array" ref="I1600">_xlfn.XLOOKUP(B1600,Vendedores!$A$2:$A$41,Vendedores!$D$2:$D$41,"No hay datos")</f>
        <v>No hay datos</v>
      </c>
      <c r="J1600" s="2" t="str">
        <f t="array" ref="J1600">_xlfn.XLOOKUP(A1600,Productos!$A$2:$A$61,Productos!$B$2:$F$61)</f>
        <v>#N/A</v>
      </c>
    </row>
    <row r="1601">
      <c r="A1601" s="2" t="str">
        <f>IFERROR(__xludf.DUMMYFUNCTION("""COMPUTED_VALUE"""),"PR014")</f>
        <v>PR014</v>
      </c>
      <c r="B1601" s="2" t="str">
        <f>IFERROR(__xludf.DUMMYFUNCTION("""COMPUTED_VALUE"""),"VD017")</f>
        <v>VD017</v>
      </c>
      <c r="C1601" s="2">
        <f>IFERROR(__xludf.DUMMYFUNCTION("""COMPUTED_VALUE"""),10.0)</f>
        <v>10</v>
      </c>
      <c r="D1601" s="6">
        <f>IFERROR(__xludf.DUMMYFUNCTION("""COMPUTED_VALUE"""),438.9)</f>
        <v>438.9</v>
      </c>
      <c r="E1601" s="6">
        <f>IFERROR(__xludf.DUMMYFUNCTION("GOOGLEFINANCE(""Currency:BRLMXN"")*D1601"),1490.9433)</f>
        <v>1490.9433</v>
      </c>
      <c r="F1601" s="6">
        <f>IFERROR(__xludf.DUMMYFUNCTION("GOOGLEFINANCE(""Currency:BRLPEN"")*D1601"),287.74283999999994)</f>
        <v>287.74284</v>
      </c>
      <c r="G1601" s="2" t="str">
        <f t="array" ref="G1601">_xlfn.XLOOKUP(B1601,Vendedores!$A$2:$A$41,Vendedores!$B$2:$B$41,"No hay datos")</f>
        <v>No hay datos</v>
      </c>
      <c r="H1601" s="2" t="str">
        <f t="array" ref="H1601">_xlfn.XLOOKUP(B1601,Vendedores!$A$2:$A$41,Vendedores!$C$2:$C$41,"No hay datos")</f>
        <v>No hay datos</v>
      </c>
      <c r="I1601" s="2" t="str">
        <f t="array" ref="I1601">_xlfn.XLOOKUP(B1601,Vendedores!$A$2:$A$41,Vendedores!$D$2:$D$41,"No hay datos")</f>
        <v>No hay datos</v>
      </c>
      <c r="J1601" s="2" t="str">
        <f t="array" ref="J1601">_xlfn.XLOOKUP(A1601,Productos!$A$2:$A$61,Productos!$B$2:$F$61)</f>
        <v>#N/A</v>
      </c>
    </row>
    <row r="1602">
      <c r="A1602" s="2" t="str">
        <f>IFERROR(__xludf.DUMMYFUNCTION("""COMPUTED_VALUE"""),"PR015")</f>
        <v>PR015</v>
      </c>
      <c r="B1602" s="2" t="str">
        <f>IFERROR(__xludf.DUMMYFUNCTION("""COMPUTED_VALUE"""),"VD022")</f>
        <v>VD022</v>
      </c>
      <c r="C1602" s="2">
        <f>IFERROR(__xludf.DUMMYFUNCTION("""COMPUTED_VALUE"""),6.0)</f>
        <v>6</v>
      </c>
      <c r="D1602" s="6">
        <f>IFERROR(__xludf.DUMMYFUNCTION("""COMPUTED_VALUE"""),262.65)</f>
        <v>262.65</v>
      </c>
      <c r="E1602" s="6">
        <f>IFERROR(__xludf.DUMMYFUNCTION("GOOGLEFINANCE(""Currency:BRLMXN"")*D1602"),892.2220499999999)</f>
        <v>892.22205</v>
      </c>
      <c r="F1602" s="6">
        <f>IFERROR(__xludf.DUMMYFUNCTION("GOOGLEFINANCE(""Currency:BRLPEN"")*D1602"),172.19333999999998)</f>
        <v>172.19334</v>
      </c>
      <c r="G1602" s="2" t="str">
        <f t="array" ref="G1602">_xlfn.XLOOKUP(B1602,Vendedores!$A$2:$A$41,Vendedores!$B$2:$B$41,"No hay datos")</f>
        <v>No hay datos</v>
      </c>
      <c r="H1602" s="2" t="str">
        <f t="array" ref="H1602">_xlfn.XLOOKUP(B1602,Vendedores!$A$2:$A$41,Vendedores!$C$2:$C$41,"No hay datos")</f>
        <v>No hay datos</v>
      </c>
      <c r="I1602" s="2" t="str">
        <f t="array" ref="I1602">_xlfn.XLOOKUP(B1602,Vendedores!$A$2:$A$41,Vendedores!$D$2:$D$41,"No hay datos")</f>
        <v>No hay datos</v>
      </c>
      <c r="J1602" s="2" t="str">
        <f t="array" ref="J1602">_xlfn.XLOOKUP(A1602,Productos!$A$2:$A$61,Productos!$B$2:$F$61)</f>
        <v>#N/A</v>
      </c>
    </row>
    <row r="1603">
      <c r="A1603" s="2" t="str">
        <f>IFERROR(__xludf.DUMMYFUNCTION("""COMPUTED_VALUE"""),"PR025")</f>
        <v>PR025</v>
      </c>
      <c r="B1603" s="2" t="str">
        <f>IFERROR(__xludf.DUMMYFUNCTION("""COMPUTED_VALUE"""),"VD034")</f>
        <v>VD034</v>
      </c>
      <c r="C1603" s="2">
        <f>IFERROR(__xludf.DUMMYFUNCTION("""COMPUTED_VALUE"""),4.0)</f>
        <v>4</v>
      </c>
      <c r="D1603" s="6">
        <f>IFERROR(__xludf.DUMMYFUNCTION("""COMPUTED_VALUE"""),1295.57)</f>
        <v>1295.57</v>
      </c>
      <c r="E1603" s="6">
        <f>IFERROR(__xludf.DUMMYFUNCTION("GOOGLEFINANCE(""Currency:BRLMXN"")*D1603"),4401.051289999999)</f>
        <v>4401.05129</v>
      </c>
      <c r="F1603" s="6">
        <f>IFERROR(__xludf.DUMMYFUNCTION("GOOGLEFINANCE(""Currency:BRLPEN"")*D1603"),849.375692)</f>
        <v>849.375692</v>
      </c>
      <c r="G1603" s="2" t="str">
        <f t="array" ref="G1603">_xlfn.XLOOKUP(B1603,Vendedores!$A$2:$A$41,Vendedores!$B$2:$B$41,"No hay datos")</f>
        <v>No hay datos</v>
      </c>
      <c r="H1603" s="2" t="str">
        <f t="array" ref="H1603">_xlfn.XLOOKUP(B1603,Vendedores!$A$2:$A$41,Vendedores!$C$2:$C$41,"No hay datos")</f>
        <v>No hay datos</v>
      </c>
      <c r="I1603" s="2" t="str">
        <f t="array" ref="I1603">_xlfn.XLOOKUP(B1603,Vendedores!$A$2:$A$41,Vendedores!$D$2:$D$41,"No hay datos")</f>
        <v>No hay datos</v>
      </c>
      <c r="J1603" s="2" t="str">
        <f t="array" ref="J1603">_xlfn.XLOOKUP(A1603,Productos!$A$2:$A$61,Productos!$B$2:$F$61)</f>
        <v>#N/A</v>
      </c>
    </row>
    <row r="1604">
      <c r="A1604" s="2" t="str">
        <f>IFERROR(__xludf.DUMMYFUNCTION("""COMPUTED_VALUE"""),"PR001")</f>
        <v>PR001</v>
      </c>
      <c r="B1604" s="2" t="str">
        <f>IFERROR(__xludf.DUMMYFUNCTION("""COMPUTED_VALUE"""),"VD022")</f>
        <v>VD022</v>
      </c>
      <c r="C1604" s="2">
        <f>IFERROR(__xludf.DUMMYFUNCTION("""COMPUTED_VALUE"""),9.0)</f>
        <v>9</v>
      </c>
      <c r="D1604" s="6">
        <f>IFERROR(__xludf.DUMMYFUNCTION("""COMPUTED_VALUE"""),640.55)</f>
        <v>640.55</v>
      </c>
      <c r="E1604" s="6">
        <f>IFERROR(__xludf.DUMMYFUNCTION("GOOGLEFINANCE(""Currency:BRLMXN"")*D1604"),2175.9483499999997)</f>
        <v>2175.94835</v>
      </c>
      <c r="F1604" s="6">
        <f>IFERROR(__xludf.DUMMYFUNCTION("GOOGLEFINANCE(""Currency:BRLPEN"")*D1604"),419.9445799999999)</f>
        <v>419.94458</v>
      </c>
      <c r="G1604" s="2" t="str">
        <f t="array" ref="G1604">_xlfn.XLOOKUP(B1604,Vendedores!$A$2:$A$41,Vendedores!$B$2:$B$41,"No hay datos")</f>
        <v>No hay datos</v>
      </c>
      <c r="H1604" s="2" t="str">
        <f t="array" ref="H1604">_xlfn.XLOOKUP(B1604,Vendedores!$A$2:$A$41,Vendedores!$C$2:$C$41,"No hay datos")</f>
        <v>No hay datos</v>
      </c>
      <c r="I1604" s="2" t="str">
        <f t="array" ref="I1604">_xlfn.XLOOKUP(B1604,Vendedores!$A$2:$A$41,Vendedores!$D$2:$D$41,"No hay datos")</f>
        <v>No hay datos</v>
      </c>
      <c r="J1604" s="2" t="str">
        <f t="array" ref="J1604">_xlfn.XLOOKUP(A1604,Productos!$A$2:$A$61,Productos!$B$2:$F$61)</f>
        <v>#N/A</v>
      </c>
    </row>
    <row r="1605">
      <c r="A1605" s="2" t="str">
        <f>IFERROR(__xludf.DUMMYFUNCTION("""COMPUTED_VALUE"""),"PR013")</f>
        <v>PR013</v>
      </c>
      <c r="B1605" s="2" t="str">
        <f>IFERROR(__xludf.DUMMYFUNCTION("""COMPUTED_VALUE"""),"VD019")</f>
        <v>VD019</v>
      </c>
      <c r="C1605" s="2">
        <f>IFERROR(__xludf.DUMMYFUNCTION("""COMPUTED_VALUE"""),20.0)</f>
        <v>20</v>
      </c>
      <c r="D1605" s="6">
        <f>IFERROR(__xludf.DUMMYFUNCTION("""COMPUTED_VALUE"""),869.82)</f>
        <v>869.82</v>
      </c>
      <c r="E1605" s="6">
        <f>IFERROR(__xludf.DUMMYFUNCTION("GOOGLEFINANCE(""Currency:BRLMXN"")*D1605"),2954.77854)</f>
        <v>2954.77854</v>
      </c>
      <c r="F1605" s="6">
        <f>IFERROR(__xludf.DUMMYFUNCTION("GOOGLEFINANCE(""Currency:BRLPEN"")*D1605"),570.253992)</f>
        <v>570.253992</v>
      </c>
      <c r="G1605" s="2" t="str">
        <f t="array" ref="G1605">_xlfn.XLOOKUP(B1605,Vendedores!$A$2:$A$41,Vendedores!$B$2:$B$41,"No hay datos")</f>
        <v>No hay datos</v>
      </c>
      <c r="H1605" s="2" t="str">
        <f t="array" ref="H1605">_xlfn.XLOOKUP(B1605,Vendedores!$A$2:$A$41,Vendedores!$C$2:$C$41,"No hay datos")</f>
        <v>No hay datos</v>
      </c>
      <c r="I1605" s="2" t="str">
        <f t="array" ref="I1605">_xlfn.XLOOKUP(B1605,Vendedores!$A$2:$A$41,Vendedores!$D$2:$D$41,"No hay datos")</f>
        <v>No hay datos</v>
      </c>
      <c r="J1605" s="2" t="str">
        <f t="array" ref="J1605">_xlfn.XLOOKUP(A1605,Productos!$A$2:$A$61,Productos!$B$2:$F$61)</f>
        <v>#N/A</v>
      </c>
    </row>
    <row r="1606">
      <c r="A1606" s="2" t="str">
        <f>IFERROR(__xludf.DUMMYFUNCTION("""COMPUTED_VALUE"""),"PR058")</f>
        <v>PR058</v>
      </c>
      <c r="B1606" s="2" t="str">
        <f>IFERROR(__xludf.DUMMYFUNCTION("""COMPUTED_VALUE"""),"VD042")</f>
        <v>VD042</v>
      </c>
      <c r="C1606" s="2">
        <f>IFERROR(__xludf.DUMMYFUNCTION("""COMPUTED_VALUE"""),3.0)</f>
        <v>3</v>
      </c>
      <c r="D1606" s="6">
        <f>IFERROR(__xludf.DUMMYFUNCTION("""COMPUTED_VALUE"""),577.8)</f>
        <v>577.8</v>
      </c>
      <c r="E1606" s="6">
        <f>IFERROR(__xludf.DUMMYFUNCTION("GOOGLEFINANCE(""Currency:BRLMXN"")*D1606"),1962.7865999999997)</f>
        <v>1962.7866</v>
      </c>
      <c r="F1606" s="6">
        <f>IFERROR(__xludf.DUMMYFUNCTION("GOOGLEFINANCE(""Currency:BRLPEN"")*D1606"),378.80567999999994)</f>
        <v>378.80568</v>
      </c>
      <c r="G1606" s="2" t="str">
        <f t="array" ref="G1606">_xlfn.XLOOKUP(B1606,Vendedores!$A$2:$A$41,Vendedores!$B$2:$B$41,"No hay datos")</f>
        <v>No hay datos</v>
      </c>
      <c r="H1606" s="2" t="str">
        <f t="array" ref="H1606">_xlfn.XLOOKUP(B1606,Vendedores!$A$2:$A$41,Vendedores!$C$2:$C$41,"No hay datos")</f>
        <v>No hay datos</v>
      </c>
      <c r="I1606" s="2" t="str">
        <f t="array" ref="I1606">_xlfn.XLOOKUP(B1606,Vendedores!$A$2:$A$41,Vendedores!$D$2:$D$41,"No hay datos")</f>
        <v>No hay datos</v>
      </c>
      <c r="J1606" s="2" t="str">
        <f t="array" ref="J1606">_xlfn.XLOOKUP(A1606,Productos!$A$2:$A$61,Productos!$B$2:$F$61)</f>
        <v>#N/A</v>
      </c>
    </row>
    <row r="1607">
      <c r="A1607" s="2" t="str">
        <f>IFERROR(__xludf.DUMMYFUNCTION("""COMPUTED_VALUE"""),"PR053")</f>
        <v>PR053</v>
      </c>
      <c r="B1607" s="2" t="str">
        <f>IFERROR(__xludf.DUMMYFUNCTION("""COMPUTED_VALUE"""),"VD022")</f>
        <v>VD022</v>
      </c>
      <c r="C1607" s="2">
        <f>IFERROR(__xludf.DUMMYFUNCTION("""COMPUTED_VALUE"""),4.0)</f>
        <v>4</v>
      </c>
      <c r="D1607" s="6">
        <f>IFERROR(__xludf.DUMMYFUNCTION("""COMPUTED_VALUE"""),217.56)</f>
        <v>217.56</v>
      </c>
      <c r="E1607" s="6">
        <f>IFERROR(__xludf.DUMMYFUNCTION("GOOGLEFINANCE(""Currency:BRLMXN"")*D1607"),739.0513199999999)</f>
        <v>739.05132</v>
      </c>
      <c r="F1607" s="6">
        <f>IFERROR(__xludf.DUMMYFUNCTION("GOOGLEFINANCE(""Currency:BRLPEN"")*D1607"),142.63233599999998)</f>
        <v>142.632336</v>
      </c>
      <c r="G1607" s="2" t="str">
        <f t="array" ref="G1607">_xlfn.XLOOKUP(B1607,Vendedores!$A$2:$A$41,Vendedores!$B$2:$B$41,"No hay datos")</f>
        <v>No hay datos</v>
      </c>
      <c r="H1607" s="2" t="str">
        <f t="array" ref="H1607">_xlfn.XLOOKUP(B1607,Vendedores!$A$2:$A$41,Vendedores!$C$2:$C$41,"No hay datos")</f>
        <v>No hay datos</v>
      </c>
      <c r="I1607" s="2" t="str">
        <f t="array" ref="I1607">_xlfn.XLOOKUP(B1607,Vendedores!$A$2:$A$41,Vendedores!$D$2:$D$41,"No hay datos")</f>
        <v>No hay datos</v>
      </c>
      <c r="J1607" s="2" t="str">
        <f t="array" ref="J1607">_xlfn.XLOOKUP(A1607,Productos!$A$2:$A$61,Productos!$B$2:$F$61)</f>
        <v>#N/A</v>
      </c>
    </row>
    <row r="1608">
      <c r="A1608" s="2" t="str">
        <f>IFERROR(__xludf.DUMMYFUNCTION("""COMPUTED_VALUE"""),"PR047")</f>
        <v>PR047</v>
      </c>
      <c r="B1608" s="2" t="str">
        <f>IFERROR(__xludf.DUMMYFUNCTION("""COMPUTED_VALUE"""),"VD025")</f>
        <v>VD025</v>
      </c>
      <c r="C1608" s="2">
        <f>IFERROR(__xludf.DUMMYFUNCTION("""COMPUTED_VALUE"""),2.0)</f>
        <v>2</v>
      </c>
      <c r="D1608" s="6">
        <f>IFERROR(__xludf.DUMMYFUNCTION("""COMPUTED_VALUE"""),631.98)</f>
        <v>631.98</v>
      </c>
      <c r="E1608" s="6">
        <f>IFERROR(__xludf.DUMMYFUNCTION("GOOGLEFINANCE(""Currency:BRLMXN"")*D1608"),2146.83606)</f>
        <v>2146.83606</v>
      </c>
      <c r="F1608" s="6">
        <f>IFERROR(__xludf.DUMMYFUNCTION("GOOGLEFINANCE(""Currency:BRLPEN"")*D1608"),414.32608799999997)</f>
        <v>414.326088</v>
      </c>
      <c r="G1608" s="2" t="str">
        <f t="array" ref="G1608">_xlfn.XLOOKUP(B1608,Vendedores!$A$2:$A$41,Vendedores!$B$2:$B$41,"No hay datos")</f>
        <v>No hay datos</v>
      </c>
      <c r="H1608" s="2" t="str">
        <f t="array" ref="H1608">_xlfn.XLOOKUP(B1608,Vendedores!$A$2:$A$41,Vendedores!$C$2:$C$41,"No hay datos")</f>
        <v>No hay datos</v>
      </c>
      <c r="I1608" s="2" t="str">
        <f t="array" ref="I1608">_xlfn.XLOOKUP(B1608,Vendedores!$A$2:$A$41,Vendedores!$D$2:$D$41,"No hay datos")</f>
        <v>No hay datos</v>
      </c>
      <c r="J1608" s="2" t="str">
        <f t="array" ref="J1608">_xlfn.XLOOKUP(A1608,Productos!$A$2:$A$61,Productos!$B$2:$F$61)</f>
        <v>#N/A</v>
      </c>
    </row>
    <row r="1609">
      <c r="A1609" s="2" t="str">
        <f>IFERROR(__xludf.DUMMYFUNCTION("""COMPUTED_VALUE"""),"PR044")</f>
        <v>PR044</v>
      </c>
      <c r="B1609" s="2" t="str">
        <f>IFERROR(__xludf.DUMMYFUNCTION("""COMPUTED_VALUE"""),"VD026")</f>
        <v>VD026</v>
      </c>
      <c r="C1609" s="2">
        <f>IFERROR(__xludf.DUMMYFUNCTION("""COMPUTED_VALUE"""),7.0)</f>
        <v>7</v>
      </c>
      <c r="D1609" s="6">
        <f>IFERROR(__xludf.DUMMYFUNCTION("""COMPUTED_VALUE"""),522.73)</f>
        <v>522.73</v>
      </c>
      <c r="E1609" s="6">
        <f>IFERROR(__xludf.DUMMYFUNCTION("GOOGLEFINANCE(""Currency:BRLMXN"")*D1609"),1775.71381)</f>
        <v>1775.71381</v>
      </c>
      <c r="F1609" s="6">
        <f>IFERROR(__xludf.DUMMYFUNCTION("GOOGLEFINANCE(""Currency:BRLPEN"")*D1609"),342.70178799999996)</f>
        <v>342.701788</v>
      </c>
      <c r="G1609" s="2" t="str">
        <f t="array" ref="G1609">_xlfn.XLOOKUP(B1609,Vendedores!$A$2:$A$41,Vendedores!$B$2:$B$41,"No hay datos")</f>
        <v>No hay datos</v>
      </c>
      <c r="H1609" s="2" t="str">
        <f t="array" ref="H1609">_xlfn.XLOOKUP(B1609,Vendedores!$A$2:$A$41,Vendedores!$C$2:$C$41,"No hay datos")</f>
        <v>No hay datos</v>
      </c>
      <c r="I1609" s="2" t="str">
        <f t="array" ref="I1609">_xlfn.XLOOKUP(B1609,Vendedores!$A$2:$A$41,Vendedores!$D$2:$D$41,"No hay datos")</f>
        <v>No hay datos</v>
      </c>
      <c r="J1609" s="2" t="str">
        <f t="array" ref="J1609">_xlfn.XLOOKUP(A1609,Productos!$A$2:$A$61,Productos!$B$2:$F$61)</f>
        <v>#N/A</v>
      </c>
    </row>
    <row r="1610">
      <c r="A1610" s="2" t="str">
        <f>IFERROR(__xludf.DUMMYFUNCTION("""COMPUTED_VALUE"""),"PR050")</f>
        <v>PR050</v>
      </c>
      <c r="B1610" s="2" t="str">
        <f>IFERROR(__xludf.DUMMYFUNCTION("""COMPUTED_VALUE"""),"VD039")</f>
        <v>VD039</v>
      </c>
      <c r="C1610" s="2">
        <f>IFERROR(__xludf.DUMMYFUNCTION("""COMPUTED_VALUE"""),12.0)</f>
        <v>12</v>
      </c>
      <c r="D1610" s="6">
        <f>IFERROR(__xludf.DUMMYFUNCTION("""COMPUTED_VALUE"""),410.59)</f>
        <v>410.59</v>
      </c>
      <c r="E1610" s="6">
        <f>IFERROR(__xludf.DUMMYFUNCTION("GOOGLEFINANCE(""Currency:BRLMXN"")*D1610"),1394.7742299999998)</f>
        <v>1394.77423</v>
      </c>
      <c r="F1610" s="6">
        <f>IFERROR(__xludf.DUMMYFUNCTION("GOOGLEFINANCE(""Currency:BRLPEN"")*D1610"),269.182804)</f>
        <v>269.182804</v>
      </c>
      <c r="G1610" s="2" t="str">
        <f t="array" ref="G1610">_xlfn.XLOOKUP(B1610,Vendedores!$A$2:$A$41,Vendedores!$B$2:$B$41,"No hay datos")</f>
        <v>No hay datos</v>
      </c>
      <c r="H1610" s="2" t="str">
        <f t="array" ref="H1610">_xlfn.XLOOKUP(B1610,Vendedores!$A$2:$A$41,Vendedores!$C$2:$C$41,"No hay datos")</f>
        <v>No hay datos</v>
      </c>
      <c r="I1610" s="2" t="str">
        <f t="array" ref="I1610">_xlfn.XLOOKUP(B1610,Vendedores!$A$2:$A$41,Vendedores!$D$2:$D$41,"No hay datos")</f>
        <v>No hay datos</v>
      </c>
      <c r="J1610" s="2" t="str">
        <f t="array" ref="J1610">_xlfn.XLOOKUP(A1610,Productos!$A$2:$A$61,Productos!$B$2:$F$61)</f>
        <v>#N/A</v>
      </c>
    </row>
    <row r="1611">
      <c r="A1611" s="2" t="str">
        <f>IFERROR(__xludf.DUMMYFUNCTION("""COMPUTED_VALUE"""),"PR042")</f>
        <v>PR042</v>
      </c>
      <c r="B1611" s="2" t="str">
        <f>IFERROR(__xludf.DUMMYFUNCTION("""COMPUTED_VALUE"""),"VD040")</f>
        <v>VD040</v>
      </c>
      <c r="C1611" s="2">
        <f>IFERROR(__xludf.DUMMYFUNCTION("""COMPUTED_VALUE"""),8.0)</f>
        <v>8</v>
      </c>
      <c r="D1611" s="6">
        <f>IFERROR(__xludf.DUMMYFUNCTION("""COMPUTED_VALUE"""),447.98)</f>
        <v>447.98</v>
      </c>
      <c r="E1611" s="6">
        <f>IFERROR(__xludf.DUMMYFUNCTION("GOOGLEFINANCE(""Currency:BRLMXN"")*D1611"),1521.7880599999999)</f>
        <v>1521.78806</v>
      </c>
      <c r="F1611" s="6">
        <f>IFERROR(__xludf.DUMMYFUNCTION("GOOGLEFINANCE(""Currency:BRLPEN"")*D1611"),293.695688)</f>
        <v>293.695688</v>
      </c>
      <c r="G1611" s="2" t="str">
        <f t="array" ref="G1611">_xlfn.XLOOKUP(B1611,Vendedores!$A$2:$A$41,Vendedores!$B$2:$B$41,"No hay datos")</f>
        <v>No hay datos</v>
      </c>
      <c r="H1611" s="2" t="str">
        <f t="array" ref="H1611">_xlfn.XLOOKUP(B1611,Vendedores!$A$2:$A$41,Vendedores!$C$2:$C$41,"No hay datos")</f>
        <v>No hay datos</v>
      </c>
      <c r="I1611" s="2" t="str">
        <f t="array" ref="I1611">_xlfn.XLOOKUP(B1611,Vendedores!$A$2:$A$41,Vendedores!$D$2:$D$41,"No hay datos")</f>
        <v>No hay datos</v>
      </c>
      <c r="J1611" s="2" t="str">
        <f t="array" ref="J1611">_xlfn.XLOOKUP(A1611,Productos!$A$2:$A$61,Productos!$B$2:$F$61)</f>
        <v>#N/A</v>
      </c>
    </row>
    <row r="1612">
      <c r="A1612" s="2" t="str">
        <f>IFERROR(__xludf.DUMMYFUNCTION("""COMPUTED_VALUE"""),"PR003")</f>
        <v>PR003</v>
      </c>
      <c r="B1612" s="2" t="str">
        <f>IFERROR(__xludf.DUMMYFUNCTION("""COMPUTED_VALUE"""),"VD038")</f>
        <v>VD038</v>
      </c>
      <c r="C1612" s="2">
        <f>IFERROR(__xludf.DUMMYFUNCTION("""COMPUTED_VALUE"""),2.0)</f>
        <v>2</v>
      </c>
      <c r="D1612" s="6">
        <f>IFERROR(__xludf.DUMMYFUNCTION("""COMPUTED_VALUE"""),143.22)</f>
        <v>143.22</v>
      </c>
      <c r="E1612" s="6">
        <f>IFERROR(__xludf.DUMMYFUNCTION("GOOGLEFINANCE(""Currency:BRLMXN"")*D1612"),486.51833999999997)</f>
        <v>486.51834</v>
      </c>
      <c r="F1612" s="6">
        <f>IFERROR(__xludf.DUMMYFUNCTION("GOOGLEFINANCE(""Currency:BRLPEN"")*D1612"),93.895032)</f>
        <v>93.895032</v>
      </c>
      <c r="G1612" s="2" t="str">
        <f t="array" ref="G1612">_xlfn.XLOOKUP(B1612,Vendedores!$A$2:$A$41,Vendedores!$B$2:$B$41,"No hay datos")</f>
        <v>No hay datos</v>
      </c>
      <c r="H1612" s="2" t="str">
        <f t="array" ref="H1612">_xlfn.XLOOKUP(B1612,Vendedores!$A$2:$A$41,Vendedores!$C$2:$C$41,"No hay datos")</f>
        <v>No hay datos</v>
      </c>
      <c r="I1612" s="2" t="str">
        <f t="array" ref="I1612">_xlfn.XLOOKUP(B1612,Vendedores!$A$2:$A$41,Vendedores!$D$2:$D$41,"No hay datos")</f>
        <v>No hay datos</v>
      </c>
      <c r="J1612" s="2" t="str">
        <f t="array" ref="J1612">_xlfn.XLOOKUP(A1612,Productos!$A$2:$A$61,Productos!$B$2:$F$61)</f>
        <v>#N/A</v>
      </c>
    </row>
    <row r="1613">
      <c r="A1613" s="2" t="str">
        <f>IFERROR(__xludf.DUMMYFUNCTION("""COMPUTED_VALUE"""),"PR010")</f>
        <v>PR010</v>
      </c>
      <c r="B1613" s="2" t="str">
        <f>IFERROR(__xludf.DUMMYFUNCTION("""COMPUTED_VALUE"""),"VD025")</f>
        <v>VD025</v>
      </c>
      <c r="C1613" s="2">
        <f>IFERROR(__xludf.DUMMYFUNCTION("""COMPUTED_VALUE"""),6.0)</f>
        <v>6</v>
      </c>
      <c r="D1613" s="6">
        <f>IFERROR(__xludf.DUMMYFUNCTION("""COMPUTED_VALUE"""),274.79)</f>
        <v>274.79</v>
      </c>
      <c r="E1613" s="6">
        <f>IFERROR(__xludf.DUMMYFUNCTION("GOOGLEFINANCE(""Currency:BRLMXN"")*D1613"),933.46163)</f>
        <v>933.46163</v>
      </c>
      <c r="F1613" s="6">
        <f>IFERROR(__xludf.DUMMYFUNCTION("GOOGLEFINANCE(""Currency:BRLPEN"")*D1613"),180.152324)</f>
        <v>180.152324</v>
      </c>
      <c r="G1613" s="2" t="str">
        <f t="array" ref="G1613">_xlfn.XLOOKUP(B1613,Vendedores!$A$2:$A$41,Vendedores!$B$2:$B$41,"No hay datos")</f>
        <v>No hay datos</v>
      </c>
      <c r="H1613" s="2" t="str">
        <f t="array" ref="H1613">_xlfn.XLOOKUP(B1613,Vendedores!$A$2:$A$41,Vendedores!$C$2:$C$41,"No hay datos")</f>
        <v>No hay datos</v>
      </c>
      <c r="I1613" s="2" t="str">
        <f t="array" ref="I1613">_xlfn.XLOOKUP(B1613,Vendedores!$A$2:$A$41,Vendedores!$D$2:$D$41,"No hay datos")</f>
        <v>No hay datos</v>
      </c>
      <c r="J1613" s="2" t="str">
        <f t="array" ref="J1613">_xlfn.XLOOKUP(A1613,Productos!$A$2:$A$61,Productos!$B$2:$F$61)</f>
        <v>#N/A</v>
      </c>
    </row>
    <row r="1614">
      <c r="A1614" s="2" t="str">
        <f>IFERROR(__xludf.DUMMYFUNCTION("""COMPUTED_VALUE"""),"PR043")</f>
        <v>PR043</v>
      </c>
      <c r="B1614" s="2" t="str">
        <f>IFERROR(__xludf.DUMMYFUNCTION("""COMPUTED_VALUE"""),"VD013")</f>
        <v>VD013</v>
      </c>
      <c r="C1614" s="2">
        <f>IFERROR(__xludf.DUMMYFUNCTION("""COMPUTED_VALUE"""),6.0)</f>
        <v>6</v>
      </c>
      <c r="D1614" s="6">
        <f>IFERROR(__xludf.DUMMYFUNCTION("""COMPUTED_VALUE"""),439.35)</f>
        <v>439.35</v>
      </c>
      <c r="E1614" s="6">
        <f>IFERROR(__xludf.DUMMYFUNCTION("GOOGLEFINANCE(""Currency:BRLMXN"")*D1614"),1492.4719499999999)</f>
        <v>1492.47195</v>
      </c>
      <c r="F1614" s="6">
        <f>IFERROR(__xludf.DUMMYFUNCTION("GOOGLEFINANCE(""Currency:BRLPEN"")*D1614"),288.03786)</f>
        <v>288.03786</v>
      </c>
      <c r="G1614" s="2" t="str">
        <f t="array" ref="G1614">_xlfn.XLOOKUP(B1614,Vendedores!$A$2:$A$41,Vendedores!$B$2:$B$41,"No hay datos")</f>
        <v>No hay datos</v>
      </c>
      <c r="H1614" s="2" t="str">
        <f t="array" ref="H1614">_xlfn.XLOOKUP(B1614,Vendedores!$A$2:$A$41,Vendedores!$C$2:$C$41,"No hay datos")</f>
        <v>No hay datos</v>
      </c>
      <c r="I1614" s="2" t="str">
        <f t="array" ref="I1614">_xlfn.XLOOKUP(B1614,Vendedores!$A$2:$A$41,Vendedores!$D$2:$D$41,"No hay datos")</f>
        <v>No hay datos</v>
      </c>
      <c r="J1614" s="2" t="str">
        <f t="array" ref="J1614">_xlfn.XLOOKUP(A1614,Productos!$A$2:$A$61,Productos!$B$2:$F$61)</f>
        <v>#N/A</v>
      </c>
    </row>
    <row r="1615">
      <c r="A1615" s="2" t="str">
        <f>IFERROR(__xludf.DUMMYFUNCTION("""COMPUTED_VALUE"""),"PR012")</f>
        <v>PR012</v>
      </c>
      <c r="B1615" s="2" t="str">
        <f>IFERROR(__xludf.DUMMYFUNCTION("""COMPUTED_VALUE"""),"VD035")</f>
        <v>VD035</v>
      </c>
      <c r="C1615" s="2">
        <f>IFERROR(__xludf.DUMMYFUNCTION("""COMPUTED_VALUE"""),6.0)</f>
        <v>6</v>
      </c>
      <c r="D1615" s="6">
        <f>IFERROR(__xludf.DUMMYFUNCTION("""COMPUTED_VALUE"""),293.4)</f>
        <v>293.4</v>
      </c>
      <c r="E1615" s="6">
        <f>IFERROR(__xludf.DUMMYFUNCTION("GOOGLEFINANCE(""Currency:BRLMXN"")*D1615"),996.6797999999999)</f>
        <v>996.6798</v>
      </c>
      <c r="F1615" s="6">
        <f>IFERROR(__xludf.DUMMYFUNCTION("GOOGLEFINANCE(""Currency:BRLPEN"")*D1615"),192.35303999999996)</f>
        <v>192.35304</v>
      </c>
      <c r="G1615" s="2" t="str">
        <f t="array" ref="G1615">_xlfn.XLOOKUP(B1615,Vendedores!$A$2:$A$41,Vendedores!$B$2:$B$41,"No hay datos")</f>
        <v>No hay datos</v>
      </c>
      <c r="H1615" s="2" t="str">
        <f t="array" ref="H1615">_xlfn.XLOOKUP(B1615,Vendedores!$A$2:$A$41,Vendedores!$C$2:$C$41,"No hay datos")</f>
        <v>No hay datos</v>
      </c>
      <c r="I1615" s="2" t="str">
        <f t="array" ref="I1615">_xlfn.XLOOKUP(B1615,Vendedores!$A$2:$A$41,Vendedores!$D$2:$D$41,"No hay datos")</f>
        <v>No hay datos</v>
      </c>
      <c r="J1615" s="2" t="str">
        <f t="array" ref="J1615">_xlfn.XLOOKUP(A1615,Productos!$A$2:$A$61,Productos!$B$2:$F$61)</f>
        <v>#N/A</v>
      </c>
    </row>
    <row r="1616">
      <c r="A1616" s="2" t="str">
        <f>IFERROR(__xludf.DUMMYFUNCTION("""COMPUTED_VALUE"""),"PR007")</f>
        <v>PR007</v>
      </c>
      <c r="B1616" s="2" t="str">
        <f>IFERROR(__xludf.DUMMYFUNCTION("""COMPUTED_VALUE"""),"VD017")</f>
        <v>VD017</v>
      </c>
      <c r="C1616" s="2">
        <f>IFERROR(__xludf.DUMMYFUNCTION("""COMPUTED_VALUE"""),12.0)</f>
        <v>12</v>
      </c>
      <c r="D1616" s="6">
        <f>IFERROR(__xludf.DUMMYFUNCTION("""COMPUTED_VALUE"""),1123.57)</f>
        <v>1123.57</v>
      </c>
      <c r="E1616" s="6">
        <f>IFERROR(__xludf.DUMMYFUNCTION("GOOGLEFINANCE(""Currency:BRLMXN"")*D1616"),3816.76729)</f>
        <v>3816.76729</v>
      </c>
      <c r="F1616" s="6">
        <f>IFERROR(__xludf.DUMMYFUNCTION("GOOGLEFINANCE(""Currency:BRLPEN"")*D1616"),736.6124919999999)</f>
        <v>736.612492</v>
      </c>
      <c r="G1616" s="2" t="str">
        <f t="array" ref="G1616">_xlfn.XLOOKUP(B1616,Vendedores!$A$2:$A$41,Vendedores!$B$2:$B$41,"No hay datos")</f>
        <v>No hay datos</v>
      </c>
      <c r="H1616" s="2" t="str">
        <f t="array" ref="H1616">_xlfn.XLOOKUP(B1616,Vendedores!$A$2:$A$41,Vendedores!$C$2:$C$41,"No hay datos")</f>
        <v>No hay datos</v>
      </c>
      <c r="I1616" s="2" t="str">
        <f t="array" ref="I1616">_xlfn.XLOOKUP(B1616,Vendedores!$A$2:$A$41,Vendedores!$D$2:$D$41,"No hay datos")</f>
        <v>No hay datos</v>
      </c>
      <c r="J1616" s="2" t="str">
        <f t="array" ref="J1616">_xlfn.XLOOKUP(A1616,Productos!$A$2:$A$61,Productos!$B$2:$F$61)</f>
        <v>#N/A</v>
      </c>
    </row>
    <row r="1617">
      <c r="A1617" s="2" t="str">
        <f>IFERROR(__xludf.DUMMYFUNCTION("""COMPUTED_VALUE"""),"PR042")</f>
        <v>PR042</v>
      </c>
      <c r="B1617" s="2" t="str">
        <f>IFERROR(__xludf.DUMMYFUNCTION("""COMPUTED_VALUE"""),"VD021")</f>
        <v>VD021</v>
      </c>
      <c r="C1617" s="2">
        <f>IFERROR(__xludf.DUMMYFUNCTION("""COMPUTED_VALUE"""),14.0)</f>
        <v>14</v>
      </c>
      <c r="D1617" s="6">
        <f>IFERROR(__xludf.DUMMYFUNCTION("""COMPUTED_VALUE"""),791.66)</f>
        <v>791.66</v>
      </c>
      <c r="E1617" s="6">
        <f>IFERROR(__xludf.DUMMYFUNCTION("GOOGLEFINANCE(""Currency:BRLMXN"")*D1617"),2689.2690199999997)</f>
        <v>2689.26902</v>
      </c>
      <c r="F1617" s="6">
        <f>IFERROR(__xludf.DUMMYFUNCTION("GOOGLEFINANCE(""Currency:BRLPEN"")*D1617"),519.012296)</f>
        <v>519.012296</v>
      </c>
      <c r="G1617" s="2" t="str">
        <f t="array" ref="G1617">_xlfn.XLOOKUP(B1617,Vendedores!$A$2:$A$41,Vendedores!$B$2:$B$41,"No hay datos")</f>
        <v>No hay datos</v>
      </c>
      <c r="H1617" s="2" t="str">
        <f t="array" ref="H1617">_xlfn.XLOOKUP(B1617,Vendedores!$A$2:$A$41,Vendedores!$C$2:$C$41,"No hay datos")</f>
        <v>No hay datos</v>
      </c>
      <c r="I1617" s="2" t="str">
        <f t="array" ref="I1617">_xlfn.XLOOKUP(B1617,Vendedores!$A$2:$A$41,Vendedores!$D$2:$D$41,"No hay datos")</f>
        <v>No hay datos</v>
      </c>
      <c r="J1617" s="2" t="str">
        <f t="array" ref="J1617">_xlfn.XLOOKUP(A1617,Productos!$A$2:$A$61,Productos!$B$2:$F$61)</f>
        <v>#N/A</v>
      </c>
    </row>
    <row r="1618">
      <c r="A1618" s="2" t="str">
        <f>IFERROR(__xludf.DUMMYFUNCTION("""COMPUTED_VALUE"""),"PR035")</f>
        <v>PR035</v>
      </c>
      <c r="B1618" s="2" t="str">
        <f>IFERROR(__xludf.DUMMYFUNCTION("""COMPUTED_VALUE"""),"VD033")</f>
        <v>VD033</v>
      </c>
      <c r="C1618" s="2">
        <f>IFERROR(__xludf.DUMMYFUNCTION("""COMPUTED_VALUE"""),4.0)</f>
        <v>4</v>
      </c>
      <c r="D1618" s="6">
        <f>IFERROR(__xludf.DUMMYFUNCTION("""COMPUTED_VALUE"""),391.19)</f>
        <v>391.19</v>
      </c>
      <c r="E1618" s="6">
        <f>IFERROR(__xludf.DUMMYFUNCTION("GOOGLEFINANCE(""Currency:BRLMXN"")*D1618"),1328.87243)</f>
        <v>1328.87243</v>
      </c>
      <c r="F1618" s="6">
        <f>IFERROR(__xludf.DUMMYFUNCTION("GOOGLEFINANCE(""Currency:BRLPEN"")*D1618"),256.464164)</f>
        <v>256.464164</v>
      </c>
      <c r="G1618" s="2" t="str">
        <f t="array" ref="G1618">_xlfn.XLOOKUP(B1618,Vendedores!$A$2:$A$41,Vendedores!$B$2:$B$41,"No hay datos")</f>
        <v>No hay datos</v>
      </c>
      <c r="H1618" s="2" t="str">
        <f t="array" ref="H1618">_xlfn.XLOOKUP(B1618,Vendedores!$A$2:$A$41,Vendedores!$C$2:$C$41,"No hay datos")</f>
        <v>No hay datos</v>
      </c>
      <c r="I1618" s="2" t="str">
        <f t="array" ref="I1618">_xlfn.XLOOKUP(B1618,Vendedores!$A$2:$A$41,Vendedores!$D$2:$D$41,"No hay datos")</f>
        <v>No hay datos</v>
      </c>
      <c r="J1618" s="2" t="str">
        <f t="array" ref="J1618">_xlfn.XLOOKUP(A1618,Productos!$A$2:$A$61,Productos!$B$2:$F$61)</f>
        <v>#N/A</v>
      </c>
    </row>
    <row r="1619">
      <c r="A1619" s="2" t="str">
        <f>IFERROR(__xludf.DUMMYFUNCTION("""COMPUTED_VALUE"""),"PR040")</f>
        <v>PR040</v>
      </c>
      <c r="B1619" s="2" t="str">
        <f>IFERROR(__xludf.DUMMYFUNCTION("""COMPUTED_VALUE"""),"VD027")</f>
        <v>VD027</v>
      </c>
      <c r="C1619" s="2">
        <f>IFERROR(__xludf.DUMMYFUNCTION("""COMPUTED_VALUE"""),16.0)</f>
        <v>16</v>
      </c>
      <c r="D1619" s="6">
        <f>IFERROR(__xludf.DUMMYFUNCTION("""COMPUTED_VALUE"""),1176.0)</f>
        <v>1176</v>
      </c>
      <c r="E1619" s="6">
        <f>IFERROR(__xludf.DUMMYFUNCTION("GOOGLEFINANCE(""Currency:BRLMXN"")*D1619"),3994.872)</f>
        <v>3994.872</v>
      </c>
      <c r="F1619" s="6">
        <f>IFERROR(__xludf.DUMMYFUNCTION("GOOGLEFINANCE(""Currency:BRLPEN"")*D1619"),770.9856)</f>
        <v>770.9856</v>
      </c>
      <c r="G1619" s="2" t="str">
        <f t="array" ref="G1619">_xlfn.XLOOKUP(B1619,Vendedores!$A$2:$A$41,Vendedores!$B$2:$B$41,"No hay datos")</f>
        <v>No hay datos</v>
      </c>
      <c r="H1619" s="2" t="str">
        <f t="array" ref="H1619">_xlfn.XLOOKUP(B1619,Vendedores!$A$2:$A$41,Vendedores!$C$2:$C$41,"No hay datos")</f>
        <v>No hay datos</v>
      </c>
      <c r="I1619" s="2" t="str">
        <f t="array" ref="I1619">_xlfn.XLOOKUP(B1619,Vendedores!$A$2:$A$41,Vendedores!$D$2:$D$41,"No hay datos")</f>
        <v>No hay datos</v>
      </c>
      <c r="J1619" s="2" t="str">
        <f t="array" ref="J1619">_xlfn.XLOOKUP(A1619,Productos!$A$2:$A$61,Productos!$B$2:$F$61)</f>
        <v>#N/A</v>
      </c>
    </row>
    <row r="1620">
      <c r="A1620" s="2" t="str">
        <f>IFERROR(__xludf.DUMMYFUNCTION("""COMPUTED_VALUE"""),"PR027")</f>
        <v>PR027</v>
      </c>
      <c r="B1620" s="2" t="str">
        <f>IFERROR(__xludf.DUMMYFUNCTION("""COMPUTED_VALUE"""),"VD022")</f>
        <v>VD022</v>
      </c>
      <c r="C1620" s="2">
        <f>IFERROR(__xludf.DUMMYFUNCTION("""COMPUTED_VALUE"""),6.0)</f>
        <v>6</v>
      </c>
      <c r="D1620" s="6">
        <f>IFERROR(__xludf.DUMMYFUNCTION("""COMPUTED_VALUE"""),763.2)</f>
        <v>763.2</v>
      </c>
      <c r="E1620" s="6">
        <f>IFERROR(__xludf.DUMMYFUNCTION("GOOGLEFINANCE(""Currency:BRLMXN"")*D1620"),2592.5904)</f>
        <v>2592.5904</v>
      </c>
      <c r="F1620" s="6">
        <f>IFERROR(__xludf.DUMMYFUNCTION("GOOGLEFINANCE(""Currency:BRLPEN"")*D1620"),500.35392)</f>
        <v>500.35392</v>
      </c>
      <c r="G1620" s="2" t="str">
        <f t="array" ref="G1620">_xlfn.XLOOKUP(B1620,Vendedores!$A$2:$A$41,Vendedores!$B$2:$B$41,"No hay datos")</f>
        <v>No hay datos</v>
      </c>
      <c r="H1620" s="2" t="str">
        <f t="array" ref="H1620">_xlfn.XLOOKUP(B1620,Vendedores!$A$2:$A$41,Vendedores!$C$2:$C$41,"No hay datos")</f>
        <v>No hay datos</v>
      </c>
      <c r="I1620" s="2" t="str">
        <f t="array" ref="I1620">_xlfn.XLOOKUP(B1620,Vendedores!$A$2:$A$41,Vendedores!$D$2:$D$41,"No hay datos")</f>
        <v>No hay datos</v>
      </c>
      <c r="J1620" s="2" t="str">
        <f t="array" ref="J1620">_xlfn.XLOOKUP(A1620,Productos!$A$2:$A$61,Productos!$B$2:$F$61)</f>
        <v>#N/A</v>
      </c>
    </row>
    <row r="1621">
      <c r="A1621" s="2" t="str">
        <f>IFERROR(__xludf.DUMMYFUNCTION("""COMPUTED_VALUE"""),"PR006")</f>
        <v>PR006</v>
      </c>
      <c r="B1621" s="2" t="str">
        <f>IFERROR(__xludf.DUMMYFUNCTION("""COMPUTED_VALUE"""),"VD020")</f>
        <v>VD020</v>
      </c>
      <c r="C1621" s="2">
        <f>IFERROR(__xludf.DUMMYFUNCTION("""COMPUTED_VALUE"""),7.0)</f>
        <v>7</v>
      </c>
      <c r="D1621" s="6">
        <f>IFERROR(__xludf.DUMMYFUNCTION("""COMPUTED_VALUE"""),279.3)</f>
        <v>279.3</v>
      </c>
      <c r="E1621" s="6">
        <f>IFERROR(__xludf.DUMMYFUNCTION("GOOGLEFINANCE(""Currency:BRLMXN"")*D1621"),948.7821)</f>
        <v>948.7821</v>
      </c>
      <c r="F1621" s="6">
        <f>IFERROR(__xludf.DUMMYFUNCTION("GOOGLEFINANCE(""Currency:BRLPEN"")*D1621"),183.10908)</f>
        <v>183.10908</v>
      </c>
      <c r="G1621" s="2" t="str">
        <f t="array" ref="G1621">_xlfn.XLOOKUP(B1621,Vendedores!$A$2:$A$41,Vendedores!$B$2:$B$41,"No hay datos")</f>
        <v>No hay datos</v>
      </c>
      <c r="H1621" s="2" t="str">
        <f t="array" ref="H1621">_xlfn.XLOOKUP(B1621,Vendedores!$A$2:$A$41,Vendedores!$C$2:$C$41,"No hay datos")</f>
        <v>No hay datos</v>
      </c>
      <c r="I1621" s="2" t="str">
        <f t="array" ref="I1621">_xlfn.XLOOKUP(B1621,Vendedores!$A$2:$A$41,Vendedores!$D$2:$D$41,"No hay datos")</f>
        <v>No hay datos</v>
      </c>
      <c r="J1621" s="2" t="str">
        <f t="array" ref="J1621">_xlfn.XLOOKUP(A1621,Productos!$A$2:$A$61,Productos!$B$2:$F$61)</f>
        <v>#N/A</v>
      </c>
    </row>
    <row r="1622">
      <c r="A1622" s="2" t="str">
        <f>IFERROR(__xludf.DUMMYFUNCTION("""COMPUTED_VALUE"""),"PR005")</f>
        <v>PR005</v>
      </c>
      <c r="B1622" s="2" t="str">
        <f>IFERROR(__xludf.DUMMYFUNCTION("""COMPUTED_VALUE"""),"VD018")</f>
        <v>VD018</v>
      </c>
      <c r="C1622" s="2">
        <f>IFERROR(__xludf.DUMMYFUNCTION("""COMPUTED_VALUE"""),18.0)</f>
        <v>18</v>
      </c>
      <c r="D1622" s="6">
        <f>IFERROR(__xludf.DUMMYFUNCTION("""COMPUTED_VALUE"""),4958.89)</f>
        <v>4958.89</v>
      </c>
      <c r="E1622" s="6">
        <f>IFERROR(__xludf.DUMMYFUNCTION("GOOGLEFINANCE(""Currency:BRLMXN"")*D1622"),16845.34933)</f>
        <v>16845.34933</v>
      </c>
      <c r="F1622" s="6">
        <f>IFERROR(__xludf.DUMMYFUNCTION("GOOGLEFINANCE(""Currency:BRLPEN"")*D1622"),3251.048284)</f>
        <v>3251.048284</v>
      </c>
      <c r="G1622" s="2" t="str">
        <f t="array" ref="G1622">_xlfn.XLOOKUP(B1622,Vendedores!$A$2:$A$41,Vendedores!$B$2:$B$41,"No hay datos")</f>
        <v>No hay datos</v>
      </c>
      <c r="H1622" s="2" t="str">
        <f t="array" ref="H1622">_xlfn.XLOOKUP(B1622,Vendedores!$A$2:$A$41,Vendedores!$C$2:$C$41,"No hay datos")</f>
        <v>No hay datos</v>
      </c>
      <c r="I1622" s="2" t="str">
        <f t="array" ref="I1622">_xlfn.XLOOKUP(B1622,Vendedores!$A$2:$A$41,Vendedores!$D$2:$D$41,"No hay datos")</f>
        <v>No hay datos</v>
      </c>
      <c r="J1622" s="2" t="str">
        <f t="array" ref="J1622">_xlfn.XLOOKUP(A1622,Productos!$A$2:$A$61,Productos!$B$2:$F$61)</f>
        <v>#N/A</v>
      </c>
    </row>
    <row r="1623">
      <c r="A1623" s="2" t="str">
        <f>IFERROR(__xludf.DUMMYFUNCTION("""COMPUTED_VALUE"""),"PR046")</f>
        <v>PR046</v>
      </c>
      <c r="B1623" s="2" t="str">
        <f>IFERROR(__xludf.DUMMYFUNCTION("""COMPUTED_VALUE"""),"VD034")</f>
        <v>VD034</v>
      </c>
      <c r="C1623" s="2">
        <f>IFERROR(__xludf.DUMMYFUNCTION("""COMPUTED_VALUE"""),20.0)</f>
        <v>20</v>
      </c>
      <c r="D1623" s="6">
        <f>IFERROR(__xludf.DUMMYFUNCTION("""COMPUTED_VALUE"""),6261.84)</f>
        <v>6261.84</v>
      </c>
      <c r="E1623" s="6">
        <f>IFERROR(__xludf.DUMMYFUNCTION("GOOGLEFINANCE(""Currency:BRLMXN"")*D1623"),21271.47048)</f>
        <v>21271.47048</v>
      </c>
      <c r="F1623" s="6">
        <f>IFERROR(__xludf.DUMMYFUNCTION("GOOGLEFINANCE(""Currency:BRLPEN"")*D1623"),4105.262304)</f>
        <v>4105.262304</v>
      </c>
      <c r="G1623" s="2" t="str">
        <f t="array" ref="G1623">_xlfn.XLOOKUP(B1623,Vendedores!$A$2:$A$41,Vendedores!$B$2:$B$41,"No hay datos")</f>
        <v>No hay datos</v>
      </c>
      <c r="H1623" s="2" t="str">
        <f t="array" ref="H1623">_xlfn.XLOOKUP(B1623,Vendedores!$A$2:$A$41,Vendedores!$C$2:$C$41,"No hay datos")</f>
        <v>No hay datos</v>
      </c>
      <c r="I1623" s="2" t="str">
        <f t="array" ref="I1623">_xlfn.XLOOKUP(B1623,Vendedores!$A$2:$A$41,Vendedores!$D$2:$D$41,"No hay datos")</f>
        <v>No hay datos</v>
      </c>
      <c r="J1623" s="2" t="str">
        <f t="array" ref="J1623">_xlfn.XLOOKUP(A1623,Productos!$A$2:$A$61,Productos!$B$2:$F$61)</f>
        <v>#N/A</v>
      </c>
    </row>
    <row r="1624">
      <c r="A1624" s="2" t="str">
        <f>IFERROR(__xludf.DUMMYFUNCTION("""COMPUTED_VALUE"""),"PR001")</f>
        <v>PR001</v>
      </c>
      <c r="B1624" s="2" t="str">
        <f>IFERROR(__xludf.DUMMYFUNCTION("""COMPUTED_VALUE"""),"VD041")</f>
        <v>VD041</v>
      </c>
      <c r="C1624" s="2">
        <f>IFERROR(__xludf.DUMMYFUNCTION("""COMPUTED_VALUE"""),10.0)</f>
        <v>10</v>
      </c>
      <c r="D1624" s="6">
        <f>IFERROR(__xludf.DUMMYFUNCTION("""COMPUTED_VALUE"""),705.13)</f>
        <v>705.13</v>
      </c>
      <c r="E1624" s="6">
        <f>IFERROR(__xludf.DUMMYFUNCTION("GOOGLEFINANCE(""Currency:BRLMXN"")*D1624"),2395.3266099999996)</f>
        <v>2395.32661</v>
      </c>
      <c r="F1624" s="6">
        <f>IFERROR(__xludf.DUMMYFUNCTION("GOOGLEFINANCE(""Currency:BRLPEN"")*D1624"),462.28322799999995)</f>
        <v>462.283228</v>
      </c>
      <c r="G1624" s="2" t="str">
        <f t="array" ref="G1624">_xlfn.XLOOKUP(B1624,Vendedores!$A$2:$A$41,Vendedores!$B$2:$B$41,"No hay datos")</f>
        <v>No hay datos</v>
      </c>
      <c r="H1624" s="2" t="str">
        <f t="array" ref="H1624">_xlfn.XLOOKUP(B1624,Vendedores!$A$2:$A$41,Vendedores!$C$2:$C$41,"No hay datos")</f>
        <v>No hay datos</v>
      </c>
      <c r="I1624" s="2" t="str">
        <f t="array" ref="I1624">_xlfn.XLOOKUP(B1624,Vendedores!$A$2:$A$41,Vendedores!$D$2:$D$41,"No hay datos")</f>
        <v>No hay datos</v>
      </c>
      <c r="J1624" s="2" t="str">
        <f t="array" ref="J1624">_xlfn.XLOOKUP(A1624,Productos!$A$2:$A$61,Productos!$B$2:$F$61)</f>
        <v>#N/A</v>
      </c>
    </row>
    <row r="1625">
      <c r="A1625" s="2" t="str">
        <f>IFERROR(__xludf.DUMMYFUNCTION("""COMPUTED_VALUE"""),"PR037")</f>
        <v>PR037</v>
      </c>
      <c r="B1625" s="2" t="str">
        <f>IFERROR(__xludf.DUMMYFUNCTION("""COMPUTED_VALUE"""),"VD028")</f>
        <v>VD028</v>
      </c>
      <c r="C1625" s="2">
        <f>IFERROR(__xludf.DUMMYFUNCTION("""COMPUTED_VALUE"""),12.0)</f>
        <v>12</v>
      </c>
      <c r="D1625" s="6">
        <f>IFERROR(__xludf.DUMMYFUNCTION("""COMPUTED_VALUE"""),1680.0)</f>
        <v>1680</v>
      </c>
      <c r="E1625" s="6">
        <f>IFERROR(__xludf.DUMMYFUNCTION("GOOGLEFINANCE(""Currency:BRLMXN"")*D1625"),5706.96)</f>
        <v>5706.96</v>
      </c>
      <c r="F1625" s="6">
        <f>IFERROR(__xludf.DUMMYFUNCTION("GOOGLEFINANCE(""Currency:BRLPEN"")*D1625"),1101.408)</f>
        <v>1101.408</v>
      </c>
      <c r="G1625" s="2" t="str">
        <f t="array" ref="G1625">_xlfn.XLOOKUP(B1625,Vendedores!$A$2:$A$41,Vendedores!$B$2:$B$41,"No hay datos")</f>
        <v>No hay datos</v>
      </c>
      <c r="H1625" s="2" t="str">
        <f t="array" ref="H1625">_xlfn.XLOOKUP(B1625,Vendedores!$A$2:$A$41,Vendedores!$C$2:$C$41,"No hay datos")</f>
        <v>No hay datos</v>
      </c>
      <c r="I1625" s="2" t="str">
        <f t="array" ref="I1625">_xlfn.XLOOKUP(B1625,Vendedores!$A$2:$A$41,Vendedores!$D$2:$D$41,"No hay datos")</f>
        <v>No hay datos</v>
      </c>
      <c r="J1625" s="2" t="str">
        <f t="array" ref="J1625">_xlfn.XLOOKUP(A1625,Productos!$A$2:$A$61,Productos!$B$2:$F$61)</f>
        <v>#N/A</v>
      </c>
    </row>
    <row r="1626">
      <c r="A1626" s="2" t="str">
        <f>IFERROR(__xludf.DUMMYFUNCTION("""COMPUTED_VALUE"""),"PR036")</f>
        <v>PR036</v>
      </c>
      <c r="B1626" s="2" t="str">
        <f>IFERROR(__xludf.DUMMYFUNCTION("""COMPUTED_VALUE"""),"VD038")</f>
        <v>VD038</v>
      </c>
      <c r="C1626" s="2">
        <f>IFERROR(__xludf.DUMMYFUNCTION("""COMPUTED_VALUE"""),4.0)</f>
        <v>4</v>
      </c>
      <c r="D1626" s="6">
        <f>IFERROR(__xludf.DUMMYFUNCTION("""COMPUTED_VALUE"""),388.96)</f>
        <v>388.96</v>
      </c>
      <c r="E1626" s="6">
        <f>IFERROR(__xludf.DUMMYFUNCTION("GOOGLEFINANCE(""Currency:BRLMXN"")*D1626"),1321.29712)</f>
        <v>1321.29712</v>
      </c>
      <c r="F1626" s="6">
        <f>IFERROR(__xludf.DUMMYFUNCTION("GOOGLEFINANCE(""Currency:BRLPEN"")*D1626"),255.00217599999996)</f>
        <v>255.002176</v>
      </c>
      <c r="G1626" s="2" t="str">
        <f t="array" ref="G1626">_xlfn.XLOOKUP(B1626,Vendedores!$A$2:$A$41,Vendedores!$B$2:$B$41,"No hay datos")</f>
        <v>No hay datos</v>
      </c>
      <c r="H1626" s="2" t="str">
        <f t="array" ref="H1626">_xlfn.XLOOKUP(B1626,Vendedores!$A$2:$A$41,Vendedores!$C$2:$C$41,"No hay datos")</f>
        <v>No hay datos</v>
      </c>
      <c r="I1626" s="2" t="str">
        <f t="array" ref="I1626">_xlfn.XLOOKUP(B1626,Vendedores!$A$2:$A$41,Vendedores!$D$2:$D$41,"No hay datos")</f>
        <v>No hay datos</v>
      </c>
      <c r="J1626" s="2" t="str">
        <f t="array" ref="J1626">_xlfn.XLOOKUP(A1626,Productos!$A$2:$A$61,Productos!$B$2:$F$61)</f>
        <v>#N/A</v>
      </c>
    </row>
    <row r="1627">
      <c r="A1627" s="2" t="str">
        <f>IFERROR(__xludf.DUMMYFUNCTION("""COMPUTED_VALUE"""),"PR035")</f>
        <v>PR035</v>
      </c>
      <c r="B1627" s="2" t="str">
        <f>IFERROR(__xludf.DUMMYFUNCTION("""COMPUTED_VALUE"""),"VD018")</f>
        <v>VD018</v>
      </c>
      <c r="C1627" s="2">
        <f>IFERROR(__xludf.DUMMYFUNCTION("""COMPUTED_VALUE"""),6.0)</f>
        <v>6</v>
      </c>
      <c r="D1627" s="6">
        <f>IFERROR(__xludf.DUMMYFUNCTION("""COMPUTED_VALUE"""),548.4)</f>
        <v>548.4</v>
      </c>
      <c r="E1627" s="6">
        <f>IFERROR(__xludf.DUMMYFUNCTION("GOOGLEFINANCE(""Currency:BRLMXN"")*D1627"),1862.9147999999998)</f>
        <v>1862.9148</v>
      </c>
      <c r="F1627" s="6">
        <f>IFERROR(__xludf.DUMMYFUNCTION("GOOGLEFINANCE(""Currency:BRLPEN"")*D1627"),359.53103999999996)</f>
        <v>359.53104</v>
      </c>
      <c r="G1627" s="2" t="str">
        <f t="array" ref="G1627">_xlfn.XLOOKUP(B1627,Vendedores!$A$2:$A$41,Vendedores!$B$2:$B$41,"No hay datos")</f>
        <v>No hay datos</v>
      </c>
      <c r="H1627" s="2" t="str">
        <f t="array" ref="H1627">_xlfn.XLOOKUP(B1627,Vendedores!$A$2:$A$41,Vendedores!$C$2:$C$41,"No hay datos")</f>
        <v>No hay datos</v>
      </c>
      <c r="I1627" s="2" t="str">
        <f t="array" ref="I1627">_xlfn.XLOOKUP(B1627,Vendedores!$A$2:$A$41,Vendedores!$D$2:$D$41,"No hay datos")</f>
        <v>No hay datos</v>
      </c>
      <c r="J1627" s="2" t="str">
        <f t="array" ref="J1627">_xlfn.XLOOKUP(A1627,Productos!$A$2:$A$61,Productos!$B$2:$F$61)</f>
        <v>#N/A</v>
      </c>
    </row>
    <row r="1628">
      <c r="A1628" s="2" t="str">
        <f>IFERROR(__xludf.DUMMYFUNCTION("""COMPUTED_VALUE"""),"PR057")</f>
        <v>PR057</v>
      </c>
      <c r="B1628" s="2" t="str">
        <f>IFERROR(__xludf.DUMMYFUNCTION("""COMPUTED_VALUE"""),"VD014")</f>
        <v>VD014</v>
      </c>
      <c r="C1628" s="2">
        <f>IFERROR(__xludf.DUMMYFUNCTION("""COMPUTED_VALUE"""),3.0)</f>
        <v>3</v>
      </c>
      <c r="D1628" s="6">
        <f>IFERROR(__xludf.DUMMYFUNCTION("""COMPUTED_VALUE"""),285.88)</f>
        <v>285.88</v>
      </c>
      <c r="E1628" s="6">
        <f>IFERROR(__xludf.DUMMYFUNCTION("GOOGLEFINANCE(""Currency:BRLMXN"")*D1628"),971.1343599999999)</f>
        <v>971.13436</v>
      </c>
      <c r="F1628" s="6">
        <f>IFERROR(__xludf.DUMMYFUNCTION("GOOGLEFINANCE(""Currency:BRLPEN"")*D1628"),187.42292799999998)</f>
        <v>187.422928</v>
      </c>
      <c r="G1628" s="2" t="str">
        <f t="array" ref="G1628">_xlfn.XLOOKUP(B1628,Vendedores!$A$2:$A$41,Vendedores!$B$2:$B$41,"No hay datos")</f>
        <v>No hay datos</v>
      </c>
      <c r="H1628" s="2" t="str">
        <f t="array" ref="H1628">_xlfn.XLOOKUP(B1628,Vendedores!$A$2:$A$41,Vendedores!$C$2:$C$41,"No hay datos")</f>
        <v>No hay datos</v>
      </c>
      <c r="I1628" s="2" t="str">
        <f t="array" ref="I1628">_xlfn.XLOOKUP(B1628,Vendedores!$A$2:$A$41,Vendedores!$D$2:$D$41,"No hay datos")</f>
        <v>No hay datos</v>
      </c>
      <c r="J1628" s="2" t="str">
        <f t="array" ref="J1628">_xlfn.XLOOKUP(A1628,Productos!$A$2:$A$61,Productos!$B$2:$F$61)</f>
        <v>#N/A</v>
      </c>
    </row>
    <row r="1629">
      <c r="A1629" s="2" t="str">
        <f>IFERROR(__xludf.DUMMYFUNCTION("""COMPUTED_VALUE"""),"PR033")</f>
        <v>PR033</v>
      </c>
      <c r="B1629" s="2" t="str">
        <f>IFERROR(__xludf.DUMMYFUNCTION("""COMPUTED_VALUE"""),"VD043")</f>
        <v>VD043</v>
      </c>
      <c r="C1629" s="2">
        <f>IFERROR(__xludf.DUMMYFUNCTION("""COMPUTED_VALUE"""),20.0)</f>
        <v>20</v>
      </c>
      <c r="D1629" s="6">
        <f>IFERROR(__xludf.DUMMYFUNCTION("""COMPUTED_VALUE"""),5717.8)</f>
        <v>5717.8</v>
      </c>
      <c r="E1629" s="6">
        <f>IFERROR(__xludf.DUMMYFUNCTION("GOOGLEFINANCE(""Currency:BRLMXN"")*D1629"),19423.3666)</f>
        <v>19423.3666</v>
      </c>
      <c r="F1629" s="6">
        <f>IFERROR(__xludf.DUMMYFUNCTION("GOOGLEFINANCE(""Currency:BRLPEN"")*D1629"),3748.58968)</f>
        <v>3748.58968</v>
      </c>
      <c r="G1629" s="2" t="str">
        <f t="array" ref="G1629">_xlfn.XLOOKUP(B1629,Vendedores!$A$2:$A$41,Vendedores!$B$2:$B$41,"No hay datos")</f>
        <v>No hay datos</v>
      </c>
      <c r="H1629" s="2" t="str">
        <f t="array" ref="H1629">_xlfn.XLOOKUP(B1629,Vendedores!$A$2:$A$41,Vendedores!$C$2:$C$41,"No hay datos")</f>
        <v>No hay datos</v>
      </c>
      <c r="I1629" s="2" t="str">
        <f t="array" ref="I1629">_xlfn.XLOOKUP(B1629,Vendedores!$A$2:$A$41,Vendedores!$D$2:$D$41,"No hay datos")</f>
        <v>No hay datos</v>
      </c>
      <c r="J1629" s="2" t="str">
        <f t="array" ref="J1629">_xlfn.XLOOKUP(A1629,Productos!$A$2:$A$61,Productos!$B$2:$F$61)</f>
        <v>#N/A</v>
      </c>
    </row>
    <row r="1630">
      <c r="A1630" s="2" t="str">
        <f>IFERROR(__xludf.DUMMYFUNCTION("""COMPUTED_VALUE"""),"PR041")</f>
        <v>PR041</v>
      </c>
      <c r="B1630" s="2" t="str">
        <f>IFERROR(__xludf.DUMMYFUNCTION("""COMPUTED_VALUE"""),"VD022")</f>
        <v>VD022</v>
      </c>
      <c r="C1630" s="2">
        <f>IFERROR(__xludf.DUMMYFUNCTION("""COMPUTED_VALUE"""),6.0)</f>
        <v>6</v>
      </c>
      <c r="D1630" s="6">
        <f>IFERROR(__xludf.DUMMYFUNCTION("""COMPUTED_VALUE"""),345.87)</f>
        <v>345.87</v>
      </c>
      <c r="E1630" s="6">
        <f>IFERROR(__xludf.DUMMYFUNCTION("GOOGLEFINANCE(""Currency:BRLMXN"")*D1630"),1174.92039)</f>
        <v>1174.92039</v>
      </c>
      <c r="F1630" s="6">
        <f>IFERROR(__xludf.DUMMYFUNCTION("GOOGLEFINANCE(""Currency:BRLPEN"")*D1630"),226.75237199999998)</f>
        <v>226.752372</v>
      </c>
      <c r="G1630" s="2" t="str">
        <f t="array" ref="G1630">_xlfn.XLOOKUP(B1630,Vendedores!$A$2:$A$41,Vendedores!$B$2:$B$41,"No hay datos")</f>
        <v>No hay datos</v>
      </c>
      <c r="H1630" s="2" t="str">
        <f t="array" ref="H1630">_xlfn.XLOOKUP(B1630,Vendedores!$A$2:$A$41,Vendedores!$C$2:$C$41,"No hay datos")</f>
        <v>No hay datos</v>
      </c>
      <c r="I1630" s="2" t="str">
        <f t="array" ref="I1630">_xlfn.XLOOKUP(B1630,Vendedores!$A$2:$A$41,Vendedores!$D$2:$D$41,"No hay datos")</f>
        <v>No hay datos</v>
      </c>
      <c r="J1630" s="2" t="str">
        <f t="array" ref="J1630">_xlfn.XLOOKUP(A1630,Productos!$A$2:$A$61,Productos!$B$2:$F$61)</f>
        <v>#N/A</v>
      </c>
    </row>
    <row r="1631">
      <c r="A1631" s="2" t="str">
        <f>IFERROR(__xludf.DUMMYFUNCTION("""COMPUTED_VALUE"""),"PR010")</f>
        <v>PR010</v>
      </c>
      <c r="B1631" s="2" t="str">
        <f>IFERROR(__xludf.DUMMYFUNCTION("""COMPUTED_VALUE"""),"VD030")</f>
        <v>VD030</v>
      </c>
      <c r="C1631" s="2">
        <f>IFERROR(__xludf.DUMMYFUNCTION("""COMPUTED_VALUE"""),4.0)</f>
        <v>4</v>
      </c>
      <c r="D1631" s="6">
        <f>IFERROR(__xludf.DUMMYFUNCTION("""COMPUTED_VALUE"""),183.19)</f>
        <v>183.19</v>
      </c>
      <c r="E1631" s="6">
        <f>IFERROR(__xludf.DUMMYFUNCTION("GOOGLEFINANCE(""Currency:BRLMXN"")*D1631"),622.29643)</f>
        <v>622.29643</v>
      </c>
      <c r="F1631" s="6">
        <f>IFERROR(__xludf.DUMMYFUNCTION("GOOGLEFINANCE(""Currency:BRLPEN"")*D1631"),120.099364)</f>
        <v>120.099364</v>
      </c>
      <c r="G1631" s="2" t="str">
        <f t="array" ref="G1631">_xlfn.XLOOKUP(B1631,Vendedores!$A$2:$A$41,Vendedores!$B$2:$B$41,"No hay datos")</f>
        <v>No hay datos</v>
      </c>
      <c r="H1631" s="2" t="str">
        <f t="array" ref="H1631">_xlfn.XLOOKUP(B1631,Vendedores!$A$2:$A$41,Vendedores!$C$2:$C$41,"No hay datos")</f>
        <v>No hay datos</v>
      </c>
      <c r="I1631" s="2" t="str">
        <f t="array" ref="I1631">_xlfn.XLOOKUP(B1631,Vendedores!$A$2:$A$41,Vendedores!$D$2:$D$41,"No hay datos")</f>
        <v>No hay datos</v>
      </c>
      <c r="J1631" s="2" t="str">
        <f t="array" ref="J1631">_xlfn.XLOOKUP(A1631,Productos!$A$2:$A$61,Productos!$B$2:$F$61)</f>
        <v>#N/A</v>
      </c>
    </row>
    <row r="1632">
      <c r="A1632" s="2" t="str">
        <f>IFERROR(__xludf.DUMMYFUNCTION("""COMPUTED_VALUE"""),"PR026")</f>
        <v>PR026</v>
      </c>
      <c r="B1632" s="2" t="str">
        <f>IFERROR(__xludf.DUMMYFUNCTION("""COMPUTED_VALUE"""),"VD010")</f>
        <v>VD010</v>
      </c>
      <c r="C1632" s="2">
        <f>IFERROR(__xludf.DUMMYFUNCTION("""COMPUTED_VALUE"""),16.0)</f>
        <v>16</v>
      </c>
      <c r="D1632" s="6">
        <f>IFERROR(__xludf.DUMMYFUNCTION("""COMPUTED_VALUE"""),6102.26)</f>
        <v>6102.26</v>
      </c>
      <c r="E1632" s="6">
        <f>IFERROR(__xludf.DUMMYFUNCTION("GOOGLEFINANCE(""Currency:BRLMXN"")*D1632"),20729.37722)</f>
        <v>20729.37722</v>
      </c>
      <c r="F1632" s="6">
        <f>IFERROR(__xludf.DUMMYFUNCTION("GOOGLEFINANCE(""Currency:BRLPEN"")*D1632"),4000.641656)</f>
        <v>4000.641656</v>
      </c>
      <c r="G1632" s="2" t="str">
        <f t="array" ref="G1632">_xlfn.XLOOKUP(B1632,Vendedores!$A$2:$A$41,Vendedores!$B$2:$B$41,"No hay datos")</f>
        <v>No hay datos</v>
      </c>
      <c r="H1632" s="2" t="str">
        <f t="array" ref="H1632">_xlfn.XLOOKUP(B1632,Vendedores!$A$2:$A$41,Vendedores!$C$2:$C$41,"No hay datos")</f>
        <v>No hay datos</v>
      </c>
      <c r="I1632" s="2" t="str">
        <f t="array" ref="I1632">_xlfn.XLOOKUP(B1632,Vendedores!$A$2:$A$41,Vendedores!$D$2:$D$41,"No hay datos")</f>
        <v>No hay datos</v>
      </c>
      <c r="J1632" s="2" t="str">
        <f t="array" ref="J1632">_xlfn.XLOOKUP(A1632,Productos!$A$2:$A$61,Productos!$B$2:$F$61)</f>
        <v>#N/A</v>
      </c>
    </row>
    <row r="1633">
      <c r="A1633" s="2" t="str">
        <f>IFERROR(__xludf.DUMMYFUNCTION("""COMPUTED_VALUE"""),"PR052")</f>
        <v>PR052</v>
      </c>
      <c r="B1633" s="2" t="str">
        <f>IFERROR(__xludf.DUMMYFUNCTION("""COMPUTED_VALUE"""),"VD043")</f>
        <v>VD043</v>
      </c>
      <c r="C1633" s="2">
        <f>IFERROR(__xludf.DUMMYFUNCTION("""COMPUTED_VALUE"""),1.0)</f>
        <v>1</v>
      </c>
      <c r="D1633" s="6">
        <f>IFERROR(__xludf.DUMMYFUNCTION("""COMPUTED_VALUE"""),54.89)</f>
        <v>54.89</v>
      </c>
      <c r="E1633" s="6">
        <f>IFERROR(__xludf.DUMMYFUNCTION("GOOGLEFINANCE(""Currency:BRLMXN"")*D1633"),186.46133)</f>
        <v>186.46133</v>
      </c>
      <c r="F1633" s="6">
        <f>IFERROR(__xludf.DUMMYFUNCTION("GOOGLEFINANCE(""Currency:BRLPEN"")*D1633"),35.985884)</f>
        <v>35.985884</v>
      </c>
      <c r="G1633" s="2" t="str">
        <f t="array" ref="G1633">_xlfn.XLOOKUP(B1633,Vendedores!$A$2:$A$41,Vendedores!$B$2:$B$41,"No hay datos")</f>
        <v>No hay datos</v>
      </c>
      <c r="H1633" s="2" t="str">
        <f t="array" ref="H1633">_xlfn.XLOOKUP(B1633,Vendedores!$A$2:$A$41,Vendedores!$C$2:$C$41,"No hay datos")</f>
        <v>No hay datos</v>
      </c>
      <c r="I1633" s="2" t="str">
        <f t="array" ref="I1633">_xlfn.XLOOKUP(B1633,Vendedores!$A$2:$A$41,Vendedores!$D$2:$D$41,"No hay datos")</f>
        <v>No hay datos</v>
      </c>
      <c r="J1633" s="2" t="str">
        <f t="array" ref="J1633">_xlfn.XLOOKUP(A1633,Productos!$A$2:$A$61,Productos!$B$2:$F$61)</f>
        <v>#N/A</v>
      </c>
    </row>
    <row r="1634">
      <c r="A1634" s="2" t="str">
        <f>IFERROR(__xludf.DUMMYFUNCTION("""COMPUTED_VALUE"""),"PR015")</f>
        <v>PR015</v>
      </c>
      <c r="B1634" s="2" t="str">
        <f>IFERROR(__xludf.DUMMYFUNCTION("""COMPUTED_VALUE"""),"VD041")</f>
        <v>VD041</v>
      </c>
      <c r="C1634" s="2">
        <f>IFERROR(__xludf.DUMMYFUNCTION("""COMPUTED_VALUE"""),4.0)</f>
        <v>4</v>
      </c>
      <c r="D1634" s="6">
        <f>IFERROR(__xludf.DUMMYFUNCTION("""COMPUTED_VALUE"""),187.0)</f>
        <v>187</v>
      </c>
      <c r="E1634" s="6">
        <f>IFERROR(__xludf.DUMMYFUNCTION("GOOGLEFINANCE(""Currency:BRLMXN"")*D1634"),635.2389999999999)</f>
        <v>635.239</v>
      </c>
      <c r="F1634" s="6">
        <f>IFERROR(__xludf.DUMMYFUNCTION("GOOGLEFINANCE(""Currency:BRLPEN"")*D1634"),122.59719999999999)</f>
        <v>122.5972</v>
      </c>
      <c r="G1634" s="2" t="str">
        <f t="array" ref="G1634">_xlfn.XLOOKUP(B1634,Vendedores!$A$2:$A$41,Vendedores!$B$2:$B$41,"No hay datos")</f>
        <v>No hay datos</v>
      </c>
      <c r="H1634" s="2" t="str">
        <f t="array" ref="H1634">_xlfn.XLOOKUP(B1634,Vendedores!$A$2:$A$41,Vendedores!$C$2:$C$41,"No hay datos")</f>
        <v>No hay datos</v>
      </c>
      <c r="I1634" s="2" t="str">
        <f t="array" ref="I1634">_xlfn.XLOOKUP(B1634,Vendedores!$A$2:$A$41,Vendedores!$D$2:$D$41,"No hay datos")</f>
        <v>No hay datos</v>
      </c>
      <c r="J1634" s="2" t="str">
        <f t="array" ref="J1634">_xlfn.XLOOKUP(A1634,Productos!$A$2:$A$61,Productos!$B$2:$F$61)</f>
        <v>#N/A</v>
      </c>
    </row>
    <row r="1635">
      <c r="A1635" s="2" t="str">
        <f>IFERROR(__xludf.DUMMYFUNCTION("""COMPUTED_VALUE"""),"PR034")</f>
        <v>PR034</v>
      </c>
      <c r="B1635" s="2" t="str">
        <f>IFERROR(__xludf.DUMMYFUNCTION("""COMPUTED_VALUE"""),"VD020")</f>
        <v>VD020</v>
      </c>
      <c r="C1635" s="2">
        <f>IFERROR(__xludf.DUMMYFUNCTION("""COMPUTED_VALUE"""),3.0)</f>
        <v>3</v>
      </c>
      <c r="D1635" s="6">
        <f>IFERROR(__xludf.DUMMYFUNCTION("""COMPUTED_VALUE"""),272.4)</f>
        <v>272.4</v>
      </c>
      <c r="E1635" s="6">
        <f>IFERROR(__xludf.DUMMYFUNCTION("GOOGLEFINANCE(""Currency:BRLMXN"")*D1635"),925.3427999999999)</f>
        <v>925.3428</v>
      </c>
      <c r="F1635" s="6">
        <f>IFERROR(__xludf.DUMMYFUNCTION("GOOGLEFINANCE(""Currency:BRLPEN"")*D1635"),178.58543999999998)</f>
        <v>178.58544</v>
      </c>
      <c r="G1635" s="2" t="str">
        <f t="array" ref="G1635">_xlfn.XLOOKUP(B1635,Vendedores!$A$2:$A$41,Vendedores!$B$2:$B$41,"No hay datos")</f>
        <v>No hay datos</v>
      </c>
      <c r="H1635" s="2" t="str">
        <f t="array" ref="H1635">_xlfn.XLOOKUP(B1635,Vendedores!$A$2:$A$41,Vendedores!$C$2:$C$41,"No hay datos")</f>
        <v>No hay datos</v>
      </c>
      <c r="I1635" s="2" t="str">
        <f t="array" ref="I1635">_xlfn.XLOOKUP(B1635,Vendedores!$A$2:$A$41,Vendedores!$D$2:$D$41,"No hay datos")</f>
        <v>No hay datos</v>
      </c>
      <c r="J1635" s="2" t="str">
        <f t="array" ref="J1635">_xlfn.XLOOKUP(A1635,Productos!$A$2:$A$61,Productos!$B$2:$F$61)</f>
        <v>#N/A</v>
      </c>
    </row>
    <row r="1636">
      <c r="A1636" s="2" t="str">
        <f>IFERROR(__xludf.DUMMYFUNCTION("""COMPUTED_VALUE"""),"PR013")</f>
        <v>PR013</v>
      </c>
      <c r="B1636" s="2" t="str">
        <f>IFERROR(__xludf.DUMMYFUNCTION("""COMPUTED_VALUE"""),"VD044")</f>
        <v>VD044</v>
      </c>
      <c r="C1636" s="2">
        <f>IFERROR(__xludf.DUMMYFUNCTION("""COMPUTED_VALUE"""),2.0)</f>
        <v>2</v>
      </c>
      <c r="D1636" s="6">
        <f>IFERROR(__xludf.DUMMYFUNCTION("""COMPUTED_VALUE"""),84.59)</f>
        <v>84.59</v>
      </c>
      <c r="E1636" s="6">
        <f>IFERROR(__xludf.DUMMYFUNCTION("GOOGLEFINANCE(""Currency:BRLMXN"")*D1636"),287.35223)</f>
        <v>287.35223</v>
      </c>
      <c r="F1636" s="6">
        <f>IFERROR(__xludf.DUMMYFUNCTION("GOOGLEFINANCE(""Currency:BRLPEN"")*D1636"),55.457204)</f>
        <v>55.457204</v>
      </c>
      <c r="G1636" s="2" t="str">
        <f t="array" ref="G1636">_xlfn.XLOOKUP(B1636,Vendedores!$A$2:$A$41,Vendedores!$B$2:$B$41,"No hay datos")</f>
        <v>No hay datos</v>
      </c>
      <c r="H1636" s="2" t="str">
        <f t="array" ref="H1636">_xlfn.XLOOKUP(B1636,Vendedores!$A$2:$A$41,Vendedores!$C$2:$C$41,"No hay datos")</f>
        <v>No hay datos</v>
      </c>
      <c r="I1636" s="2" t="str">
        <f t="array" ref="I1636">_xlfn.XLOOKUP(B1636,Vendedores!$A$2:$A$41,Vendedores!$D$2:$D$41,"No hay datos")</f>
        <v>No hay datos</v>
      </c>
      <c r="J1636" s="2" t="str">
        <f t="array" ref="J1636">_xlfn.XLOOKUP(A1636,Productos!$A$2:$A$61,Productos!$B$2:$F$61)</f>
        <v>#N/A</v>
      </c>
    </row>
    <row r="1637">
      <c r="A1637" s="2" t="str">
        <f>IFERROR(__xludf.DUMMYFUNCTION("""COMPUTED_VALUE"""),"PR054")</f>
        <v>PR054</v>
      </c>
      <c r="B1637" s="2" t="str">
        <f>IFERROR(__xludf.DUMMYFUNCTION("""COMPUTED_VALUE"""),"VD031")</f>
        <v>VD031</v>
      </c>
      <c r="C1637" s="2">
        <f>IFERROR(__xludf.DUMMYFUNCTION("""COMPUTED_VALUE"""),6.0)</f>
        <v>6</v>
      </c>
      <c r="D1637" s="6">
        <f>IFERROR(__xludf.DUMMYFUNCTION("""COMPUTED_VALUE"""),305.39)</f>
        <v>305.39</v>
      </c>
      <c r="E1637" s="6">
        <f>IFERROR(__xludf.DUMMYFUNCTION("GOOGLEFINANCE(""Currency:BRLMXN"")*D1637"),1037.4098299999998)</f>
        <v>1037.40983</v>
      </c>
      <c r="F1637" s="6">
        <f>IFERROR(__xludf.DUMMYFUNCTION("GOOGLEFINANCE(""Currency:BRLPEN"")*D1637"),200.21368399999997)</f>
        <v>200.213684</v>
      </c>
      <c r="G1637" s="2" t="str">
        <f t="array" ref="G1637">_xlfn.XLOOKUP(B1637,Vendedores!$A$2:$A$41,Vendedores!$B$2:$B$41,"No hay datos")</f>
        <v>No hay datos</v>
      </c>
      <c r="H1637" s="2" t="str">
        <f t="array" ref="H1637">_xlfn.XLOOKUP(B1637,Vendedores!$A$2:$A$41,Vendedores!$C$2:$C$41,"No hay datos")</f>
        <v>No hay datos</v>
      </c>
      <c r="I1637" s="2" t="str">
        <f t="array" ref="I1637">_xlfn.XLOOKUP(B1637,Vendedores!$A$2:$A$41,Vendedores!$D$2:$D$41,"No hay datos")</f>
        <v>No hay datos</v>
      </c>
      <c r="J1637" s="2" t="str">
        <f t="array" ref="J1637">_xlfn.XLOOKUP(A1637,Productos!$A$2:$A$61,Productos!$B$2:$F$61)</f>
        <v>#N/A</v>
      </c>
    </row>
    <row r="1638">
      <c r="A1638" s="2" t="str">
        <f>IFERROR(__xludf.DUMMYFUNCTION("""COMPUTED_VALUE"""),"PR005")</f>
        <v>PR005</v>
      </c>
      <c r="B1638" s="2" t="str">
        <f>IFERROR(__xludf.DUMMYFUNCTION("""COMPUTED_VALUE"""),"VD039")</f>
        <v>VD039</v>
      </c>
      <c r="C1638" s="2">
        <f>IFERROR(__xludf.DUMMYFUNCTION("""COMPUTED_VALUE"""),10.0)</f>
        <v>10</v>
      </c>
      <c r="D1638" s="6">
        <f>IFERROR(__xludf.DUMMYFUNCTION("""COMPUTED_VALUE"""),2806.92)</f>
        <v>2806.92</v>
      </c>
      <c r="E1638" s="6">
        <f>IFERROR(__xludf.DUMMYFUNCTION("GOOGLEFINANCE(""Currency:BRLMXN"")*D1638"),9535.10724)</f>
        <v>9535.10724</v>
      </c>
      <c r="F1638" s="6">
        <f>IFERROR(__xludf.DUMMYFUNCTION("GOOGLEFINANCE(""Currency:BRLPEN"")*D1638"),1840.216752)</f>
        <v>1840.216752</v>
      </c>
      <c r="G1638" s="2" t="str">
        <f t="array" ref="G1638">_xlfn.XLOOKUP(B1638,Vendedores!$A$2:$A$41,Vendedores!$B$2:$B$41,"No hay datos")</f>
        <v>No hay datos</v>
      </c>
      <c r="H1638" s="2" t="str">
        <f t="array" ref="H1638">_xlfn.XLOOKUP(B1638,Vendedores!$A$2:$A$41,Vendedores!$C$2:$C$41,"No hay datos")</f>
        <v>No hay datos</v>
      </c>
      <c r="I1638" s="2" t="str">
        <f t="array" ref="I1638">_xlfn.XLOOKUP(B1638,Vendedores!$A$2:$A$41,Vendedores!$D$2:$D$41,"No hay datos")</f>
        <v>No hay datos</v>
      </c>
      <c r="J1638" s="2" t="str">
        <f t="array" ref="J1638">_xlfn.XLOOKUP(A1638,Productos!$A$2:$A$61,Productos!$B$2:$F$61)</f>
        <v>#N/A</v>
      </c>
    </row>
    <row r="1639">
      <c r="A1639" s="2" t="str">
        <f>IFERROR(__xludf.DUMMYFUNCTION("""COMPUTED_VALUE"""),"PR046")</f>
        <v>PR046</v>
      </c>
      <c r="B1639" s="2" t="str">
        <f>IFERROR(__xludf.DUMMYFUNCTION("""COMPUTED_VALUE"""),"VD027")</f>
        <v>VD027</v>
      </c>
      <c r="C1639" s="2">
        <f>IFERROR(__xludf.DUMMYFUNCTION("""COMPUTED_VALUE"""),14.0)</f>
        <v>14</v>
      </c>
      <c r="D1639" s="6">
        <f>IFERROR(__xludf.DUMMYFUNCTION("""COMPUTED_VALUE"""),4383.29)</f>
        <v>4383.29</v>
      </c>
      <c r="E1639" s="6">
        <f>IFERROR(__xludf.DUMMYFUNCTION("GOOGLEFINANCE(""Currency:BRLMXN"")*D1639"),14890.036129999999)</f>
        <v>14890.03613</v>
      </c>
      <c r="F1639" s="6">
        <f>IFERROR(__xludf.DUMMYFUNCTION("GOOGLEFINANCE(""Currency:BRLPEN"")*D1639"),2873.6849239999997)</f>
        <v>2873.684924</v>
      </c>
      <c r="G1639" s="2" t="str">
        <f t="array" ref="G1639">_xlfn.XLOOKUP(B1639,Vendedores!$A$2:$A$41,Vendedores!$B$2:$B$41,"No hay datos")</f>
        <v>No hay datos</v>
      </c>
      <c r="H1639" s="2" t="str">
        <f t="array" ref="H1639">_xlfn.XLOOKUP(B1639,Vendedores!$A$2:$A$41,Vendedores!$C$2:$C$41,"No hay datos")</f>
        <v>No hay datos</v>
      </c>
      <c r="I1639" s="2" t="str">
        <f t="array" ref="I1639">_xlfn.XLOOKUP(B1639,Vendedores!$A$2:$A$41,Vendedores!$D$2:$D$41,"No hay datos")</f>
        <v>No hay datos</v>
      </c>
      <c r="J1639" s="2" t="str">
        <f t="array" ref="J1639">_xlfn.XLOOKUP(A1639,Productos!$A$2:$A$61,Productos!$B$2:$F$61)</f>
        <v>#N/A</v>
      </c>
    </row>
    <row r="1640">
      <c r="A1640" s="2" t="str">
        <f>IFERROR(__xludf.DUMMYFUNCTION("""COMPUTED_VALUE"""),"PR019")</f>
        <v>PR019</v>
      </c>
      <c r="B1640" s="2" t="str">
        <f>IFERROR(__xludf.DUMMYFUNCTION("""COMPUTED_VALUE"""),"VD015")</f>
        <v>VD015</v>
      </c>
      <c r="C1640" s="2">
        <f>IFERROR(__xludf.DUMMYFUNCTION("""COMPUTED_VALUE"""),9.0)</f>
        <v>9</v>
      </c>
      <c r="D1640" s="6">
        <f>IFERROR(__xludf.DUMMYFUNCTION("""COMPUTED_VALUE"""),485.03)</f>
        <v>485.03</v>
      </c>
      <c r="E1640" s="6">
        <f>IFERROR(__xludf.DUMMYFUNCTION("GOOGLEFINANCE(""Currency:BRLMXN"")*D1640"),1647.6469099999997)</f>
        <v>1647.64691</v>
      </c>
      <c r="F1640" s="6">
        <f>IFERROR(__xludf.DUMMYFUNCTION("GOOGLEFINANCE(""Currency:BRLPEN"")*D1640"),317.985668)</f>
        <v>317.985668</v>
      </c>
      <c r="G1640" s="2" t="str">
        <f t="array" ref="G1640">_xlfn.XLOOKUP(B1640,Vendedores!$A$2:$A$41,Vendedores!$B$2:$B$41,"No hay datos")</f>
        <v>No hay datos</v>
      </c>
      <c r="H1640" s="2" t="str">
        <f t="array" ref="H1640">_xlfn.XLOOKUP(B1640,Vendedores!$A$2:$A$41,Vendedores!$C$2:$C$41,"No hay datos")</f>
        <v>No hay datos</v>
      </c>
      <c r="I1640" s="2" t="str">
        <f t="array" ref="I1640">_xlfn.XLOOKUP(B1640,Vendedores!$A$2:$A$41,Vendedores!$D$2:$D$41,"No hay datos")</f>
        <v>No hay datos</v>
      </c>
      <c r="J1640" s="2" t="str">
        <f t="array" ref="J1640">_xlfn.XLOOKUP(A1640,Productos!$A$2:$A$61,Productos!$B$2:$F$61)</f>
        <v>#N/A</v>
      </c>
    </row>
    <row r="1641">
      <c r="A1641" s="2" t="str">
        <f>IFERROR(__xludf.DUMMYFUNCTION("""COMPUTED_VALUE"""),"PR047")</f>
        <v>PR047</v>
      </c>
      <c r="B1641" s="2" t="str">
        <f>IFERROR(__xludf.DUMMYFUNCTION("""COMPUTED_VALUE"""),"VD026")</f>
        <v>VD026</v>
      </c>
      <c r="C1641" s="2">
        <f>IFERROR(__xludf.DUMMYFUNCTION("""COMPUTED_VALUE"""),2.0)</f>
        <v>2</v>
      </c>
      <c r="D1641" s="6">
        <f>IFERROR(__xludf.DUMMYFUNCTION("""COMPUTED_VALUE"""),608.79)</f>
        <v>608.79</v>
      </c>
      <c r="E1641" s="6">
        <f>IFERROR(__xludf.DUMMYFUNCTION("GOOGLEFINANCE(""Currency:BRLMXN"")*D1641"),2068.0596299999997)</f>
        <v>2068.05963</v>
      </c>
      <c r="F1641" s="6">
        <f>IFERROR(__xludf.DUMMYFUNCTION("GOOGLEFINANCE(""Currency:BRLPEN"")*D1641"),399.12272399999995)</f>
        <v>399.122724</v>
      </c>
      <c r="G1641" s="2" t="str">
        <f t="array" ref="G1641">_xlfn.XLOOKUP(B1641,Vendedores!$A$2:$A$41,Vendedores!$B$2:$B$41,"No hay datos")</f>
        <v>No hay datos</v>
      </c>
      <c r="H1641" s="2" t="str">
        <f t="array" ref="H1641">_xlfn.XLOOKUP(B1641,Vendedores!$A$2:$A$41,Vendedores!$C$2:$C$41,"No hay datos")</f>
        <v>No hay datos</v>
      </c>
      <c r="I1641" s="2" t="str">
        <f t="array" ref="I1641">_xlfn.XLOOKUP(B1641,Vendedores!$A$2:$A$41,Vendedores!$D$2:$D$41,"No hay datos")</f>
        <v>No hay datos</v>
      </c>
      <c r="J1641" s="2" t="str">
        <f t="array" ref="J1641">_xlfn.XLOOKUP(A1641,Productos!$A$2:$A$61,Productos!$B$2:$F$61)</f>
        <v>#N/A</v>
      </c>
    </row>
    <row r="1642">
      <c r="A1642" s="2" t="str">
        <f>IFERROR(__xludf.DUMMYFUNCTION("""COMPUTED_VALUE"""),"PR058")</f>
        <v>PR058</v>
      </c>
      <c r="B1642" s="2" t="str">
        <f>IFERROR(__xludf.DUMMYFUNCTION("""COMPUTED_VALUE"""),"VD037")</f>
        <v>VD037</v>
      </c>
      <c r="C1642" s="2">
        <f>IFERROR(__xludf.DUMMYFUNCTION("""COMPUTED_VALUE"""),16.0)</f>
        <v>16</v>
      </c>
      <c r="D1642" s="6">
        <f>IFERROR(__xludf.DUMMYFUNCTION("""COMPUTED_VALUE"""),3139.2)</f>
        <v>3139.2</v>
      </c>
      <c r="E1642" s="6">
        <f>IFERROR(__xludf.DUMMYFUNCTION("GOOGLEFINANCE(""Currency:BRLMXN"")*D1642"),10663.862399999998)</f>
        <v>10663.8624</v>
      </c>
      <c r="F1642" s="6">
        <f>IFERROR(__xludf.DUMMYFUNCTION("GOOGLEFINANCE(""Currency:BRLPEN"")*D1642"),2058.05952)</f>
        <v>2058.05952</v>
      </c>
      <c r="G1642" s="2" t="str">
        <f t="array" ref="G1642">_xlfn.XLOOKUP(B1642,Vendedores!$A$2:$A$41,Vendedores!$B$2:$B$41,"No hay datos")</f>
        <v>No hay datos</v>
      </c>
      <c r="H1642" s="2" t="str">
        <f t="array" ref="H1642">_xlfn.XLOOKUP(B1642,Vendedores!$A$2:$A$41,Vendedores!$C$2:$C$41,"No hay datos")</f>
        <v>No hay datos</v>
      </c>
      <c r="I1642" s="2" t="str">
        <f t="array" ref="I1642">_xlfn.XLOOKUP(B1642,Vendedores!$A$2:$A$41,Vendedores!$D$2:$D$41,"No hay datos")</f>
        <v>No hay datos</v>
      </c>
      <c r="J1642" s="2" t="str">
        <f t="array" ref="J1642">_xlfn.XLOOKUP(A1642,Productos!$A$2:$A$61,Productos!$B$2:$F$61)</f>
        <v>#N/A</v>
      </c>
    </row>
    <row r="1643">
      <c r="A1643" s="2" t="str">
        <f>IFERROR(__xludf.DUMMYFUNCTION("""COMPUTED_VALUE"""),"PR030")</f>
        <v>PR030</v>
      </c>
      <c r="B1643" s="2" t="str">
        <f>IFERROR(__xludf.DUMMYFUNCTION("""COMPUTED_VALUE"""),"VD035")</f>
        <v>VD035</v>
      </c>
      <c r="C1643" s="2">
        <f>IFERROR(__xludf.DUMMYFUNCTION("""COMPUTED_VALUE"""),8.0)</f>
        <v>8</v>
      </c>
      <c r="D1643" s="6">
        <f>IFERROR(__xludf.DUMMYFUNCTION("""COMPUTED_VALUE"""),2287.12)</f>
        <v>2287.12</v>
      </c>
      <c r="E1643" s="6">
        <f>IFERROR(__xludf.DUMMYFUNCTION("GOOGLEFINANCE(""Currency:BRLMXN"")*D1643"),7769.346639999999)</f>
        <v>7769.34664</v>
      </c>
      <c r="F1643" s="6">
        <f>IFERROR(__xludf.DUMMYFUNCTION("GOOGLEFINANCE(""Currency:BRLPEN"")*D1643"),1499.4358719999998)</f>
        <v>1499.435872</v>
      </c>
      <c r="G1643" s="2" t="str">
        <f t="array" ref="G1643">_xlfn.XLOOKUP(B1643,Vendedores!$A$2:$A$41,Vendedores!$B$2:$B$41,"No hay datos")</f>
        <v>No hay datos</v>
      </c>
      <c r="H1643" s="2" t="str">
        <f t="array" ref="H1643">_xlfn.XLOOKUP(B1643,Vendedores!$A$2:$A$41,Vendedores!$C$2:$C$41,"No hay datos")</f>
        <v>No hay datos</v>
      </c>
      <c r="I1643" s="2" t="str">
        <f t="array" ref="I1643">_xlfn.XLOOKUP(B1643,Vendedores!$A$2:$A$41,Vendedores!$D$2:$D$41,"No hay datos")</f>
        <v>No hay datos</v>
      </c>
      <c r="J1643" s="2" t="str">
        <f t="array" ref="J1643">_xlfn.XLOOKUP(A1643,Productos!$A$2:$A$61,Productos!$B$2:$F$61)</f>
        <v>#N/A</v>
      </c>
    </row>
    <row r="1644">
      <c r="A1644" s="2" t="str">
        <f>IFERROR(__xludf.DUMMYFUNCTION("""COMPUTED_VALUE"""),"PR031")</f>
        <v>PR031</v>
      </c>
      <c r="B1644" s="2" t="str">
        <f>IFERROR(__xludf.DUMMYFUNCTION("""COMPUTED_VALUE"""),"VD043")</f>
        <v>VD043</v>
      </c>
      <c r="C1644" s="2">
        <f>IFERROR(__xludf.DUMMYFUNCTION("""COMPUTED_VALUE"""),20.0)</f>
        <v>20</v>
      </c>
      <c r="D1644" s="6">
        <f>IFERROR(__xludf.DUMMYFUNCTION("""COMPUTED_VALUE"""),5047.0)</f>
        <v>5047</v>
      </c>
      <c r="E1644" s="6">
        <f>IFERROR(__xludf.DUMMYFUNCTION("GOOGLEFINANCE(""Currency:BRLMXN"")*D1644"),17144.659)</f>
        <v>17144.659</v>
      </c>
      <c r="F1644" s="6">
        <f>IFERROR(__xludf.DUMMYFUNCTION("GOOGLEFINANCE(""Currency:BRLPEN"")*D1644"),3308.8131999999996)</f>
        <v>3308.8132</v>
      </c>
      <c r="G1644" s="2" t="str">
        <f t="array" ref="G1644">_xlfn.XLOOKUP(B1644,Vendedores!$A$2:$A$41,Vendedores!$B$2:$B$41,"No hay datos")</f>
        <v>No hay datos</v>
      </c>
      <c r="H1644" s="2" t="str">
        <f t="array" ref="H1644">_xlfn.XLOOKUP(B1644,Vendedores!$A$2:$A$41,Vendedores!$C$2:$C$41,"No hay datos")</f>
        <v>No hay datos</v>
      </c>
      <c r="I1644" s="2" t="str">
        <f t="array" ref="I1644">_xlfn.XLOOKUP(B1644,Vendedores!$A$2:$A$41,Vendedores!$D$2:$D$41,"No hay datos")</f>
        <v>No hay datos</v>
      </c>
      <c r="J1644" s="2" t="str">
        <f t="array" ref="J1644">_xlfn.XLOOKUP(A1644,Productos!$A$2:$A$61,Productos!$B$2:$F$61)</f>
        <v>#N/A</v>
      </c>
    </row>
    <row r="1645">
      <c r="A1645" s="2" t="str">
        <f>IFERROR(__xludf.DUMMYFUNCTION("""COMPUTED_VALUE"""),"PR013")</f>
        <v>PR013</v>
      </c>
      <c r="B1645" s="2" t="str">
        <f>IFERROR(__xludf.DUMMYFUNCTION("""COMPUTED_VALUE"""),"VD034")</f>
        <v>VD034</v>
      </c>
      <c r="C1645" s="2">
        <f>IFERROR(__xludf.DUMMYFUNCTION("""COMPUTED_VALUE"""),4.0)</f>
        <v>4</v>
      </c>
      <c r="D1645" s="6">
        <f>IFERROR(__xludf.DUMMYFUNCTION("""COMPUTED_VALUE"""),167.58)</f>
        <v>167.58</v>
      </c>
      <c r="E1645" s="6">
        <f>IFERROR(__xludf.DUMMYFUNCTION("GOOGLEFINANCE(""Currency:BRLMXN"")*D1645"),569.26926)</f>
        <v>569.26926</v>
      </c>
      <c r="F1645" s="6">
        <f>IFERROR(__xludf.DUMMYFUNCTION("GOOGLEFINANCE(""Currency:BRLPEN"")*D1645"),109.865448)</f>
        <v>109.865448</v>
      </c>
      <c r="G1645" s="2" t="str">
        <f t="array" ref="G1645">_xlfn.XLOOKUP(B1645,Vendedores!$A$2:$A$41,Vendedores!$B$2:$B$41,"No hay datos")</f>
        <v>No hay datos</v>
      </c>
      <c r="H1645" s="2" t="str">
        <f t="array" ref="H1645">_xlfn.XLOOKUP(B1645,Vendedores!$A$2:$A$41,Vendedores!$C$2:$C$41,"No hay datos")</f>
        <v>No hay datos</v>
      </c>
      <c r="I1645" s="2" t="str">
        <f t="array" ref="I1645">_xlfn.XLOOKUP(B1645,Vendedores!$A$2:$A$41,Vendedores!$D$2:$D$41,"No hay datos")</f>
        <v>No hay datos</v>
      </c>
      <c r="J1645" s="2" t="str">
        <f t="array" ref="J1645">_xlfn.XLOOKUP(A1645,Productos!$A$2:$A$61,Productos!$B$2:$F$61)</f>
        <v>#N/A</v>
      </c>
    </row>
    <row r="1646">
      <c r="A1646" s="2" t="str">
        <f>IFERROR(__xludf.DUMMYFUNCTION("""COMPUTED_VALUE"""),"PR036")</f>
        <v>PR036</v>
      </c>
      <c r="B1646" s="2" t="str">
        <f>IFERROR(__xludf.DUMMYFUNCTION("""COMPUTED_VALUE"""),"VD039")</f>
        <v>VD039</v>
      </c>
      <c r="C1646" s="2">
        <f>IFERROR(__xludf.DUMMYFUNCTION("""COMPUTED_VALUE"""),7.0)</f>
        <v>7</v>
      </c>
      <c r="D1646" s="6">
        <f>IFERROR(__xludf.DUMMYFUNCTION("""COMPUTED_VALUE"""),706.86)</f>
        <v>706.86</v>
      </c>
      <c r="E1646" s="6">
        <f>IFERROR(__xludf.DUMMYFUNCTION("GOOGLEFINANCE(""Currency:BRLMXN"")*D1646"),2401.20342)</f>
        <v>2401.20342</v>
      </c>
      <c r="F1646" s="6">
        <f>IFERROR(__xludf.DUMMYFUNCTION("GOOGLEFINANCE(""Currency:BRLPEN"")*D1646"),463.417416)</f>
        <v>463.417416</v>
      </c>
      <c r="G1646" s="2" t="str">
        <f t="array" ref="G1646">_xlfn.XLOOKUP(B1646,Vendedores!$A$2:$A$41,Vendedores!$B$2:$B$41,"No hay datos")</f>
        <v>No hay datos</v>
      </c>
      <c r="H1646" s="2" t="str">
        <f t="array" ref="H1646">_xlfn.XLOOKUP(B1646,Vendedores!$A$2:$A$41,Vendedores!$C$2:$C$41,"No hay datos")</f>
        <v>No hay datos</v>
      </c>
      <c r="I1646" s="2" t="str">
        <f t="array" ref="I1646">_xlfn.XLOOKUP(B1646,Vendedores!$A$2:$A$41,Vendedores!$D$2:$D$41,"No hay datos")</f>
        <v>No hay datos</v>
      </c>
      <c r="J1646" s="2" t="str">
        <f t="array" ref="J1646">_xlfn.XLOOKUP(A1646,Productos!$A$2:$A$61,Productos!$B$2:$F$61)</f>
        <v>#N/A</v>
      </c>
    </row>
    <row r="1647">
      <c r="A1647" s="2" t="str">
        <f>IFERROR(__xludf.DUMMYFUNCTION("""COMPUTED_VALUE"""),"PR050")</f>
        <v>PR050</v>
      </c>
      <c r="B1647" s="2" t="str">
        <f>IFERROR(__xludf.DUMMYFUNCTION("""COMPUTED_VALUE"""),"VD025")</f>
        <v>VD025</v>
      </c>
      <c r="C1647" s="2">
        <f>IFERROR(__xludf.DUMMYFUNCTION("""COMPUTED_VALUE"""),9.0)</f>
        <v>9</v>
      </c>
      <c r="D1647" s="6">
        <f>IFERROR(__xludf.DUMMYFUNCTION("""COMPUTED_VALUE"""),304.98)</f>
        <v>304.98</v>
      </c>
      <c r="E1647" s="6">
        <f>IFERROR(__xludf.DUMMYFUNCTION("GOOGLEFINANCE(""Currency:BRLMXN"")*D1647"),1036.01706)</f>
        <v>1036.01706</v>
      </c>
      <c r="F1647" s="6">
        <f>IFERROR(__xludf.DUMMYFUNCTION("GOOGLEFINANCE(""Currency:BRLPEN"")*D1647"),199.944888)</f>
        <v>199.944888</v>
      </c>
      <c r="G1647" s="2" t="str">
        <f t="array" ref="G1647">_xlfn.XLOOKUP(B1647,Vendedores!$A$2:$A$41,Vendedores!$B$2:$B$41,"No hay datos")</f>
        <v>No hay datos</v>
      </c>
      <c r="H1647" s="2" t="str">
        <f t="array" ref="H1647">_xlfn.XLOOKUP(B1647,Vendedores!$A$2:$A$41,Vendedores!$C$2:$C$41,"No hay datos")</f>
        <v>No hay datos</v>
      </c>
      <c r="I1647" s="2" t="str">
        <f t="array" ref="I1647">_xlfn.XLOOKUP(B1647,Vendedores!$A$2:$A$41,Vendedores!$D$2:$D$41,"No hay datos")</f>
        <v>No hay datos</v>
      </c>
      <c r="J1647" s="2" t="str">
        <f t="array" ref="J1647">_xlfn.XLOOKUP(A1647,Productos!$A$2:$A$61,Productos!$B$2:$F$61)</f>
        <v>#N/A</v>
      </c>
    </row>
    <row r="1648">
      <c r="A1648" s="2" t="str">
        <f>IFERROR(__xludf.DUMMYFUNCTION("""COMPUTED_VALUE"""),"PR055")</f>
        <v>PR055</v>
      </c>
      <c r="B1648" s="2" t="str">
        <f>IFERROR(__xludf.DUMMYFUNCTION("""COMPUTED_VALUE"""),"VD040")</f>
        <v>VD040</v>
      </c>
      <c r="C1648" s="2">
        <f>IFERROR(__xludf.DUMMYFUNCTION("""COMPUTED_VALUE"""),20.0)</f>
        <v>20</v>
      </c>
      <c r="D1648" s="6">
        <f>IFERROR(__xludf.DUMMYFUNCTION("""COMPUTED_VALUE"""),1923.86)</f>
        <v>1923.86</v>
      </c>
      <c r="E1648" s="6">
        <f>IFERROR(__xludf.DUMMYFUNCTION("GOOGLEFINANCE(""Currency:BRLMXN"")*D1648"),6535.352419999999)</f>
        <v>6535.35242</v>
      </c>
      <c r="F1648" s="6">
        <f>IFERROR(__xludf.DUMMYFUNCTION("GOOGLEFINANCE(""Currency:BRLPEN"")*D1648"),1261.282616)</f>
        <v>1261.282616</v>
      </c>
      <c r="G1648" s="2" t="str">
        <f t="array" ref="G1648">_xlfn.XLOOKUP(B1648,Vendedores!$A$2:$A$41,Vendedores!$B$2:$B$41,"No hay datos")</f>
        <v>No hay datos</v>
      </c>
      <c r="H1648" s="2" t="str">
        <f t="array" ref="H1648">_xlfn.XLOOKUP(B1648,Vendedores!$A$2:$A$41,Vendedores!$C$2:$C$41,"No hay datos")</f>
        <v>No hay datos</v>
      </c>
      <c r="I1648" s="2" t="str">
        <f t="array" ref="I1648">_xlfn.XLOOKUP(B1648,Vendedores!$A$2:$A$41,Vendedores!$D$2:$D$41,"No hay datos")</f>
        <v>No hay datos</v>
      </c>
      <c r="J1648" s="2" t="str">
        <f t="array" ref="J1648">_xlfn.XLOOKUP(A1648,Productos!$A$2:$A$61,Productos!$B$2:$F$61)</f>
        <v>#N/A</v>
      </c>
    </row>
    <row r="1649">
      <c r="A1649" s="2" t="str">
        <f>IFERROR(__xludf.DUMMYFUNCTION("""COMPUTED_VALUE"""),"PR007")</f>
        <v>PR007</v>
      </c>
      <c r="B1649" s="2" t="str">
        <f>IFERROR(__xludf.DUMMYFUNCTION("""COMPUTED_VALUE"""),"VD012")</f>
        <v>VD012</v>
      </c>
      <c r="C1649" s="2">
        <f>IFERROR(__xludf.DUMMYFUNCTION("""COMPUTED_VALUE"""),16.0)</f>
        <v>16</v>
      </c>
      <c r="D1649" s="6">
        <f>IFERROR(__xludf.DUMMYFUNCTION("""COMPUTED_VALUE"""),1470.61)</f>
        <v>1470.61</v>
      </c>
      <c r="E1649" s="6">
        <f>IFERROR(__xludf.DUMMYFUNCTION("GOOGLEFINANCE(""Currency:BRLMXN"")*D1649"),4995.66217)</f>
        <v>4995.66217</v>
      </c>
      <c r="F1649" s="6">
        <f>IFERROR(__xludf.DUMMYFUNCTION("GOOGLEFINANCE(""Currency:BRLPEN"")*D1649"),964.1319159999999)</f>
        <v>964.131916</v>
      </c>
      <c r="G1649" s="2" t="str">
        <f t="array" ref="G1649">_xlfn.XLOOKUP(B1649,Vendedores!$A$2:$A$41,Vendedores!$B$2:$B$41,"No hay datos")</f>
        <v>No hay datos</v>
      </c>
      <c r="H1649" s="2" t="str">
        <f t="array" ref="H1649">_xlfn.XLOOKUP(B1649,Vendedores!$A$2:$A$41,Vendedores!$C$2:$C$41,"No hay datos")</f>
        <v>No hay datos</v>
      </c>
      <c r="I1649" s="2" t="str">
        <f t="array" ref="I1649">_xlfn.XLOOKUP(B1649,Vendedores!$A$2:$A$41,Vendedores!$D$2:$D$41,"No hay datos")</f>
        <v>No hay datos</v>
      </c>
      <c r="J1649" s="2" t="str">
        <f t="array" ref="J1649">_xlfn.XLOOKUP(A1649,Productos!$A$2:$A$61,Productos!$B$2:$F$61)</f>
        <v>#N/A</v>
      </c>
    </row>
    <row r="1650">
      <c r="A1650" s="2" t="str">
        <f>IFERROR(__xludf.DUMMYFUNCTION("""COMPUTED_VALUE"""),"PR002")</f>
        <v>PR002</v>
      </c>
      <c r="B1650" s="2" t="str">
        <f>IFERROR(__xludf.DUMMYFUNCTION("""COMPUTED_VALUE"""),"VD042")</f>
        <v>VD042</v>
      </c>
      <c r="C1650" s="2">
        <f>IFERROR(__xludf.DUMMYFUNCTION("""COMPUTED_VALUE"""),10.0)</f>
        <v>10</v>
      </c>
      <c r="D1650" s="6">
        <f>IFERROR(__xludf.DUMMYFUNCTION("""COMPUTED_VALUE"""),712.98)</f>
        <v>712.98</v>
      </c>
      <c r="E1650" s="6">
        <f>IFERROR(__xludf.DUMMYFUNCTION("GOOGLEFINANCE(""Currency:BRLMXN"")*D1650"),2421.99306)</f>
        <v>2421.99306</v>
      </c>
      <c r="F1650" s="6">
        <f>IFERROR(__xludf.DUMMYFUNCTION("GOOGLEFINANCE(""Currency:BRLPEN"")*D1650"),467.429688)</f>
        <v>467.429688</v>
      </c>
      <c r="G1650" s="2" t="str">
        <f t="array" ref="G1650">_xlfn.XLOOKUP(B1650,Vendedores!$A$2:$A$41,Vendedores!$B$2:$B$41,"No hay datos")</f>
        <v>No hay datos</v>
      </c>
      <c r="H1650" s="2" t="str">
        <f t="array" ref="H1650">_xlfn.XLOOKUP(B1650,Vendedores!$A$2:$A$41,Vendedores!$C$2:$C$41,"No hay datos")</f>
        <v>No hay datos</v>
      </c>
      <c r="I1650" s="2" t="str">
        <f t="array" ref="I1650">_xlfn.XLOOKUP(B1650,Vendedores!$A$2:$A$41,Vendedores!$D$2:$D$41,"No hay datos")</f>
        <v>No hay datos</v>
      </c>
      <c r="J1650" s="2" t="str">
        <f t="array" ref="J1650">_xlfn.XLOOKUP(A1650,Productos!$A$2:$A$61,Productos!$B$2:$F$61)</f>
        <v>#N/A</v>
      </c>
    </row>
    <row r="1651">
      <c r="A1651" s="2" t="str">
        <f>IFERROR(__xludf.DUMMYFUNCTION("""COMPUTED_VALUE"""),"PR030")</f>
        <v>PR030</v>
      </c>
      <c r="B1651" s="2" t="str">
        <f>IFERROR(__xludf.DUMMYFUNCTION("""COMPUTED_VALUE"""),"VD013")</f>
        <v>VD013</v>
      </c>
      <c r="C1651" s="2">
        <f>IFERROR(__xludf.DUMMYFUNCTION("""COMPUTED_VALUE"""),12.0)</f>
        <v>12</v>
      </c>
      <c r="D1651" s="6">
        <f>IFERROR(__xludf.DUMMYFUNCTION("""COMPUTED_VALUE"""),3118.8)</f>
        <v>3118.8</v>
      </c>
      <c r="E1651" s="6">
        <f>IFERROR(__xludf.DUMMYFUNCTION("GOOGLEFINANCE(""Currency:BRLMXN"")*D1651"),10594.5636)</f>
        <v>10594.5636</v>
      </c>
      <c r="F1651" s="6">
        <f>IFERROR(__xludf.DUMMYFUNCTION("GOOGLEFINANCE(""Currency:BRLPEN"")*D1651"),2044.68528)</f>
        <v>2044.68528</v>
      </c>
      <c r="G1651" s="2" t="str">
        <f t="array" ref="G1651">_xlfn.XLOOKUP(B1651,Vendedores!$A$2:$A$41,Vendedores!$B$2:$B$41,"No hay datos")</f>
        <v>No hay datos</v>
      </c>
      <c r="H1651" s="2" t="str">
        <f t="array" ref="H1651">_xlfn.XLOOKUP(B1651,Vendedores!$A$2:$A$41,Vendedores!$C$2:$C$41,"No hay datos")</f>
        <v>No hay datos</v>
      </c>
      <c r="I1651" s="2" t="str">
        <f t="array" ref="I1651">_xlfn.XLOOKUP(B1651,Vendedores!$A$2:$A$41,Vendedores!$D$2:$D$41,"No hay datos")</f>
        <v>No hay datos</v>
      </c>
      <c r="J1651" s="2" t="str">
        <f t="array" ref="J1651">_xlfn.XLOOKUP(A1651,Productos!$A$2:$A$61,Productos!$B$2:$F$61)</f>
        <v>#N/A</v>
      </c>
    </row>
    <row r="1652">
      <c r="A1652" s="2" t="str">
        <f>IFERROR(__xludf.DUMMYFUNCTION("""COMPUTED_VALUE"""),"PR060")</f>
        <v>PR060</v>
      </c>
      <c r="B1652" s="2" t="str">
        <f>IFERROR(__xludf.DUMMYFUNCTION("""COMPUTED_VALUE"""),"VD027")</f>
        <v>VD027</v>
      </c>
      <c r="C1652" s="2">
        <f>IFERROR(__xludf.DUMMYFUNCTION("""COMPUTED_VALUE"""),14.0)</f>
        <v>14</v>
      </c>
      <c r="D1652" s="6">
        <f>IFERROR(__xludf.DUMMYFUNCTION("""COMPUTED_VALUE"""),2520.0)</f>
        <v>2520</v>
      </c>
      <c r="E1652" s="6">
        <f>IFERROR(__xludf.DUMMYFUNCTION("GOOGLEFINANCE(""Currency:BRLMXN"")*D1652"),8560.439999999999)</f>
        <v>8560.44</v>
      </c>
      <c r="F1652" s="6">
        <f>IFERROR(__xludf.DUMMYFUNCTION("GOOGLEFINANCE(""Currency:BRLPEN"")*D1652"),1652.1119999999999)</f>
        <v>1652.112</v>
      </c>
      <c r="G1652" s="2" t="str">
        <f t="array" ref="G1652">_xlfn.XLOOKUP(B1652,Vendedores!$A$2:$A$41,Vendedores!$B$2:$B$41,"No hay datos")</f>
        <v>No hay datos</v>
      </c>
      <c r="H1652" s="2" t="str">
        <f t="array" ref="H1652">_xlfn.XLOOKUP(B1652,Vendedores!$A$2:$A$41,Vendedores!$C$2:$C$41,"No hay datos")</f>
        <v>No hay datos</v>
      </c>
      <c r="I1652" s="2" t="str">
        <f t="array" ref="I1652">_xlfn.XLOOKUP(B1652,Vendedores!$A$2:$A$41,Vendedores!$D$2:$D$41,"No hay datos")</f>
        <v>No hay datos</v>
      </c>
      <c r="J1652" s="2" t="str">
        <f t="array" ref="J1652">_xlfn.XLOOKUP(A1652,Productos!$A$2:$A$61,Productos!$B$2:$F$61)</f>
        <v>#N/A</v>
      </c>
    </row>
    <row r="1653">
      <c r="A1653" s="2" t="str">
        <f>IFERROR(__xludf.DUMMYFUNCTION("""COMPUTED_VALUE"""),"PR040")</f>
        <v>PR040</v>
      </c>
      <c r="B1653" s="2" t="str">
        <f>IFERROR(__xludf.DUMMYFUNCTION("""COMPUTED_VALUE"""),"VD039")</f>
        <v>VD039</v>
      </c>
      <c r="C1653" s="2">
        <f>IFERROR(__xludf.DUMMYFUNCTION("""COMPUTED_VALUE"""),7.0)</f>
        <v>7</v>
      </c>
      <c r="D1653" s="6">
        <f>IFERROR(__xludf.DUMMYFUNCTION("""COMPUTED_VALUE"""),504.7)</f>
        <v>504.7</v>
      </c>
      <c r="E1653" s="6">
        <f>IFERROR(__xludf.DUMMYFUNCTION("GOOGLEFINANCE(""Currency:BRLMXN"")*D1653"),1714.4659)</f>
        <v>1714.4659</v>
      </c>
      <c r="F1653" s="6">
        <f>IFERROR(__xludf.DUMMYFUNCTION("GOOGLEFINANCE(""Currency:BRLPEN"")*D1653"),330.88131999999996)</f>
        <v>330.88132</v>
      </c>
      <c r="G1653" s="2" t="str">
        <f t="array" ref="G1653">_xlfn.XLOOKUP(B1653,Vendedores!$A$2:$A$41,Vendedores!$B$2:$B$41,"No hay datos")</f>
        <v>No hay datos</v>
      </c>
      <c r="H1653" s="2" t="str">
        <f t="array" ref="H1653">_xlfn.XLOOKUP(B1653,Vendedores!$A$2:$A$41,Vendedores!$C$2:$C$41,"No hay datos")</f>
        <v>No hay datos</v>
      </c>
      <c r="I1653" s="2" t="str">
        <f t="array" ref="I1653">_xlfn.XLOOKUP(B1653,Vendedores!$A$2:$A$41,Vendedores!$D$2:$D$41,"No hay datos")</f>
        <v>No hay datos</v>
      </c>
      <c r="J1653" s="2" t="str">
        <f t="array" ref="J1653">_xlfn.XLOOKUP(A1653,Productos!$A$2:$A$61,Productos!$B$2:$F$61)</f>
        <v>#N/A</v>
      </c>
    </row>
    <row r="1654">
      <c r="A1654" s="2" t="str">
        <f>IFERROR(__xludf.DUMMYFUNCTION("""COMPUTED_VALUE"""),"PR052")</f>
        <v>PR052</v>
      </c>
      <c r="B1654" s="2" t="str">
        <f>IFERROR(__xludf.DUMMYFUNCTION("""COMPUTED_VALUE"""),"VD016")</f>
        <v>VD016</v>
      </c>
      <c r="C1654" s="2">
        <f>IFERROR(__xludf.DUMMYFUNCTION("""COMPUTED_VALUE"""),7.0)</f>
        <v>7</v>
      </c>
      <c r="D1654" s="6">
        <f>IFERROR(__xludf.DUMMYFUNCTION("""COMPUTED_VALUE"""),363.27)</f>
        <v>363.27</v>
      </c>
      <c r="E1654" s="6">
        <f>IFERROR(__xludf.DUMMYFUNCTION("GOOGLEFINANCE(""Currency:BRLMXN"")*D1654"),1234.0281899999998)</f>
        <v>1234.02819</v>
      </c>
      <c r="F1654" s="6">
        <f>IFERROR(__xludf.DUMMYFUNCTION("GOOGLEFINANCE(""Currency:BRLPEN"")*D1654"),238.15981199999996)</f>
        <v>238.159812</v>
      </c>
      <c r="G1654" s="2" t="str">
        <f t="array" ref="G1654">_xlfn.XLOOKUP(B1654,Vendedores!$A$2:$A$41,Vendedores!$B$2:$B$41,"No hay datos")</f>
        <v>No hay datos</v>
      </c>
      <c r="H1654" s="2" t="str">
        <f t="array" ref="H1654">_xlfn.XLOOKUP(B1654,Vendedores!$A$2:$A$41,Vendedores!$C$2:$C$41,"No hay datos")</f>
        <v>No hay datos</v>
      </c>
      <c r="I1654" s="2" t="str">
        <f t="array" ref="I1654">_xlfn.XLOOKUP(B1654,Vendedores!$A$2:$A$41,Vendedores!$D$2:$D$41,"No hay datos")</f>
        <v>No hay datos</v>
      </c>
      <c r="J1654" s="2" t="str">
        <f t="array" ref="J1654">_xlfn.XLOOKUP(A1654,Productos!$A$2:$A$61,Productos!$B$2:$F$61)</f>
        <v>#N/A</v>
      </c>
    </row>
    <row r="1655">
      <c r="A1655" s="2" t="str">
        <f>IFERROR(__xludf.DUMMYFUNCTION("""COMPUTED_VALUE"""),"PR057")</f>
        <v>PR057</v>
      </c>
      <c r="B1655" s="2" t="str">
        <f>IFERROR(__xludf.DUMMYFUNCTION("""COMPUTED_VALUE"""),"VD035")</f>
        <v>VD035</v>
      </c>
      <c r="C1655" s="2">
        <f>IFERROR(__xludf.DUMMYFUNCTION("""COMPUTED_VALUE"""),2.0)</f>
        <v>2</v>
      </c>
      <c r="D1655" s="6">
        <f>IFERROR(__xludf.DUMMYFUNCTION("""COMPUTED_VALUE"""),188.79)</f>
        <v>188.79</v>
      </c>
      <c r="E1655" s="6">
        <f>IFERROR(__xludf.DUMMYFUNCTION("GOOGLEFINANCE(""Currency:BRLMXN"")*D1655"),641.31963)</f>
        <v>641.31963</v>
      </c>
      <c r="F1655" s="6">
        <f>IFERROR(__xludf.DUMMYFUNCTION("GOOGLEFINANCE(""Currency:BRLPEN"")*D1655"),123.77072399999999)</f>
        <v>123.770724</v>
      </c>
      <c r="G1655" s="2" t="str">
        <f t="array" ref="G1655">_xlfn.XLOOKUP(B1655,Vendedores!$A$2:$A$41,Vendedores!$B$2:$B$41,"No hay datos")</f>
        <v>No hay datos</v>
      </c>
      <c r="H1655" s="2" t="str">
        <f t="array" ref="H1655">_xlfn.XLOOKUP(B1655,Vendedores!$A$2:$A$41,Vendedores!$C$2:$C$41,"No hay datos")</f>
        <v>No hay datos</v>
      </c>
      <c r="I1655" s="2" t="str">
        <f t="array" ref="I1655">_xlfn.XLOOKUP(B1655,Vendedores!$A$2:$A$41,Vendedores!$D$2:$D$41,"No hay datos")</f>
        <v>No hay datos</v>
      </c>
      <c r="J1655" s="2" t="str">
        <f t="array" ref="J1655">_xlfn.XLOOKUP(A1655,Productos!$A$2:$A$61,Productos!$B$2:$F$61)</f>
        <v>#N/A</v>
      </c>
    </row>
    <row r="1656">
      <c r="A1656" s="2" t="str">
        <f>IFERROR(__xludf.DUMMYFUNCTION("""COMPUTED_VALUE"""),"PR019")</f>
        <v>PR019</v>
      </c>
      <c r="B1656" s="2" t="str">
        <f>IFERROR(__xludf.DUMMYFUNCTION("""COMPUTED_VALUE"""),"VD031")</f>
        <v>VD031</v>
      </c>
      <c r="C1656" s="2">
        <f>IFERROR(__xludf.DUMMYFUNCTION("""COMPUTED_VALUE"""),9.0)</f>
        <v>9</v>
      </c>
      <c r="D1656" s="6">
        <f>IFERROR(__xludf.DUMMYFUNCTION("""COMPUTED_VALUE"""),480.54)</f>
        <v>480.54</v>
      </c>
      <c r="E1656" s="6">
        <f>IFERROR(__xludf.DUMMYFUNCTION("GOOGLEFINANCE(""Currency:BRLMXN"")*D1656"),1632.39438)</f>
        <v>1632.39438</v>
      </c>
      <c r="F1656" s="6">
        <f>IFERROR(__xludf.DUMMYFUNCTION("GOOGLEFINANCE(""Currency:BRLPEN"")*D1656"),315.04202399999997)</f>
        <v>315.042024</v>
      </c>
      <c r="G1656" s="2" t="str">
        <f t="array" ref="G1656">_xlfn.XLOOKUP(B1656,Vendedores!$A$2:$A$41,Vendedores!$B$2:$B$41,"No hay datos")</f>
        <v>No hay datos</v>
      </c>
      <c r="H1656" s="2" t="str">
        <f t="array" ref="H1656">_xlfn.XLOOKUP(B1656,Vendedores!$A$2:$A$41,Vendedores!$C$2:$C$41,"No hay datos")</f>
        <v>No hay datos</v>
      </c>
      <c r="I1656" s="2" t="str">
        <f t="array" ref="I1656">_xlfn.XLOOKUP(B1656,Vendedores!$A$2:$A$41,Vendedores!$D$2:$D$41,"No hay datos")</f>
        <v>No hay datos</v>
      </c>
      <c r="J1656" s="2" t="str">
        <f t="array" ref="J1656">_xlfn.XLOOKUP(A1656,Productos!$A$2:$A$61,Productos!$B$2:$F$61)</f>
        <v>#N/A</v>
      </c>
    </row>
    <row r="1657">
      <c r="A1657" s="2" t="str">
        <f>IFERROR(__xludf.DUMMYFUNCTION("""COMPUTED_VALUE"""),"PR049")</f>
        <v>PR049</v>
      </c>
      <c r="B1657" s="2" t="str">
        <f>IFERROR(__xludf.DUMMYFUNCTION("""COMPUTED_VALUE"""),"VD044")</f>
        <v>VD044</v>
      </c>
      <c r="C1657" s="2">
        <f>IFERROR(__xludf.DUMMYFUNCTION("""COMPUTED_VALUE"""),2.0)</f>
        <v>2</v>
      </c>
      <c r="D1657" s="6">
        <f>IFERROR(__xludf.DUMMYFUNCTION("""COMPUTED_VALUE"""),70.41)</f>
        <v>70.41</v>
      </c>
      <c r="E1657" s="6">
        <f>IFERROR(__xludf.DUMMYFUNCTION("GOOGLEFINANCE(""Currency:BRLMXN"")*D1657"),239.18276999999998)</f>
        <v>239.18277</v>
      </c>
      <c r="F1657" s="6">
        <f>IFERROR(__xludf.DUMMYFUNCTION("GOOGLEFINANCE(""Currency:BRLPEN"")*D1657"),46.160796)</f>
        <v>46.160796</v>
      </c>
      <c r="G1657" s="2" t="str">
        <f t="array" ref="G1657">_xlfn.XLOOKUP(B1657,Vendedores!$A$2:$A$41,Vendedores!$B$2:$B$41,"No hay datos")</f>
        <v>No hay datos</v>
      </c>
      <c r="H1657" s="2" t="str">
        <f t="array" ref="H1657">_xlfn.XLOOKUP(B1657,Vendedores!$A$2:$A$41,Vendedores!$C$2:$C$41,"No hay datos")</f>
        <v>No hay datos</v>
      </c>
      <c r="I1657" s="2" t="str">
        <f t="array" ref="I1657">_xlfn.XLOOKUP(B1657,Vendedores!$A$2:$A$41,Vendedores!$D$2:$D$41,"No hay datos")</f>
        <v>No hay datos</v>
      </c>
      <c r="J1657" s="2" t="str">
        <f t="array" ref="J1657">_xlfn.XLOOKUP(A1657,Productos!$A$2:$A$61,Productos!$B$2:$F$61)</f>
        <v>#N/A</v>
      </c>
    </row>
    <row r="1658">
      <c r="A1658" s="2" t="str">
        <f>IFERROR(__xludf.DUMMYFUNCTION("""COMPUTED_VALUE"""),"PR017")</f>
        <v>PR017</v>
      </c>
      <c r="B1658" s="2" t="str">
        <f>IFERROR(__xludf.DUMMYFUNCTION("""COMPUTED_VALUE"""),"VD033")</f>
        <v>VD033</v>
      </c>
      <c r="C1658" s="2">
        <f>IFERROR(__xludf.DUMMYFUNCTION("""COMPUTED_VALUE"""),4.0)</f>
        <v>4</v>
      </c>
      <c r="D1658" s="6">
        <f>IFERROR(__xludf.DUMMYFUNCTION("""COMPUTED_VALUE"""),131.56)</f>
        <v>131.56</v>
      </c>
      <c r="E1658" s="6">
        <f>IFERROR(__xludf.DUMMYFUNCTION("GOOGLEFINANCE(""Currency:BRLMXN"")*D1658"),446.90932)</f>
        <v>446.90932</v>
      </c>
      <c r="F1658" s="6">
        <f>IFERROR(__xludf.DUMMYFUNCTION("GOOGLEFINANCE(""Currency:BRLPEN"")*D1658"),86.250736)</f>
        <v>86.250736</v>
      </c>
      <c r="G1658" s="2" t="str">
        <f t="array" ref="G1658">_xlfn.XLOOKUP(B1658,Vendedores!$A$2:$A$41,Vendedores!$B$2:$B$41,"No hay datos")</f>
        <v>No hay datos</v>
      </c>
      <c r="H1658" s="2" t="str">
        <f t="array" ref="H1658">_xlfn.XLOOKUP(B1658,Vendedores!$A$2:$A$41,Vendedores!$C$2:$C$41,"No hay datos")</f>
        <v>No hay datos</v>
      </c>
      <c r="I1658" s="2" t="str">
        <f t="array" ref="I1658">_xlfn.XLOOKUP(B1658,Vendedores!$A$2:$A$41,Vendedores!$D$2:$D$41,"No hay datos")</f>
        <v>No hay datos</v>
      </c>
      <c r="J1658" s="2" t="str">
        <f t="array" ref="J1658">_xlfn.XLOOKUP(A1658,Productos!$A$2:$A$61,Productos!$B$2:$F$61)</f>
        <v>#N/A</v>
      </c>
    </row>
    <row r="1659">
      <c r="A1659" s="2" t="str">
        <f>IFERROR(__xludf.DUMMYFUNCTION("""COMPUTED_VALUE"""),"PR034")</f>
        <v>PR034</v>
      </c>
      <c r="B1659" s="2" t="str">
        <f>IFERROR(__xludf.DUMMYFUNCTION("""COMPUTED_VALUE"""),"VD015")</f>
        <v>VD015</v>
      </c>
      <c r="C1659" s="2">
        <f>IFERROR(__xludf.DUMMYFUNCTION("""COMPUTED_VALUE"""),6.0)</f>
        <v>6</v>
      </c>
      <c r="D1659" s="6">
        <f>IFERROR(__xludf.DUMMYFUNCTION("""COMPUTED_VALUE"""),544.79)</f>
        <v>544.79</v>
      </c>
      <c r="E1659" s="6">
        <f>IFERROR(__xludf.DUMMYFUNCTION("GOOGLEFINANCE(""Currency:BRLMXN"")*D1659"),1850.6516299999998)</f>
        <v>1850.65163</v>
      </c>
      <c r="F1659" s="6">
        <f>IFERROR(__xludf.DUMMYFUNCTION("GOOGLEFINANCE(""Currency:BRLPEN"")*D1659"),357.16432399999997)</f>
        <v>357.164324</v>
      </c>
      <c r="G1659" s="2" t="str">
        <f t="array" ref="G1659">_xlfn.XLOOKUP(B1659,Vendedores!$A$2:$A$41,Vendedores!$B$2:$B$41,"No hay datos")</f>
        <v>No hay datos</v>
      </c>
      <c r="H1659" s="2" t="str">
        <f t="array" ref="H1659">_xlfn.XLOOKUP(B1659,Vendedores!$A$2:$A$41,Vendedores!$C$2:$C$41,"No hay datos")</f>
        <v>No hay datos</v>
      </c>
      <c r="I1659" s="2" t="str">
        <f t="array" ref="I1659">_xlfn.XLOOKUP(B1659,Vendedores!$A$2:$A$41,Vendedores!$D$2:$D$41,"No hay datos")</f>
        <v>No hay datos</v>
      </c>
      <c r="J1659" s="2" t="str">
        <f t="array" ref="J1659">_xlfn.XLOOKUP(A1659,Productos!$A$2:$A$61,Productos!$B$2:$F$61)</f>
        <v>#N/A</v>
      </c>
    </row>
    <row r="1660">
      <c r="A1660" s="2" t="str">
        <f>IFERROR(__xludf.DUMMYFUNCTION("""COMPUTED_VALUE"""),"PR048")</f>
        <v>PR048</v>
      </c>
      <c r="B1660" s="2" t="str">
        <f>IFERROR(__xludf.DUMMYFUNCTION("""COMPUTED_VALUE"""),"VD043")</f>
        <v>VD043</v>
      </c>
      <c r="C1660" s="2">
        <f>IFERROR(__xludf.DUMMYFUNCTION("""COMPUTED_VALUE"""),9.0)</f>
        <v>9</v>
      </c>
      <c r="D1660" s="6">
        <f>IFERROR(__xludf.DUMMYFUNCTION("""COMPUTED_VALUE"""),2713.46)</f>
        <v>2713.46</v>
      </c>
      <c r="E1660" s="6">
        <f>IFERROR(__xludf.DUMMYFUNCTION("GOOGLEFINANCE(""Currency:BRLMXN"")*D1660"),9217.62362)</f>
        <v>9217.62362</v>
      </c>
      <c r="F1660" s="6">
        <f>IFERROR(__xludf.DUMMYFUNCTION("GOOGLEFINANCE(""Currency:BRLPEN"")*D1660"),1778.944376)</f>
        <v>1778.944376</v>
      </c>
      <c r="G1660" s="2" t="str">
        <f t="array" ref="G1660">_xlfn.XLOOKUP(B1660,Vendedores!$A$2:$A$41,Vendedores!$B$2:$B$41,"No hay datos")</f>
        <v>No hay datos</v>
      </c>
      <c r="H1660" s="2" t="str">
        <f t="array" ref="H1660">_xlfn.XLOOKUP(B1660,Vendedores!$A$2:$A$41,Vendedores!$C$2:$C$41,"No hay datos")</f>
        <v>No hay datos</v>
      </c>
      <c r="I1660" s="2" t="str">
        <f t="array" ref="I1660">_xlfn.XLOOKUP(B1660,Vendedores!$A$2:$A$41,Vendedores!$D$2:$D$41,"No hay datos")</f>
        <v>No hay datos</v>
      </c>
      <c r="J1660" s="2" t="str">
        <f t="array" ref="J1660">_xlfn.XLOOKUP(A1660,Productos!$A$2:$A$61,Productos!$B$2:$F$61)</f>
        <v>#N/A</v>
      </c>
    </row>
    <row r="1661">
      <c r="A1661" s="2" t="str">
        <f>IFERROR(__xludf.DUMMYFUNCTION("""COMPUTED_VALUE"""),"PR004")</f>
        <v>PR004</v>
      </c>
      <c r="B1661" s="2" t="str">
        <f>IFERROR(__xludf.DUMMYFUNCTION("""COMPUTED_VALUE"""),"VD037")</f>
        <v>VD037</v>
      </c>
      <c r="C1661" s="2">
        <f>IFERROR(__xludf.DUMMYFUNCTION("""COMPUTED_VALUE"""),5.0)</f>
        <v>5</v>
      </c>
      <c r="D1661" s="6">
        <f>IFERROR(__xludf.DUMMYFUNCTION("""COMPUTED_VALUE"""),725.0)</f>
        <v>725</v>
      </c>
      <c r="E1661" s="6">
        <f>IFERROR(__xludf.DUMMYFUNCTION("GOOGLEFINANCE(""Currency:BRLMXN"")*D1661"),2462.825)</f>
        <v>2462.825</v>
      </c>
      <c r="F1661" s="6">
        <f>IFERROR(__xludf.DUMMYFUNCTION("GOOGLEFINANCE(""Currency:BRLPEN"")*D1661"),475.30999999999995)</f>
        <v>475.31</v>
      </c>
      <c r="G1661" s="2" t="str">
        <f t="array" ref="G1661">_xlfn.XLOOKUP(B1661,Vendedores!$A$2:$A$41,Vendedores!$B$2:$B$41,"No hay datos")</f>
        <v>No hay datos</v>
      </c>
      <c r="H1661" s="2" t="str">
        <f t="array" ref="H1661">_xlfn.XLOOKUP(B1661,Vendedores!$A$2:$A$41,Vendedores!$C$2:$C$41,"No hay datos")</f>
        <v>No hay datos</v>
      </c>
      <c r="I1661" s="2" t="str">
        <f t="array" ref="I1661">_xlfn.XLOOKUP(B1661,Vendedores!$A$2:$A$41,Vendedores!$D$2:$D$41,"No hay datos")</f>
        <v>No hay datos</v>
      </c>
      <c r="J1661" s="2" t="str">
        <f t="array" ref="J1661">_xlfn.XLOOKUP(A1661,Productos!$A$2:$A$61,Productos!$B$2:$F$61)</f>
        <v>#N/A</v>
      </c>
    </row>
    <row r="1662">
      <c r="A1662" s="2" t="str">
        <f>IFERROR(__xludf.DUMMYFUNCTION("""COMPUTED_VALUE"""),"PR059")</f>
        <v>PR059</v>
      </c>
      <c r="B1662" s="2" t="str">
        <f>IFERROR(__xludf.DUMMYFUNCTION("""COMPUTED_VALUE"""),"VD049")</f>
        <v>VD049</v>
      </c>
      <c r="C1662" s="2">
        <f>IFERROR(__xludf.DUMMYFUNCTION("""COMPUTED_VALUE"""),5.0)</f>
        <v>5</v>
      </c>
      <c r="D1662" s="6">
        <f>IFERROR(__xludf.DUMMYFUNCTION("""COMPUTED_VALUE"""),945.0)</f>
        <v>945</v>
      </c>
      <c r="E1662" s="6">
        <f>IFERROR(__xludf.DUMMYFUNCTION("GOOGLEFINANCE(""Currency:BRLMXN"")*D1662"),3210.165)</f>
        <v>3210.165</v>
      </c>
      <c r="F1662" s="6">
        <f>IFERROR(__xludf.DUMMYFUNCTION("GOOGLEFINANCE(""Currency:BRLPEN"")*D1662"),619.5419999999999)</f>
        <v>619.542</v>
      </c>
      <c r="G1662" s="2" t="str">
        <f t="array" ref="G1662">_xlfn.XLOOKUP(B1662,Vendedores!$A$2:$A$41,Vendedores!$B$2:$B$41,"No hay datos")</f>
        <v>No hay datos</v>
      </c>
      <c r="H1662" s="2" t="str">
        <f t="array" ref="H1662">_xlfn.XLOOKUP(B1662,Vendedores!$A$2:$A$41,Vendedores!$C$2:$C$41,"No hay datos")</f>
        <v>No hay datos</v>
      </c>
      <c r="I1662" s="2" t="str">
        <f t="array" ref="I1662">_xlfn.XLOOKUP(B1662,Vendedores!$A$2:$A$41,Vendedores!$D$2:$D$41,"No hay datos")</f>
        <v>No hay datos</v>
      </c>
      <c r="J1662" s="2" t="str">
        <f t="array" ref="J1662">_xlfn.XLOOKUP(A1662,Productos!$A$2:$A$61,Productos!$B$2:$F$61)</f>
        <v>#N/A</v>
      </c>
    </row>
    <row r="1663">
      <c r="A1663" s="2" t="str">
        <f>IFERROR(__xludf.DUMMYFUNCTION("""COMPUTED_VALUE"""),"PR005")</f>
        <v>PR005</v>
      </c>
      <c r="B1663" s="2" t="str">
        <f>IFERROR(__xludf.DUMMYFUNCTION("""COMPUTED_VALUE"""),"VD018")</f>
        <v>VD018</v>
      </c>
      <c r="C1663" s="2">
        <f>IFERROR(__xludf.DUMMYFUNCTION("""COMPUTED_VALUE"""),20.0)</f>
        <v>20</v>
      </c>
      <c r="D1663" s="6">
        <f>IFERROR(__xludf.DUMMYFUNCTION("""COMPUTED_VALUE"""),5717.8)</f>
        <v>5717.8</v>
      </c>
      <c r="E1663" s="6">
        <f>IFERROR(__xludf.DUMMYFUNCTION("GOOGLEFINANCE(""Currency:BRLMXN"")*D1663"),19423.3666)</f>
        <v>19423.3666</v>
      </c>
      <c r="F1663" s="6">
        <f>IFERROR(__xludf.DUMMYFUNCTION("GOOGLEFINANCE(""Currency:BRLPEN"")*D1663"),3748.58968)</f>
        <v>3748.58968</v>
      </c>
      <c r="G1663" s="2" t="str">
        <f t="array" ref="G1663">_xlfn.XLOOKUP(B1663,Vendedores!$A$2:$A$41,Vendedores!$B$2:$B$41,"No hay datos")</f>
        <v>No hay datos</v>
      </c>
      <c r="H1663" s="2" t="str">
        <f t="array" ref="H1663">_xlfn.XLOOKUP(B1663,Vendedores!$A$2:$A$41,Vendedores!$C$2:$C$41,"No hay datos")</f>
        <v>No hay datos</v>
      </c>
      <c r="I1663" s="2" t="str">
        <f t="array" ref="I1663">_xlfn.XLOOKUP(B1663,Vendedores!$A$2:$A$41,Vendedores!$D$2:$D$41,"No hay datos")</f>
        <v>No hay datos</v>
      </c>
      <c r="J1663" s="2" t="str">
        <f t="array" ref="J1663">_xlfn.XLOOKUP(A1663,Productos!$A$2:$A$61,Productos!$B$2:$F$61)</f>
        <v>#N/A</v>
      </c>
    </row>
    <row r="1664">
      <c r="A1664" s="2" t="str">
        <f>IFERROR(__xludf.DUMMYFUNCTION("""COMPUTED_VALUE"""),"PR050")</f>
        <v>PR050</v>
      </c>
      <c r="B1664" s="2" t="str">
        <f>IFERROR(__xludf.DUMMYFUNCTION("""COMPUTED_VALUE"""),"VD010")</f>
        <v>VD010</v>
      </c>
      <c r="C1664" s="2">
        <f>IFERROR(__xludf.DUMMYFUNCTION("""COMPUTED_VALUE"""),10.0)</f>
        <v>10</v>
      </c>
      <c r="D1664" s="6">
        <f>IFERROR(__xludf.DUMMYFUNCTION("""COMPUTED_VALUE"""),342.16)</f>
        <v>342.16</v>
      </c>
      <c r="E1664" s="6">
        <f>IFERROR(__xludf.DUMMYFUNCTION("GOOGLEFINANCE(""Currency:BRLMXN"")*D1664"),1162.31752)</f>
        <v>1162.31752</v>
      </c>
      <c r="F1664" s="6">
        <f>IFERROR(__xludf.DUMMYFUNCTION("GOOGLEFINANCE(""Currency:BRLPEN"")*D1664"),224.320096)</f>
        <v>224.320096</v>
      </c>
      <c r="G1664" s="2" t="str">
        <f t="array" ref="G1664">_xlfn.XLOOKUP(B1664,Vendedores!$A$2:$A$41,Vendedores!$B$2:$B$41,"No hay datos")</f>
        <v>No hay datos</v>
      </c>
      <c r="H1664" s="2" t="str">
        <f t="array" ref="H1664">_xlfn.XLOOKUP(B1664,Vendedores!$A$2:$A$41,Vendedores!$C$2:$C$41,"No hay datos")</f>
        <v>No hay datos</v>
      </c>
      <c r="I1664" s="2" t="str">
        <f t="array" ref="I1664">_xlfn.XLOOKUP(B1664,Vendedores!$A$2:$A$41,Vendedores!$D$2:$D$41,"No hay datos")</f>
        <v>No hay datos</v>
      </c>
      <c r="J1664" s="2" t="str">
        <f t="array" ref="J1664">_xlfn.XLOOKUP(A1664,Productos!$A$2:$A$61,Productos!$B$2:$F$61)</f>
        <v>#N/A</v>
      </c>
    </row>
    <row r="1665">
      <c r="A1665" s="2" t="str">
        <f>IFERROR(__xludf.DUMMYFUNCTION("""COMPUTED_VALUE"""),"PR033")</f>
        <v>PR033</v>
      </c>
      <c r="B1665" s="2" t="str">
        <f>IFERROR(__xludf.DUMMYFUNCTION("""COMPUTED_VALUE"""),"VD042")</f>
        <v>VD042</v>
      </c>
      <c r="C1665" s="2">
        <f>IFERROR(__xludf.DUMMYFUNCTION("""COMPUTED_VALUE"""),8.0)</f>
        <v>8</v>
      </c>
      <c r="D1665" s="6">
        <f>IFERROR(__xludf.DUMMYFUNCTION("""COMPUTED_VALUE"""),2079.2)</f>
        <v>2079.2</v>
      </c>
      <c r="E1665" s="6">
        <f>IFERROR(__xludf.DUMMYFUNCTION("GOOGLEFINANCE(""Currency:BRLMXN"")*D1665"),7063.042399999999)</f>
        <v>7063.0424</v>
      </c>
      <c r="F1665" s="6">
        <f>IFERROR(__xludf.DUMMYFUNCTION("GOOGLEFINANCE(""Currency:BRLPEN"")*D1665"),1363.1235199999999)</f>
        <v>1363.12352</v>
      </c>
      <c r="G1665" s="2" t="str">
        <f t="array" ref="G1665">_xlfn.XLOOKUP(B1665,Vendedores!$A$2:$A$41,Vendedores!$B$2:$B$41,"No hay datos")</f>
        <v>No hay datos</v>
      </c>
      <c r="H1665" s="2" t="str">
        <f t="array" ref="H1665">_xlfn.XLOOKUP(B1665,Vendedores!$A$2:$A$41,Vendedores!$C$2:$C$41,"No hay datos")</f>
        <v>No hay datos</v>
      </c>
      <c r="I1665" s="2" t="str">
        <f t="array" ref="I1665">_xlfn.XLOOKUP(B1665,Vendedores!$A$2:$A$41,Vendedores!$D$2:$D$41,"No hay datos")</f>
        <v>No hay datos</v>
      </c>
      <c r="J1665" s="2" t="str">
        <f t="array" ref="J1665">_xlfn.XLOOKUP(A1665,Productos!$A$2:$A$61,Productos!$B$2:$F$61)</f>
        <v>#N/A</v>
      </c>
    </row>
    <row r="1666">
      <c r="A1666" s="2" t="str">
        <f>IFERROR(__xludf.DUMMYFUNCTION("""COMPUTED_VALUE"""),"PR038")</f>
        <v>PR038</v>
      </c>
      <c r="B1666" s="2" t="str">
        <f>IFERROR(__xludf.DUMMYFUNCTION("""COMPUTED_VALUE"""),"VD027")</f>
        <v>VD027</v>
      </c>
      <c r="C1666" s="2">
        <f>IFERROR(__xludf.DUMMYFUNCTION("""COMPUTED_VALUE"""),14.0)</f>
        <v>14</v>
      </c>
      <c r="D1666" s="6">
        <f>IFERROR(__xludf.DUMMYFUNCTION("""COMPUTED_VALUE"""),2080.62)</f>
        <v>2080.62</v>
      </c>
      <c r="E1666" s="6">
        <f>IFERROR(__xludf.DUMMYFUNCTION("GOOGLEFINANCE(""Currency:BRLMXN"")*D1666"),7067.866139999999)</f>
        <v>7067.86614</v>
      </c>
      <c r="F1666" s="6">
        <f>IFERROR(__xludf.DUMMYFUNCTION("GOOGLEFINANCE(""Currency:BRLPEN"")*D1666"),1364.0544719999998)</f>
        <v>1364.054472</v>
      </c>
      <c r="G1666" s="2" t="str">
        <f t="array" ref="G1666">_xlfn.XLOOKUP(B1666,Vendedores!$A$2:$A$41,Vendedores!$B$2:$B$41,"No hay datos")</f>
        <v>No hay datos</v>
      </c>
      <c r="H1666" s="2" t="str">
        <f t="array" ref="H1666">_xlfn.XLOOKUP(B1666,Vendedores!$A$2:$A$41,Vendedores!$C$2:$C$41,"No hay datos")</f>
        <v>No hay datos</v>
      </c>
      <c r="I1666" s="2" t="str">
        <f t="array" ref="I1666">_xlfn.XLOOKUP(B1666,Vendedores!$A$2:$A$41,Vendedores!$D$2:$D$41,"No hay datos")</f>
        <v>No hay datos</v>
      </c>
      <c r="J1666" s="2" t="str">
        <f t="array" ref="J1666">_xlfn.XLOOKUP(A1666,Productos!$A$2:$A$61,Productos!$B$2:$F$61)</f>
        <v>#N/A</v>
      </c>
    </row>
    <row r="1667">
      <c r="A1667" s="2" t="str">
        <f>IFERROR(__xludf.DUMMYFUNCTION("""COMPUTED_VALUE"""),"PR032")</f>
        <v>PR032</v>
      </c>
      <c r="B1667" s="2" t="str">
        <f>IFERROR(__xludf.DUMMYFUNCTION("""COMPUTED_VALUE"""),"VD034")</f>
        <v>VD034</v>
      </c>
      <c r="C1667" s="2">
        <f>IFERROR(__xludf.DUMMYFUNCTION("""COMPUTED_VALUE"""),7.0)</f>
        <v>7</v>
      </c>
      <c r="D1667" s="6">
        <f>IFERROR(__xludf.DUMMYFUNCTION("""COMPUTED_VALUE"""),1907.5)</f>
        <v>1907.5</v>
      </c>
      <c r="E1667" s="6">
        <f>IFERROR(__xludf.DUMMYFUNCTION("GOOGLEFINANCE(""Currency:BRLMXN"")*D1667"),6479.777499999999)</f>
        <v>6479.7775</v>
      </c>
      <c r="F1667" s="6">
        <f>IFERROR(__xludf.DUMMYFUNCTION("GOOGLEFINANCE(""Currency:BRLPEN"")*D1667"),1250.557)</f>
        <v>1250.557</v>
      </c>
      <c r="G1667" s="2" t="str">
        <f t="array" ref="G1667">_xlfn.XLOOKUP(B1667,Vendedores!$A$2:$A$41,Vendedores!$B$2:$B$41,"No hay datos")</f>
        <v>No hay datos</v>
      </c>
      <c r="H1667" s="2" t="str">
        <f t="array" ref="H1667">_xlfn.XLOOKUP(B1667,Vendedores!$A$2:$A$41,Vendedores!$C$2:$C$41,"No hay datos")</f>
        <v>No hay datos</v>
      </c>
      <c r="I1667" s="2" t="str">
        <f t="array" ref="I1667">_xlfn.XLOOKUP(B1667,Vendedores!$A$2:$A$41,Vendedores!$D$2:$D$41,"No hay datos")</f>
        <v>No hay datos</v>
      </c>
      <c r="J1667" s="2" t="str">
        <f t="array" ref="J1667">_xlfn.XLOOKUP(A1667,Productos!$A$2:$A$61,Productos!$B$2:$F$61)</f>
        <v>#N/A</v>
      </c>
    </row>
    <row r="1668">
      <c r="A1668" s="2" t="str">
        <f>IFERROR(__xludf.DUMMYFUNCTION("""COMPUTED_VALUE"""),"PR042")</f>
        <v>PR042</v>
      </c>
      <c r="B1668" s="2" t="str">
        <f>IFERROR(__xludf.DUMMYFUNCTION("""COMPUTED_VALUE"""),"VD012")</f>
        <v>VD012</v>
      </c>
      <c r="C1668" s="2">
        <f>IFERROR(__xludf.DUMMYFUNCTION("""COMPUTED_VALUE"""),2.0)</f>
        <v>2</v>
      </c>
      <c r="D1668" s="6">
        <f>IFERROR(__xludf.DUMMYFUNCTION("""COMPUTED_VALUE"""),109.8)</f>
        <v>109.8</v>
      </c>
      <c r="E1668" s="6">
        <f>IFERROR(__xludf.DUMMYFUNCTION("GOOGLEFINANCE(""Currency:BRLMXN"")*D1668"),372.9906)</f>
        <v>372.9906</v>
      </c>
      <c r="F1668" s="6">
        <f>IFERROR(__xludf.DUMMYFUNCTION("GOOGLEFINANCE(""Currency:BRLPEN"")*D1668"),71.98487999999999)</f>
        <v>71.98488</v>
      </c>
      <c r="G1668" s="2" t="str">
        <f t="array" ref="G1668">_xlfn.XLOOKUP(B1668,Vendedores!$A$2:$A$41,Vendedores!$B$2:$B$41,"No hay datos")</f>
        <v>No hay datos</v>
      </c>
      <c r="H1668" s="2" t="str">
        <f t="array" ref="H1668">_xlfn.XLOOKUP(B1668,Vendedores!$A$2:$A$41,Vendedores!$C$2:$C$41,"No hay datos")</f>
        <v>No hay datos</v>
      </c>
      <c r="I1668" s="2" t="str">
        <f t="array" ref="I1668">_xlfn.XLOOKUP(B1668,Vendedores!$A$2:$A$41,Vendedores!$D$2:$D$41,"No hay datos")</f>
        <v>No hay datos</v>
      </c>
      <c r="J1668" s="2" t="str">
        <f t="array" ref="J1668">_xlfn.XLOOKUP(A1668,Productos!$A$2:$A$61,Productos!$B$2:$F$61)</f>
        <v>#N/A</v>
      </c>
    </row>
    <row r="1669">
      <c r="A1669" s="2" t="str">
        <f>IFERROR(__xludf.DUMMYFUNCTION("""COMPUTED_VALUE"""),"PR017")</f>
        <v>PR017</v>
      </c>
      <c r="B1669" s="2" t="str">
        <f>IFERROR(__xludf.DUMMYFUNCTION("""COMPUTED_VALUE"""),"VD018")</f>
        <v>VD018</v>
      </c>
      <c r="C1669" s="2">
        <f>IFERROR(__xludf.DUMMYFUNCTION("""COMPUTED_VALUE"""),20.0)</f>
        <v>20</v>
      </c>
      <c r="D1669" s="6">
        <f>IFERROR(__xludf.DUMMYFUNCTION("""COMPUTED_VALUE"""),657.8)</f>
        <v>657.8</v>
      </c>
      <c r="E1669" s="6">
        <f>IFERROR(__xludf.DUMMYFUNCTION("GOOGLEFINANCE(""Currency:BRLMXN"")*D1669"),2234.5465999999997)</f>
        <v>2234.5466</v>
      </c>
      <c r="F1669" s="6">
        <f>IFERROR(__xludf.DUMMYFUNCTION("GOOGLEFINANCE(""Currency:BRLPEN"")*D1669"),431.2536799999999)</f>
        <v>431.25368</v>
      </c>
      <c r="G1669" s="2" t="str">
        <f t="array" ref="G1669">_xlfn.XLOOKUP(B1669,Vendedores!$A$2:$A$41,Vendedores!$B$2:$B$41,"No hay datos")</f>
        <v>No hay datos</v>
      </c>
      <c r="H1669" s="2" t="str">
        <f t="array" ref="H1669">_xlfn.XLOOKUP(B1669,Vendedores!$A$2:$A$41,Vendedores!$C$2:$C$41,"No hay datos")</f>
        <v>No hay datos</v>
      </c>
      <c r="I1669" s="2" t="str">
        <f t="array" ref="I1669">_xlfn.XLOOKUP(B1669,Vendedores!$A$2:$A$41,Vendedores!$D$2:$D$41,"No hay datos")</f>
        <v>No hay datos</v>
      </c>
      <c r="J1669" s="2" t="str">
        <f t="array" ref="J1669">_xlfn.XLOOKUP(A1669,Productos!$A$2:$A$61,Productos!$B$2:$F$61)</f>
        <v>#N/A</v>
      </c>
    </row>
    <row r="1670">
      <c r="A1670" s="2" t="str">
        <f>IFERROR(__xludf.DUMMYFUNCTION("""COMPUTED_VALUE"""),"PR037")</f>
        <v>PR037</v>
      </c>
      <c r="B1670" s="2" t="str">
        <f>IFERROR(__xludf.DUMMYFUNCTION("""COMPUTED_VALUE"""),"VD013")</f>
        <v>VD013</v>
      </c>
      <c r="C1670" s="2">
        <f>IFERROR(__xludf.DUMMYFUNCTION("""COMPUTED_VALUE"""),10.0)</f>
        <v>10</v>
      </c>
      <c r="D1670" s="6">
        <f>IFERROR(__xludf.DUMMYFUNCTION("""COMPUTED_VALUE"""),1414.0)</f>
        <v>1414</v>
      </c>
      <c r="E1670" s="6">
        <f>IFERROR(__xludf.DUMMYFUNCTION("GOOGLEFINANCE(""Currency:BRLMXN"")*D1670"),4803.357999999999)</f>
        <v>4803.358</v>
      </c>
      <c r="F1670" s="6">
        <f>IFERROR(__xludf.DUMMYFUNCTION("GOOGLEFINANCE(""Currency:BRLPEN"")*D1670"),927.0183999999999)</f>
        <v>927.0184</v>
      </c>
      <c r="G1670" s="2" t="str">
        <f t="array" ref="G1670">_xlfn.XLOOKUP(B1670,Vendedores!$A$2:$A$41,Vendedores!$B$2:$B$41,"No hay datos")</f>
        <v>No hay datos</v>
      </c>
      <c r="H1670" s="2" t="str">
        <f t="array" ref="H1670">_xlfn.XLOOKUP(B1670,Vendedores!$A$2:$A$41,Vendedores!$C$2:$C$41,"No hay datos")</f>
        <v>No hay datos</v>
      </c>
      <c r="I1670" s="2" t="str">
        <f t="array" ref="I1670">_xlfn.XLOOKUP(B1670,Vendedores!$A$2:$A$41,Vendedores!$D$2:$D$41,"No hay datos")</f>
        <v>No hay datos</v>
      </c>
      <c r="J1670" s="2" t="str">
        <f t="array" ref="J1670">_xlfn.XLOOKUP(A1670,Productos!$A$2:$A$61,Productos!$B$2:$F$61)</f>
        <v>#N/A</v>
      </c>
    </row>
    <row r="1671">
      <c r="A1671" s="2" t="str">
        <f>IFERROR(__xludf.DUMMYFUNCTION("""COMPUTED_VALUE"""),"PR041")</f>
        <v>PR041</v>
      </c>
      <c r="B1671" s="2" t="str">
        <f>IFERROR(__xludf.DUMMYFUNCTION("""COMPUTED_VALUE"""),"VD021")</f>
        <v>VD021</v>
      </c>
      <c r="C1671" s="2">
        <f>IFERROR(__xludf.DUMMYFUNCTION("""COMPUTED_VALUE"""),8.0)</f>
        <v>8</v>
      </c>
      <c r="D1671" s="6">
        <f>IFERROR(__xludf.DUMMYFUNCTION("""COMPUTED_VALUE"""),443.59)</f>
        <v>443.59</v>
      </c>
      <c r="E1671" s="6">
        <f>IFERROR(__xludf.DUMMYFUNCTION("GOOGLEFINANCE(""Currency:BRLMXN"")*D1671"),1506.8752299999999)</f>
        <v>1506.87523</v>
      </c>
      <c r="F1671" s="6">
        <f>IFERROR(__xludf.DUMMYFUNCTION("GOOGLEFINANCE(""Currency:BRLPEN"")*D1671"),290.81760399999996)</f>
        <v>290.817604</v>
      </c>
      <c r="G1671" s="2" t="str">
        <f t="array" ref="G1671">_xlfn.XLOOKUP(B1671,Vendedores!$A$2:$A$41,Vendedores!$B$2:$B$41,"No hay datos")</f>
        <v>No hay datos</v>
      </c>
      <c r="H1671" s="2" t="str">
        <f t="array" ref="H1671">_xlfn.XLOOKUP(B1671,Vendedores!$A$2:$A$41,Vendedores!$C$2:$C$41,"No hay datos")</f>
        <v>No hay datos</v>
      </c>
      <c r="I1671" s="2" t="str">
        <f t="array" ref="I1671">_xlfn.XLOOKUP(B1671,Vendedores!$A$2:$A$41,Vendedores!$D$2:$D$41,"No hay datos")</f>
        <v>No hay datos</v>
      </c>
      <c r="J1671" s="2" t="str">
        <f t="array" ref="J1671">_xlfn.XLOOKUP(A1671,Productos!$A$2:$A$61,Productos!$B$2:$F$61)</f>
        <v>#N/A</v>
      </c>
    </row>
    <row r="1672">
      <c r="A1672" s="2" t="str">
        <f>IFERROR(__xludf.DUMMYFUNCTION("""COMPUTED_VALUE"""),"PR039")</f>
        <v>PR039</v>
      </c>
      <c r="B1672" s="2" t="str">
        <f>IFERROR(__xludf.DUMMYFUNCTION("""COMPUTED_VALUE"""),"VD032")</f>
        <v>VD032</v>
      </c>
      <c r="C1672" s="2">
        <f>IFERROR(__xludf.DUMMYFUNCTION("""COMPUTED_VALUE"""),8.0)</f>
        <v>8</v>
      </c>
      <c r="D1672" s="6">
        <f>IFERROR(__xludf.DUMMYFUNCTION("""COMPUTED_VALUE"""),1214.72)</f>
        <v>1214.72</v>
      </c>
      <c r="E1672" s="6">
        <f>IFERROR(__xludf.DUMMYFUNCTION("GOOGLEFINANCE(""Currency:BRLMXN"")*D1672"),4126.40384)</f>
        <v>4126.40384</v>
      </c>
      <c r="F1672" s="6">
        <f>IFERROR(__xludf.DUMMYFUNCTION("GOOGLEFINANCE(""Currency:BRLPEN"")*D1672"),796.3704319999999)</f>
        <v>796.370432</v>
      </c>
      <c r="G1672" s="2" t="str">
        <f t="array" ref="G1672">_xlfn.XLOOKUP(B1672,Vendedores!$A$2:$A$41,Vendedores!$B$2:$B$41,"No hay datos")</f>
        <v>No hay datos</v>
      </c>
      <c r="H1672" s="2" t="str">
        <f t="array" ref="H1672">_xlfn.XLOOKUP(B1672,Vendedores!$A$2:$A$41,Vendedores!$C$2:$C$41,"No hay datos")</f>
        <v>No hay datos</v>
      </c>
      <c r="I1672" s="2" t="str">
        <f t="array" ref="I1672">_xlfn.XLOOKUP(B1672,Vendedores!$A$2:$A$41,Vendedores!$D$2:$D$41,"No hay datos")</f>
        <v>No hay datos</v>
      </c>
      <c r="J1672" s="2" t="str">
        <f t="array" ref="J1672">_xlfn.XLOOKUP(A1672,Productos!$A$2:$A$61,Productos!$B$2:$F$61)</f>
        <v>#N/A</v>
      </c>
    </row>
    <row r="1673">
      <c r="A1673" s="2" t="str">
        <f>IFERROR(__xludf.DUMMYFUNCTION("""COMPUTED_VALUE"""),"PR043")</f>
        <v>PR043</v>
      </c>
      <c r="B1673" s="2" t="str">
        <f>IFERROR(__xludf.DUMMYFUNCTION("""COMPUTED_VALUE"""),"VD026")</f>
        <v>VD026</v>
      </c>
      <c r="C1673" s="2">
        <f>IFERROR(__xludf.DUMMYFUNCTION("""COMPUTED_VALUE"""),2.0)</f>
        <v>2</v>
      </c>
      <c r="D1673" s="6">
        <f>IFERROR(__xludf.DUMMYFUNCTION("""COMPUTED_VALUE"""),152.25)</f>
        <v>152.25</v>
      </c>
      <c r="E1673" s="6">
        <f>IFERROR(__xludf.DUMMYFUNCTION("GOOGLEFINANCE(""Currency:BRLMXN"")*D1673"),517.1932499999999)</f>
        <v>517.19325</v>
      </c>
      <c r="F1673" s="6">
        <f>IFERROR(__xludf.DUMMYFUNCTION("GOOGLEFINANCE(""Currency:BRLPEN"")*D1673"),99.8151)</f>
        <v>99.8151</v>
      </c>
      <c r="G1673" s="2" t="str">
        <f t="array" ref="G1673">_xlfn.XLOOKUP(B1673,Vendedores!$A$2:$A$41,Vendedores!$B$2:$B$41,"No hay datos")</f>
        <v>No hay datos</v>
      </c>
      <c r="H1673" s="2" t="str">
        <f t="array" ref="H1673">_xlfn.XLOOKUP(B1673,Vendedores!$A$2:$A$41,Vendedores!$C$2:$C$41,"No hay datos")</f>
        <v>No hay datos</v>
      </c>
      <c r="I1673" s="2" t="str">
        <f t="array" ref="I1673">_xlfn.XLOOKUP(B1673,Vendedores!$A$2:$A$41,Vendedores!$D$2:$D$41,"No hay datos")</f>
        <v>No hay datos</v>
      </c>
      <c r="J1673" s="2" t="str">
        <f t="array" ref="J1673">_xlfn.XLOOKUP(A1673,Productos!$A$2:$A$61,Productos!$B$2:$F$61)</f>
        <v>#N/A</v>
      </c>
    </row>
    <row r="1674">
      <c r="A1674" s="2" t="str">
        <f>IFERROR(__xludf.DUMMYFUNCTION("""COMPUTED_VALUE"""),"PR046")</f>
        <v>PR046</v>
      </c>
      <c r="B1674" s="2" t="str">
        <f>IFERROR(__xludf.DUMMYFUNCTION("""COMPUTED_VALUE"""),"VD038")</f>
        <v>VD038</v>
      </c>
      <c r="C1674" s="2">
        <f>IFERROR(__xludf.DUMMYFUNCTION("""COMPUTED_VALUE"""),8.0)</f>
        <v>8</v>
      </c>
      <c r="D1674" s="6">
        <f>IFERROR(__xludf.DUMMYFUNCTION("""COMPUTED_VALUE"""),2527.93)</f>
        <v>2527.93</v>
      </c>
      <c r="E1674" s="6">
        <f>IFERROR(__xludf.DUMMYFUNCTION("GOOGLEFINANCE(""Currency:BRLMXN"")*D1674"),8587.378209999999)</f>
        <v>8587.37821</v>
      </c>
      <c r="F1674" s="6">
        <f>IFERROR(__xludf.DUMMYFUNCTION("GOOGLEFINANCE(""Currency:BRLPEN"")*D1674"),1657.3109079999997)</f>
        <v>1657.310908</v>
      </c>
      <c r="G1674" s="2" t="str">
        <f t="array" ref="G1674">_xlfn.XLOOKUP(B1674,Vendedores!$A$2:$A$41,Vendedores!$B$2:$B$41,"No hay datos")</f>
        <v>No hay datos</v>
      </c>
      <c r="H1674" s="2" t="str">
        <f t="array" ref="H1674">_xlfn.XLOOKUP(B1674,Vendedores!$A$2:$A$41,Vendedores!$C$2:$C$41,"No hay datos")</f>
        <v>No hay datos</v>
      </c>
      <c r="I1674" s="2" t="str">
        <f t="array" ref="I1674">_xlfn.XLOOKUP(B1674,Vendedores!$A$2:$A$41,Vendedores!$D$2:$D$41,"No hay datos")</f>
        <v>No hay datos</v>
      </c>
      <c r="J1674" s="2" t="str">
        <f t="array" ref="J1674">_xlfn.XLOOKUP(A1674,Productos!$A$2:$A$61,Productos!$B$2:$F$61)</f>
        <v>#N/A</v>
      </c>
    </row>
    <row r="1675">
      <c r="A1675" s="2" t="str">
        <f>IFERROR(__xludf.DUMMYFUNCTION("""COMPUTED_VALUE"""),"PR006")</f>
        <v>PR006</v>
      </c>
      <c r="B1675" s="2" t="str">
        <f>IFERROR(__xludf.DUMMYFUNCTION("""COMPUTED_VALUE"""),"VD030")</f>
        <v>VD030</v>
      </c>
      <c r="C1675" s="2">
        <f>IFERROR(__xludf.DUMMYFUNCTION("""COMPUTED_VALUE"""),8.0)</f>
        <v>8</v>
      </c>
      <c r="D1675" s="6">
        <f>IFERROR(__xludf.DUMMYFUNCTION("""COMPUTED_VALUE"""),335.16)</f>
        <v>335.16</v>
      </c>
      <c r="E1675" s="6">
        <f>IFERROR(__xludf.DUMMYFUNCTION("GOOGLEFINANCE(""Currency:BRLMXN"")*D1675"),1138.53852)</f>
        <v>1138.53852</v>
      </c>
      <c r="F1675" s="6">
        <f>IFERROR(__xludf.DUMMYFUNCTION("GOOGLEFINANCE(""Currency:BRLPEN"")*D1675"),219.730896)</f>
        <v>219.730896</v>
      </c>
      <c r="G1675" s="2" t="str">
        <f t="array" ref="G1675">_xlfn.XLOOKUP(B1675,Vendedores!$A$2:$A$41,Vendedores!$B$2:$B$41,"No hay datos")</f>
        <v>No hay datos</v>
      </c>
      <c r="H1675" s="2" t="str">
        <f t="array" ref="H1675">_xlfn.XLOOKUP(B1675,Vendedores!$A$2:$A$41,Vendedores!$C$2:$C$41,"No hay datos")</f>
        <v>No hay datos</v>
      </c>
      <c r="I1675" s="2" t="str">
        <f t="array" ref="I1675">_xlfn.XLOOKUP(B1675,Vendedores!$A$2:$A$41,Vendedores!$D$2:$D$41,"No hay datos")</f>
        <v>No hay datos</v>
      </c>
      <c r="J1675" s="2" t="str">
        <f t="array" ref="J1675">_xlfn.XLOOKUP(A1675,Productos!$A$2:$A$61,Productos!$B$2:$F$61)</f>
        <v>#N/A</v>
      </c>
    </row>
    <row r="1676">
      <c r="A1676" s="2" t="str">
        <f>IFERROR(__xludf.DUMMYFUNCTION("""COMPUTED_VALUE"""),"PR052")</f>
        <v>PR052</v>
      </c>
      <c r="B1676" s="2" t="str">
        <f>IFERROR(__xludf.DUMMYFUNCTION("""COMPUTED_VALUE"""),"VD032")</f>
        <v>VD032</v>
      </c>
      <c r="C1676" s="2">
        <f>IFERROR(__xludf.DUMMYFUNCTION("""COMPUTED_VALUE"""),1.0)</f>
        <v>1</v>
      </c>
      <c r="D1676" s="6">
        <f>IFERROR(__xludf.DUMMYFUNCTION("""COMPUTED_VALUE"""),50.4)</f>
        <v>50.4</v>
      </c>
      <c r="E1676" s="6">
        <f>IFERROR(__xludf.DUMMYFUNCTION("GOOGLEFINANCE(""Currency:BRLMXN"")*D1676"),171.2088)</f>
        <v>171.2088</v>
      </c>
      <c r="F1676" s="6">
        <f>IFERROR(__xludf.DUMMYFUNCTION("GOOGLEFINANCE(""Currency:BRLPEN"")*D1676"),33.04224)</f>
        <v>33.04224</v>
      </c>
      <c r="G1676" s="2" t="str">
        <f t="array" ref="G1676">_xlfn.XLOOKUP(B1676,Vendedores!$A$2:$A$41,Vendedores!$B$2:$B$41,"No hay datos")</f>
        <v>No hay datos</v>
      </c>
      <c r="H1676" s="2" t="str">
        <f t="array" ref="H1676">_xlfn.XLOOKUP(B1676,Vendedores!$A$2:$A$41,Vendedores!$C$2:$C$41,"No hay datos")</f>
        <v>No hay datos</v>
      </c>
      <c r="I1676" s="2" t="str">
        <f t="array" ref="I1676">_xlfn.XLOOKUP(B1676,Vendedores!$A$2:$A$41,Vendedores!$D$2:$D$41,"No hay datos")</f>
        <v>No hay datos</v>
      </c>
      <c r="J1676" s="2" t="str">
        <f t="array" ref="J1676">_xlfn.XLOOKUP(A1676,Productos!$A$2:$A$61,Productos!$B$2:$F$61)</f>
        <v>#N/A</v>
      </c>
    </row>
    <row r="1677">
      <c r="A1677" s="2" t="str">
        <f>IFERROR(__xludf.DUMMYFUNCTION("""COMPUTED_VALUE"""),"PR057")</f>
        <v>PR057</v>
      </c>
      <c r="B1677" s="2" t="str">
        <f>IFERROR(__xludf.DUMMYFUNCTION("""COMPUTED_VALUE"""),"VD038")</f>
        <v>VD038</v>
      </c>
      <c r="C1677" s="2">
        <f>IFERROR(__xludf.DUMMYFUNCTION("""COMPUTED_VALUE"""),2.0)</f>
        <v>2</v>
      </c>
      <c r="D1677" s="6">
        <f>IFERROR(__xludf.DUMMYFUNCTION("""COMPUTED_VALUE"""),197.78)</f>
        <v>197.78</v>
      </c>
      <c r="E1677" s="6">
        <f>IFERROR(__xludf.DUMMYFUNCTION("GOOGLEFINANCE(""Currency:BRLMXN"")*D1677"),671.85866)</f>
        <v>671.85866</v>
      </c>
      <c r="F1677" s="6">
        <f>IFERROR(__xludf.DUMMYFUNCTION("GOOGLEFINANCE(""Currency:BRLPEN"")*D1677"),129.664568)</f>
        <v>129.664568</v>
      </c>
      <c r="G1677" s="2" t="str">
        <f t="array" ref="G1677">_xlfn.XLOOKUP(B1677,Vendedores!$A$2:$A$41,Vendedores!$B$2:$B$41,"No hay datos")</f>
        <v>No hay datos</v>
      </c>
      <c r="H1677" s="2" t="str">
        <f t="array" ref="H1677">_xlfn.XLOOKUP(B1677,Vendedores!$A$2:$A$41,Vendedores!$C$2:$C$41,"No hay datos")</f>
        <v>No hay datos</v>
      </c>
      <c r="I1677" s="2" t="str">
        <f t="array" ref="I1677">_xlfn.XLOOKUP(B1677,Vendedores!$A$2:$A$41,Vendedores!$D$2:$D$41,"No hay datos")</f>
        <v>No hay datos</v>
      </c>
      <c r="J1677" s="2" t="str">
        <f t="array" ref="J1677">_xlfn.XLOOKUP(A1677,Productos!$A$2:$A$61,Productos!$B$2:$F$61)</f>
        <v>#N/A</v>
      </c>
    </row>
    <row r="1678">
      <c r="A1678" s="2" t="str">
        <f>IFERROR(__xludf.DUMMYFUNCTION("""COMPUTED_VALUE"""),"PR056")</f>
        <v>PR056</v>
      </c>
      <c r="B1678" s="2" t="str">
        <f>IFERROR(__xludf.DUMMYFUNCTION("""COMPUTED_VALUE"""),"VD020")</f>
        <v>VD020</v>
      </c>
      <c r="C1678" s="2">
        <f>IFERROR(__xludf.DUMMYFUNCTION("""COMPUTED_VALUE"""),6.0)</f>
        <v>6</v>
      </c>
      <c r="D1678" s="6">
        <f>IFERROR(__xludf.DUMMYFUNCTION("""COMPUTED_VALUE"""),587.95)</f>
        <v>587.95</v>
      </c>
      <c r="E1678" s="6">
        <f>IFERROR(__xludf.DUMMYFUNCTION("GOOGLEFINANCE(""Currency:BRLMXN"")*D1678"),1997.26615)</f>
        <v>1997.26615</v>
      </c>
      <c r="F1678" s="6">
        <f>IFERROR(__xludf.DUMMYFUNCTION("GOOGLEFINANCE(""Currency:BRLPEN"")*D1678"),385.46002)</f>
        <v>385.46002</v>
      </c>
      <c r="G1678" s="2" t="str">
        <f t="array" ref="G1678">_xlfn.XLOOKUP(B1678,Vendedores!$A$2:$A$41,Vendedores!$B$2:$B$41,"No hay datos")</f>
        <v>No hay datos</v>
      </c>
      <c r="H1678" s="2" t="str">
        <f t="array" ref="H1678">_xlfn.XLOOKUP(B1678,Vendedores!$A$2:$A$41,Vendedores!$C$2:$C$41,"No hay datos")</f>
        <v>No hay datos</v>
      </c>
      <c r="I1678" s="2" t="str">
        <f t="array" ref="I1678">_xlfn.XLOOKUP(B1678,Vendedores!$A$2:$A$41,Vendedores!$D$2:$D$41,"No hay datos")</f>
        <v>No hay datos</v>
      </c>
      <c r="J1678" s="2" t="str">
        <f t="array" ref="J1678">_xlfn.XLOOKUP(A1678,Productos!$A$2:$A$61,Productos!$B$2:$F$61)</f>
        <v>#N/A</v>
      </c>
    </row>
    <row r="1679">
      <c r="A1679" s="2" t="str">
        <f>IFERROR(__xludf.DUMMYFUNCTION("""COMPUTED_VALUE"""),"PR024")</f>
        <v>PR024</v>
      </c>
      <c r="B1679" s="2" t="str">
        <f>IFERROR(__xludf.DUMMYFUNCTION("""COMPUTED_VALUE"""),"VD049")</f>
        <v>VD049</v>
      </c>
      <c r="C1679" s="2">
        <f>IFERROR(__xludf.DUMMYFUNCTION("""COMPUTED_VALUE"""),3.0)</f>
        <v>3</v>
      </c>
      <c r="D1679" s="6">
        <f>IFERROR(__xludf.DUMMYFUNCTION("""COMPUTED_VALUE"""),810.89)</f>
        <v>810.89</v>
      </c>
      <c r="E1679" s="6">
        <f>IFERROR(__xludf.DUMMYFUNCTION("GOOGLEFINANCE(""Currency:BRLMXN"")*D1679"),2754.5933299999997)</f>
        <v>2754.59333</v>
      </c>
      <c r="F1679" s="6">
        <f>IFERROR(__xludf.DUMMYFUNCTION("GOOGLEFINANCE(""Currency:BRLPEN"")*D1679"),531.6194839999999)</f>
        <v>531.619484</v>
      </c>
      <c r="G1679" s="2" t="str">
        <f t="array" ref="G1679">_xlfn.XLOOKUP(B1679,Vendedores!$A$2:$A$41,Vendedores!$B$2:$B$41,"No hay datos")</f>
        <v>No hay datos</v>
      </c>
      <c r="H1679" s="2" t="str">
        <f t="array" ref="H1679">_xlfn.XLOOKUP(B1679,Vendedores!$A$2:$A$41,Vendedores!$C$2:$C$41,"No hay datos")</f>
        <v>No hay datos</v>
      </c>
      <c r="I1679" s="2" t="str">
        <f t="array" ref="I1679">_xlfn.XLOOKUP(B1679,Vendedores!$A$2:$A$41,Vendedores!$D$2:$D$41,"No hay datos")</f>
        <v>No hay datos</v>
      </c>
      <c r="J1679" s="2" t="str">
        <f t="array" ref="J1679">_xlfn.XLOOKUP(A1679,Productos!$A$2:$A$61,Productos!$B$2:$F$61)</f>
        <v>#N/A</v>
      </c>
    </row>
    <row r="1680">
      <c r="A1680" s="2" t="str">
        <f>IFERROR(__xludf.DUMMYFUNCTION("""COMPUTED_VALUE"""),"PR036")</f>
        <v>PR036</v>
      </c>
      <c r="B1680" s="2" t="str">
        <f>IFERROR(__xludf.DUMMYFUNCTION("""COMPUTED_VALUE"""),"VD021")</f>
        <v>VD021</v>
      </c>
      <c r="C1680" s="2">
        <f>IFERROR(__xludf.DUMMYFUNCTION("""COMPUTED_VALUE"""),2.0)</f>
        <v>2</v>
      </c>
      <c r="D1680" s="6">
        <f>IFERROR(__xludf.DUMMYFUNCTION("""COMPUTED_VALUE"""),198.22)</f>
        <v>198.22</v>
      </c>
      <c r="E1680" s="6">
        <f>IFERROR(__xludf.DUMMYFUNCTION("GOOGLEFINANCE(""Currency:BRLMXN"")*D1680"),673.35334)</f>
        <v>673.35334</v>
      </c>
      <c r="F1680" s="6">
        <f>IFERROR(__xludf.DUMMYFUNCTION("GOOGLEFINANCE(""Currency:BRLPEN"")*D1680"),129.95303199999998)</f>
        <v>129.953032</v>
      </c>
      <c r="G1680" s="2" t="str">
        <f t="array" ref="G1680">_xlfn.XLOOKUP(B1680,Vendedores!$A$2:$A$41,Vendedores!$B$2:$B$41,"No hay datos")</f>
        <v>No hay datos</v>
      </c>
      <c r="H1680" s="2" t="str">
        <f t="array" ref="H1680">_xlfn.XLOOKUP(B1680,Vendedores!$A$2:$A$41,Vendedores!$C$2:$C$41,"No hay datos")</f>
        <v>No hay datos</v>
      </c>
      <c r="I1680" s="2" t="str">
        <f t="array" ref="I1680">_xlfn.XLOOKUP(B1680,Vendedores!$A$2:$A$41,Vendedores!$D$2:$D$41,"No hay datos")</f>
        <v>No hay datos</v>
      </c>
      <c r="J1680" s="2" t="str">
        <f t="array" ref="J1680">_xlfn.XLOOKUP(A1680,Productos!$A$2:$A$61,Productos!$B$2:$F$61)</f>
        <v>#N/A</v>
      </c>
    </row>
    <row r="1681">
      <c r="A1681" s="2" t="str">
        <f>IFERROR(__xludf.DUMMYFUNCTION("""COMPUTED_VALUE"""),"PR024")</f>
        <v>PR024</v>
      </c>
      <c r="B1681" s="2" t="str">
        <f>IFERROR(__xludf.DUMMYFUNCTION("""COMPUTED_VALUE"""),"VD031")</f>
        <v>VD031</v>
      </c>
      <c r="C1681" s="2">
        <f>IFERROR(__xludf.DUMMYFUNCTION("""COMPUTED_VALUE"""),4.0)</f>
        <v>4</v>
      </c>
      <c r="D1681" s="6">
        <f>IFERROR(__xludf.DUMMYFUNCTION("""COMPUTED_VALUE"""),1101.98)</f>
        <v>1101.98</v>
      </c>
      <c r="E1681" s="6">
        <f>IFERROR(__xludf.DUMMYFUNCTION("GOOGLEFINANCE(""Currency:BRLMXN"")*D1681"),3743.42606)</f>
        <v>3743.42606</v>
      </c>
      <c r="F1681" s="6">
        <f>IFERROR(__xludf.DUMMYFUNCTION("GOOGLEFINANCE(""Currency:BRLPEN"")*D1681"),722.458088)</f>
        <v>722.458088</v>
      </c>
      <c r="G1681" s="2" t="str">
        <f t="array" ref="G1681">_xlfn.XLOOKUP(B1681,Vendedores!$A$2:$A$41,Vendedores!$B$2:$B$41,"No hay datos")</f>
        <v>No hay datos</v>
      </c>
      <c r="H1681" s="2" t="str">
        <f t="array" ref="H1681">_xlfn.XLOOKUP(B1681,Vendedores!$A$2:$A$41,Vendedores!$C$2:$C$41,"No hay datos")</f>
        <v>No hay datos</v>
      </c>
      <c r="I1681" s="2" t="str">
        <f t="array" ref="I1681">_xlfn.XLOOKUP(B1681,Vendedores!$A$2:$A$41,Vendedores!$D$2:$D$41,"No hay datos")</f>
        <v>No hay datos</v>
      </c>
      <c r="J1681" s="2" t="str">
        <f t="array" ref="J1681">_xlfn.XLOOKUP(A1681,Productos!$A$2:$A$61,Productos!$B$2:$F$61)</f>
        <v>#N/A</v>
      </c>
    </row>
    <row r="1682">
      <c r="A1682" s="2" t="str">
        <f>IFERROR(__xludf.DUMMYFUNCTION("""COMPUTED_VALUE"""),"PR011")</f>
        <v>PR011</v>
      </c>
      <c r="B1682" s="2" t="str">
        <f>IFERROR(__xludf.DUMMYFUNCTION("""COMPUTED_VALUE"""),"VD019")</f>
        <v>VD019</v>
      </c>
      <c r="C1682" s="2">
        <f>IFERROR(__xludf.DUMMYFUNCTION("""COMPUTED_VALUE"""),20.0)</f>
        <v>20</v>
      </c>
      <c r="D1682" s="6">
        <f>IFERROR(__xludf.DUMMYFUNCTION("""COMPUTED_VALUE"""),938.0)</f>
        <v>938</v>
      </c>
      <c r="E1682" s="6">
        <f>IFERROR(__xludf.DUMMYFUNCTION("GOOGLEFINANCE(""Currency:BRLMXN"")*D1682"),3186.386)</f>
        <v>3186.386</v>
      </c>
      <c r="F1682" s="6">
        <f>IFERROR(__xludf.DUMMYFUNCTION("GOOGLEFINANCE(""Currency:BRLPEN"")*D1682"),614.9527999999999)</f>
        <v>614.9528</v>
      </c>
      <c r="G1682" s="2" t="str">
        <f t="array" ref="G1682">_xlfn.XLOOKUP(B1682,Vendedores!$A$2:$A$41,Vendedores!$B$2:$B$41,"No hay datos")</f>
        <v>No hay datos</v>
      </c>
      <c r="H1682" s="2" t="str">
        <f t="array" ref="H1682">_xlfn.XLOOKUP(B1682,Vendedores!$A$2:$A$41,Vendedores!$C$2:$C$41,"No hay datos")</f>
        <v>No hay datos</v>
      </c>
      <c r="I1682" s="2" t="str">
        <f t="array" ref="I1682">_xlfn.XLOOKUP(B1682,Vendedores!$A$2:$A$41,Vendedores!$D$2:$D$41,"No hay datos")</f>
        <v>No hay datos</v>
      </c>
      <c r="J1682" s="2" t="str">
        <f t="array" ref="J1682">_xlfn.XLOOKUP(A1682,Productos!$A$2:$A$61,Productos!$B$2:$F$61)</f>
        <v>#N/A</v>
      </c>
    </row>
    <row r="1683">
      <c r="A1683" s="2" t="str">
        <f>IFERROR(__xludf.DUMMYFUNCTION("""COMPUTED_VALUE"""),"PR019")</f>
        <v>PR019</v>
      </c>
      <c r="B1683" s="2" t="str">
        <f>IFERROR(__xludf.DUMMYFUNCTION("""COMPUTED_VALUE"""),"VD012")</f>
        <v>VD012</v>
      </c>
      <c r="C1683" s="2">
        <f>IFERROR(__xludf.DUMMYFUNCTION("""COMPUTED_VALUE"""),10.0)</f>
        <v>10</v>
      </c>
      <c r="D1683" s="6">
        <f>IFERROR(__xludf.DUMMYFUNCTION("""COMPUTED_VALUE"""),533.93)</f>
        <v>533.93</v>
      </c>
      <c r="E1683" s="6">
        <f>IFERROR(__xludf.DUMMYFUNCTION("GOOGLEFINANCE(""Currency:BRLMXN"")*D1683"),1813.7602099999997)</f>
        <v>1813.76021</v>
      </c>
      <c r="F1683" s="6">
        <f>IFERROR(__xludf.DUMMYFUNCTION("GOOGLEFINANCE(""Currency:BRLPEN"")*D1683"),350.04450799999995)</f>
        <v>350.044508</v>
      </c>
      <c r="G1683" s="2" t="str">
        <f t="array" ref="G1683">_xlfn.XLOOKUP(B1683,Vendedores!$A$2:$A$41,Vendedores!$B$2:$B$41,"No hay datos")</f>
        <v>No hay datos</v>
      </c>
      <c r="H1683" s="2" t="str">
        <f t="array" ref="H1683">_xlfn.XLOOKUP(B1683,Vendedores!$A$2:$A$41,Vendedores!$C$2:$C$41,"No hay datos")</f>
        <v>No hay datos</v>
      </c>
      <c r="I1683" s="2" t="str">
        <f t="array" ref="I1683">_xlfn.XLOOKUP(B1683,Vendedores!$A$2:$A$41,Vendedores!$D$2:$D$41,"No hay datos")</f>
        <v>No hay datos</v>
      </c>
      <c r="J1683" s="2" t="str">
        <f t="array" ref="J1683">_xlfn.XLOOKUP(A1683,Productos!$A$2:$A$61,Productos!$B$2:$F$61)</f>
        <v>#N/A</v>
      </c>
    </row>
    <row r="1684">
      <c r="A1684" s="2" t="str">
        <f>IFERROR(__xludf.DUMMYFUNCTION("""COMPUTED_VALUE"""),"PR058")</f>
        <v>PR058</v>
      </c>
      <c r="B1684" s="2" t="str">
        <f>IFERROR(__xludf.DUMMYFUNCTION("""COMPUTED_VALUE"""),"VD019")</f>
        <v>VD019</v>
      </c>
      <c r="C1684" s="2">
        <f>IFERROR(__xludf.DUMMYFUNCTION("""COMPUTED_VALUE"""),7.0)</f>
        <v>7</v>
      </c>
      <c r="D1684" s="6">
        <f>IFERROR(__xludf.DUMMYFUNCTION("""COMPUTED_VALUE"""),1386.0)</f>
        <v>1386</v>
      </c>
      <c r="E1684" s="6">
        <f>IFERROR(__xludf.DUMMYFUNCTION("GOOGLEFINANCE(""Currency:BRLMXN"")*D1684"),4708.241999999999)</f>
        <v>4708.242</v>
      </c>
      <c r="F1684" s="6">
        <f>IFERROR(__xludf.DUMMYFUNCTION("GOOGLEFINANCE(""Currency:BRLPEN"")*D1684"),908.6615999999999)</f>
        <v>908.6616</v>
      </c>
      <c r="G1684" s="2" t="str">
        <f t="array" ref="G1684">_xlfn.XLOOKUP(B1684,Vendedores!$A$2:$A$41,Vendedores!$B$2:$B$41,"No hay datos")</f>
        <v>No hay datos</v>
      </c>
      <c r="H1684" s="2" t="str">
        <f t="array" ref="H1684">_xlfn.XLOOKUP(B1684,Vendedores!$A$2:$A$41,Vendedores!$C$2:$C$41,"No hay datos")</f>
        <v>No hay datos</v>
      </c>
      <c r="I1684" s="2" t="str">
        <f t="array" ref="I1684">_xlfn.XLOOKUP(B1684,Vendedores!$A$2:$A$41,Vendedores!$D$2:$D$41,"No hay datos")</f>
        <v>No hay datos</v>
      </c>
      <c r="J1684" s="2" t="str">
        <f t="array" ref="J1684">_xlfn.XLOOKUP(A1684,Productos!$A$2:$A$61,Productos!$B$2:$F$61)</f>
        <v>#N/A</v>
      </c>
    </row>
    <row r="1685">
      <c r="A1685" s="2" t="str">
        <f>IFERROR(__xludf.DUMMYFUNCTION("""COMPUTED_VALUE"""),"PR034")</f>
        <v>PR034</v>
      </c>
      <c r="B1685" s="2" t="str">
        <f>IFERROR(__xludf.DUMMYFUNCTION("""COMPUTED_VALUE"""),"VD039")</f>
        <v>VD039</v>
      </c>
      <c r="C1685" s="2">
        <f>IFERROR(__xludf.DUMMYFUNCTION("""COMPUTED_VALUE"""),16.0)</f>
        <v>16</v>
      </c>
      <c r="D1685" s="6">
        <f>IFERROR(__xludf.DUMMYFUNCTION("""COMPUTED_VALUE"""),1524.7)</f>
        <v>1524.7</v>
      </c>
      <c r="E1685" s="6">
        <f>IFERROR(__xludf.DUMMYFUNCTION("GOOGLEFINANCE(""Currency:BRLMXN"")*D1685"),5179.4059)</f>
        <v>5179.4059</v>
      </c>
      <c r="F1685" s="6">
        <f>IFERROR(__xludf.DUMMYFUNCTION("GOOGLEFINANCE(""Currency:BRLPEN"")*D1685"),999.59332)</f>
        <v>999.59332</v>
      </c>
      <c r="G1685" s="2" t="str">
        <f t="array" ref="G1685">_xlfn.XLOOKUP(B1685,Vendedores!$A$2:$A$41,Vendedores!$B$2:$B$41,"No hay datos")</f>
        <v>No hay datos</v>
      </c>
      <c r="H1685" s="2" t="str">
        <f t="array" ref="H1685">_xlfn.XLOOKUP(B1685,Vendedores!$A$2:$A$41,Vendedores!$C$2:$C$41,"No hay datos")</f>
        <v>No hay datos</v>
      </c>
      <c r="I1685" s="2" t="str">
        <f t="array" ref="I1685">_xlfn.XLOOKUP(B1685,Vendedores!$A$2:$A$41,Vendedores!$D$2:$D$41,"No hay datos")</f>
        <v>No hay datos</v>
      </c>
      <c r="J1685" s="2" t="str">
        <f t="array" ref="J1685">_xlfn.XLOOKUP(A1685,Productos!$A$2:$A$61,Productos!$B$2:$F$61)</f>
        <v>#N/A</v>
      </c>
    </row>
    <row r="1686">
      <c r="A1686" s="2" t="str">
        <f>IFERROR(__xludf.DUMMYFUNCTION("""COMPUTED_VALUE"""),"PR043")</f>
        <v>PR043</v>
      </c>
      <c r="B1686" s="2" t="str">
        <f>IFERROR(__xludf.DUMMYFUNCTION("""COMPUTED_VALUE"""),"VD046")</f>
        <v>VD046</v>
      </c>
      <c r="C1686" s="2">
        <f>IFERROR(__xludf.DUMMYFUNCTION("""COMPUTED_VALUE"""),3.0)</f>
        <v>3</v>
      </c>
      <c r="D1686" s="6">
        <f>IFERROR(__xludf.DUMMYFUNCTION("""COMPUTED_VALUE"""),230.55)</f>
        <v>230.55</v>
      </c>
      <c r="E1686" s="6">
        <f>IFERROR(__xludf.DUMMYFUNCTION("GOOGLEFINANCE(""Currency:BRLMXN"")*D1686"),783.17835)</f>
        <v>783.17835</v>
      </c>
      <c r="F1686" s="6">
        <f>IFERROR(__xludf.DUMMYFUNCTION("GOOGLEFINANCE(""Currency:BRLPEN"")*D1686"),151.14858)</f>
        <v>151.14858</v>
      </c>
      <c r="G1686" s="2" t="str">
        <f t="array" ref="G1686">_xlfn.XLOOKUP(B1686,Vendedores!$A$2:$A$41,Vendedores!$B$2:$B$41,"No hay datos")</f>
        <v>No hay datos</v>
      </c>
      <c r="H1686" s="2" t="str">
        <f t="array" ref="H1686">_xlfn.XLOOKUP(B1686,Vendedores!$A$2:$A$41,Vendedores!$C$2:$C$41,"No hay datos")</f>
        <v>No hay datos</v>
      </c>
      <c r="I1686" s="2" t="str">
        <f t="array" ref="I1686">_xlfn.XLOOKUP(B1686,Vendedores!$A$2:$A$41,Vendedores!$D$2:$D$41,"No hay datos")</f>
        <v>No hay datos</v>
      </c>
      <c r="J1686" s="2" t="str">
        <f t="array" ref="J1686">_xlfn.XLOOKUP(A1686,Productos!$A$2:$A$61,Productos!$B$2:$F$61)</f>
        <v>#N/A</v>
      </c>
    </row>
    <row r="1687">
      <c r="A1687" s="2" t="str">
        <f>IFERROR(__xludf.DUMMYFUNCTION("""COMPUTED_VALUE"""),"PR052")</f>
        <v>PR052</v>
      </c>
      <c r="B1687" s="2" t="str">
        <f>IFERROR(__xludf.DUMMYFUNCTION("""COMPUTED_VALUE"""),"VD045")</f>
        <v>VD045</v>
      </c>
      <c r="C1687" s="2">
        <f>IFERROR(__xludf.DUMMYFUNCTION("""COMPUTED_VALUE"""),3.0)</f>
        <v>3</v>
      </c>
      <c r="D1687" s="6">
        <f>IFERROR(__xludf.DUMMYFUNCTION("""COMPUTED_VALUE"""),163.17)</f>
        <v>163.17</v>
      </c>
      <c r="E1687" s="6">
        <f>IFERROR(__xludf.DUMMYFUNCTION("GOOGLEFINANCE(""Currency:BRLMXN"")*D1687"),554.2884899999999)</f>
        <v>554.28849</v>
      </c>
      <c r="F1687" s="6">
        <f>IFERROR(__xludf.DUMMYFUNCTION("GOOGLEFINANCE(""Currency:BRLPEN"")*D1687"),106.97425199999998)</f>
        <v>106.974252</v>
      </c>
      <c r="G1687" s="2" t="str">
        <f t="array" ref="G1687">_xlfn.XLOOKUP(B1687,Vendedores!$A$2:$A$41,Vendedores!$B$2:$B$41,"No hay datos")</f>
        <v>No hay datos</v>
      </c>
      <c r="H1687" s="2" t="str">
        <f t="array" ref="H1687">_xlfn.XLOOKUP(B1687,Vendedores!$A$2:$A$41,Vendedores!$C$2:$C$41,"No hay datos")</f>
        <v>No hay datos</v>
      </c>
      <c r="I1687" s="2" t="str">
        <f t="array" ref="I1687">_xlfn.XLOOKUP(B1687,Vendedores!$A$2:$A$41,Vendedores!$D$2:$D$41,"No hay datos")</f>
        <v>No hay datos</v>
      </c>
      <c r="J1687" s="2" t="str">
        <f t="array" ref="J1687">_xlfn.XLOOKUP(A1687,Productos!$A$2:$A$61,Productos!$B$2:$F$61)</f>
        <v>#N/A</v>
      </c>
    </row>
    <row r="1688">
      <c r="A1688" s="2" t="str">
        <f>IFERROR(__xludf.DUMMYFUNCTION("""COMPUTED_VALUE"""),"PR054")</f>
        <v>PR054</v>
      </c>
      <c r="B1688" s="2" t="str">
        <f>IFERROR(__xludf.DUMMYFUNCTION("""COMPUTED_VALUE"""),"VD041")</f>
        <v>VD041</v>
      </c>
      <c r="C1688" s="2">
        <f>IFERROR(__xludf.DUMMYFUNCTION("""COMPUTED_VALUE"""),12.0)</f>
        <v>12</v>
      </c>
      <c r="D1688" s="6">
        <f>IFERROR(__xludf.DUMMYFUNCTION("""COMPUTED_VALUE"""),622.75)</f>
        <v>622.75</v>
      </c>
      <c r="E1688" s="6">
        <f>IFERROR(__xludf.DUMMYFUNCTION("GOOGLEFINANCE(""Currency:BRLMXN"")*D1688"),2115.48175)</f>
        <v>2115.48175</v>
      </c>
      <c r="F1688" s="6">
        <f>IFERROR(__xludf.DUMMYFUNCTION("GOOGLEFINANCE(""Currency:BRLPEN"")*D1688"),408.2749)</f>
        <v>408.2749</v>
      </c>
      <c r="G1688" s="2" t="str">
        <f t="array" ref="G1688">_xlfn.XLOOKUP(B1688,Vendedores!$A$2:$A$41,Vendedores!$B$2:$B$41,"No hay datos")</f>
        <v>No hay datos</v>
      </c>
      <c r="H1688" s="2" t="str">
        <f t="array" ref="H1688">_xlfn.XLOOKUP(B1688,Vendedores!$A$2:$A$41,Vendedores!$C$2:$C$41,"No hay datos")</f>
        <v>No hay datos</v>
      </c>
      <c r="I1688" s="2" t="str">
        <f t="array" ref="I1688">_xlfn.XLOOKUP(B1688,Vendedores!$A$2:$A$41,Vendedores!$D$2:$D$41,"No hay datos")</f>
        <v>No hay datos</v>
      </c>
      <c r="J1688" s="2" t="str">
        <f t="array" ref="J1688">_xlfn.XLOOKUP(A1688,Productos!$A$2:$A$61,Productos!$B$2:$F$61)</f>
        <v>#N/A</v>
      </c>
    </row>
    <row r="1689">
      <c r="A1689" s="2" t="str">
        <f>IFERROR(__xludf.DUMMYFUNCTION("""COMPUTED_VALUE"""),"PR059")</f>
        <v>PR059</v>
      </c>
      <c r="B1689" s="2" t="str">
        <f>IFERROR(__xludf.DUMMYFUNCTION("""COMPUTED_VALUE"""),"VD014")</f>
        <v>VD014</v>
      </c>
      <c r="C1689" s="2">
        <f>IFERROR(__xludf.DUMMYFUNCTION("""COMPUTED_VALUE"""),7.0)</f>
        <v>7</v>
      </c>
      <c r="D1689" s="6">
        <f>IFERROR(__xludf.DUMMYFUNCTION("""COMPUTED_VALUE"""),1310.4)</f>
        <v>1310.4</v>
      </c>
      <c r="E1689" s="6">
        <f>IFERROR(__xludf.DUMMYFUNCTION("GOOGLEFINANCE(""Currency:BRLMXN"")*D1689"),4451.4288)</f>
        <v>4451.4288</v>
      </c>
      <c r="F1689" s="6">
        <f>IFERROR(__xludf.DUMMYFUNCTION("GOOGLEFINANCE(""Currency:BRLPEN"")*D1689"),859.09824)</f>
        <v>859.09824</v>
      </c>
      <c r="G1689" s="2" t="str">
        <f t="array" ref="G1689">_xlfn.XLOOKUP(B1689,Vendedores!$A$2:$A$41,Vendedores!$B$2:$B$41,"No hay datos")</f>
        <v>No hay datos</v>
      </c>
      <c r="H1689" s="2" t="str">
        <f t="array" ref="H1689">_xlfn.XLOOKUP(B1689,Vendedores!$A$2:$A$41,Vendedores!$C$2:$C$41,"No hay datos")</f>
        <v>No hay datos</v>
      </c>
      <c r="I1689" s="2" t="str">
        <f t="array" ref="I1689">_xlfn.XLOOKUP(B1689,Vendedores!$A$2:$A$41,Vendedores!$D$2:$D$41,"No hay datos")</f>
        <v>No hay datos</v>
      </c>
      <c r="J1689" s="2" t="str">
        <f t="array" ref="J1689">_xlfn.XLOOKUP(A1689,Productos!$A$2:$A$61,Productos!$B$2:$F$61)</f>
        <v>#N/A</v>
      </c>
    </row>
    <row r="1690">
      <c r="A1690" s="2" t="str">
        <f>IFERROR(__xludf.DUMMYFUNCTION("""COMPUTED_VALUE"""),"PR020")</f>
        <v>PR020</v>
      </c>
      <c r="B1690" s="2" t="str">
        <f>IFERROR(__xludf.DUMMYFUNCTION("""COMPUTED_VALUE"""),"VD036")</f>
        <v>VD036</v>
      </c>
      <c r="C1690" s="2">
        <f>IFERROR(__xludf.DUMMYFUNCTION("""COMPUTED_VALUE"""),20.0)</f>
        <v>20</v>
      </c>
      <c r="D1690" s="6">
        <f>IFERROR(__xludf.DUMMYFUNCTION("""COMPUTED_VALUE"""),6357.88)</f>
        <v>6357.88</v>
      </c>
      <c r="E1690" s="6">
        <f>IFERROR(__xludf.DUMMYFUNCTION("GOOGLEFINANCE(""Currency:BRLMXN"")*D1690"),21597.71836)</f>
        <v>21597.71836</v>
      </c>
      <c r="F1690" s="6">
        <f>IFERROR(__xludf.DUMMYFUNCTION("GOOGLEFINANCE(""Currency:BRLPEN"")*D1690"),4168.226128)</f>
        <v>4168.226128</v>
      </c>
      <c r="G1690" s="2" t="str">
        <f t="array" ref="G1690">_xlfn.XLOOKUP(B1690,Vendedores!$A$2:$A$41,Vendedores!$B$2:$B$41,"No hay datos")</f>
        <v>No hay datos</v>
      </c>
      <c r="H1690" s="2" t="str">
        <f t="array" ref="H1690">_xlfn.XLOOKUP(B1690,Vendedores!$A$2:$A$41,Vendedores!$C$2:$C$41,"No hay datos")</f>
        <v>No hay datos</v>
      </c>
      <c r="I1690" s="2" t="str">
        <f t="array" ref="I1690">_xlfn.XLOOKUP(B1690,Vendedores!$A$2:$A$41,Vendedores!$D$2:$D$41,"No hay datos")</f>
        <v>No hay datos</v>
      </c>
      <c r="J1690" s="2" t="str">
        <f t="array" ref="J1690">_xlfn.XLOOKUP(A1690,Productos!$A$2:$A$61,Productos!$B$2:$F$61)</f>
        <v>#N/A</v>
      </c>
    </row>
    <row r="1691">
      <c r="A1691" s="2" t="str">
        <f>IFERROR(__xludf.DUMMYFUNCTION("""COMPUTED_VALUE"""),"PR017")</f>
        <v>PR017</v>
      </c>
      <c r="B1691" s="2" t="str">
        <f>IFERROR(__xludf.DUMMYFUNCTION("""COMPUTED_VALUE"""),"VD027")</f>
        <v>VD027</v>
      </c>
      <c r="C1691" s="2">
        <f>IFERROR(__xludf.DUMMYFUNCTION("""COMPUTED_VALUE"""),12.0)</f>
        <v>12</v>
      </c>
      <c r="D1691" s="6">
        <f>IFERROR(__xludf.DUMMYFUNCTION("""COMPUTED_VALUE"""),391.09)</f>
        <v>391.09</v>
      </c>
      <c r="E1691" s="6">
        <f>IFERROR(__xludf.DUMMYFUNCTION("GOOGLEFINANCE(""Currency:BRLMXN"")*D1691"),1328.53273)</f>
        <v>1328.53273</v>
      </c>
      <c r="F1691" s="6">
        <f>IFERROR(__xludf.DUMMYFUNCTION("GOOGLEFINANCE(""Currency:BRLPEN"")*D1691"),256.398604)</f>
        <v>256.398604</v>
      </c>
      <c r="G1691" s="2" t="str">
        <f t="array" ref="G1691">_xlfn.XLOOKUP(B1691,Vendedores!$A$2:$A$41,Vendedores!$B$2:$B$41,"No hay datos")</f>
        <v>No hay datos</v>
      </c>
      <c r="H1691" s="2" t="str">
        <f t="array" ref="H1691">_xlfn.XLOOKUP(B1691,Vendedores!$A$2:$A$41,Vendedores!$C$2:$C$41,"No hay datos")</f>
        <v>No hay datos</v>
      </c>
      <c r="I1691" s="2" t="str">
        <f t="array" ref="I1691">_xlfn.XLOOKUP(B1691,Vendedores!$A$2:$A$41,Vendedores!$D$2:$D$41,"No hay datos")</f>
        <v>No hay datos</v>
      </c>
      <c r="J1691" s="2" t="str">
        <f t="array" ref="J1691">_xlfn.XLOOKUP(A1691,Productos!$A$2:$A$61,Productos!$B$2:$F$61)</f>
        <v>#N/A</v>
      </c>
    </row>
    <row r="1692">
      <c r="A1692" s="2" t="str">
        <f>IFERROR(__xludf.DUMMYFUNCTION("""COMPUTED_VALUE"""),"PR049")</f>
        <v>PR049</v>
      </c>
      <c r="B1692" s="2" t="str">
        <f>IFERROR(__xludf.DUMMYFUNCTION("""COMPUTED_VALUE"""),"VD039")</f>
        <v>VD039</v>
      </c>
      <c r="C1692" s="2">
        <f>IFERROR(__xludf.DUMMYFUNCTION("""COMPUTED_VALUE"""),4.0)</f>
        <v>4</v>
      </c>
      <c r="D1692" s="6">
        <f>IFERROR(__xludf.DUMMYFUNCTION("""COMPUTED_VALUE"""),139.5)</f>
        <v>139.5</v>
      </c>
      <c r="E1692" s="6">
        <f>IFERROR(__xludf.DUMMYFUNCTION("GOOGLEFINANCE(""Currency:BRLMXN"")*D1692"),473.88149999999996)</f>
        <v>473.8815</v>
      </c>
      <c r="F1692" s="6">
        <f>IFERROR(__xludf.DUMMYFUNCTION("GOOGLEFINANCE(""Currency:BRLPEN"")*D1692"),91.4562)</f>
        <v>91.4562</v>
      </c>
      <c r="G1692" s="2" t="str">
        <f t="array" ref="G1692">_xlfn.XLOOKUP(B1692,Vendedores!$A$2:$A$41,Vendedores!$B$2:$B$41,"No hay datos")</f>
        <v>No hay datos</v>
      </c>
      <c r="H1692" s="2" t="str">
        <f t="array" ref="H1692">_xlfn.XLOOKUP(B1692,Vendedores!$A$2:$A$41,Vendedores!$C$2:$C$41,"No hay datos")</f>
        <v>No hay datos</v>
      </c>
      <c r="I1692" s="2" t="str">
        <f t="array" ref="I1692">_xlfn.XLOOKUP(B1692,Vendedores!$A$2:$A$41,Vendedores!$D$2:$D$41,"No hay datos")</f>
        <v>No hay datos</v>
      </c>
      <c r="J1692" s="2" t="str">
        <f t="array" ref="J1692">_xlfn.XLOOKUP(A1692,Productos!$A$2:$A$61,Productos!$B$2:$F$61)</f>
        <v>#N/A</v>
      </c>
    </row>
    <row r="1693">
      <c r="A1693" s="2" t="str">
        <f>IFERROR(__xludf.DUMMYFUNCTION("""COMPUTED_VALUE"""),"PR034")</f>
        <v>PR034</v>
      </c>
      <c r="B1693" s="2" t="str">
        <f>IFERROR(__xludf.DUMMYFUNCTION("""COMPUTED_VALUE"""),"VD017")</f>
        <v>VD017</v>
      </c>
      <c r="C1693" s="2">
        <f>IFERROR(__xludf.DUMMYFUNCTION("""COMPUTED_VALUE"""),8.0)</f>
        <v>8</v>
      </c>
      <c r="D1693" s="6">
        <f>IFERROR(__xludf.DUMMYFUNCTION("""COMPUTED_VALUE"""),733.58)</f>
        <v>733.58</v>
      </c>
      <c r="E1693" s="6">
        <f>IFERROR(__xludf.DUMMYFUNCTION("GOOGLEFINANCE(""Currency:BRLMXN"")*D1693"),2491.97126)</f>
        <v>2491.97126</v>
      </c>
      <c r="F1693" s="6">
        <f>IFERROR(__xludf.DUMMYFUNCTION("GOOGLEFINANCE(""Currency:BRLPEN"")*D1693"),480.935048)</f>
        <v>480.935048</v>
      </c>
      <c r="G1693" s="2" t="str">
        <f t="array" ref="G1693">_xlfn.XLOOKUP(B1693,Vendedores!$A$2:$A$41,Vendedores!$B$2:$B$41,"No hay datos")</f>
        <v>No hay datos</v>
      </c>
      <c r="H1693" s="2" t="str">
        <f t="array" ref="H1693">_xlfn.XLOOKUP(B1693,Vendedores!$A$2:$A$41,Vendedores!$C$2:$C$41,"No hay datos")</f>
        <v>No hay datos</v>
      </c>
      <c r="I1693" s="2" t="str">
        <f t="array" ref="I1693">_xlfn.XLOOKUP(B1693,Vendedores!$A$2:$A$41,Vendedores!$D$2:$D$41,"No hay datos")</f>
        <v>No hay datos</v>
      </c>
      <c r="J1693" s="2" t="str">
        <f t="array" ref="J1693">_xlfn.XLOOKUP(A1693,Productos!$A$2:$A$61,Productos!$B$2:$F$61)</f>
        <v>#N/A</v>
      </c>
    </row>
    <row r="1694">
      <c r="A1694" s="2" t="str">
        <f>IFERROR(__xludf.DUMMYFUNCTION("""COMPUTED_VALUE"""),"PR045")</f>
        <v>PR045</v>
      </c>
      <c r="B1694" s="2" t="str">
        <f>IFERROR(__xludf.DUMMYFUNCTION("""COMPUTED_VALUE"""),"VD045")</f>
        <v>VD045</v>
      </c>
      <c r="C1694" s="2">
        <f>IFERROR(__xludf.DUMMYFUNCTION("""COMPUTED_VALUE"""),14.0)</f>
        <v>14</v>
      </c>
      <c r="D1694" s="6">
        <f>IFERROR(__xludf.DUMMYFUNCTION("""COMPUTED_VALUE"""),1025.15)</f>
        <v>1025.15</v>
      </c>
      <c r="E1694" s="6">
        <f>IFERROR(__xludf.DUMMYFUNCTION("GOOGLEFINANCE(""Currency:BRLMXN"")*D1694"),3482.43455)</f>
        <v>3482.43455</v>
      </c>
      <c r="F1694" s="6">
        <f>IFERROR(__xludf.DUMMYFUNCTION("GOOGLEFINANCE(""Currency:BRLPEN"")*D1694"),672.08834)</f>
        <v>672.08834</v>
      </c>
      <c r="G1694" s="2" t="str">
        <f t="array" ref="G1694">_xlfn.XLOOKUP(B1694,Vendedores!$A$2:$A$41,Vendedores!$B$2:$B$41,"No hay datos")</f>
        <v>No hay datos</v>
      </c>
      <c r="H1694" s="2" t="str">
        <f t="array" ref="H1694">_xlfn.XLOOKUP(B1694,Vendedores!$A$2:$A$41,Vendedores!$C$2:$C$41,"No hay datos")</f>
        <v>No hay datos</v>
      </c>
      <c r="I1694" s="2" t="str">
        <f t="array" ref="I1694">_xlfn.XLOOKUP(B1694,Vendedores!$A$2:$A$41,Vendedores!$D$2:$D$41,"No hay datos")</f>
        <v>No hay datos</v>
      </c>
      <c r="J1694" s="2" t="str">
        <f t="array" ref="J1694">_xlfn.XLOOKUP(A1694,Productos!$A$2:$A$61,Productos!$B$2:$F$61)</f>
        <v>#N/A</v>
      </c>
    </row>
    <row r="1695">
      <c r="A1695" s="2" t="str">
        <f>IFERROR(__xludf.DUMMYFUNCTION("""COMPUTED_VALUE"""),"PR018")</f>
        <v>PR018</v>
      </c>
      <c r="B1695" s="2" t="str">
        <f>IFERROR(__xludf.DUMMYFUNCTION("""COMPUTED_VALUE"""),"VD018")</f>
        <v>VD018</v>
      </c>
      <c r="C1695" s="2">
        <f>IFERROR(__xludf.DUMMYFUNCTION("""COMPUTED_VALUE"""),4.0)</f>
        <v>4</v>
      </c>
      <c r="D1695" s="6">
        <f>IFERROR(__xludf.DUMMYFUNCTION("""COMPUTED_VALUE"""),139.5)</f>
        <v>139.5</v>
      </c>
      <c r="E1695" s="6">
        <f>IFERROR(__xludf.DUMMYFUNCTION("GOOGLEFINANCE(""Currency:BRLMXN"")*D1695"),473.88149999999996)</f>
        <v>473.8815</v>
      </c>
      <c r="F1695" s="6">
        <f>IFERROR(__xludf.DUMMYFUNCTION("GOOGLEFINANCE(""Currency:BRLPEN"")*D1695"),91.4562)</f>
        <v>91.4562</v>
      </c>
      <c r="G1695" s="2" t="str">
        <f t="array" ref="G1695">_xlfn.XLOOKUP(B1695,Vendedores!$A$2:$A$41,Vendedores!$B$2:$B$41,"No hay datos")</f>
        <v>No hay datos</v>
      </c>
      <c r="H1695" s="2" t="str">
        <f t="array" ref="H1695">_xlfn.XLOOKUP(B1695,Vendedores!$A$2:$A$41,Vendedores!$C$2:$C$41,"No hay datos")</f>
        <v>No hay datos</v>
      </c>
      <c r="I1695" s="2" t="str">
        <f t="array" ref="I1695">_xlfn.XLOOKUP(B1695,Vendedores!$A$2:$A$41,Vendedores!$D$2:$D$41,"No hay datos")</f>
        <v>No hay datos</v>
      </c>
      <c r="J1695" s="2" t="str">
        <f t="array" ref="J1695">_xlfn.XLOOKUP(A1695,Productos!$A$2:$A$61,Productos!$B$2:$F$61)</f>
        <v>#N/A</v>
      </c>
    </row>
    <row r="1696">
      <c r="A1696" s="2" t="str">
        <f>IFERROR(__xludf.DUMMYFUNCTION("""COMPUTED_VALUE"""),"PR008")</f>
        <v>PR008</v>
      </c>
      <c r="B1696" s="2" t="str">
        <f>IFERROR(__xludf.DUMMYFUNCTION("""COMPUTED_VALUE"""),"VD016")</f>
        <v>VD016</v>
      </c>
      <c r="C1696" s="2">
        <f>IFERROR(__xludf.DUMMYFUNCTION("""COMPUTED_VALUE"""),6.0)</f>
        <v>6</v>
      </c>
      <c r="D1696" s="6">
        <f>IFERROR(__xludf.DUMMYFUNCTION("""COMPUTED_VALUE"""),539.4)</f>
        <v>539.4</v>
      </c>
      <c r="E1696" s="6">
        <f>IFERROR(__xludf.DUMMYFUNCTION("GOOGLEFINANCE(""Currency:BRLMXN"")*D1696"),1832.3418)</f>
        <v>1832.3418</v>
      </c>
      <c r="F1696" s="6">
        <f>IFERROR(__xludf.DUMMYFUNCTION("GOOGLEFINANCE(""Currency:BRLPEN"")*D1696"),353.63063999999997)</f>
        <v>353.63064</v>
      </c>
      <c r="G1696" s="2" t="str">
        <f t="array" ref="G1696">_xlfn.XLOOKUP(B1696,Vendedores!$A$2:$A$41,Vendedores!$B$2:$B$41,"No hay datos")</f>
        <v>No hay datos</v>
      </c>
      <c r="H1696" s="2" t="str">
        <f t="array" ref="H1696">_xlfn.XLOOKUP(B1696,Vendedores!$A$2:$A$41,Vendedores!$C$2:$C$41,"No hay datos")</f>
        <v>No hay datos</v>
      </c>
      <c r="I1696" s="2" t="str">
        <f t="array" ref="I1696">_xlfn.XLOOKUP(B1696,Vendedores!$A$2:$A$41,Vendedores!$D$2:$D$41,"No hay datos")</f>
        <v>No hay datos</v>
      </c>
      <c r="J1696" s="2" t="str">
        <f t="array" ref="J1696">_xlfn.XLOOKUP(A1696,Productos!$A$2:$A$61,Productos!$B$2:$F$61)</f>
        <v>#N/A</v>
      </c>
    </row>
    <row r="1697">
      <c r="A1697" s="2" t="str">
        <f>IFERROR(__xludf.DUMMYFUNCTION("""COMPUTED_VALUE"""),"PR013")</f>
        <v>PR013</v>
      </c>
      <c r="B1697" s="2" t="str">
        <f>IFERROR(__xludf.DUMMYFUNCTION("""COMPUTED_VALUE"""),"VD036")</f>
        <v>VD036</v>
      </c>
      <c r="C1697" s="2">
        <f>IFERROR(__xludf.DUMMYFUNCTION("""COMPUTED_VALUE"""),3.0)</f>
        <v>3</v>
      </c>
      <c r="D1697" s="6">
        <f>IFERROR(__xludf.DUMMYFUNCTION("""COMPUTED_VALUE"""),124.49)</f>
        <v>124.49</v>
      </c>
      <c r="E1697" s="6">
        <f>IFERROR(__xludf.DUMMYFUNCTION("GOOGLEFINANCE(""Currency:BRLMXN"")*D1697"),422.89252999999997)</f>
        <v>422.89253</v>
      </c>
      <c r="F1697" s="6">
        <f>IFERROR(__xludf.DUMMYFUNCTION("GOOGLEFINANCE(""Currency:BRLPEN"")*D1697"),81.61564399999999)</f>
        <v>81.615644</v>
      </c>
      <c r="G1697" s="2" t="str">
        <f t="array" ref="G1697">_xlfn.XLOOKUP(B1697,Vendedores!$A$2:$A$41,Vendedores!$B$2:$B$41,"No hay datos")</f>
        <v>No hay datos</v>
      </c>
      <c r="H1697" s="2" t="str">
        <f t="array" ref="H1697">_xlfn.XLOOKUP(B1697,Vendedores!$A$2:$A$41,Vendedores!$C$2:$C$41,"No hay datos")</f>
        <v>No hay datos</v>
      </c>
      <c r="I1697" s="2" t="str">
        <f t="array" ref="I1697">_xlfn.XLOOKUP(B1697,Vendedores!$A$2:$A$41,Vendedores!$D$2:$D$41,"No hay datos")</f>
        <v>No hay datos</v>
      </c>
      <c r="J1697" s="2" t="str">
        <f t="array" ref="J1697">_xlfn.XLOOKUP(A1697,Productos!$A$2:$A$61,Productos!$B$2:$F$61)</f>
        <v>#N/A</v>
      </c>
    </row>
    <row r="1698">
      <c r="A1698" s="2" t="str">
        <f>IFERROR(__xludf.DUMMYFUNCTION("""COMPUTED_VALUE"""),"PR055")</f>
        <v>PR055</v>
      </c>
      <c r="B1698" s="2" t="str">
        <f>IFERROR(__xludf.DUMMYFUNCTION("""COMPUTED_VALUE"""),"VD016")</f>
        <v>VD016</v>
      </c>
      <c r="C1698" s="2">
        <f>IFERROR(__xludf.DUMMYFUNCTION("""COMPUTED_VALUE"""),9.0)</f>
        <v>9</v>
      </c>
      <c r="D1698" s="6">
        <f>IFERROR(__xludf.DUMMYFUNCTION("""COMPUTED_VALUE"""),881.92)</f>
        <v>881.92</v>
      </c>
      <c r="E1698" s="6">
        <f>IFERROR(__xludf.DUMMYFUNCTION("GOOGLEFINANCE(""Currency:BRLMXN"")*D1698"),2995.8822399999995)</f>
        <v>2995.88224</v>
      </c>
      <c r="F1698" s="6">
        <f>IFERROR(__xludf.DUMMYFUNCTION("GOOGLEFINANCE(""Currency:BRLPEN"")*D1698"),578.186752)</f>
        <v>578.186752</v>
      </c>
      <c r="G1698" s="2" t="str">
        <f t="array" ref="G1698">_xlfn.XLOOKUP(B1698,Vendedores!$A$2:$A$41,Vendedores!$B$2:$B$41,"No hay datos")</f>
        <v>No hay datos</v>
      </c>
      <c r="H1698" s="2" t="str">
        <f t="array" ref="H1698">_xlfn.XLOOKUP(B1698,Vendedores!$A$2:$A$41,Vendedores!$C$2:$C$41,"No hay datos")</f>
        <v>No hay datos</v>
      </c>
      <c r="I1698" s="2" t="str">
        <f t="array" ref="I1698">_xlfn.XLOOKUP(B1698,Vendedores!$A$2:$A$41,Vendedores!$D$2:$D$41,"No hay datos")</f>
        <v>No hay datos</v>
      </c>
      <c r="J1698" s="2" t="str">
        <f t="array" ref="J1698">_xlfn.XLOOKUP(A1698,Productos!$A$2:$A$61,Productos!$B$2:$F$61)</f>
        <v>#N/A</v>
      </c>
    </row>
    <row r="1699">
      <c r="A1699" s="2" t="str">
        <f>IFERROR(__xludf.DUMMYFUNCTION("""COMPUTED_VALUE"""),"PR037")</f>
        <v>PR037</v>
      </c>
      <c r="B1699" s="2" t="str">
        <f>IFERROR(__xludf.DUMMYFUNCTION("""COMPUTED_VALUE"""),"VD048")</f>
        <v>VD048</v>
      </c>
      <c r="C1699" s="2">
        <f>IFERROR(__xludf.DUMMYFUNCTION("""COMPUTED_VALUE"""),1.0)</f>
        <v>1</v>
      </c>
      <c r="D1699" s="6">
        <f>IFERROR(__xludf.DUMMYFUNCTION("""COMPUTED_VALUE"""),154.0)</f>
        <v>154</v>
      </c>
      <c r="E1699" s="6">
        <f>IFERROR(__xludf.DUMMYFUNCTION("GOOGLEFINANCE(""Currency:BRLMXN"")*D1699"),523.1379999999999)</f>
        <v>523.138</v>
      </c>
      <c r="F1699" s="6">
        <f>IFERROR(__xludf.DUMMYFUNCTION("GOOGLEFINANCE(""Currency:BRLPEN"")*D1699"),100.96239999999999)</f>
        <v>100.9624</v>
      </c>
      <c r="G1699" s="2" t="str">
        <f t="array" ref="G1699">_xlfn.XLOOKUP(B1699,Vendedores!$A$2:$A$41,Vendedores!$B$2:$B$41,"No hay datos")</f>
        <v>No hay datos</v>
      </c>
      <c r="H1699" s="2" t="str">
        <f t="array" ref="H1699">_xlfn.XLOOKUP(B1699,Vendedores!$A$2:$A$41,Vendedores!$C$2:$C$41,"No hay datos")</f>
        <v>No hay datos</v>
      </c>
      <c r="I1699" s="2" t="str">
        <f t="array" ref="I1699">_xlfn.XLOOKUP(B1699,Vendedores!$A$2:$A$41,Vendedores!$D$2:$D$41,"No hay datos")</f>
        <v>No hay datos</v>
      </c>
      <c r="J1699" s="2" t="str">
        <f t="array" ref="J1699">_xlfn.XLOOKUP(A1699,Productos!$A$2:$A$61,Productos!$B$2:$F$61)</f>
        <v>#N/A</v>
      </c>
    </row>
    <row r="1700">
      <c r="A1700" s="2" t="str">
        <f>IFERROR(__xludf.DUMMYFUNCTION("""COMPUTED_VALUE"""),"PR036")</f>
        <v>PR036</v>
      </c>
      <c r="B1700" s="2" t="str">
        <f>IFERROR(__xludf.DUMMYFUNCTION("""COMPUTED_VALUE"""),"VD029")</f>
        <v>VD029</v>
      </c>
      <c r="C1700" s="2">
        <f>IFERROR(__xludf.DUMMYFUNCTION("""COMPUTED_VALUE"""),8.0)</f>
        <v>8</v>
      </c>
      <c r="D1700" s="6">
        <f>IFERROR(__xludf.DUMMYFUNCTION("""COMPUTED_VALUE"""),748.0)</f>
        <v>748</v>
      </c>
      <c r="E1700" s="6">
        <f>IFERROR(__xludf.DUMMYFUNCTION("GOOGLEFINANCE(""Currency:BRLMXN"")*D1700"),2540.9559999999997)</f>
        <v>2540.956</v>
      </c>
      <c r="F1700" s="6">
        <f>IFERROR(__xludf.DUMMYFUNCTION("GOOGLEFINANCE(""Currency:BRLPEN"")*D1700"),490.38879999999995)</f>
        <v>490.3888</v>
      </c>
      <c r="G1700" s="2" t="str">
        <f t="array" ref="G1700">_xlfn.XLOOKUP(B1700,Vendedores!$A$2:$A$41,Vendedores!$B$2:$B$41,"No hay datos")</f>
        <v>No hay datos</v>
      </c>
      <c r="H1700" s="2" t="str">
        <f t="array" ref="H1700">_xlfn.XLOOKUP(B1700,Vendedores!$A$2:$A$41,Vendedores!$C$2:$C$41,"No hay datos")</f>
        <v>No hay datos</v>
      </c>
      <c r="I1700" s="2" t="str">
        <f t="array" ref="I1700">_xlfn.XLOOKUP(B1700,Vendedores!$A$2:$A$41,Vendedores!$D$2:$D$41,"No hay datos")</f>
        <v>No hay datos</v>
      </c>
      <c r="J1700" s="2" t="str">
        <f t="array" ref="J1700">_xlfn.XLOOKUP(A1700,Productos!$A$2:$A$61,Productos!$B$2:$F$61)</f>
        <v>#N/A</v>
      </c>
    </row>
    <row r="1701">
      <c r="A1701" s="2" t="str">
        <f>IFERROR(__xludf.DUMMYFUNCTION("""COMPUTED_VALUE"""),"PR008")</f>
        <v>PR008</v>
      </c>
      <c r="B1701" s="2" t="str">
        <f>IFERROR(__xludf.DUMMYFUNCTION("""COMPUTED_VALUE"""),"VD013")</f>
        <v>VD013</v>
      </c>
      <c r="C1701" s="2">
        <f>IFERROR(__xludf.DUMMYFUNCTION("""COMPUTED_VALUE"""),20.0)</f>
        <v>20</v>
      </c>
      <c r="D1701" s="6">
        <f>IFERROR(__xludf.DUMMYFUNCTION("""COMPUTED_VALUE"""),1815.98)</f>
        <v>1815.98</v>
      </c>
      <c r="E1701" s="6">
        <f>IFERROR(__xludf.DUMMYFUNCTION("GOOGLEFINANCE(""Currency:BRLMXN"")*D1701"),6168.884059999999)</f>
        <v>6168.88406</v>
      </c>
      <c r="F1701" s="6">
        <f>IFERROR(__xludf.DUMMYFUNCTION("GOOGLEFINANCE(""Currency:BRLPEN"")*D1701"),1190.556488)</f>
        <v>1190.556488</v>
      </c>
      <c r="G1701" s="2" t="str">
        <f t="array" ref="G1701">_xlfn.XLOOKUP(B1701,Vendedores!$A$2:$A$41,Vendedores!$B$2:$B$41,"No hay datos")</f>
        <v>No hay datos</v>
      </c>
      <c r="H1701" s="2" t="str">
        <f t="array" ref="H1701">_xlfn.XLOOKUP(B1701,Vendedores!$A$2:$A$41,Vendedores!$C$2:$C$41,"No hay datos")</f>
        <v>No hay datos</v>
      </c>
      <c r="I1701" s="2" t="str">
        <f t="array" ref="I1701">_xlfn.XLOOKUP(B1701,Vendedores!$A$2:$A$41,Vendedores!$D$2:$D$41,"No hay datos")</f>
        <v>No hay datos</v>
      </c>
      <c r="J1701" s="2" t="str">
        <f t="array" ref="J1701">_xlfn.XLOOKUP(A1701,Productos!$A$2:$A$61,Productos!$B$2:$F$61)</f>
        <v>#N/A</v>
      </c>
    </row>
    <row r="1702">
      <c r="A1702" s="2" t="str">
        <f>IFERROR(__xludf.DUMMYFUNCTION("""COMPUTED_VALUE"""),"PR056")</f>
        <v>PR056</v>
      </c>
      <c r="B1702" s="2" t="str">
        <f>IFERROR(__xludf.DUMMYFUNCTION("""COMPUTED_VALUE"""),"VD032")</f>
        <v>VD032</v>
      </c>
      <c r="C1702" s="2">
        <f>IFERROR(__xludf.DUMMYFUNCTION("""COMPUTED_VALUE"""),10.0)</f>
        <v>10</v>
      </c>
      <c r="D1702" s="6">
        <f>IFERROR(__xludf.DUMMYFUNCTION("""COMPUTED_VALUE"""),961.93)</f>
        <v>961.93</v>
      </c>
      <c r="E1702" s="6">
        <f>IFERROR(__xludf.DUMMYFUNCTION("GOOGLEFINANCE(""Currency:BRLMXN"")*D1702"),3267.6762099999996)</f>
        <v>3267.67621</v>
      </c>
      <c r="F1702" s="6">
        <f>IFERROR(__xludf.DUMMYFUNCTION("GOOGLEFINANCE(""Currency:BRLPEN"")*D1702"),630.641308)</f>
        <v>630.641308</v>
      </c>
      <c r="G1702" s="2" t="str">
        <f t="array" ref="G1702">_xlfn.XLOOKUP(B1702,Vendedores!$A$2:$A$41,Vendedores!$B$2:$B$41,"No hay datos")</f>
        <v>No hay datos</v>
      </c>
      <c r="H1702" s="2" t="str">
        <f t="array" ref="H1702">_xlfn.XLOOKUP(B1702,Vendedores!$A$2:$A$41,Vendedores!$C$2:$C$41,"No hay datos")</f>
        <v>No hay datos</v>
      </c>
      <c r="I1702" s="2" t="str">
        <f t="array" ref="I1702">_xlfn.XLOOKUP(B1702,Vendedores!$A$2:$A$41,Vendedores!$D$2:$D$41,"No hay datos")</f>
        <v>No hay datos</v>
      </c>
      <c r="J1702" s="2" t="str">
        <f t="array" ref="J1702">_xlfn.XLOOKUP(A1702,Productos!$A$2:$A$61,Productos!$B$2:$F$61)</f>
        <v>#N/A</v>
      </c>
    </row>
    <row r="1703">
      <c r="A1703" s="2" t="str">
        <f>IFERROR(__xludf.DUMMYFUNCTION("""COMPUTED_VALUE"""),"PR033")</f>
        <v>PR033</v>
      </c>
      <c r="B1703" s="2" t="str">
        <f>IFERROR(__xludf.DUMMYFUNCTION("""COMPUTED_VALUE"""),"VD012")</f>
        <v>VD012</v>
      </c>
      <c r="C1703" s="2">
        <f>IFERROR(__xludf.DUMMYFUNCTION("""COMPUTED_VALUE"""),8.0)</f>
        <v>8</v>
      </c>
      <c r="D1703" s="6">
        <f>IFERROR(__xludf.DUMMYFUNCTION("""COMPUTED_VALUE"""),2141.58)</f>
        <v>2141.58</v>
      </c>
      <c r="E1703" s="6">
        <f>IFERROR(__xludf.DUMMYFUNCTION("GOOGLEFINANCE(""Currency:BRLMXN"")*D1703"),7274.947259999999)</f>
        <v>7274.94726</v>
      </c>
      <c r="F1703" s="6">
        <f>IFERROR(__xludf.DUMMYFUNCTION("GOOGLEFINANCE(""Currency:BRLPEN"")*D1703"),1404.019848)</f>
        <v>1404.019848</v>
      </c>
      <c r="G1703" s="2" t="str">
        <f t="array" ref="G1703">_xlfn.XLOOKUP(B1703,Vendedores!$A$2:$A$41,Vendedores!$B$2:$B$41,"No hay datos")</f>
        <v>No hay datos</v>
      </c>
      <c r="H1703" s="2" t="str">
        <f t="array" ref="H1703">_xlfn.XLOOKUP(B1703,Vendedores!$A$2:$A$41,Vendedores!$C$2:$C$41,"No hay datos")</f>
        <v>No hay datos</v>
      </c>
      <c r="I1703" s="2" t="str">
        <f t="array" ref="I1703">_xlfn.XLOOKUP(B1703,Vendedores!$A$2:$A$41,Vendedores!$D$2:$D$41,"No hay datos")</f>
        <v>No hay datos</v>
      </c>
      <c r="J1703" s="2" t="str">
        <f t="array" ref="J1703">_xlfn.XLOOKUP(A1703,Productos!$A$2:$A$61,Productos!$B$2:$F$61)</f>
        <v>#N/A</v>
      </c>
    </row>
    <row r="1704">
      <c r="A1704" s="2" t="str">
        <f>IFERROR(__xludf.DUMMYFUNCTION("""COMPUTED_VALUE"""),"PR001")</f>
        <v>PR001</v>
      </c>
      <c r="B1704" s="2" t="str">
        <f>IFERROR(__xludf.DUMMYFUNCTION("""COMPUTED_VALUE"""),"VD036")</f>
        <v>VD036</v>
      </c>
      <c r="C1704" s="2">
        <f>IFERROR(__xludf.DUMMYFUNCTION("""COMPUTED_VALUE"""),2.0)</f>
        <v>2</v>
      </c>
      <c r="D1704" s="6">
        <f>IFERROR(__xludf.DUMMYFUNCTION("""COMPUTED_VALUE"""),139.71)</f>
        <v>139.71</v>
      </c>
      <c r="E1704" s="6">
        <f>IFERROR(__xludf.DUMMYFUNCTION("GOOGLEFINANCE(""Currency:BRLMXN"")*D1704"),474.59487)</f>
        <v>474.59487</v>
      </c>
      <c r="F1704" s="6">
        <f>IFERROR(__xludf.DUMMYFUNCTION("GOOGLEFINANCE(""Currency:BRLPEN"")*D1704"),91.593876)</f>
        <v>91.593876</v>
      </c>
      <c r="G1704" s="2" t="str">
        <f t="array" ref="G1704">_xlfn.XLOOKUP(B1704,Vendedores!$A$2:$A$41,Vendedores!$B$2:$B$41,"No hay datos")</f>
        <v>No hay datos</v>
      </c>
      <c r="H1704" s="2" t="str">
        <f t="array" ref="H1704">_xlfn.XLOOKUP(B1704,Vendedores!$A$2:$A$41,Vendedores!$C$2:$C$41,"No hay datos")</f>
        <v>No hay datos</v>
      </c>
      <c r="I1704" s="2" t="str">
        <f t="array" ref="I1704">_xlfn.XLOOKUP(B1704,Vendedores!$A$2:$A$41,Vendedores!$D$2:$D$41,"No hay datos")</f>
        <v>No hay datos</v>
      </c>
      <c r="J1704" s="2" t="str">
        <f t="array" ref="J1704">_xlfn.XLOOKUP(A1704,Productos!$A$2:$A$61,Productos!$B$2:$F$61)</f>
        <v>#N/A</v>
      </c>
    </row>
    <row r="1705">
      <c r="A1705" s="2" t="str">
        <f>IFERROR(__xludf.DUMMYFUNCTION("""COMPUTED_VALUE"""),"PR007")</f>
        <v>PR007</v>
      </c>
      <c r="B1705" s="2" t="str">
        <f>IFERROR(__xludf.DUMMYFUNCTION("""COMPUTED_VALUE"""),"VD022")</f>
        <v>VD022</v>
      </c>
      <c r="C1705" s="2">
        <f>IFERROR(__xludf.DUMMYFUNCTION("""COMPUTED_VALUE"""),4.0)</f>
        <v>4</v>
      </c>
      <c r="D1705" s="6">
        <f>IFERROR(__xludf.DUMMYFUNCTION("""COMPUTED_VALUE"""),350.47)</f>
        <v>350.47</v>
      </c>
      <c r="E1705" s="6">
        <f>IFERROR(__xludf.DUMMYFUNCTION("GOOGLEFINANCE(""Currency:BRLMXN"")*D1705"),1190.54659)</f>
        <v>1190.54659</v>
      </c>
      <c r="F1705" s="6">
        <f>IFERROR(__xludf.DUMMYFUNCTION("GOOGLEFINANCE(""Currency:BRLPEN"")*D1705"),229.768132)</f>
        <v>229.768132</v>
      </c>
      <c r="G1705" s="2" t="str">
        <f t="array" ref="G1705">_xlfn.XLOOKUP(B1705,Vendedores!$A$2:$A$41,Vendedores!$B$2:$B$41,"No hay datos")</f>
        <v>No hay datos</v>
      </c>
      <c r="H1705" s="2" t="str">
        <f t="array" ref="H1705">_xlfn.XLOOKUP(B1705,Vendedores!$A$2:$A$41,Vendedores!$C$2:$C$41,"No hay datos")</f>
        <v>No hay datos</v>
      </c>
      <c r="I1705" s="2" t="str">
        <f t="array" ref="I1705">_xlfn.XLOOKUP(B1705,Vendedores!$A$2:$A$41,Vendedores!$D$2:$D$41,"No hay datos")</f>
        <v>No hay datos</v>
      </c>
      <c r="J1705" s="2" t="str">
        <f t="array" ref="J1705">_xlfn.XLOOKUP(A1705,Productos!$A$2:$A$61,Productos!$B$2:$F$61)</f>
        <v>#N/A</v>
      </c>
    </row>
    <row r="1706">
      <c r="A1706" s="2" t="str">
        <f>IFERROR(__xludf.DUMMYFUNCTION("""COMPUTED_VALUE"""),"PR056")</f>
        <v>PR056</v>
      </c>
      <c r="B1706" s="2" t="str">
        <f>IFERROR(__xludf.DUMMYFUNCTION("""COMPUTED_VALUE"""),"VD010")</f>
        <v>VD010</v>
      </c>
      <c r="C1706" s="2">
        <f>IFERROR(__xludf.DUMMYFUNCTION("""COMPUTED_VALUE"""),20.0)</f>
        <v>20</v>
      </c>
      <c r="D1706" s="6">
        <f>IFERROR(__xludf.DUMMYFUNCTION("""COMPUTED_VALUE"""),1905.88)</f>
        <v>1905.88</v>
      </c>
      <c r="E1706" s="6">
        <f>IFERROR(__xludf.DUMMYFUNCTION("GOOGLEFINANCE(""Currency:BRLMXN"")*D1706"),6474.27436)</f>
        <v>6474.27436</v>
      </c>
      <c r="F1706" s="6">
        <f>IFERROR(__xludf.DUMMYFUNCTION("GOOGLEFINANCE(""Currency:BRLPEN"")*D1706"),1249.494928)</f>
        <v>1249.494928</v>
      </c>
      <c r="G1706" s="2" t="str">
        <f t="array" ref="G1706">_xlfn.XLOOKUP(B1706,Vendedores!$A$2:$A$41,Vendedores!$B$2:$B$41,"No hay datos")</f>
        <v>No hay datos</v>
      </c>
      <c r="H1706" s="2" t="str">
        <f t="array" ref="H1706">_xlfn.XLOOKUP(B1706,Vendedores!$A$2:$A$41,Vendedores!$C$2:$C$41,"No hay datos")</f>
        <v>No hay datos</v>
      </c>
      <c r="I1706" s="2" t="str">
        <f t="array" ref="I1706">_xlfn.XLOOKUP(B1706,Vendedores!$A$2:$A$41,Vendedores!$D$2:$D$41,"No hay datos")</f>
        <v>No hay datos</v>
      </c>
      <c r="J1706" s="2" t="str">
        <f t="array" ref="J1706">_xlfn.XLOOKUP(A1706,Productos!$A$2:$A$61,Productos!$B$2:$F$61)</f>
        <v>#N/A</v>
      </c>
    </row>
    <row r="1707">
      <c r="A1707" s="2" t="str">
        <f>IFERROR(__xludf.DUMMYFUNCTION("""COMPUTED_VALUE"""),"PR055")</f>
        <v>PR055</v>
      </c>
      <c r="B1707" s="2" t="str">
        <f>IFERROR(__xludf.DUMMYFUNCTION("""COMPUTED_VALUE"""),"VD025")</f>
        <v>VD025</v>
      </c>
      <c r="C1707" s="2">
        <f>IFERROR(__xludf.DUMMYFUNCTION("""COMPUTED_VALUE"""),10.0)</f>
        <v>10</v>
      </c>
      <c r="D1707" s="6">
        <f>IFERROR(__xludf.DUMMYFUNCTION("""COMPUTED_VALUE"""),952.94)</f>
        <v>952.94</v>
      </c>
      <c r="E1707" s="6">
        <f>IFERROR(__xludf.DUMMYFUNCTION("GOOGLEFINANCE(""Currency:BRLMXN"")*D1707"),3237.13718)</f>
        <v>3237.13718</v>
      </c>
      <c r="F1707" s="6">
        <f>IFERROR(__xludf.DUMMYFUNCTION("GOOGLEFINANCE(""Currency:BRLPEN"")*D1707"),624.747464)</f>
        <v>624.747464</v>
      </c>
      <c r="G1707" s="2" t="str">
        <f t="array" ref="G1707">_xlfn.XLOOKUP(B1707,Vendedores!$A$2:$A$41,Vendedores!$B$2:$B$41,"No hay datos")</f>
        <v>No hay datos</v>
      </c>
      <c r="H1707" s="2" t="str">
        <f t="array" ref="H1707">_xlfn.XLOOKUP(B1707,Vendedores!$A$2:$A$41,Vendedores!$C$2:$C$41,"No hay datos")</f>
        <v>No hay datos</v>
      </c>
      <c r="I1707" s="2" t="str">
        <f t="array" ref="I1707">_xlfn.XLOOKUP(B1707,Vendedores!$A$2:$A$41,Vendedores!$D$2:$D$41,"No hay datos")</f>
        <v>No hay datos</v>
      </c>
      <c r="J1707" s="2" t="str">
        <f t="array" ref="J1707">_xlfn.XLOOKUP(A1707,Productos!$A$2:$A$61,Productos!$B$2:$F$61)</f>
        <v>#N/A</v>
      </c>
    </row>
    <row r="1708">
      <c r="A1708" s="2" t="str">
        <f>IFERROR(__xludf.DUMMYFUNCTION("""COMPUTED_VALUE"""),"PR055")</f>
        <v>PR055</v>
      </c>
      <c r="B1708" s="2" t="str">
        <f>IFERROR(__xludf.DUMMYFUNCTION("""COMPUTED_VALUE"""),"VD030")</f>
        <v>VD030</v>
      </c>
      <c r="C1708" s="2">
        <f>IFERROR(__xludf.DUMMYFUNCTION("""COMPUTED_VALUE"""),2.0)</f>
        <v>2</v>
      </c>
      <c r="D1708" s="6">
        <f>IFERROR(__xludf.DUMMYFUNCTION("""COMPUTED_VALUE"""),190.59)</f>
        <v>190.59</v>
      </c>
      <c r="E1708" s="6">
        <f>IFERROR(__xludf.DUMMYFUNCTION("GOOGLEFINANCE(""Currency:BRLMXN"")*D1708"),647.43423)</f>
        <v>647.43423</v>
      </c>
      <c r="F1708" s="6">
        <f>IFERROR(__xludf.DUMMYFUNCTION("GOOGLEFINANCE(""Currency:BRLPEN"")*D1708"),124.95080399999999)</f>
        <v>124.950804</v>
      </c>
      <c r="G1708" s="2" t="str">
        <f t="array" ref="G1708">_xlfn.XLOOKUP(B1708,Vendedores!$A$2:$A$41,Vendedores!$B$2:$B$41,"No hay datos")</f>
        <v>No hay datos</v>
      </c>
      <c r="H1708" s="2" t="str">
        <f t="array" ref="H1708">_xlfn.XLOOKUP(B1708,Vendedores!$A$2:$A$41,Vendedores!$C$2:$C$41,"No hay datos")</f>
        <v>No hay datos</v>
      </c>
      <c r="I1708" s="2" t="str">
        <f t="array" ref="I1708">_xlfn.XLOOKUP(B1708,Vendedores!$A$2:$A$41,Vendedores!$D$2:$D$41,"No hay datos")</f>
        <v>No hay datos</v>
      </c>
      <c r="J1708" s="2" t="str">
        <f t="array" ref="J1708">_xlfn.XLOOKUP(A1708,Productos!$A$2:$A$61,Productos!$B$2:$F$61)</f>
        <v>#N/A</v>
      </c>
    </row>
    <row r="1709">
      <c r="A1709" s="2"/>
      <c r="B1709" s="2"/>
      <c r="C1709" s="2"/>
      <c r="D1709" s="2"/>
    </row>
    <row r="1710">
      <c r="A1710" s="2"/>
      <c r="B1710" s="2"/>
      <c r="C1710" s="2"/>
      <c r="D1710" s="2"/>
    </row>
    <row r="1711">
      <c r="A1711" s="2"/>
      <c r="B1711" s="2"/>
      <c r="C1711" s="2"/>
      <c r="D1711" s="2"/>
    </row>
    <row r="1712">
      <c r="A1712" s="2"/>
      <c r="B1712" s="2"/>
      <c r="C1712" s="2"/>
      <c r="D1712" s="2"/>
    </row>
    <row r="1713">
      <c r="A1713" s="2"/>
      <c r="B1713" s="2"/>
      <c r="C1713" s="2"/>
      <c r="D1713" s="2"/>
    </row>
    <row r="1714">
      <c r="A1714" s="2"/>
      <c r="B1714" s="2"/>
      <c r="C1714" s="2"/>
      <c r="D1714" s="2"/>
    </row>
    <row r="1715">
      <c r="A1715" s="2"/>
      <c r="B1715" s="2"/>
      <c r="C1715" s="2"/>
      <c r="D1715" s="2"/>
    </row>
    <row r="1716">
      <c r="A1716" s="2"/>
      <c r="B1716" s="2"/>
      <c r="C1716" s="2"/>
      <c r="D1716" s="2"/>
    </row>
    <row r="1717">
      <c r="A1717" s="2"/>
      <c r="B1717" s="2"/>
      <c r="C1717" s="2"/>
      <c r="D1717" s="2"/>
    </row>
    <row r="1718">
      <c r="A1718" s="2"/>
      <c r="B1718" s="2"/>
      <c r="C1718" s="2"/>
      <c r="D1718" s="2"/>
    </row>
    <row r="1719">
      <c r="A1719" s="2"/>
      <c r="B1719" s="2"/>
      <c r="C1719" s="2"/>
      <c r="D1719" s="2"/>
    </row>
    <row r="1720">
      <c r="A1720" s="2"/>
      <c r="B1720" s="2"/>
      <c r="C1720" s="2"/>
      <c r="D1720" s="2"/>
    </row>
    <row r="1721">
      <c r="A1721" s="2"/>
      <c r="B1721" s="2"/>
      <c r="C1721" s="2"/>
      <c r="D1721" s="2"/>
    </row>
    <row r="1722">
      <c r="A1722" s="2"/>
      <c r="B1722" s="2"/>
      <c r="C1722" s="2"/>
      <c r="D1722" s="2"/>
    </row>
    <row r="1723">
      <c r="A1723" s="2"/>
      <c r="B1723" s="2"/>
      <c r="C1723" s="2"/>
      <c r="D1723" s="2"/>
    </row>
    <row r="1724">
      <c r="A1724" s="2"/>
      <c r="B1724" s="2"/>
      <c r="C1724" s="2"/>
      <c r="D1724" s="2"/>
    </row>
    <row r="1725">
      <c r="A1725" s="2"/>
      <c r="B1725" s="2"/>
      <c r="C1725" s="2"/>
      <c r="D1725" s="2"/>
    </row>
    <row r="1726">
      <c r="A1726" s="2"/>
      <c r="B1726" s="2"/>
      <c r="C1726" s="2"/>
      <c r="D1726" s="2"/>
    </row>
    <row r="1727">
      <c r="A1727" s="2"/>
      <c r="B1727" s="2"/>
      <c r="C1727" s="2"/>
      <c r="D1727" s="2"/>
    </row>
    <row r="1728">
      <c r="A1728" s="2"/>
      <c r="B1728" s="2"/>
      <c r="C1728" s="2"/>
      <c r="D1728" s="2"/>
    </row>
    <row r="1729">
      <c r="A1729" s="2"/>
      <c r="B1729" s="2"/>
      <c r="C1729" s="2"/>
      <c r="D1729" s="2"/>
    </row>
    <row r="1730">
      <c r="A1730" s="2"/>
      <c r="B1730" s="2"/>
      <c r="C1730" s="2"/>
      <c r="D1730" s="2"/>
    </row>
    <row r="1731">
      <c r="A1731" s="2"/>
      <c r="B1731" s="2"/>
      <c r="C1731" s="2"/>
      <c r="D1731" s="2"/>
    </row>
    <row r="1732">
      <c r="A1732" s="2"/>
      <c r="B1732" s="2"/>
      <c r="C1732" s="2"/>
      <c r="D1732" s="2"/>
    </row>
    <row r="1733">
      <c r="A1733" s="2"/>
      <c r="B1733" s="2"/>
      <c r="C1733" s="2"/>
      <c r="D1733" s="2"/>
    </row>
    <row r="1734">
      <c r="A1734" s="2"/>
      <c r="B1734" s="2"/>
      <c r="C1734" s="2"/>
      <c r="D1734" s="2"/>
    </row>
    <row r="1735">
      <c r="A1735" s="2"/>
      <c r="B1735" s="2"/>
      <c r="C1735" s="2"/>
      <c r="D1735" s="2"/>
    </row>
    <row r="1736">
      <c r="A1736" s="2"/>
      <c r="B1736" s="2"/>
      <c r="C1736" s="2"/>
      <c r="D1736" s="2"/>
    </row>
    <row r="1737">
      <c r="A1737" s="2"/>
      <c r="B1737" s="2"/>
      <c r="C1737" s="2"/>
      <c r="D1737" s="2"/>
    </row>
    <row r="1738">
      <c r="A1738" s="2"/>
      <c r="B1738" s="2"/>
      <c r="C1738" s="2"/>
      <c r="D1738" s="2"/>
    </row>
    <row r="1739">
      <c r="A1739" s="2"/>
      <c r="B1739" s="2"/>
      <c r="C1739" s="2"/>
      <c r="D1739" s="2"/>
    </row>
    <row r="1740">
      <c r="A1740" s="2"/>
      <c r="B1740" s="2"/>
      <c r="C1740" s="2"/>
      <c r="D1740" s="2"/>
    </row>
    <row r="1741">
      <c r="A1741" s="2"/>
      <c r="B1741" s="2"/>
      <c r="C1741" s="2"/>
      <c r="D1741" s="2"/>
    </row>
    <row r="1742">
      <c r="A1742" s="2"/>
      <c r="B1742" s="2"/>
      <c r="C1742" s="2"/>
      <c r="D1742" s="2"/>
    </row>
    <row r="1743">
      <c r="A1743" s="2"/>
      <c r="B1743" s="2"/>
      <c r="C1743" s="2"/>
      <c r="D1743" s="2"/>
    </row>
    <row r="1744">
      <c r="A1744" s="2"/>
      <c r="B1744" s="2"/>
      <c r="C1744" s="2"/>
      <c r="D1744" s="2"/>
    </row>
    <row r="1745">
      <c r="A1745" s="2"/>
      <c r="B1745" s="2"/>
      <c r="C1745" s="2"/>
      <c r="D1745" s="2"/>
    </row>
    <row r="1746">
      <c r="A1746" s="2"/>
      <c r="B1746" s="2"/>
      <c r="C1746" s="2"/>
      <c r="D1746" s="2"/>
    </row>
    <row r="1747">
      <c r="A1747" s="2"/>
      <c r="B1747" s="2"/>
      <c r="C1747" s="2"/>
      <c r="D1747" s="2"/>
    </row>
    <row r="1748">
      <c r="A1748" s="2"/>
      <c r="B1748" s="2"/>
      <c r="C1748" s="2"/>
      <c r="D1748" s="2"/>
    </row>
    <row r="1749">
      <c r="A1749" s="2"/>
      <c r="B1749" s="2"/>
      <c r="C1749" s="2"/>
      <c r="D1749" s="2"/>
    </row>
    <row r="1750">
      <c r="A1750" s="2"/>
      <c r="B1750" s="2"/>
      <c r="C1750" s="2"/>
      <c r="D1750" s="2"/>
    </row>
    <row r="1751">
      <c r="A1751" s="2"/>
      <c r="B1751" s="2"/>
      <c r="C1751" s="2"/>
      <c r="D1751" s="2"/>
    </row>
    <row r="1752">
      <c r="A1752" s="2"/>
      <c r="B1752" s="2"/>
      <c r="C1752" s="2"/>
      <c r="D1752" s="2"/>
    </row>
    <row r="1753">
      <c r="A1753" s="2"/>
      <c r="B1753" s="2"/>
      <c r="C1753" s="2"/>
      <c r="D1753" s="2"/>
    </row>
    <row r="1754">
      <c r="A1754" s="2"/>
      <c r="B1754" s="2"/>
      <c r="C1754" s="2"/>
      <c r="D1754" s="2"/>
    </row>
    <row r="1755">
      <c r="A1755" s="2"/>
      <c r="B1755" s="2"/>
      <c r="C1755" s="2"/>
      <c r="D1755" s="2"/>
    </row>
    <row r="1756">
      <c r="A1756" s="2"/>
      <c r="B1756" s="2"/>
      <c r="C1756" s="2"/>
      <c r="D1756" s="2"/>
    </row>
    <row r="1757">
      <c r="A1757" s="2"/>
      <c r="B1757" s="2"/>
      <c r="C1757" s="2"/>
      <c r="D1757" s="2"/>
    </row>
    <row r="1758">
      <c r="A1758" s="2"/>
      <c r="B1758" s="2"/>
      <c r="C1758" s="2"/>
      <c r="D1758" s="2"/>
    </row>
    <row r="1759">
      <c r="A1759" s="2"/>
      <c r="B1759" s="2"/>
      <c r="C1759" s="2"/>
      <c r="D1759" s="2"/>
    </row>
    <row r="1760">
      <c r="A1760" s="2"/>
      <c r="B1760" s="2"/>
      <c r="C1760" s="2"/>
      <c r="D1760" s="2"/>
    </row>
    <row r="1761">
      <c r="A1761" s="2"/>
      <c r="B1761" s="2"/>
      <c r="C1761" s="2"/>
      <c r="D1761" s="2"/>
    </row>
    <row r="1762">
      <c r="A1762" s="2"/>
      <c r="B1762" s="2"/>
      <c r="C1762" s="2"/>
      <c r="D1762" s="2"/>
    </row>
    <row r="1763">
      <c r="A1763" s="2"/>
      <c r="B1763" s="2"/>
      <c r="C1763" s="2"/>
      <c r="D1763" s="2"/>
    </row>
    <row r="1764">
      <c r="A1764" s="2"/>
      <c r="B1764" s="2"/>
      <c r="C1764" s="2"/>
      <c r="D1764" s="2"/>
    </row>
    <row r="1765">
      <c r="A1765" s="2"/>
      <c r="B1765" s="2"/>
      <c r="C1765" s="2"/>
      <c r="D1765" s="2"/>
    </row>
    <row r="1766">
      <c r="A1766" s="2"/>
      <c r="B1766" s="2"/>
      <c r="C1766" s="2"/>
      <c r="D1766" s="2"/>
    </row>
    <row r="1767">
      <c r="A1767" s="2"/>
      <c r="B1767" s="2"/>
      <c r="C1767" s="2"/>
      <c r="D1767" s="2"/>
    </row>
    <row r="1768">
      <c r="A1768" s="2"/>
      <c r="B1768" s="2"/>
      <c r="C1768" s="2"/>
      <c r="D1768" s="2"/>
    </row>
    <row r="1769">
      <c r="A1769" s="2"/>
      <c r="B1769" s="2"/>
      <c r="C1769" s="2"/>
      <c r="D1769" s="2"/>
    </row>
    <row r="1770">
      <c r="A1770" s="2"/>
      <c r="B1770" s="2"/>
      <c r="C1770" s="2"/>
      <c r="D1770" s="2"/>
    </row>
    <row r="1771">
      <c r="A1771" s="2"/>
      <c r="B1771" s="2"/>
      <c r="C1771" s="2"/>
      <c r="D1771" s="2"/>
    </row>
    <row r="1772">
      <c r="A1772" s="2"/>
      <c r="B1772" s="2"/>
      <c r="C1772" s="2"/>
      <c r="D1772" s="2"/>
    </row>
    <row r="1773">
      <c r="A1773" s="2"/>
      <c r="B1773" s="2"/>
      <c r="C1773" s="2"/>
      <c r="D1773" s="2"/>
    </row>
    <row r="1774">
      <c r="A1774" s="2"/>
      <c r="B1774" s="2"/>
      <c r="C1774" s="2"/>
      <c r="D1774" s="2"/>
    </row>
    <row r="1775">
      <c r="A1775" s="2"/>
      <c r="B1775" s="2"/>
      <c r="C1775" s="2"/>
      <c r="D1775" s="2"/>
    </row>
    <row r="1776">
      <c r="A1776" s="2"/>
      <c r="B1776" s="2"/>
      <c r="C1776" s="2"/>
      <c r="D1776" s="2"/>
    </row>
    <row r="1777">
      <c r="A1777" s="2"/>
      <c r="B1777" s="2"/>
      <c r="C1777" s="2"/>
      <c r="D1777" s="2"/>
    </row>
    <row r="1778">
      <c r="A1778" s="2"/>
      <c r="B1778" s="2"/>
      <c r="C1778" s="2"/>
      <c r="D1778" s="2"/>
    </row>
    <row r="1779">
      <c r="A1779" s="2"/>
      <c r="B1779" s="2"/>
      <c r="C1779" s="2"/>
      <c r="D1779" s="2"/>
    </row>
    <row r="1780">
      <c r="A1780" s="2"/>
      <c r="B1780" s="2"/>
      <c r="C1780" s="2"/>
      <c r="D1780" s="2"/>
    </row>
    <row r="1781">
      <c r="A1781" s="2"/>
      <c r="B1781" s="2"/>
      <c r="C1781" s="2"/>
      <c r="D1781" s="2"/>
    </row>
    <row r="1782">
      <c r="A1782" s="2"/>
      <c r="B1782" s="2"/>
      <c r="C1782" s="2"/>
      <c r="D1782" s="2"/>
    </row>
    <row r="1783">
      <c r="A1783" s="2"/>
      <c r="B1783" s="2"/>
      <c r="C1783" s="2"/>
      <c r="D1783" s="2"/>
    </row>
    <row r="1784">
      <c r="A1784" s="2"/>
      <c r="B1784" s="2"/>
      <c r="C1784" s="2"/>
      <c r="D1784" s="2"/>
    </row>
    <row r="1785">
      <c r="A1785" s="2"/>
      <c r="B1785" s="2"/>
      <c r="C1785" s="2"/>
      <c r="D1785" s="2"/>
    </row>
    <row r="1786">
      <c r="A1786" s="2"/>
      <c r="B1786" s="2"/>
      <c r="C1786" s="2"/>
      <c r="D1786" s="2"/>
    </row>
    <row r="1787">
      <c r="A1787" s="2"/>
      <c r="B1787" s="2"/>
      <c r="C1787" s="2"/>
      <c r="D1787" s="2"/>
    </row>
    <row r="1788">
      <c r="A1788" s="2"/>
      <c r="B1788" s="2"/>
      <c r="C1788" s="2"/>
      <c r="D1788" s="2"/>
    </row>
    <row r="1789">
      <c r="A1789" s="2"/>
      <c r="B1789" s="2"/>
      <c r="C1789" s="2"/>
      <c r="D1789" s="2"/>
    </row>
    <row r="1790">
      <c r="A1790" s="2"/>
      <c r="B1790" s="2"/>
      <c r="C1790" s="2"/>
      <c r="D1790" s="2"/>
    </row>
    <row r="1791">
      <c r="A1791" s="2"/>
      <c r="B1791" s="2"/>
      <c r="C1791" s="2"/>
      <c r="D1791" s="2"/>
    </row>
    <row r="1792">
      <c r="A1792" s="2"/>
      <c r="B1792" s="2"/>
      <c r="C1792" s="2"/>
      <c r="D1792" s="2"/>
    </row>
    <row r="1793">
      <c r="A1793" s="2"/>
      <c r="B1793" s="2"/>
      <c r="C1793" s="2"/>
      <c r="D1793" s="2"/>
    </row>
    <row r="1794">
      <c r="A1794" s="2"/>
      <c r="B1794" s="2"/>
      <c r="C1794" s="2"/>
      <c r="D1794" s="2"/>
    </row>
    <row r="1795">
      <c r="A1795" s="2"/>
      <c r="B1795" s="2"/>
      <c r="C1795" s="2"/>
      <c r="D1795" s="2"/>
    </row>
    <row r="1796">
      <c r="A1796" s="2"/>
      <c r="B1796" s="2"/>
      <c r="C1796" s="2"/>
      <c r="D1796" s="2"/>
    </row>
    <row r="1797">
      <c r="A1797" s="2"/>
      <c r="B1797" s="2"/>
      <c r="C1797" s="2"/>
      <c r="D1797" s="2"/>
    </row>
    <row r="1798">
      <c r="A1798" s="2"/>
      <c r="B1798" s="2"/>
      <c r="C1798" s="2"/>
      <c r="D1798" s="2"/>
    </row>
    <row r="1799">
      <c r="A1799" s="2"/>
      <c r="B1799" s="2"/>
      <c r="C1799" s="2"/>
      <c r="D1799" s="2"/>
    </row>
    <row r="1800">
      <c r="A1800" s="2"/>
      <c r="B1800" s="2"/>
      <c r="C1800" s="2"/>
      <c r="D1800" s="2"/>
    </row>
    <row r="1801">
      <c r="A1801" s="2"/>
      <c r="B1801" s="2"/>
      <c r="C1801" s="2"/>
      <c r="D1801" s="2"/>
    </row>
    <row r="1802">
      <c r="A1802" s="2"/>
      <c r="B1802" s="2"/>
      <c r="C1802" s="2"/>
      <c r="D1802" s="2"/>
    </row>
    <row r="1803">
      <c r="A1803" s="2"/>
      <c r="B1803" s="2"/>
      <c r="C1803" s="2"/>
      <c r="D1803" s="2"/>
    </row>
    <row r="1804">
      <c r="A1804" s="2"/>
      <c r="B1804" s="2"/>
      <c r="C1804" s="2"/>
      <c r="D1804" s="2"/>
    </row>
    <row r="1805">
      <c r="A1805" s="2"/>
      <c r="B1805" s="2"/>
      <c r="C1805" s="2"/>
      <c r="D1805" s="2"/>
    </row>
    <row r="1806">
      <c r="A1806" s="2"/>
      <c r="B1806" s="2"/>
      <c r="C1806" s="2"/>
      <c r="D1806" s="2"/>
    </row>
    <row r="1807">
      <c r="A1807" s="2"/>
      <c r="B1807" s="2"/>
      <c r="C1807" s="2"/>
      <c r="D1807" s="2"/>
    </row>
    <row r="1808">
      <c r="A1808" s="2"/>
      <c r="B1808" s="2"/>
      <c r="C1808" s="2"/>
      <c r="D1808" s="2"/>
    </row>
    <row r="1809">
      <c r="A1809" s="2"/>
      <c r="B1809" s="2"/>
      <c r="C1809" s="2"/>
      <c r="D1809" s="2"/>
    </row>
    <row r="1810">
      <c r="A1810" s="2"/>
      <c r="B1810" s="2"/>
      <c r="C1810" s="2"/>
      <c r="D1810" s="2"/>
    </row>
    <row r="1811">
      <c r="A1811" s="2"/>
      <c r="B1811" s="2"/>
      <c r="C1811" s="2"/>
      <c r="D1811" s="2"/>
    </row>
    <row r="1812">
      <c r="A1812" s="2"/>
      <c r="B1812" s="2"/>
      <c r="C1812" s="2"/>
      <c r="D1812" s="2"/>
    </row>
    <row r="1813">
      <c r="A1813" s="2"/>
      <c r="B1813" s="2"/>
      <c r="C1813" s="2"/>
      <c r="D1813" s="2"/>
    </row>
    <row r="1814">
      <c r="A1814" s="2"/>
      <c r="B1814" s="2"/>
      <c r="C1814" s="2"/>
      <c r="D1814" s="2"/>
    </row>
    <row r="1815">
      <c r="A1815" s="2"/>
      <c r="B1815" s="2"/>
      <c r="C1815" s="2"/>
      <c r="D1815" s="2"/>
    </row>
    <row r="1816">
      <c r="A1816" s="2"/>
      <c r="B1816" s="2"/>
      <c r="C1816" s="2"/>
      <c r="D1816" s="2"/>
    </row>
    <row r="1817">
      <c r="A1817" s="2"/>
      <c r="B1817" s="2"/>
      <c r="C1817" s="2"/>
      <c r="D1817" s="2"/>
    </row>
    <row r="1818">
      <c r="A1818" s="2"/>
      <c r="B1818" s="2"/>
      <c r="C1818" s="2"/>
      <c r="D1818" s="2"/>
    </row>
    <row r="1819">
      <c r="A1819" s="2"/>
      <c r="B1819" s="2"/>
      <c r="C1819" s="2"/>
      <c r="D1819" s="2"/>
    </row>
    <row r="1820">
      <c r="A1820" s="2"/>
      <c r="B1820" s="2"/>
      <c r="C1820" s="2"/>
      <c r="D1820" s="2"/>
    </row>
    <row r="1821">
      <c r="A1821" s="2"/>
      <c r="B1821" s="2"/>
      <c r="C1821" s="2"/>
      <c r="D1821" s="2"/>
    </row>
    <row r="1822">
      <c r="A1822" s="2"/>
      <c r="B1822" s="2"/>
      <c r="C1822" s="2"/>
      <c r="D1822" s="2"/>
    </row>
    <row r="1823">
      <c r="A1823" s="2"/>
      <c r="B1823" s="2"/>
      <c r="C1823" s="2"/>
      <c r="D1823" s="2"/>
    </row>
    <row r="1824">
      <c r="A1824" s="2"/>
      <c r="B1824" s="2"/>
      <c r="C1824" s="2"/>
      <c r="D1824" s="2"/>
    </row>
    <row r="1825">
      <c r="A1825" s="2"/>
      <c r="B1825" s="2"/>
      <c r="C1825" s="2"/>
      <c r="D1825" s="2"/>
    </row>
    <row r="1826">
      <c r="A1826" s="2"/>
      <c r="B1826" s="2"/>
      <c r="C1826" s="2"/>
      <c r="D1826" s="2"/>
    </row>
    <row r="1827">
      <c r="A1827" s="2"/>
      <c r="B1827" s="2"/>
      <c r="C1827" s="2"/>
      <c r="D1827" s="2"/>
    </row>
    <row r="1828">
      <c r="A1828" s="2"/>
      <c r="B1828" s="2"/>
      <c r="C1828" s="2"/>
      <c r="D1828" s="2"/>
    </row>
    <row r="1829">
      <c r="A1829" s="2"/>
      <c r="B1829" s="2"/>
      <c r="C1829" s="2"/>
      <c r="D1829" s="2"/>
    </row>
    <row r="1830">
      <c r="A1830" s="2"/>
      <c r="B1830" s="2"/>
      <c r="C1830" s="2"/>
      <c r="D1830" s="2"/>
    </row>
    <row r="1831">
      <c r="A1831" s="2"/>
      <c r="B1831" s="2"/>
      <c r="C1831" s="2"/>
      <c r="D1831" s="2"/>
    </row>
    <row r="1832">
      <c r="A1832" s="2"/>
      <c r="B1832" s="2"/>
      <c r="C1832" s="2"/>
      <c r="D1832" s="2"/>
    </row>
    <row r="1833">
      <c r="A1833" s="2"/>
      <c r="B1833" s="2"/>
      <c r="C1833" s="2"/>
      <c r="D1833" s="2"/>
    </row>
    <row r="1834">
      <c r="A1834" s="2"/>
      <c r="B1834" s="2"/>
      <c r="C1834" s="2"/>
      <c r="D1834" s="2"/>
    </row>
    <row r="1835">
      <c r="A1835" s="2"/>
      <c r="B1835" s="2"/>
      <c r="C1835" s="2"/>
      <c r="D1835" s="2"/>
    </row>
    <row r="1836">
      <c r="A1836" s="2"/>
      <c r="B1836" s="2"/>
      <c r="C1836" s="2"/>
      <c r="D1836" s="2"/>
    </row>
    <row r="1837">
      <c r="A1837" s="2"/>
      <c r="B1837" s="2"/>
      <c r="C1837" s="2"/>
      <c r="D1837" s="2"/>
    </row>
    <row r="1838">
      <c r="A1838" s="2"/>
      <c r="B1838" s="2"/>
      <c r="C1838" s="2"/>
      <c r="D1838" s="2"/>
    </row>
    <row r="1839">
      <c r="A1839" s="2"/>
      <c r="B1839" s="2"/>
      <c r="C1839" s="2"/>
      <c r="D1839" s="2"/>
    </row>
    <row r="1840">
      <c r="A1840" s="2"/>
      <c r="B1840" s="2"/>
      <c r="C1840" s="2"/>
      <c r="D1840" s="2"/>
    </row>
    <row r="1841">
      <c r="A1841" s="2"/>
      <c r="B1841" s="2"/>
      <c r="C1841" s="2"/>
      <c r="D1841" s="2"/>
    </row>
    <row r="1842">
      <c r="A1842" s="2"/>
      <c r="B1842" s="2"/>
      <c r="C1842" s="2"/>
      <c r="D1842" s="2"/>
    </row>
    <row r="1843">
      <c r="A1843" s="2"/>
      <c r="B1843" s="2"/>
      <c r="C1843" s="2"/>
      <c r="D1843" s="2"/>
    </row>
    <row r="1844">
      <c r="A1844" s="2"/>
      <c r="B1844" s="2"/>
      <c r="C1844" s="2"/>
      <c r="D1844" s="2"/>
    </row>
    <row r="1845">
      <c r="A1845" s="2"/>
      <c r="B1845" s="2"/>
      <c r="C1845" s="2"/>
      <c r="D1845" s="2"/>
    </row>
    <row r="1846">
      <c r="A1846" s="2"/>
      <c r="B1846" s="2"/>
      <c r="C1846" s="2"/>
      <c r="D1846" s="2"/>
    </row>
    <row r="1847">
      <c r="A1847" s="2"/>
      <c r="B1847" s="2"/>
      <c r="C1847" s="2"/>
      <c r="D1847" s="2"/>
    </row>
    <row r="1848">
      <c r="A1848" s="2"/>
      <c r="B1848" s="2"/>
      <c r="C1848" s="2"/>
      <c r="D1848" s="2"/>
    </row>
    <row r="1849">
      <c r="A1849" s="2"/>
      <c r="B1849" s="2"/>
      <c r="C1849" s="2"/>
      <c r="D1849" s="2"/>
    </row>
    <row r="1850">
      <c r="A1850" s="2"/>
      <c r="B1850" s="2"/>
      <c r="C1850" s="2"/>
      <c r="D1850" s="2"/>
    </row>
    <row r="1851">
      <c r="A1851" s="2"/>
      <c r="B1851" s="2"/>
      <c r="C1851" s="2"/>
      <c r="D1851" s="2"/>
    </row>
    <row r="1852">
      <c r="A1852" s="2"/>
      <c r="B1852" s="2"/>
      <c r="C1852" s="2"/>
      <c r="D1852" s="2"/>
    </row>
    <row r="1853">
      <c r="A1853" s="2"/>
      <c r="B1853" s="2"/>
      <c r="C1853" s="2"/>
      <c r="D1853" s="2"/>
    </row>
    <row r="1854">
      <c r="A1854" s="2"/>
      <c r="B1854" s="2"/>
      <c r="C1854" s="2"/>
      <c r="D1854" s="2"/>
    </row>
    <row r="1855">
      <c r="A1855" s="2"/>
      <c r="B1855" s="2"/>
      <c r="C1855" s="2"/>
      <c r="D1855" s="2"/>
    </row>
    <row r="1856">
      <c r="A1856" s="2"/>
      <c r="B1856" s="2"/>
      <c r="C1856" s="2"/>
      <c r="D1856" s="2"/>
    </row>
    <row r="1857">
      <c r="A1857" s="2"/>
      <c r="B1857" s="2"/>
      <c r="C1857" s="2"/>
      <c r="D1857" s="2"/>
    </row>
    <row r="1858">
      <c r="A1858" s="2"/>
      <c r="B1858" s="2"/>
      <c r="C1858" s="2"/>
      <c r="D1858" s="2"/>
    </row>
    <row r="1859">
      <c r="A1859" s="2"/>
      <c r="B1859" s="2"/>
      <c r="C1859" s="2"/>
      <c r="D1859" s="2"/>
    </row>
    <row r="1860">
      <c r="A1860" s="2"/>
      <c r="B1860" s="2"/>
      <c r="C1860" s="2"/>
      <c r="D1860" s="2"/>
    </row>
    <row r="1861">
      <c r="A1861" s="2"/>
      <c r="B1861" s="2"/>
      <c r="C1861" s="2"/>
      <c r="D1861" s="2"/>
    </row>
    <row r="1862">
      <c r="A1862" s="2"/>
      <c r="B1862" s="2"/>
      <c r="C1862" s="2"/>
      <c r="D1862" s="2"/>
    </row>
    <row r="1863">
      <c r="A1863" s="2"/>
      <c r="B1863" s="2"/>
      <c r="C1863" s="2"/>
      <c r="D1863" s="2"/>
    </row>
    <row r="1864">
      <c r="A1864" s="2"/>
      <c r="B1864" s="2"/>
      <c r="C1864" s="2"/>
      <c r="D1864" s="2"/>
    </row>
    <row r="1865">
      <c r="A1865" s="2"/>
      <c r="B1865" s="2"/>
      <c r="C1865" s="2"/>
      <c r="D1865" s="2"/>
    </row>
    <row r="1866">
      <c r="A1866" s="2"/>
      <c r="B1866" s="2"/>
      <c r="C1866" s="2"/>
      <c r="D1866" s="2"/>
    </row>
    <row r="1867">
      <c r="A1867" s="2"/>
      <c r="B1867" s="2"/>
      <c r="C1867" s="2"/>
      <c r="D1867" s="2"/>
    </row>
    <row r="1868">
      <c r="A1868" s="2"/>
      <c r="B1868" s="2"/>
      <c r="C1868" s="2"/>
      <c r="D1868" s="2"/>
    </row>
    <row r="1869">
      <c r="A1869" s="2"/>
      <c r="B1869" s="2"/>
      <c r="C1869" s="2"/>
      <c r="D1869" s="2"/>
    </row>
    <row r="1870">
      <c r="A1870" s="2"/>
      <c r="B1870" s="2"/>
      <c r="C1870" s="2"/>
      <c r="D1870" s="2"/>
    </row>
    <row r="1871">
      <c r="A1871" s="2"/>
      <c r="B1871" s="2"/>
      <c r="C1871" s="2"/>
      <c r="D1871" s="2"/>
    </row>
    <row r="1872">
      <c r="A1872" s="2"/>
      <c r="B1872" s="2"/>
      <c r="C1872" s="2"/>
      <c r="D1872" s="2"/>
    </row>
    <row r="1873">
      <c r="A1873" s="2"/>
      <c r="B1873" s="2"/>
      <c r="C1873" s="2"/>
      <c r="D1873" s="2"/>
    </row>
    <row r="1874">
      <c r="A1874" s="2"/>
      <c r="B1874" s="2"/>
      <c r="C1874" s="2"/>
      <c r="D1874" s="2"/>
    </row>
    <row r="1875">
      <c r="A1875" s="2"/>
      <c r="B1875" s="2"/>
      <c r="C1875" s="2"/>
      <c r="D1875" s="2"/>
    </row>
    <row r="1876">
      <c r="A1876" s="2"/>
      <c r="B1876" s="2"/>
      <c r="C1876" s="2"/>
      <c r="D1876" s="2"/>
    </row>
    <row r="1877">
      <c r="A1877" s="2"/>
      <c r="B1877" s="2"/>
      <c r="C1877" s="2"/>
      <c r="D1877" s="2"/>
    </row>
    <row r="1878">
      <c r="A1878" s="2"/>
      <c r="B1878" s="2"/>
      <c r="C1878" s="2"/>
      <c r="D1878" s="2"/>
    </row>
    <row r="1879">
      <c r="A1879" s="2"/>
      <c r="B1879" s="2"/>
      <c r="C1879" s="2"/>
      <c r="D1879" s="2"/>
    </row>
    <row r="1880">
      <c r="A1880" s="2"/>
      <c r="B1880" s="2"/>
      <c r="C1880" s="2"/>
      <c r="D1880" s="2"/>
    </row>
    <row r="1881">
      <c r="A1881" s="2"/>
      <c r="B1881" s="2"/>
      <c r="C1881" s="2"/>
      <c r="D1881" s="2"/>
    </row>
    <row r="1882">
      <c r="A1882" s="2"/>
      <c r="B1882" s="2"/>
      <c r="C1882" s="2"/>
      <c r="D1882" s="2"/>
    </row>
    <row r="1883">
      <c r="A1883" s="2"/>
      <c r="B1883" s="2"/>
      <c r="C1883" s="2"/>
      <c r="D1883" s="2"/>
    </row>
    <row r="1884">
      <c r="A1884" s="2"/>
      <c r="B1884" s="2"/>
      <c r="C1884" s="2"/>
      <c r="D1884" s="2"/>
    </row>
    <row r="1885">
      <c r="A1885" s="2"/>
      <c r="B1885" s="2"/>
      <c r="C1885" s="2"/>
      <c r="D1885" s="2"/>
    </row>
    <row r="1886">
      <c r="A1886" s="2"/>
      <c r="B1886" s="2"/>
      <c r="C1886" s="2"/>
      <c r="D1886" s="2"/>
    </row>
    <row r="1887">
      <c r="A1887" s="2"/>
      <c r="B1887" s="2"/>
      <c r="C1887" s="2"/>
      <c r="D1887" s="2"/>
    </row>
    <row r="1888">
      <c r="A1888" s="2"/>
      <c r="B1888" s="2"/>
      <c r="C1888" s="2"/>
      <c r="D1888" s="2"/>
    </row>
    <row r="1889">
      <c r="A1889" s="2"/>
      <c r="B1889" s="2"/>
      <c r="C1889" s="2"/>
      <c r="D1889" s="2"/>
    </row>
    <row r="1890">
      <c r="A1890" s="2"/>
      <c r="B1890" s="2"/>
      <c r="C1890" s="2"/>
      <c r="D1890" s="2"/>
    </row>
    <row r="1891">
      <c r="A1891" s="2"/>
      <c r="B1891" s="2"/>
      <c r="C1891" s="2"/>
      <c r="D1891" s="2"/>
    </row>
    <row r="1892">
      <c r="A1892" s="2"/>
      <c r="B1892" s="2"/>
      <c r="C1892" s="2"/>
      <c r="D1892" s="2"/>
    </row>
    <row r="1893">
      <c r="A1893" s="2"/>
      <c r="B1893" s="2"/>
      <c r="C1893" s="2"/>
      <c r="D1893" s="2"/>
    </row>
    <row r="1894">
      <c r="A1894" s="2"/>
      <c r="B1894" s="2"/>
      <c r="C1894" s="2"/>
      <c r="D1894" s="2"/>
    </row>
    <row r="1895">
      <c r="A1895" s="2"/>
      <c r="B1895" s="2"/>
      <c r="C1895" s="2"/>
      <c r="D1895" s="2"/>
    </row>
    <row r="1896">
      <c r="A1896" s="2"/>
      <c r="B1896" s="2"/>
      <c r="C1896" s="2"/>
      <c r="D1896" s="2"/>
    </row>
    <row r="1897">
      <c r="A1897" s="2"/>
      <c r="B1897" s="2"/>
      <c r="C1897" s="2"/>
      <c r="D1897" s="2"/>
    </row>
    <row r="1898">
      <c r="A1898" s="2"/>
      <c r="B1898" s="2"/>
      <c r="C1898" s="2"/>
      <c r="D1898" s="2"/>
    </row>
    <row r="1899">
      <c r="A1899" s="2"/>
      <c r="B1899" s="2"/>
      <c r="C1899" s="2"/>
      <c r="D1899" s="2"/>
    </row>
    <row r="1900">
      <c r="A1900" s="2"/>
      <c r="B1900" s="2"/>
      <c r="C1900" s="2"/>
      <c r="D1900" s="2"/>
    </row>
    <row r="1901">
      <c r="A1901" s="2"/>
      <c r="B1901" s="2"/>
      <c r="C1901" s="2"/>
      <c r="D1901" s="2"/>
    </row>
    <row r="1902">
      <c r="A1902" s="2"/>
      <c r="B1902" s="2"/>
      <c r="C1902" s="2"/>
      <c r="D1902" s="2"/>
    </row>
    <row r="1903">
      <c r="A1903" s="2"/>
      <c r="B1903" s="2"/>
      <c r="C1903" s="2"/>
      <c r="D1903" s="2"/>
    </row>
    <row r="1904">
      <c r="A1904" s="2"/>
      <c r="B1904" s="2"/>
      <c r="C1904" s="2"/>
      <c r="D1904" s="2"/>
    </row>
    <row r="1905">
      <c r="A1905" s="2"/>
      <c r="B1905" s="2"/>
      <c r="C1905" s="2"/>
      <c r="D1905" s="2"/>
    </row>
    <row r="1906">
      <c r="A1906" s="2"/>
      <c r="B1906" s="2"/>
      <c r="C1906" s="2"/>
      <c r="D1906" s="2"/>
    </row>
    <row r="1907">
      <c r="A1907" s="2"/>
      <c r="B1907" s="2"/>
      <c r="C1907" s="2"/>
      <c r="D1907" s="2"/>
    </row>
    <row r="1908">
      <c r="A1908" s="2"/>
      <c r="B1908" s="2"/>
      <c r="C1908" s="2"/>
      <c r="D1908" s="2"/>
    </row>
    <row r="1909">
      <c r="A1909" s="2"/>
      <c r="B1909" s="2"/>
      <c r="C1909" s="2"/>
      <c r="D1909" s="2"/>
    </row>
    <row r="1910">
      <c r="A1910" s="2"/>
      <c r="B1910" s="2"/>
      <c r="C1910" s="2"/>
      <c r="D1910" s="2"/>
    </row>
    <row r="1911">
      <c r="A1911" s="2"/>
      <c r="B1911" s="2"/>
      <c r="C1911" s="2"/>
      <c r="D1911" s="2"/>
    </row>
    <row r="1912">
      <c r="A1912" s="2"/>
      <c r="B1912" s="2"/>
      <c r="C1912" s="2"/>
      <c r="D1912" s="2"/>
    </row>
    <row r="1913">
      <c r="A1913" s="2"/>
      <c r="B1913" s="2"/>
      <c r="C1913" s="2"/>
      <c r="D1913" s="2"/>
    </row>
    <row r="1914">
      <c r="A1914" s="2"/>
      <c r="B1914" s="2"/>
      <c r="C1914" s="2"/>
      <c r="D1914" s="2"/>
    </row>
    <row r="1915">
      <c r="A1915" s="2"/>
      <c r="B1915" s="2"/>
      <c r="C1915" s="2"/>
      <c r="D1915" s="2"/>
    </row>
    <row r="1916">
      <c r="A1916" s="2"/>
      <c r="B1916" s="2"/>
      <c r="C1916" s="2"/>
      <c r="D1916" s="2"/>
    </row>
    <row r="1917">
      <c r="A1917" s="2"/>
      <c r="B1917" s="2"/>
      <c r="C1917" s="2"/>
      <c r="D1917" s="2"/>
    </row>
    <row r="1918">
      <c r="A1918" s="2"/>
      <c r="B1918" s="2"/>
      <c r="C1918" s="2"/>
      <c r="D1918" s="2"/>
    </row>
    <row r="1919">
      <c r="A1919" s="2"/>
      <c r="B1919" s="2"/>
      <c r="C1919" s="2"/>
      <c r="D1919" s="2"/>
    </row>
    <row r="1920">
      <c r="A1920" s="2"/>
      <c r="B1920" s="2"/>
      <c r="C1920" s="2"/>
      <c r="D1920" s="2"/>
    </row>
    <row r="1921">
      <c r="A1921" s="2"/>
      <c r="B1921" s="2"/>
      <c r="C1921" s="2"/>
      <c r="D1921" s="2"/>
    </row>
    <row r="1922">
      <c r="A1922" s="2"/>
      <c r="B1922" s="2"/>
      <c r="C1922" s="2"/>
      <c r="D1922" s="2"/>
    </row>
    <row r="1923">
      <c r="A1923" s="2"/>
      <c r="B1923" s="2"/>
      <c r="C1923" s="2"/>
      <c r="D1923" s="2"/>
    </row>
    <row r="1924">
      <c r="A1924" s="2"/>
      <c r="B1924" s="2"/>
      <c r="C1924" s="2"/>
      <c r="D1924" s="2"/>
    </row>
    <row r="1925">
      <c r="A1925" s="2"/>
      <c r="B1925" s="2"/>
      <c r="C1925" s="2"/>
      <c r="D1925" s="2"/>
    </row>
    <row r="1926">
      <c r="A1926" s="2"/>
      <c r="B1926" s="2"/>
      <c r="C1926" s="2"/>
      <c r="D1926" s="2"/>
    </row>
    <row r="1927">
      <c r="A1927" s="2"/>
      <c r="B1927" s="2"/>
      <c r="C1927" s="2"/>
      <c r="D1927" s="2"/>
    </row>
    <row r="1928">
      <c r="A1928" s="2"/>
      <c r="B1928" s="2"/>
      <c r="C1928" s="2"/>
      <c r="D1928" s="2"/>
    </row>
    <row r="1929">
      <c r="A1929" s="2"/>
      <c r="B1929" s="2"/>
      <c r="C1929" s="2"/>
      <c r="D1929" s="2"/>
    </row>
    <row r="1930">
      <c r="A1930" s="2"/>
      <c r="B1930" s="2"/>
      <c r="C1930" s="2"/>
      <c r="D1930" s="2"/>
    </row>
    <row r="1931">
      <c r="A1931" s="2"/>
      <c r="B1931" s="2"/>
      <c r="C1931" s="2"/>
      <c r="D1931" s="2"/>
    </row>
    <row r="1932">
      <c r="A1932" s="2"/>
      <c r="B1932" s="2"/>
      <c r="C1932" s="2"/>
      <c r="D1932" s="2"/>
    </row>
    <row r="1933">
      <c r="A1933" s="2"/>
      <c r="B1933" s="2"/>
      <c r="C1933" s="2"/>
      <c r="D1933" s="2"/>
    </row>
    <row r="1934">
      <c r="A1934" s="2"/>
      <c r="B1934" s="2"/>
      <c r="C1934" s="2"/>
      <c r="D1934" s="2"/>
    </row>
    <row r="1935">
      <c r="A1935" s="2"/>
      <c r="B1935" s="2"/>
      <c r="C1935" s="2"/>
      <c r="D1935" s="2"/>
    </row>
    <row r="1936">
      <c r="A1936" s="2"/>
      <c r="B1936" s="2"/>
      <c r="C1936" s="2"/>
      <c r="D1936" s="2"/>
    </row>
    <row r="1937">
      <c r="A1937" s="2"/>
      <c r="B1937" s="2"/>
      <c r="C1937" s="2"/>
      <c r="D1937" s="2"/>
    </row>
    <row r="1938">
      <c r="A1938" s="2"/>
      <c r="B1938" s="2"/>
      <c r="C1938" s="2"/>
      <c r="D1938" s="2"/>
    </row>
    <row r="1939">
      <c r="A1939" s="2"/>
      <c r="B1939" s="2"/>
      <c r="C1939" s="2"/>
      <c r="D1939" s="2"/>
    </row>
    <row r="1940">
      <c r="A1940" s="2"/>
      <c r="B1940" s="2"/>
      <c r="C1940" s="2"/>
      <c r="D1940" s="2"/>
    </row>
    <row r="1941">
      <c r="A1941" s="2"/>
      <c r="B1941" s="2"/>
      <c r="C1941" s="2"/>
      <c r="D1941" s="2"/>
    </row>
    <row r="1942">
      <c r="A1942" s="2"/>
      <c r="B1942" s="2"/>
      <c r="C1942" s="2"/>
      <c r="D1942" s="2"/>
    </row>
    <row r="1943">
      <c r="A1943" s="2"/>
      <c r="B1943" s="2"/>
      <c r="C1943" s="2"/>
      <c r="D1943" s="2"/>
    </row>
    <row r="1944">
      <c r="A1944" s="2"/>
      <c r="B1944" s="2"/>
      <c r="C1944" s="2"/>
      <c r="D1944" s="2"/>
    </row>
    <row r="1945">
      <c r="A1945" s="2"/>
      <c r="B1945" s="2"/>
      <c r="C1945" s="2"/>
      <c r="D1945" s="2"/>
    </row>
    <row r="1946">
      <c r="A1946" s="2"/>
      <c r="B1946" s="2"/>
      <c r="C1946" s="2"/>
      <c r="D1946" s="2"/>
    </row>
    <row r="1947">
      <c r="A1947" s="2"/>
      <c r="B1947" s="2"/>
      <c r="C1947" s="2"/>
      <c r="D1947" s="2"/>
    </row>
    <row r="1948">
      <c r="A1948" s="2"/>
      <c r="B1948" s="2"/>
      <c r="C1948" s="2"/>
      <c r="D1948" s="2"/>
    </row>
    <row r="1949">
      <c r="A1949" s="2"/>
      <c r="B1949" s="2"/>
      <c r="C1949" s="2"/>
      <c r="D1949" s="2"/>
    </row>
    <row r="1950">
      <c r="A1950" s="2"/>
      <c r="B1950" s="2"/>
      <c r="C1950" s="2"/>
      <c r="D1950" s="2"/>
    </row>
    <row r="1951">
      <c r="A1951" s="2"/>
      <c r="B1951" s="2"/>
      <c r="C1951" s="2"/>
      <c r="D1951" s="2"/>
    </row>
    <row r="1952">
      <c r="A1952" s="2"/>
      <c r="B1952" s="2"/>
      <c r="C1952" s="2"/>
      <c r="D1952" s="2"/>
    </row>
    <row r="1953">
      <c r="A1953" s="2"/>
      <c r="B1953" s="2"/>
      <c r="C1953" s="2"/>
      <c r="D1953" s="2"/>
    </row>
    <row r="1954">
      <c r="A1954" s="2"/>
      <c r="B1954" s="2"/>
      <c r="C1954" s="2"/>
      <c r="D1954" s="2"/>
    </row>
    <row r="1955">
      <c r="A1955" s="2"/>
      <c r="B1955" s="2"/>
      <c r="C1955" s="2"/>
      <c r="D1955" s="2"/>
    </row>
    <row r="1956">
      <c r="A1956" s="2"/>
      <c r="B1956" s="2"/>
      <c r="C1956" s="2"/>
      <c r="D1956" s="2"/>
    </row>
    <row r="1957">
      <c r="A1957" s="2"/>
      <c r="B1957" s="2"/>
      <c r="C1957" s="2"/>
      <c r="D1957" s="2"/>
    </row>
    <row r="1958">
      <c r="A1958" s="2"/>
      <c r="B1958" s="2"/>
      <c r="C1958" s="2"/>
      <c r="D1958" s="2"/>
    </row>
    <row r="1959">
      <c r="A1959" s="2"/>
      <c r="B1959" s="2"/>
      <c r="C1959" s="2"/>
      <c r="D1959" s="2"/>
    </row>
    <row r="1960">
      <c r="A1960" s="2"/>
      <c r="B1960" s="2"/>
      <c r="C1960" s="2"/>
      <c r="D1960" s="2"/>
    </row>
    <row r="1961">
      <c r="A1961" s="2"/>
      <c r="B1961" s="2"/>
      <c r="C1961" s="2"/>
      <c r="D1961" s="2"/>
    </row>
    <row r="1962">
      <c r="A1962" s="2"/>
      <c r="B1962" s="2"/>
      <c r="C1962" s="2"/>
      <c r="D1962" s="2"/>
    </row>
    <row r="1963">
      <c r="A1963" s="2"/>
      <c r="B1963" s="2"/>
      <c r="C1963" s="2"/>
      <c r="D1963" s="2"/>
    </row>
    <row r="1964">
      <c r="A1964" s="2"/>
      <c r="B1964" s="2"/>
      <c r="C1964" s="2"/>
      <c r="D1964" s="2"/>
    </row>
    <row r="1965">
      <c r="A1965" s="2"/>
      <c r="B1965" s="2"/>
      <c r="C1965" s="2"/>
      <c r="D1965" s="2"/>
    </row>
    <row r="1966">
      <c r="A1966" s="2"/>
      <c r="B1966" s="2"/>
      <c r="C1966" s="2"/>
      <c r="D1966" s="2"/>
    </row>
    <row r="1967">
      <c r="A1967" s="2"/>
      <c r="B1967" s="2"/>
      <c r="C1967" s="2"/>
      <c r="D1967" s="2"/>
    </row>
    <row r="1968">
      <c r="A1968" s="2"/>
      <c r="B1968" s="2"/>
      <c r="C1968" s="2"/>
      <c r="D1968" s="2"/>
    </row>
    <row r="1969">
      <c r="A1969" s="2"/>
      <c r="B1969" s="2"/>
      <c r="C1969" s="2"/>
      <c r="D1969" s="2"/>
    </row>
    <row r="1970">
      <c r="A1970" s="2"/>
      <c r="B1970" s="2"/>
      <c r="C1970" s="2"/>
      <c r="D1970" s="2"/>
    </row>
    <row r="1971">
      <c r="A1971" s="2"/>
      <c r="B1971" s="2"/>
      <c r="C1971" s="2"/>
      <c r="D1971" s="2"/>
    </row>
    <row r="1972">
      <c r="A1972" s="2"/>
      <c r="B1972" s="2"/>
      <c r="C1972" s="2"/>
      <c r="D1972" s="2"/>
    </row>
    <row r="1973">
      <c r="A1973" s="2"/>
      <c r="B1973" s="2"/>
      <c r="C1973" s="2"/>
      <c r="D1973" s="2"/>
    </row>
    <row r="1974">
      <c r="A1974" s="2"/>
      <c r="B1974" s="2"/>
      <c r="C1974" s="2"/>
      <c r="D1974" s="2"/>
    </row>
    <row r="1975">
      <c r="A1975" s="2"/>
      <c r="B1975" s="2"/>
      <c r="C1975" s="2"/>
      <c r="D1975" s="2"/>
    </row>
    <row r="1976">
      <c r="A1976" s="2"/>
      <c r="B1976" s="2"/>
      <c r="C1976" s="2"/>
      <c r="D1976" s="2"/>
    </row>
    <row r="1977">
      <c r="A1977" s="2"/>
      <c r="B1977" s="2"/>
      <c r="C1977" s="2"/>
      <c r="D1977" s="2"/>
    </row>
    <row r="1978">
      <c r="A1978" s="2"/>
      <c r="B1978" s="2"/>
      <c r="C1978" s="2"/>
      <c r="D1978" s="2"/>
    </row>
    <row r="1979">
      <c r="A1979" s="2"/>
      <c r="B1979" s="2"/>
      <c r="C1979" s="2"/>
      <c r="D1979" s="2"/>
    </row>
    <row r="1980">
      <c r="A1980" s="2"/>
      <c r="B1980" s="2"/>
      <c r="C1980" s="2"/>
      <c r="D1980" s="2"/>
    </row>
    <row r="1981">
      <c r="A1981" s="2"/>
      <c r="B1981" s="2"/>
      <c r="C1981" s="2"/>
      <c r="D1981" s="2"/>
    </row>
    <row r="1982">
      <c r="A1982" s="2"/>
      <c r="B1982" s="2"/>
      <c r="C1982" s="2"/>
      <c r="D1982" s="2"/>
    </row>
    <row r="1983">
      <c r="A1983" s="2"/>
      <c r="B1983" s="2"/>
      <c r="C1983" s="2"/>
      <c r="D1983" s="2"/>
    </row>
    <row r="1984">
      <c r="A1984" s="2"/>
      <c r="B1984" s="2"/>
      <c r="C1984" s="2"/>
      <c r="D1984" s="2"/>
    </row>
    <row r="1985">
      <c r="A1985" s="2"/>
      <c r="B1985" s="2"/>
      <c r="C1985" s="2"/>
      <c r="D1985" s="2"/>
    </row>
    <row r="1986">
      <c r="A1986" s="2"/>
      <c r="B1986" s="2"/>
      <c r="C1986" s="2"/>
      <c r="D1986" s="2"/>
    </row>
    <row r="1987">
      <c r="A1987" s="2"/>
      <c r="B1987" s="2"/>
      <c r="C1987" s="2"/>
      <c r="D1987" s="2"/>
    </row>
    <row r="1988">
      <c r="A1988" s="2"/>
      <c r="B1988" s="2"/>
      <c r="C1988" s="2"/>
      <c r="D1988" s="2"/>
    </row>
    <row r="1989">
      <c r="A1989" s="2"/>
      <c r="B1989" s="2"/>
      <c r="C1989" s="2"/>
      <c r="D1989" s="2"/>
    </row>
    <row r="1990">
      <c r="A1990" s="2"/>
      <c r="B1990" s="2"/>
      <c r="C1990" s="2"/>
      <c r="D1990" s="2"/>
    </row>
    <row r="1991">
      <c r="A1991" s="2"/>
      <c r="B1991" s="2"/>
      <c r="C1991" s="2"/>
      <c r="D1991" s="2"/>
    </row>
    <row r="1992">
      <c r="A1992" s="2"/>
      <c r="B1992" s="2"/>
      <c r="C1992" s="2"/>
      <c r="D1992" s="2"/>
    </row>
    <row r="1993">
      <c r="A1993" s="2"/>
      <c r="B1993" s="2"/>
      <c r="C1993" s="2"/>
      <c r="D1993" s="2"/>
    </row>
    <row r="1994">
      <c r="A1994" s="2"/>
      <c r="B1994" s="2"/>
      <c r="C1994" s="2"/>
      <c r="D1994" s="2"/>
    </row>
    <row r="1995">
      <c r="A1995" s="2"/>
      <c r="B1995" s="2"/>
      <c r="C1995" s="2"/>
      <c r="D1995" s="2"/>
    </row>
    <row r="1996">
      <c r="A1996" s="2"/>
      <c r="B1996" s="2"/>
      <c r="C1996" s="2"/>
      <c r="D1996" s="2"/>
    </row>
    <row r="1997">
      <c r="A1997" s="2"/>
      <c r="B1997" s="2"/>
      <c r="C1997" s="2"/>
      <c r="D1997" s="2"/>
    </row>
    <row r="1998">
      <c r="A1998" s="2"/>
      <c r="B1998" s="2"/>
      <c r="C1998" s="2"/>
      <c r="D1998" s="2"/>
    </row>
    <row r="1999">
      <c r="A1999" s="2"/>
      <c r="B1999" s="2"/>
      <c r="C1999" s="2"/>
      <c r="D1999" s="2"/>
    </row>
    <row r="2000">
      <c r="A2000" s="2"/>
      <c r="B2000" s="2"/>
      <c r="C2000" s="2"/>
      <c r="D2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0" width="3.13"/>
  </cols>
  <sheetData>
    <row r="1" ht="9.0" customHeight="1"/>
    <row r="2" ht="9.0" customHeight="1">
      <c r="B2" s="8" t="s">
        <v>14</v>
      </c>
      <c r="AA2" s="9" t="s">
        <v>15</v>
      </c>
    </row>
    <row r="3" ht="9.0" customHeight="1"/>
    <row r="4" ht="9.0" customHeight="1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AA4" s="10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2"/>
    </row>
    <row r="5" ht="9.0" customHeight="1">
      <c r="B5" s="13"/>
      <c r="X5" s="14"/>
      <c r="AA5" s="13"/>
      <c r="AW5" s="14"/>
    </row>
    <row r="6" ht="9.0" customHeight="1">
      <c r="B6" s="13"/>
      <c r="X6" s="14"/>
      <c r="AA6" s="13"/>
      <c r="AW6" s="14"/>
    </row>
    <row r="7" ht="9.0" customHeight="1">
      <c r="B7" s="13"/>
      <c r="X7" s="14"/>
      <c r="AA7" s="13"/>
      <c r="AW7" s="14"/>
    </row>
    <row r="8" ht="9.0" customHeight="1">
      <c r="B8" s="13"/>
      <c r="X8" s="14"/>
      <c r="AA8" s="13"/>
      <c r="AW8" s="14"/>
    </row>
    <row r="9" ht="9.0" customHeight="1">
      <c r="B9" s="13"/>
      <c r="X9" s="14"/>
      <c r="AA9" s="13"/>
      <c r="AW9" s="14"/>
    </row>
    <row r="10" ht="9.0" customHeight="1">
      <c r="B10" s="13"/>
      <c r="X10" s="14"/>
      <c r="AA10" s="13"/>
      <c r="AW10" s="14"/>
    </row>
    <row r="11" ht="9.0" customHeight="1">
      <c r="B11" s="13"/>
      <c r="X11" s="14"/>
      <c r="AA11" s="13"/>
      <c r="AW11" s="14"/>
    </row>
    <row r="12" ht="9.0" customHeight="1">
      <c r="B12" s="13"/>
      <c r="X12" s="14"/>
      <c r="AA12" s="13"/>
      <c r="AW12" s="14"/>
    </row>
    <row r="13" ht="9.0" customHeight="1">
      <c r="B13" s="13"/>
      <c r="X13" s="14"/>
      <c r="AA13" s="13"/>
      <c r="AW13" s="14"/>
    </row>
    <row r="14" ht="9.0" customHeight="1">
      <c r="B14" s="13"/>
      <c r="X14" s="14"/>
      <c r="AA14" s="13"/>
      <c r="AW14" s="14"/>
    </row>
    <row r="15" ht="9.0" customHeight="1">
      <c r="B15" s="13"/>
      <c r="X15" s="14"/>
      <c r="AA15" s="13"/>
      <c r="AW15" s="14"/>
    </row>
    <row r="16" ht="9.0" customHeight="1">
      <c r="B16" s="13"/>
      <c r="X16" s="14"/>
      <c r="AA16" s="13"/>
      <c r="AW16" s="14"/>
    </row>
    <row r="17" ht="9.0" customHeight="1">
      <c r="B17" s="13"/>
      <c r="X17" s="14"/>
      <c r="AA17" s="13"/>
      <c r="AW17" s="14"/>
    </row>
    <row r="18" ht="9.0" customHeight="1">
      <c r="B18" s="13"/>
      <c r="X18" s="14"/>
      <c r="AA18" s="13"/>
      <c r="AW18" s="14"/>
    </row>
    <row r="19" ht="9.0" customHeight="1">
      <c r="B19" s="13"/>
      <c r="X19" s="14"/>
      <c r="AA19" s="13"/>
      <c r="AW19" s="14"/>
    </row>
    <row r="20" ht="9.0" customHeight="1">
      <c r="B20" s="13"/>
      <c r="X20" s="14"/>
      <c r="AA20" s="13"/>
      <c r="AW20" s="14"/>
    </row>
    <row r="21" ht="9.0" customHeight="1">
      <c r="B21" s="13"/>
      <c r="X21" s="14"/>
      <c r="AA21" s="15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7"/>
    </row>
    <row r="22" ht="9.0" customHeight="1">
      <c r="B22" s="13"/>
      <c r="X22" s="14"/>
    </row>
    <row r="23" ht="9.0" customHeight="1">
      <c r="B23" s="13"/>
      <c r="X23" s="14"/>
      <c r="AA23" s="9" t="s">
        <v>16</v>
      </c>
    </row>
    <row r="24" ht="9.0" customHeight="1">
      <c r="B24" s="13"/>
      <c r="X24" s="14"/>
    </row>
    <row r="25" ht="9.0" customHeight="1">
      <c r="B25" s="13"/>
      <c r="X25" s="14"/>
      <c r="AA25" s="10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2"/>
    </row>
    <row r="26" ht="9.0" customHeight="1">
      <c r="B26" s="13"/>
      <c r="X26" s="14"/>
      <c r="AA26" s="13"/>
      <c r="AW26" s="14"/>
    </row>
    <row r="27" ht="9.0" customHeight="1">
      <c r="B27" s="13"/>
      <c r="X27" s="14"/>
      <c r="AA27" s="13"/>
      <c r="AW27" s="14"/>
    </row>
    <row r="28" ht="9.0" customHeight="1">
      <c r="B28" s="13"/>
      <c r="X28" s="14"/>
      <c r="AA28" s="13"/>
      <c r="AW28" s="14"/>
    </row>
    <row r="29" ht="9.0" customHeight="1">
      <c r="B29" s="13"/>
      <c r="X29" s="14"/>
      <c r="AA29" s="13"/>
      <c r="AW29" s="14"/>
    </row>
    <row r="30" ht="9.0" customHeight="1">
      <c r="B30" s="13"/>
      <c r="X30" s="14"/>
      <c r="AA30" s="13"/>
      <c r="AW30" s="14"/>
    </row>
    <row r="31" ht="9.0" customHeight="1">
      <c r="B31" s="13"/>
      <c r="X31" s="14"/>
      <c r="AA31" s="13"/>
      <c r="AW31" s="14"/>
    </row>
    <row r="32" ht="9.0" customHeight="1">
      <c r="B32" s="13"/>
      <c r="X32" s="14"/>
      <c r="AA32" s="13"/>
      <c r="AW32" s="14"/>
    </row>
    <row r="33" ht="9.0" customHeight="1">
      <c r="B33" s="13"/>
      <c r="X33" s="14"/>
      <c r="AA33" s="13"/>
      <c r="AW33" s="14"/>
    </row>
    <row r="34" ht="9.0" customHeight="1">
      <c r="B34" s="13"/>
      <c r="X34" s="14"/>
      <c r="AA34" s="13"/>
      <c r="AW34" s="14"/>
    </row>
    <row r="35" ht="9.0" customHeight="1">
      <c r="B35" s="13"/>
      <c r="X35" s="14"/>
      <c r="AA35" s="13"/>
      <c r="AW35" s="14"/>
    </row>
    <row r="36" ht="9.0" customHeight="1">
      <c r="B36" s="13"/>
      <c r="X36" s="14"/>
      <c r="AA36" s="13"/>
      <c r="AW36" s="14"/>
    </row>
    <row r="37" ht="9.0" customHeight="1">
      <c r="B37" s="13"/>
      <c r="X37" s="14"/>
      <c r="AA37" s="13"/>
      <c r="AW37" s="14"/>
    </row>
    <row r="38" ht="9.0" customHeight="1">
      <c r="B38" s="13"/>
      <c r="X38" s="14"/>
      <c r="AA38" s="13"/>
      <c r="AW38" s="14"/>
    </row>
    <row r="39" ht="9.0" customHeight="1">
      <c r="B39" s="13"/>
      <c r="X39" s="14"/>
      <c r="AA39" s="13"/>
      <c r="AW39" s="14"/>
    </row>
    <row r="40" ht="9.0" customHeight="1">
      <c r="B40" s="13"/>
      <c r="X40" s="14"/>
      <c r="AA40" s="13"/>
      <c r="AW40" s="14"/>
    </row>
    <row r="41" ht="9.0" customHeight="1">
      <c r="B41" s="13"/>
      <c r="X41" s="14"/>
      <c r="AA41" s="13"/>
      <c r="AW41" s="14"/>
    </row>
    <row r="42" ht="9.0" customHeight="1"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7"/>
      <c r="AA42" s="15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7"/>
    </row>
    <row r="43" ht="9.0" customHeight="1"/>
    <row r="44" ht="9.0" customHeight="1"/>
    <row r="45" ht="9.0" customHeight="1"/>
    <row r="46" ht="9.0" customHeight="1"/>
    <row r="47" ht="9.0" customHeight="1"/>
    <row r="48" ht="9.0" customHeight="1"/>
    <row r="49" ht="9.0" customHeight="1"/>
    <row r="50" ht="9.0" customHeight="1"/>
    <row r="51" ht="9.0" customHeight="1"/>
    <row r="52" ht="9.0" customHeight="1"/>
    <row r="53" ht="9.0" customHeight="1"/>
    <row r="54" ht="9.0" customHeight="1"/>
    <row r="55" ht="9.0" customHeight="1"/>
    <row r="56" ht="9.0" customHeight="1"/>
    <row r="57" ht="9.0" customHeight="1"/>
    <row r="58" ht="9.0" customHeight="1"/>
    <row r="59" ht="9.0" customHeight="1"/>
    <row r="60" ht="9.0" customHeight="1"/>
    <row r="61" ht="9.0" customHeight="1"/>
    <row r="62" ht="9.0" customHeight="1"/>
    <row r="63" ht="9.0" customHeight="1"/>
    <row r="64" ht="9.0" customHeight="1"/>
    <row r="65" ht="9.0" customHeight="1"/>
    <row r="66" ht="9.0" customHeight="1"/>
    <row r="67" ht="9.0" customHeight="1"/>
    <row r="68" ht="9.0" customHeight="1"/>
    <row r="69" ht="9.0" customHeight="1"/>
    <row r="70" ht="9.0" customHeight="1"/>
    <row r="71" ht="9.0" customHeight="1"/>
    <row r="72" ht="9.0" customHeight="1"/>
    <row r="73" ht="9.0" customHeight="1"/>
    <row r="74" ht="9.0" customHeight="1"/>
    <row r="75" ht="9.0" customHeight="1"/>
    <row r="76" ht="9.0" customHeight="1"/>
    <row r="77" ht="9.0" customHeight="1"/>
    <row r="78" ht="9.0" customHeight="1"/>
    <row r="79" ht="9.0" customHeight="1"/>
    <row r="80" ht="9.0" customHeight="1"/>
    <row r="81" ht="9.0" customHeight="1"/>
    <row r="82" ht="9.0" customHeight="1"/>
    <row r="83" ht="9.0" customHeight="1"/>
    <row r="84" ht="9.0" customHeight="1"/>
    <row r="85" ht="9.0" customHeight="1"/>
    <row r="86" ht="9.0" customHeight="1"/>
    <row r="87" ht="9.0" customHeight="1"/>
    <row r="88" ht="9.0" customHeight="1"/>
    <row r="89" ht="9.0" customHeight="1"/>
    <row r="90" ht="9.0" customHeight="1"/>
    <row r="91" ht="9.0" customHeight="1"/>
    <row r="92" ht="9.0" customHeight="1"/>
    <row r="93" ht="9.0" customHeight="1"/>
    <row r="94" ht="9.0" customHeight="1"/>
    <row r="95" ht="9.0" customHeight="1"/>
    <row r="96" ht="9.0" customHeight="1"/>
    <row r="97" ht="9.0" customHeight="1"/>
    <row r="98" ht="9.0" customHeight="1"/>
    <row r="99" ht="9.0" customHeight="1"/>
    <row r="100" ht="9.0" customHeight="1"/>
    <row r="101" ht="9.0" customHeight="1"/>
    <row r="102" ht="9.0" customHeight="1"/>
    <row r="103" ht="9.0" customHeight="1"/>
    <row r="104" ht="9.0" customHeight="1"/>
    <row r="105" ht="9.0" customHeight="1"/>
    <row r="106" ht="9.0" customHeight="1"/>
    <row r="107" ht="9.0" customHeight="1"/>
    <row r="108" ht="9.0" customHeight="1"/>
    <row r="109" ht="9.0" customHeight="1"/>
    <row r="110" ht="9.0" customHeight="1"/>
    <row r="111" ht="9.0" customHeight="1"/>
    <row r="112" ht="9.0" customHeight="1"/>
    <row r="113" ht="9.0" customHeight="1"/>
    <row r="114" ht="9.0" customHeight="1"/>
    <row r="115" ht="9.0" customHeight="1"/>
    <row r="116" ht="9.0" customHeight="1"/>
    <row r="117" ht="9.0" customHeight="1"/>
    <row r="118" ht="9.0" customHeight="1"/>
    <row r="119" ht="9.0" customHeight="1"/>
    <row r="120" ht="9.0" customHeight="1"/>
    <row r="121" ht="9.0" customHeight="1"/>
    <row r="122" ht="9.0" customHeight="1"/>
    <row r="123" ht="9.0" customHeight="1"/>
    <row r="124" ht="9.0" customHeight="1"/>
    <row r="125" ht="9.0" customHeight="1"/>
    <row r="126" ht="9.0" customHeight="1"/>
    <row r="127" ht="9.0" customHeight="1"/>
    <row r="128" ht="9.0" customHeight="1"/>
    <row r="129" ht="9.0" customHeight="1"/>
    <row r="130" ht="9.0" customHeight="1"/>
    <row r="131" ht="9.0" customHeight="1"/>
    <row r="132" ht="9.0" customHeight="1"/>
    <row r="133" ht="9.0" customHeight="1"/>
    <row r="134" ht="9.0" customHeight="1"/>
    <row r="135" ht="9.0" customHeight="1"/>
    <row r="136" ht="9.0" customHeight="1"/>
    <row r="137" ht="9.0" customHeight="1"/>
    <row r="138" ht="9.0" customHeight="1"/>
    <row r="139" ht="9.0" customHeight="1"/>
    <row r="140" ht="9.0" customHeight="1"/>
    <row r="141" ht="9.0" customHeight="1"/>
    <row r="142" ht="9.0" customHeight="1"/>
    <row r="143" ht="9.0" customHeight="1"/>
    <row r="144" ht="9.0" customHeight="1"/>
    <row r="145" ht="9.0" customHeight="1"/>
    <row r="146" ht="9.0" customHeight="1"/>
    <row r="147" ht="9.0" customHeight="1"/>
    <row r="148" ht="9.0" customHeight="1"/>
    <row r="149" ht="9.0" customHeight="1"/>
    <row r="150" ht="9.0" customHeight="1"/>
    <row r="151" ht="9.0" customHeight="1"/>
    <row r="152" ht="9.0" customHeight="1"/>
    <row r="153" ht="9.0" customHeight="1"/>
    <row r="154" ht="9.0" customHeight="1"/>
    <row r="155" ht="9.0" customHeight="1"/>
    <row r="156" ht="9.0" customHeight="1"/>
    <row r="157" ht="9.0" customHeight="1"/>
    <row r="158" ht="9.0" customHeight="1"/>
    <row r="159" ht="9.0" customHeight="1"/>
    <row r="160" ht="9.0" customHeight="1"/>
    <row r="161" ht="9.0" customHeight="1"/>
    <row r="162" ht="9.0" customHeight="1"/>
    <row r="163" ht="9.0" customHeight="1"/>
    <row r="164" ht="9.0" customHeight="1"/>
    <row r="165" ht="9.0" customHeight="1"/>
    <row r="166" ht="9.0" customHeight="1"/>
    <row r="167" ht="9.0" customHeight="1"/>
    <row r="168" ht="9.0" customHeight="1"/>
    <row r="169" ht="9.0" customHeight="1"/>
    <row r="170" ht="9.0" customHeight="1"/>
    <row r="171" ht="9.0" customHeight="1"/>
    <row r="172" ht="9.0" customHeight="1"/>
    <row r="173" ht="9.0" customHeight="1"/>
    <row r="174" ht="9.0" customHeight="1"/>
    <row r="175" ht="9.0" customHeight="1"/>
    <row r="176" ht="9.0" customHeight="1"/>
    <row r="177" ht="9.0" customHeight="1"/>
    <row r="178" ht="9.0" customHeight="1"/>
    <row r="179" ht="9.0" customHeight="1"/>
    <row r="180" ht="9.0" customHeight="1"/>
    <row r="181" ht="9.0" customHeight="1"/>
    <row r="182" ht="9.0" customHeight="1"/>
    <row r="183" ht="9.0" customHeight="1"/>
    <row r="184" ht="9.0" customHeight="1"/>
    <row r="185" ht="9.0" customHeight="1"/>
    <row r="186" ht="9.0" customHeight="1"/>
    <row r="187" ht="9.0" customHeight="1"/>
    <row r="188" ht="9.0" customHeight="1"/>
    <row r="189" ht="9.0" customHeight="1"/>
    <row r="190" ht="9.0" customHeight="1"/>
    <row r="191" ht="9.0" customHeight="1"/>
    <row r="192" ht="9.0" customHeight="1"/>
    <row r="193" ht="9.0" customHeight="1"/>
    <row r="194" ht="9.0" customHeight="1"/>
    <row r="195" ht="9.0" customHeight="1"/>
    <row r="196" ht="9.0" customHeight="1"/>
    <row r="197" ht="9.0" customHeight="1"/>
    <row r="198" ht="9.0" customHeight="1"/>
    <row r="199" ht="9.0" customHeight="1"/>
    <row r="200" ht="9.0" customHeight="1"/>
    <row r="201" ht="9.0" customHeight="1"/>
    <row r="202" ht="9.0" customHeight="1"/>
    <row r="203" ht="9.0" customHeight="1"/>
    <row r="204" ht="9.0" customHeight="1"/>
    <row r="205" ht="9.0" customHeight="1"/>
    <row r="206" ht="9.0" customHeight="1"/>
    <row r="207" ht="9.0" customHeight="1"/>
    <row r="208" ht="9.0" customHeight="1"/>
    <row r="209" ht="9.0" customHeight="1"/>
    <row r="210" ht="9.0" customHeight="1"/>
    <row r="211" ht="9.0" customHeight="1"/>
    <row r="212" ht="9.0" customHeight="1"/>
    <row r="213" ht="9.0" customHeight="1"/>
    <row r="214" ht="9.0" customHeight="1"/>
    <row r="215" ht="9.0" customHeight="1"/>
    <row r="216" ht="9.0" customHeight="1"/>
    <row r="217" ht="9.0" customHeight="1"/>
    <row r="218" ht="9.0" customHeight="1"/>
    <row r="219" ht="9.0" customHeight="1"/>
    <row r="220" ht="9.0" customHeight="1"/>
    <row r="221" ht="9.0" customHeight="1"/>
    <row r="222" ht="9.0" customHeight="1"/>
    <row r="223" ht="9.0" customHeight="1"/>
    <row r="224" ht="9.0" customHeight="1"/>
    <row r="225" ht="9.0" customHeight="1"/>
    <row r="226" ht="9.0" customHeight="1"/>
    <row r="227" ht="9.0" customHeight="1"/>
    <row r="228" ht="9.0" customHeight="1"/>
    <row r="229" ht="9.0" customHeight="1"/>
    <row r="230" ht="9.0" customHeight="1"/>
    <row r="231" ht="9.0" customHeight="1"/>
    <row r="232" ht="9.0" customHeight="1"/>
    <row r="233" ht="9.0" customHeight="1"/>
    <row r="234" ht="9.0" customHeight="1"/>
    <row r="235" ht="9.0" customHeight="1"/>
    <row r="236" ht="9.0" customHeight="1"/>
    <row r="237" ht="9.0" customHeight="1"/>
    <row r="238" ht="9.0" customHeight="1"/>
    <row r="239" ht="9.0" customHeight="1"/>
    <row r="240" ht="9.0" customHeight="1"/>
    <row r="241" ht="9.0" customHeight="1"/>
    <row r="242" ht="9.0" customHeight="1"/>
    <row r="243" ht="9.0" customHeight="1"/>
    <row r="244" ht="9.0" customHeight="1"/>
    <row r="245" ht="9.0" customHeight="1"/>
    <row r="246" ht="9.0" customHeight="1"/>
    <row r="247" ht="9.0" customHeight="1"/>
    <row r="248" ht="9.0" customHeight="1"/>
    <row r="249" ht="9.0" customHeight="1"/>
    <row r="250" ht="9.0" customHeight="1"/>
    <row r="251" ht="9.0" customHeight="1"/>
    <row r="252" ht="9.0" customHeight="1"/>
    <row r="253" ht="9.0" customHeight="1"/>
    <row r="254" ht="9.0" customHeight="1"/>
    <row r="255" ht="9.0" customHeight="1"/>
    <row r="256" ht="9.0" customHeight="1"/>
    <row r="257" ht="9.0" customHeight="1"/>
    <row r="258" ht="9.0" customHeight="1"/>
    <row r="259" ht="9.0" customHeight="1"/>
    <row r="260" ht="9.0" customHeight="1"/>
    <row r="261" ht="9.0" customHeight="1"/>
    <row r="262" ht="9.0" customHeight="1"/>
    <row r="263" ht="9.0" customHeight="1"/>
    <row r="264" ht="9.0" customHeight="1"/>
    <row r="265" ht="9.0" customHeight="1"/>
    <row r="266" ht="9.0" customHeight="1"/>
    <row r="267" ht="9.0" customHeight="1"/>
    <row r="268" ht="9.0" customHeight="1"/>
    <row r="269" ht="9.0" customHeight="1"/>
    <row r="270" ht="9.0" customHeight="1"/>
    <row r="271" ht="9.0" customHeight="1"/>
    <row r="272" ht="9.0" customHeight="1"/>
    <row r="273" ht="9.0" customHeight="1"/>
    <row r="274" ht="9.0" customHeight="1"/>
    <row r="275" ht="9.0" customHeight="1"/>
    <row r="276" ht="9.0" customHeight="1"/>
    <row r="277" ht="9.0" customHeight="1"/>
    <row r="278" ht="9.0" customHeight="1"/>
    <row r="279" ht="9.0" customHeight="1"/>
    <row r="280" ht="9.0" customHeight="1"/>
    <row r="281" ht="9.0" customHeight="1"/>
    <row r="282" ht="9.0" customHeight="1"/>
    <row r="283" ht="9.0" customHeight="1"/>
    <row r="284" ht="9.0" customHeight="1"/>
    <row r="285" ht="9.0" customHeight="1"/>
    <row r="286" ht="9.0" customHeight="1"/>
    <row r="287" ht="9.0" customHeight="1"/>
    <row r="288" ht="9.0" customHeight="1"/>
    <row r="289" ht="9.0" customHeight="1"/>
    <row r="290" ht="9.0" customHeight="1"/>
    <row r="291" ht="9.0" customHeight="1"/>
    <row r="292" ht="9.0" customHeight="1"/>
    <row r="293" ht="9.0" customHeight="1"/>
    <row r="294" ht="9.0" customHeight="1"/>
    <row r="295" ht="9.0" customHeight="1"/>
    <row r="296" ht="9.0" customHeight="1"/>
    <row r="297" ht="9.0" customHeight="1"/>
    <row r="298" ht="9.0" customHeight="1"/>
    <row r="299" ht="9.0" customHeight="1"/>
    <row r="300" ht="9.0" customHeight="1"/>
    <row r="301" ht="9.0" customHeight="1"/>
    <row r="302" ht="9.0" customHeight="1"/>
    <row r="303" ht="9.0" customHeight="1"/>
    <row r="304" ht="9.0" customHeight="1"/>
    <row r="305" ht="9.0" customHeight="1"/>
    <row r="306" ht="9.0" customHeight="1"/>
    <row r="307" ht="9.0" customHeight="1"/>
    <row r="308" ht="9.0" customHeight="1"/>
    <row r="309" ht="9.0" customHeight="1"/>
    <row r="310" ht="9.0" customHeight="1"/>
    <row r="311" ht="9.0" customHeight="1"/>
    <row r="312" ht="9.0" customHeight="1"/>
    <row r="313" ht="9.0" customHeight="1"/>
    <row r="314" ht="9.0" customHeight="1"/>
    <row r="315" ht="9.0" customHeight="1"/>
    <row r="316" ht="9.0" customHeight="1"/>
    <row r="317" ht="9.0" customHeight="1"/>
    <row r="318" ht="9.0" customHeight="1"/>
    <row r="319" ht="9.0" customHeight="1"/>
    <row r="320" ht="9.0" customHeight="1"/>
    <row r="321" ht="9.0" customHeight="1"/>
    <row r="322" ht="9.0" customHeight="1"/>
    <row r="323" ht="9.0" customHeight="1"/>
    <row r="324" ht="9.0" customHeight="1"/>
    <row r="325" ht="9.0" customHeight="1"/>
    <row r="326" ht="9.0" customHeight="1"/>
    <row r="327" ht="9.0" customHeight="1"/>
    <row r="328" ht="9.0" customHeight="1"/>
    <row r="329" ht="9.0" customHeight="1"/>
    <row r="330" ht="9.0" customHeight="1"/>
    <row r="331" ht="9.0" customHeight="1"/>
    <row r="332" ht="9.0" customHeight="1"/>
    <row r="333" ht="9.0" customHeight="1"/>
    <row r="334" ht="9.0" customHeight="1"/>
    <row r="335" ht="9.0" customHeight="1"/>
    <row r="336" ht="9.0" customHeight="1"/>
    <row r="337" ht="9.0" customHeight="1"/>
    <row r="338" ht="9.0" customHeight="1"/>
    <row r="339" ht="9.0" customHeight="1"/>
    <row r="340" ht="9.0" customHeight="1"/>
    <row r="341" ht="9.0" customHeight="1"/>
    <row r="342" ht="9.0" customHeight="1"/>
    <row r="343" ht="9.0" customHeight="1"/>
    <row r="344" ht="9.0" customHeight="1"/>
    <row r="345" ht="9.0" customHeight="1"/>
    <row r="346" ht="9.0" customHeight="1"/>
    <row r="347" ht="9.0" customHeight="1"/>
    <row r="348" ht="9.0" customHeight="1"/>
    <row r="349" ht="9.0" customHeight="1"/>
    <row r="350" ht="9.0" customHeight="1"/>
    <row r="351" ht="9.0" customHeight="1"/>
    <row r="352" ht="9.0" customHeight="1"/>
    <row r="353" ht="9.0" customHeight="1"/>
    <row r="354" ht="9.0" customHeight="1"/>
    <row r="355" ht="9.0" customHeight="1"/>
    <row r="356" ht="9.0" customHeight="1"/>
    <row r="357" ht="9.0" customHeight="1"/>
    <row r="358" ht="9.0" customHeight="1"/>
    <row r="359" ht="9.0" customHeight="1"/>
    <row r="360" ht="9.0" customHeight="1"/>
    <row r="361" ht="9.0" customHeight="1"/>
    <row r="362" ht="9.0" customHeight="1"/>
    <row r="363" ht="9.0" customHeight="1"/>
    <row r="364" ht="9.0" customHeight="1"/>
    <row r="365" ht="9.0" customHeight="1"/>
    <row r="366" ht="9.0" customHeight="1"/>
    <row r="367" ht="9.0" customHeight="1"/>
    <row r="368" ht="9.0" customHeight="1"/>
    <row r="369" ht="9.0" customHeight="1"/>
    <row r="370" ht="9.0" customHeight="1"/>
    <row r="371" ht="9.0" customHeight="1"/>
    <row r="372" ht="9.0" customHeight="1"/>
    <row r="373" ht="9.0" customHeight="1"/>
    <row r="374" ht="9.0" customHeight="1"/>
    <row r="375" ht="9.0" customHeight="1"/>
    <row r="376" ht="9.0" customHeight="1"/>
    <row r="377" ht="9.0" customHeight="1"/>
    <row r="378" ht="9.0" customHeight="1"/>
    <row r="379" ht="9.0" customHeight="1"/>
    <row r="380" ht="9.0" customHeight="1"/>
    <row r="381" ht="9.0" customHeight="1"/>
    <row r="382" ht="9.0" customHeight="1"/>
    <row r="383" ht="9.0" customHeight="1"/>
    <row r="384" ht="9.0" customHeight="1"/>
    <row r="385" ht="9.0" customHeight="1"/>
    <row r="386" ht="9.0" customHeight="1"/>
    <row r="387" ht="9.0" customHeight="1"/>
    <row r="388" ht="9.0" customHeight="1"/>
    <row r="389" ht="9.0" customHeight="1"/>
    <row r="390" ht="9.0" customHeight="1"/>
    <row r="391" ht="9.0" customHeight="1"/>
    <row r="392" ht="9.0" customHeight="1"/>
    <row r="393" ht="9.0" customHeight="1"/>
    <row r="394" ht="9.0" customHeight="1"/>
    <row r="395" ht="9.0" customHeight="1"/>
    <row r="396" ht="9.0" customHeight="1"/>
    <row r="397" ht="9.0" customHeight="1"/>
    <row r="398" ht="9.0" customHeight="1"/>
    <row r="399" ht="9.0" customHeight="1"/>
    <row r="400" ht="9.0" customHeight="1"/>
    <row r="401" ht="9.0" customHeight="1"/>
    <row r="402" ht="9.0" customHeight="1"/>
    <row r="403" ht="9.0" customHeight="1"/>
    <row r="404" ht="9.0" customHeight="1"/>
    <row r="405" ht="9.0" customHeight="1"/>
    <row r="406" ht="9.0" customHeight="1"/>
    <row r="407" ht="9.0" customHeight="1"/>
    <row r="408" ht="9.0" customHeight="1"/>
    <row r="409" ht="9.0" customHeight="1"/>
    <row r="410" ht="9.0" customHeight="1"/>
    <row r="411" ht="9.0" customHeight="1"/>
    <row r="412" ht="9.0" customHeight="1"/>
    <row r="413" ht="9.0" customHeight="1"/>
    <row r="414" ht="9.0" customHeight="1"/>
    <row r="415" ht="9.0" customHeight="1"/>
    <row r="416" ht="9.0" customHeight="1"/>
    <row r="417" ht="9.0" customHeight="1"/>
    <row r="418" ht="9.0" customHeight="1"/>
    <row r="419" ht="9.0" customHeight="1"/>
    <row r="420" ht="9.0" customHeight="1"/>
    <row r="421" ht="9.0" customHeight="1"/>
    <row r="422" ht="9.0" customHeight="1"/>
    <row r="423" ht="9.0" customHeight="1"/>
    <row r="424" ht="9.0" customHeight="1"/>
    <row r="425" ht="9.0" customHeight="1"/>
    <row r="426" ht="9.0" customHeight="1"/>
    <row r="427" ht="9.0" customHeight="1"/>
    <row r="428" ht="9.0" customHeight="1"/>
    <row r="429" ht="9.0" customHeight="1"/>
    <row r="430" ht="9.0" customHeight="1"/>
    <row r="431" ht="9.0" customHeight="1"/>
    <row r="432" ht="9.0" customHeight="1"/>
    <row r="433" ht="9.0" customHeight="1"/>
    <row r="434" ht="9.0" customHeight="1"/>
    <row r="435" ht="9.0" customHeight="1"/>
    <row r="436" ht="9.0" customHeight="1"/>
    <row r="437" ht="9.0" customHeight="1"/>
    <row r="438" ht="9.0" customHeight="1"/>
    <row r="439" ht="9.0" customHeight="1"/>
    <row r="440" ht="9.0" customHeight="1"/>
    <row r="441" ht="9.0" customHeight="1"/>
    <row r="442" ht="9.0" customHeight="1"/>
    <row r="443" ht="9.0" customHeight="1"/>
    <row r="444" ht="9.0" customHeight="1"/>
    <row r="445" ht="9.0" customHeight="1"/>
    <row r="446" ht="9.0" customHeight="1"/>
    <row r="447" ht="9.0" customHeight="1"/>
    <row r="448" ht="9.0" customHeight="1"/>
    <row r="449" ht="9.0" customHeight="1"/>
    <row r="450" ht="9.0" customHeight="1"/>
    <row r="451" ht="9.0" customHeight="1"/>
    <row r="452" ht="9.0" customHeight="1"/>
    <row r="453" ht="9.0" customHeight="1"/>
    <row r="454" ht="9.0" customHeight="1"/>
    <row r="455" ht="9.0" customHeight="1"/>
    <row r="456" ht="9.0" customHeight="1"/>
    <row r="457" ht="9.0" customHeight="1"/>
    <row r="458" ht="9.0" customHeight="1"/>
    <row r="459" ht="9.0" customHeight="1"/>
    <row r="460" ht="9.0" customHeight="1"/>
    <row r="461" ht="9.0" customHeight="1"/>
    <row r="462" ht="9.0" customHeight="1"/>
    <row r="463" ht="9.0" customHeight="1"/>
    <row r="464" ht="9.0" customHeight="1"/>
    <row r="465" ht="9.0" customHeight="1"/>
    <row r="466" ht="9.0" customHeight="1"/>
    <row r="467" ht="9.0" customHeight="1"/>
    <row r="468" ht="9.0" customHeight="1"/>
    <row r="469" ht="9.0" customHeight="1"/>
    <row r="470" ht="9.0" customHeight="1"/>
    <row r="471" ht="9.0" customHeight="1"/>
    <row r="472" ht="9.0" customHeight="1"/>
    <row r="473" ht="9.0" customHeight="1"/>
    <row r="474" ht="9.0" customHeight="1"/>
    <row r="475" ht="9.0" customHeight="1"/>
    <row r="476" ht="9.0" customHeight="1"/>
    <row r="477" ht="9.0" customHeight="1"/>
    <row r="478" ht="9.0" customHeight="1"/>
    <row r="479" ht="9.0" customHeight="1"/>
    <row r="480" ht="9.0" customHeight="1"/>
    <row r="481" ht="9.0" customHeight="1"/>
    <row r="482" ht="9.0" customHeight="1"/>
    <row r="483" ht="9.0" customHeight="1"/>
    <row r="484" ht="9.0" customHeight="1"/>
    <row r="485" ht="9.0" customHeight="1"/>
    <row r="486" ht="9.0" customHeight="1"/>
    <row r="487" ht="9.0" customHeight="1"/>
    <row r="488" ht="9.0" customHeight="1"/>
    <row r="489" ht="9.0" customHeight="1"/>
    <row r="490" ht="9.0" customHeight="1"/>
    <row r="491" ht="9.0" customHeight="1"/>
    <row r="492" ht="9.0" customHeight="1"/>
    <row r="493" ht="9.0" customHeight="1"/>
    <row r="494" ht="9.0" customHeight="1"/>
    <row r="495" ht="9.0" customHeight="1"/>
    <row r="496" ht="9.0" customHeight="1"/>
    <row r="497" ht="9.0" customHeight="1"/>
    <row r="498" ht="9.0" customHeight="1"/>
    <row r="499" ht="9.0" customHeight="1"/>
    <row r="500" ht="9.0" customHeight="1"/>
    <row r="501" ht="9.0" customHeight="1"/>
    <row r="502" ht="9.0" customHeight="1"/>
    <row r="503" ht="9.0" customHeight="1"/>
    <row r="504" ht="9.0" customHeight="1"/>
    <row r="505" ht="9.0" customHeight="1"/>
    <row r="506" ht="9.0" customHeight="1"/>
    <row r="507" ht="9.0" customHeight="1"/>
    <row r="508" ht="9.0" customHeight="1"/>
    <row r="509" ht="9.0" customHeight="1"/>
    <row r="510" ht="9.0" customHeight="1"/>
    <row r="511" ht="9.0" customHeight="1"/>
    <row r="512" ht="9.0" customHeight="1"/>
    <row r="513" ht="9.0" customHeight="1"/>
    <row r="514" ht="9.0" customHeight="1"/>
    <row r="515" ht="9.0" customHeight="1"/>
    <row r="516" ht="9.0" customHeight="1"/>
    <row r="517" ht="9.0" customHeight="1"/>
    <row r="518" ht="9.0" customHeight="1"/>
    <row r="519" ht="9.0" customHeight="1"/>
    <row r="520" ht="9.0" customHeight="1"/>
    <row r="521" ht="9.0" customHeight="1"/>
    <row r="522" ht="9.0" customHeight="1"/>
    <row r="523" ht="9.0" customHeight="1"/>
    <row r="524" ht="9.0" customHeight="1"/>
    <row r="525" ht="9.0" customHeight="1"/>
    <row r="526" ht="9.0" customHeight="1"/>
    <row r="527" ht="9.0" customHeight="1"/>
    <row r="528" ht="9.0" customHeight="1"/>
    <row r="529" ht="9.0" customHeight="1"/>
    <row r="530" ht="9.0" customHeight="1"/>
    <row r="531" ht="9.0" customHeight="1"/>
    <row r="532" ht="9.0" customHeight="1"/>
    <row r="533" ht="9.0" customHeight="1"/>
    <row r="534" ht="9.0" customHeight="1"/>
    <row r="535" ht="9.0" customHeight="1"/>
    <row r="536" ht="9.0" customHeight="1"/>
    <row r="537" ht="9.0" customHeight="1"/>
    <row r="538" ht="9.0" customHeight="1"/>
    <row r="539" ht="9.0" customHeight="1"/>
    <row r="540" ht="9.0" customHeight="1"/>
    <row r="541" ht="9.0" customHeight="1"/>
    <row r="542" ht="9.0" customHeight="1"/>
    <row r="543" ht="9.0" customHeight="1"/>
    <row r="544" ht="9.0" customHeight="1"/>
    <row r="545" ht="9.0" customHeight="1"/>
    <row r="546" ht="9.0" customHeight="1"/>
    <row r="547" ht="9.0" customHeight="1"/>
    <row r="548" ht="9.0" customHeight="1"/>
    <row r="549" ht="9.0" customHeight="1"/>
    <row r="550" ht="9.0" customHeight="1"/>
    <row r="551" ht="9.0" customHeight="1"/>
    <row r="552" ht="9.0" customHeight="1"/>
    <row r="553" ht="9.0" customHeight="1"/>
    <row r="554" ht="9.0" customHeight="1"/>
    <row r="555" ht="9.0" customHeight="1"/>
    <row r="556" ht="9.0" customHeight="1"/>
    <row r="557" ht="9.0" customHeight="1"/>
    <row r="558" ht="9.0" customHeight="1"/>
    <row r="559" ht="9.0" customHeight="1"/>
    <row r="560" ht="9.0" customHeight="1"/>
    <row r="561" ht="9.0" customHeight="1"/>
    <row r="562" ht="9.0" customHeight="1"/>
    <row r="563" ht="9.0" customHeight="1"/>
    <row r="564" ht="9.0" customHeight="1"/>
    <row r="565" ht="9.0" customHeight="1"/>
    <row r="566" ht="9.0" customHeight="1"/>
    <row r="567" ht="9.0" customHeight="1"/>
    <row r="568" ht="9.0" customHeight="1"/>
    <row r="569" ht="9.0" customHeight="1"/>
    <row r="570" ht="9.0" customHeight="1"/>
    <row r="571" ht="9.0" customHeight="1"/>
    <row r="572" ht="9.0" customHeight="1"/>
    <row r="573" ht="9.0" customHeight="1"/>
    <row r="574" ht="9.0" customHeight="1"/>
    <row r="575" ht="9.0" customHeight="1"/>
    <row r="576" ht="9.0" customHeight="1"/>
    <row r="577" ht="9.0" customHeight="1"/>
    <row r="578" ht="9.0" customHeight="1"/>
    <row r="579" ht="9.0" customHeight="1"/>
    <row r="580" ht="9.0" customHeight="1"/>
    <row r="581" ht="9.0" customHeight="1"/>
    <row r="582" ht="9.0" customHeight="1"/>
    <row r="583" ht="9.0" customHeight="1"/>
    <row r="584" ht="9.0" customHeight="1"/>
    <row r="585" ht="9.0" customHeight="1"/>
    <row r="586" ht="9.0" customHeight="1"/>
    <row r="587" ht="9.0" customHeight="1"/>
    <row r="588" ht="9.0" customHeight="1"/>
    <row r="589" ht="9.0" customHeight="1"/>
    <row r="590" ht="9.0" customHeight="1"/>
    <row r="591" ht="9.0" customHeight="1"/>
    <row r="592" ht="9.0" customHeight="1"/>
    <row r="593" ht="9.0" customHeight="1"/>
    <row r="594" ht="9.0" customHeight="1"/>
    <row r="595" ht="9.0" customHeight="1"/>
    <row r="596" ht="9.0" customHeight="1"/>
    <row r="597" ht="9.0" customHeight="1"/>
    <row r="598" ht="9.0" customHeight="1"/>
    <row r="599" ht="9.0" customHeight="1"/>
    <row r="600" ht="9.0" customHeight="1"/>
    <row r="601" ht="9.0" customHeight="1"/>
    <row r="602" ht="9.0" customHeight="1"/>
    <row r="603" ht="9.0" customHeight="1"/>
    <row r="604" ht="9.0" customHeight="1"/>
    <row r="605" ht="9.0" customHeight="1"/>
    <row r="606" ht="9.0" customHeight="1"/>
    <row r="607" ht="9.0" customHeight="1"/>
    <row r="608" ht="9.0" customHeight="1"/>
    <row r="609" ht="9.0" customHeight="1"/>
    <row r="610" ht="9.0" customHeight="1"/>
    <row r="611" ht="9.0" customHeight="1"/>
    <row r="612" ht="9.0" customHeight="1"/>
    <row r="613" ht="9.0" customHeight="1"/>
    <row r="614" ht="9.0" customHeight="1"/>
    <row r="615" ht="9.0" customHeight="1"/>
    <row r="616" ht="9.0" customHeight="1"/>
    <row r="617" ht="9.0" customHeight="1"/>
    <row r="618" ht="9.0" customHeight="1"/>
    <row r="619" ht="9.0" customHeight="1"/>
    <row r="620" ht="9.0" customHeight="1"/>
    <row r="621" ht="9.0" customHeight="1"/>
    <row r="622" ht="9.0" customHeight="1"/>
    <row r="623" ht="9.0" customHeight="1"/>
    <row r="624" ht="9.0" customHeight="1"/>
    <row r="625" ht="9.0" customHeight="1"/>
    <row r="626" ht="9.0" customHeight="1"/>
    <row r="627" ht="9.0" customHeight="1"/>
    <row r="628" ht="9.0" customHeight="1"/>
    <row r="629" ht="9.0" customHeight="1"/>
    <row r="630" ht="9.0" customHeight="1"/>
    <row r="631" ht="9.0" customHeight="1"/>
    <row r="632" ht="9.0" customHeight="1"/>
    <row r="633" ht="9.0" customHeight="1"/>
    <row r="634" ht="9.0" customHeight="1"/>
    <row r="635" ht="9.0" customHeight="1"/>
    <row r="636" ht="9.0" customHeight="1"/>
    <row r="637" ht="9.0" customHeight="1"/>
    <row r="638" ht="9.0" customHeight="1"/>
    <row r="639" ht="9.0" customHeight="1"/>
    <row r="640" ht="9.0" customHeight="1"/>
    <row r="641" ht="9.0" customHeight="1"/>
    <row r="642" ht="9.0" customHeight="1"/>
    <row r="643" ht="9.0" customHeight="1"/>
    <row r="644" ht="9.0" customHeight="1"/>
    <row r="645" ht="9.0" customHeight="1"/>
    <row r="646" ht="9.0" customHeight="1"/>
    <row r="647" ht="9.0" customHeight="1"/>
    <row r="648" ht="9.0" customHeight="1"/>
    <row r="649" ht="9.0" customHeight="1"/>
    <row r="650" ht="9.0" customHeight="1"/>
    <row r="651" ht="9.0" customHeight="1"/>
    <row r="652" ht="9.0" customHeight="1"/>
    <row r="653" ht="9.0" customHeight="1"/>
    <row r="654" ht="9.0" customHeight="1"/>
    <row r="655" ht="9.0" customHeight="1"/>
    <row r="656" ht="9.0" customHeight="1"/>
    <row r="657" ht="9.0" customHeight="1"/>
    <row r="658" ht="9.0" customHeight="1"/>
    <row r="659" ht="9.0" customHeight="1"/>
    <row r="660" ht="9.0" customHeight="1"/>
    <row r="661" ht="9.0" customHeight="1"/>
    <row r="662" ht="9.0" customHeight="1"/>
    <row r="663" ht="9.0" customHeight="1"/>
    <row r="664" ht="9.0" customHeight="1"/>
    <row r="665" ht="9.0" customHeight="1"/>
    <row r="666" ht="9.0" customHeight="1"/>
    <row r="667" ht="9.0" customHeight="1"/>
    <row r="668" ht="9.0" customHeight="1"/>
    <row r="669" ht="9.0" customHeight="1"/>
    <row r="670" ht="9.0" customHeight="1"/>
    <row r="671" ht="9.0" customHeight="1"/>
    <row r="672" ht="9.0" customHeight="1"/>
    <row r="673" ht="9.0" customHeight="1"/>
    <row r="674" ht="9.0" customHeight="1"/>
    <row r="675" ht="9.0" customHeight="1"/>
    <row r="676" ht="9.0" customHeight="1"/>
    <row r="677" ht="9.0" customHeight="1"/>
    <row r="678" ht="9.0" customHeight="1"/>
    <row r="679" ht="9.0" customHeight="1"/>
    <row r="680" ht="9.0" customHeight="1"/>
    <row r="681" ht="9.0" customHeight="1"/>
    <row r="682" ht="9.0" customHeight="1"/>
    <row r="683" ht="9.0" customHeight="1"/>
    <row r="684" ht="9.0" customHeight="1"/>
    <row r="685" ht="9.0" customHeight="1"/>
    <row r="686" ht="9.0" customHeight="1"/>
    <row r="687" ht="9.0" customHeight="1"/>
    <row r="688" ht="9.0" customHeight="1"/>
    <row r="689" ht="9.0" customHeight="1"/>
    <row r="690" ht="9.0" customHeight="1"/>
    <row r="691" ht="9.0" customHeight="1"/>
    <row r="692" ht="9.0" customHeight="1"/>
    <row r="693" ht="9.0" customHeight="1"/>
    <row r="694" ht="9.0" customHeight="1"/>
    <row r="695" ht="9.0" customHeight="1"/>
    <row r="696" ht="9.0" customHeight="1"/>
    <row r="697" ht="9.0" customHeight="1"/>
    <row r="698" ht="9.0" customHeight="1"/>
    <row r="699" ht="9.0" customHeight="1"/>
    <row r="700" ht="9.0" customHeight="1"/>
    <row r="701" ht="9.0" customHeight="1"/>
    <row r="702" ht="9.0" customHeight="1"/>
    <row r="703" ht="9.0" customHeight="1"/>
    <row r="704" ht="9.0" customHeight="1"/>
    <row r="705" ht="9.0" customHeight="1"/>
    <row r="706" ht="9.0" customHeight="1"/>
    <row r="707" ht="9.0" customHeight="1"/>
    <row r="708" ht="9.0" customHeight="1"/>
    <row r="709" ht="9.0" customHeight="1"/>
    <row r="710" ht="9.0" customHeight="1"/>
    <row r="711" ht="9.0" customHeight="1"/>
    <row r="712" ht="9.0" customHeight="1"/>
    <row r="713" ht="9.0" customHeight="1"/>
    <row r="714" ht="9.0" customHeight="1"/>
    <row r="715" ht="9.0" customHeight="1"/>
    <row r="716" ht="9.0" customHeight="1"/>
    <row r="717" ht="9.0" customHeight="1"/>
    <row r="718" ht="9.0" customHeight="1"/>
    <row r="719" ht="9.0" customHeight="1"/>
    <row r="720" ht="9.0" customHeight="1"/>
    <row r="721" ht="9.0" customHeight="1"/>
    <row r="722" ht="9.0" customHeight="1"/>
    <row r="723" ht="9.0" customHeight="1"/>
    <row r="724" ht="9.0" customHeight="1"/>
    <row r="725" ht="9.0" customHeight="1"/>
    <row r="726" ht="9.0" customHeight="1"/>
    <row r="727" ht="9.0" customHeight="1"/>
    <row r="728" ht="9.0" customHeight="1"/>
    <row r="729" ht="9.0" customHeight="1"/>
    <row r="730" ht="9.0" customHeight="1"/>
    <row r="731" ht="9.0" customHeight="1"/>
    <row r="732" ht="9.0" customHeight="1"/>
    <row r="733" ht="9.0" customHeight="1"/>
    <row r="734" ht="9.0" customHeight="1"/>
    <row r="735" ht="9.0" customHeight="1"/>
    <row r="736" ht="9.0" customHeight="1"/>
    <row r="737" ht="9.0" customHeight="1"/>
    <row r="738" ht="9.0" customHeight="1"/>
    <row r="739" ht="9.0" customHeight="1"/>
    <row r="740" ht="9.0" customHeight="1"/>
    <row r="741" ht="9.0" customHeight="1"/>
    <row r="742" ht="9.0" customHeight="1"/>
    <row r="743" ht="9.0" customHeight="1"/>
    <row r="744" ht="9.0" customHeight="1"/>
    <row r="745" ht="9.0" customHeight="1"/>
    <row r="746" ht="9.0" customHeight="1"/>
    <row r="747" ht="9.0" customHeight="1"/>
    <row r="748" ht="9.0" customHeight="1"/>
    <row r="749" ht="9.0" customHeight="1"/>
    <row r="750" ht="9.0" customHeight="1"/>
    <row r="751" ht="9.0" customHeight="1"/>
    <row r="752" ht="9.0" customHeight="1"/>
    <row r="753" ht="9.0" customHeight="1"/>
    <row r="754" ht="9.0" customHeight="1"/>
    <row r="755" ht="9.0" customHeight="1"/>
    <row r="756" ht="9.0" customHeight="1"/>
    <row r="757" ht="9.0" customHeight="1"/>
    <row r="758" ht="9.0" customHeight="1"/>
    <row r="759" ht="9.0" customHeight="1"/>
    <row r="760" ht="9.0" customHeight="1"/>
    <row r="761" ht="9.0" customHeight="1"/>
    <row r="762" ht="9.0" customHeight="1"/>
    <row r="763" ht="9.0" customHeight="1"/>
    <row r="764" ht="9.0" customHeight="1"/>
    <row r="765" ht="9.0" customHeight="1"/>
    <row r="766" ht="9.0" customHeight="1"/>
    <row r="767" ht="9.0" customHeight="1"/>
    <row r="768" ht="9.0" customHeight="1"/>
    <row r="769" ht="9.0" customHeight="1"/>
    <row r="770" ht="9.0" customHeight="1"/>
    <row r="771" ht="9.0" customHeight="1"/>
    <row r="772" ht="9.0" customHeight="1"/>
    <row r="773" ht="9.0" customHeight="1"/>
    <row r="774" ht="9.0" customHeight="1"/>
    <row r="775" ht="9.0" customHeight="1"/>
    <row r="776" ht="9.0" customHeight="1"/>
    <row r="777" ht="9.0" customHeight="1"/>
    <row r="778" ht="9.0" customHeight="1"/>
    <row r="779" ht="9.0" customHeight="1"/>
    <row r="780" ht="9.0" customHeight="1"/>
    <row r="781" ht="9.0" customHeight="1"/>
    <row r="782" ht="9.0" customHeight="1"/>
    <row r="783" ht="9.0" customHeight="1"/>
    <row r="784" ht="9.0" customHeight="1"/>
    <row r="785" ht="9.0" customHeight="1"/>
    <row r="786" ht="9.0" customHeight="1"/>
    <row r="787" ht="9.0" customHeight="1"/>
    <row r="788" ht="9.0" customHeight="1"/>
    <row r="789" ht="9.0" customHeight="1"/>
    <row r="790" ht="9.0" customHeight="1"/>
    <row r="791" ht="9.0" customHeight="1"/>
    <row r="792" ht="9.0" customHeight="1"/>
    <row r="793" ht="9.0" customHeight="1"/>
    <row r="794" ht="9.0" customHeight="1"/>
    <row r="795" ht="9.0" customHeight="1"/>
    <row r="796" ht="9.0" customHeight="1"/>
    <row r="797" ht="9.0" customHeight="1"/>
    <row r="798" ht="9.0" customHeight="1"/>
    <row r="799" ht="9.0" customHeight="1"/>
    <row r="800" ht="9.0" customHeight="1"/>
    <row r="801" ht="9.0" customHeight="1"/>
    <row r="802" ht="9.0" customHeight="1"/>
    <row r="803" ht="9.0" customHeight="1"/>
    <row r="804" ht="9.0" customHeight="1"/>
    <row r="805" ht="9.0" customHeight="1"/>
    <row r="806" ht="9.0" customHeight="1"/>
    <row r="807" ht="9.0" customHeight="1"/>
    <row r="808" ht="9.0" customHeight="1"/>
    <row r="809" ht="9.0" customHeight="1"/>
    <row r="810" ht="9.0" customHeight="1"/>
    <row r="811" ht="9.0" customHeight="1"/>
    <row r="812" ht="9.0" customHeight="1"/>
    <row r="813" ht="9.0" customHeight="1"/>
    <row r="814" ht="9.0" customHeight="1"/>
    <row r="815" ht="9.0" customHeight="1"/>
    <row r="816" ht="9.0" customHeight="1"/>
    <row r="817" ht="9.0" customHeight="1"/>
    <row r="818" ht="9.0" customHeight="1"/>
    <row r="819" ht="9.0" customHeight="1"/>
    <row r="820" ht="9.0" customHeight="1"/>
    <row r="821" ht="9.0" customHeight="1"/>
    <row r="822" ht="9.0" customHeight="1"/>
    <row r="823" ht="9.0" customHeight="1"/>
    <row r="824" ht="9.0" customHeight="1"/>
    <row r="825" ht="9.0" customHeight="1"/>
    <row r="826" ht="9.0" customHeight="1"/>
    <row r="827" ht="9.0" customHeight="1"/>
    <row r="828" ht="9.0" customHeight="1"/>
    <row r="829" ht="9.0" customHeight="1"/>
    <row r="830" ht="9.0" customHeight="1"/>
    <row r="831" ht="9.0" customHeight="1"/>
    <row r="832" ht="9.0" customHeight="1"/>
    <row r="833" ht="9.0" customHeight="1"/>
    <row r="834" ht="9.0" customHeight="1"/>
    <row r="835" ht="9.0" customHeight="1"/>
    <row r="836" ht="9.0" customHeight="1"/>
    <row r="837" ht="9.0" customHeight="1"/>
    <row r="838" ht="9.0" customHeight="1"/>
    <row r="839" ht="9.0" customHeight="1"/>
    <row r="840" ht="9.0" customHeight="1"/>
    <row r="841" ht="9.0" customHeight="1"/>
    <row r="842" ht="9.0" customHeight="1"/>
    <row r="843" ht="9.0" customHeight="1"/>
    <row r="844" ht="9.0" customHeight="1"/>
    <row r="845" ht="9.0" customHeight="1"/>
    <row r="846" ht="9.0" customHeight="1"/>
    <row r="847" ht="9.0" customHeight="1"/>
    <row r="848" ht="9.0" customHeight="1"/>
    <row r="849" ht="9.0" customHeight="1"/>
    <row r="850" ht="9.0" customHeight="1"/>
    <row r="851" ht="9.0" customHeight="1"/>
    <row r="852" ht="9.0" customHeight="1"/>
    <row r="853" ht="9.0" customHeight="1"/>
    <row r="854" ht="9.0" customHeight="1"/>
    <row r="855" ht="9.0" customHeight="1"/>
    <row r="856" ht="9.0" customHeight="1"/>
    <row r="857" ht="9.0" customHeight="1"/>
    <row r="858" ht="9.0" customHeight="1"/>
    <row r="859" ht="9.0" customHeight="1"/>
    <row r="860" ht="9.0" customHeight="1"/>
    <row r="861" ht="9.0" customHeight="1"/>
    <row r="862" ht="9.0" customHeight="1"/>
    <row r="863" ht="9.0" customHeight="1"/>
    <row r="864" ht="9.0" customHeight="1"/>
    <row r="865" ht="9.0" customHeight="1"/>
    <row r="866" ht="9.0" customHeight="1"/>
    <row r="867" ht="9.0" customHeight="1"/>
    <row r="868" ht="9.0" customHeight="1"/>
    <row r="869" ht="9.0" customHeight="1"/>
    <row r="870" ht="9.0" customHeight="1"/>
    <row r="871" ht="9.0" customHeight="1"/>
    <row r="872" ht="9.0" customHeight="1"/>
    <row r="873" ht="9.0" customHeight="1"/>
    <row r="874" ht="9.0" customHeight="1"/>
    <row r="875" ht="9.0" customHeight="1"/>
    <row r="876" ht="9.0" customHeight="1"/>
    <row r="877" ht="9.0" customHeight="1"/>
    <row r="878" ht="9.0" customHeight="1"/>
    <row r="879" ht="9.0" customHeight="1"/>
    <row r="880" ht="9.0" customHeight="1"/>
    <row r="881" ht="9.0" customHeight="1"/>
    <row r="882" ht="9.0" customHeight="1"/>
    <row r="883" ht="9.0" customHeight="1"/>
    <row r="884" ht="9.0" customHeight="1"/>
    <row r="885" ht="9.0" customHeight="1"/>
    <row r="886" ht="9.0" customHeight="1"/>
    <row r="887" ht="9.0" customHeight="1"/>
    <row r="888" ht="9.0" customHeight="1"/>
    <row r="889" ht="9.0" customHeight="1"/>
    <row r="890" ht="9.0" customHeight="1"/>
    <row r="891" ht="9.0" customHeight="1"/>
    <row r="892" ht="9.0" customHeight="1"/>
    <row r="893" ht="9.0" customHeight="1"/>
    <row r="894" ht="9.0" customHeight="1"/>
    <row r="895" ht="9.0" customHeight="1"/>
    <row r="896" ht="9.0" customHeight="1"/>
    <row r="897" ht="9.0" customHeight="1"/>
    <row r="898" ht="9.0" customHeight="1"/>
    <row r="899" ht="9.0" customHeight="1"/>
    <row r="900" ht="9.0" customHeight="1"/>
    <row r="901" ht="9.0" customHeight="1"/>
    <row r="902" ht="9.0" customHeight="1"/>
    <row r="903" ht="9.0" customHeight="1"/>
    <row r="904" ht="9.0" customHeight="1"/>
    <row r="905" ht="9.0" customHeight="1"/>
    <row r="906" ht="9.0" customHeight="1"/>
    <row r="907" ht="9.0" customHeight="1"/>
    <row r="908" ht="9.0" customHeight="1"/>
    <row r="909" ht="9.0" customHeight="1"/>
    <row r="910" ht="9.0" customHeight="1"/>
    <row r="911" ht="9.0" customHeight="1"/>
    <row r="912" ht="9.0" customHeight="1"/>
    <row r="913" ht="9.0" customHeight="1"/>
    <row r="914" ht="9.0" customHeight="1"/>
    <row r="915" ht="9.0" customHeight="1"/>
    <row r="916" ht="9.0" customHeight="1"/>
    <row r="917" ht="9.0" customHeight="1"/>
    <row r="918" ht="9.0" customHeight="1"/>
    <row r="919" ht="9.0" customHeight="1"/>
    <row r="920" ht="9.0" customHeight="1"/>
    <row r="921" ht="9.0" customHeight="1"/>
    <row r="922" ht="9.0" customHeight="1"/>
    <row r="923" ht="9.0" customHeight="1"/>
    <row r="924" ht="9.0" customHeight="1"/>
    <row r="925" ht="9.0" customHeight="1"/>
    <row r="926" ht="9.0" customHeight="1"/>
    <row r="927" ht="9.0" customHeight="1"/>
    <row r="928" ht="9.0" customHeight="1"/>
    <row r="929" ht="9.0" customHeight="1"/>
    <row r="930" ht="9.0" customHeight="1"/>
    <row r="931" ht="9.0" customHeight="1"/>
    <row r="932" ht="9.0" customHeight="1"/>
    <row r="933" ht="9.0" customHeight="1"/>
    <row r="934" ht="9.0" customHeight="1"/>
    <row r="935" ht="9.0" customHeight="1"/>
    <row r="936" ht="9.0" customHeight="1"/>
    <row r="937" ht="9.0" customHeight="1"/>
    <row r="938" ht="9.0" customHeight="1"/>
    <row r="939" ht="9.0" customHeight="1"/>
    <row r="940" ht="9.0" customHeight="1"/>
    <row r="941" ht="9.0" customHeight="1"/>
    <row r="942" ht="9.0" customHeight="1"/>
    <row r="943" ht="9.0" customHeight="1"/>
    <row r="944" ht="9.0" customHeight="1"/>
    <row r="945" ht="9.0" customHeight="1"/>
    <row r="946" ht="9.0" customHeight="1"/>
    <row r="947" ht="9.0" customHeight="1"/>
    <row r="948" ht="9.0" customHeight="1"/>
    <row r="949" ht="9.0" customHeight="1"/>
    <row r="950" ht="9.0" customHeight="1"/>
    <row r="951" ht="9.0" customHeight="1"/>
    <row r="952" ht="9.0" customHeight="1"/>
    <row r="953" ht="9.0" customHeight="1"/>
    <row r="954" ht="9.0" customHeight="1"/>
    <row r="955" ht="9.0" customHeight="1"/>
    <row r="956" ht="9.0" customHeight="1"/>
    <row r="957" ht="9.0" customHeight="1"/>
    <row r="958" ht="9.0" customHeight="1"/>
    <row r="959" ht="9.0" customHeight="1"/>
    <row r="960" ht="9.0" customHeight="1"/>
    <row r="961" ht="9.0" customHeight="1"/>
    <row r="962" ht="9.0" customHeight="1"/>
    <row r="963" ht="9.0" customHeight="1"/>
    <row r="964" ht="9.0" customHeight="1"/>
    <row r="965" ht="9.0" customHeight="1"/>
    <row r="966" ht="9.0" customHeight="1"/>
    <row r="967" ht="9.0" customHeight="1"/>
    <row r="968" ht="9.0" customHeight="1"/>
    <row r="969" ht="9.0" customHeight="1"/>
    <row r="970" ht="9.0" customHeight="1"/>
    <row r="971" ht="9.0" customHeight="1"/>
    <row r="972" ht="9.0" customHeight="1"/>
    <row r="973" ht="9.0" customHeight="1"/>
    <row r="974" ht="9.0" customHeight="1"/>
    <row r="975" ht="9.0" customHeight="1"/>
    <row r="976" ht="9.0" customHeight="1"/>
    <row r="977" ht="9.0" customHeight="1"/>
    <row r="978" ht="9.0" customHeight="1"/>
    <row r="979" ht="9.0" customHeight="1"/>
    <row r="980" ht="9.0" customHeight="1"/>
    <row r="981" ht="9.0" customHeight="1"/>
    <row r="982" ht="9.0" customHeight="1"/>
    <row r="983" ht="9.0" customHeight="1"/>
    <row r="984" ht="9.0" customHeight="1"/>
    <row r="985" ht="9.0" customHeight="1"/>
    <row r="986" ht="9.0" customHeight="1"/>
    <row r="987" ht="9.0" customHeight="1"/>
    <row r="988" ht="9.0" customHeight="1"/>
    <row r="989" ht="9.0" customHeight="1"/>
    <row r="990" ht="9.0" customHeight="1"/>
    <row r="991" ht="9.0" customHeight="1"/>
    <row r="992" ht="9.0" customHeight="1"/>
    <row r="993" ht="9.0" customHeight="1"/>
    <row r="994" ht="9.0" customHeight="1"/>
    <row r="995" ht="9.0" customHeight="1"/>
    <row r="996" ht="9.0" customHeight="1"/>
    <row r="997" ht="9.0" customHeight="1"/>
    <row r="998" ht="9.0" customHeight="1"/>
    <row r="999" ht="9.0" customHeight="1"/>
    <row r="1000" ht="9.0" customHeight="1"/>
  </sheetData>
  <mergeCells count="6">
    <mergeCell ref="B2:X3"/>
    <mergeCell ref="AA2:AW3"/>
    <mergeCell ref="B4:X42"/>
    <mergeCell ref="AA4:AW21"/>
    <mergeCell ref="AA23:AW24"/>
    <mergeCell ref="AA25:AW42"/>
  </mergeCells>
  <drawing r:id="rId1"/>
</worksheet>
</file>